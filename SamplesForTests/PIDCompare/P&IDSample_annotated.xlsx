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6440" tabRatio="600" firstSheet="0" activeTab="0" autoFilterDateGrouping="1"/>
  </bookViews>
  <sheets>
    <sheet xmlns:r="http://schemas.openxmlformats.org/officeDocument/2006/relationships" name="Comparison Summary" sheetId="1" state="visible" r:id="rId1"/>
    <sheet xmlns:r="http://schemas.openxmlformats.org/officeDocument/2006/relationships" name="Comparison Results" sheetId="2" state="visible" r:id="rId2"/>
    <sheet xmlns:r="http://schemas.openxmlformats.org/officeDocument/2006/relationships" name="PDF Candidates Not In Excel" sheetId="3" state="visible" r:id="rId3"/>
    <sheet xmlns:r="http://schemas.openxmlformats.org/officeDocument/2006/relationships" name="RL7" sheetId="4" state="visible" r:id="rId4"/>
    <sheet xmlns:r="http://schemas.openxmlformats.org/officeDocument/2006/relationships" name="UTIL" sheetId="5" state="visible" r:id="rId5"/>
    <sheet xmlns:r="http://schemas.openxmlformats.org/officeDocument/2006/relationships" name="MCC Info" sheetId="6" state="visible" r:id="rId6"/>
    <sheet xmlns:r="http://schemas.openxmlformats.org/officeDocument/2006/relationships" name="NP Needed" sheetId="7" state="visible" r:id="rId7"/>
    <sheet xmlns:r="http://schemas.openxmlformats.org/officeDocument/2006/relationships" name="PNL-DVC" sheetId="8" state="visible" r:id="rId8"/>
    <sheet xmlns:r="http://schemas.openxmlformats.org/officeDocument/2006/relationships" name="Prog Over Time" sheetId="9" state="visible" r:id="rId9"/>
    <sheet xmlns:r="http://schemas.openxmlformats.org/officeDocument/2006/relationships" name="PROGRESS" sheetId="10" state="visible" r:id="rId10"/>
    <sheet xmlns:r="http://schemas.openxmlformats.org/officeDocument/2006/relationships" name="Helper" sheetId="11" state="visible" r:id="rId11"/>
    <sheet xmlns:r="http://schemas.openxmlformats.org/officeDocument/2006/relationships" name="MCC Elevs" sheetId="12" state="visible" r:id="rId12"/>
  </sheets>
  <definedNames>
    <definedName name="ColorCode" comment="Pulls Color Code">GET.CELLS(38,'RL7'!#REF!)</definedName>
    <definedName name="_xlnm._FilterDatabase" localSheetId="0" hidden="1">'Comparison Summary'!$A$1:$B$18</definedName>
    <definedName name="_xlnm._FilterDatabase" localSheetId="1" hidden="1">'Comparison Results'!$A$1:$G$841</definedName>
    <definedName name="_xlnm._FilterDatabase" localSheetId="2" hidden="1">'PDF Candidates Not In Excel'!$A$1:$U$993</definedName>
    <definedName name="_xlnm.Print_Titles" localSheetId="3">'RL7'!$1:$1</definedName>
    <definedName name="_xlnm.Print_Area" localSheetId="3">'RL7'!$A$1:$Z$1623</definedName>
    <definedName name="ColorCode" comment="Pulls Color Code" localSheetId="4">GET.CELLS(38,UTIL!#REF!)</definedName>
    <definedName name="_xlnm.Print_Titles" localSheetId="4">'UTIL'!$1:$1</definedName>
    <definedName name="_xlnm.Print_Area" localSheetId="4">'UTIL'!$A$1:$Z$123</definedName>
    <definedName name="_xlnm.Print_Titles" localSheetId="5">'MCC Info'!$1:$1</definedName>
    <definedName name="_xlnm.Print_Area" localSheetId="5">'MCC Info'!$A$1:$AA$412</definedName>
    <definedName name="_xlnm._FilterDatabase" localSheetId="7" hidden="1">'PNL-DVC'!$B$1:$Q$98</definedName>
    <definedName name="_xlnm.Print_Titles" localSheetId="7">'PNL-DVC'!$1:$1</definedName>
    <definedName name="_xlnm.Print_Area" localSheetId="8">'Prog Over Time'!$A$1:$L$20</definedName>
    <definedName name="_xlnm.Print_Area" localSheetId="9">'PROGRESS'!$A$1:$K$36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#"/>
  </numFmts>
  <fonts count="19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rgb="FF000000"/>
      <sz val="11"/>
    </font>
    <font>
      <name val="Calibri"/>
      <family val="2"/>
      <b val="1"/>
      <sz val="11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242424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color rgb="FF00B0F0"/>
      <sz val="11"/>
      <scheme val="minor"/>
    </font>
    <font>
      <name val="Calibri"/>
      <family val="2"/>
      <sz val="11"/>
    </font>
    <font>
      <name val="Calibri"/>
      <family val="2"/>
      <b val="1"/>
      <sz val="22"/>
      <scheme val="minor"/>
    </font>
    <font>
      <name val="Calibri"/>
      <family val="2"/>
      <color rgb="FF000000"/>
      <sz val="9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theme="4" tint="0.399975585192419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32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0" applyAlignment="1" pivotButton="0" quotePrefix="0" xfId="0">
      <alignment horizontal="left" indent="1"/>
    </xf>
    <xf numFmtId="0" fontId="1" fillId="0" borderId="1" applyAlignment="1" pivotButton="0" quotePrefix="0" xfId="0">
      <alignment horizontal="left" indent="1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164" fontId="0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" fontId="0" fillId="0" borderId="21" applyAlignment="1" pivotButton="0" quotePrefix="0" xfId="0">
      <alignment horizontal="center" vertical="center"/>
    </xf>
    <xf numFmtId="1" fontId="0" fillId="0" borderId="10" applyAlignment="1" pivotButton="0" quotePrefix="0" xfId="0">
      <alignment horizontal="center" vertical="center"/>
    </xf>
    <xf numFmtId="1" fontId="0" fillId="0" borderId="7" applyAlignment="1" pivotButton="0" quotePrefix="0" xfId="0">
      <alignment horizontal="center" vertical="center"/>
    </xf>
    <xf numFmtId="1" fontId="0" fillId="0" borderId="22" applyAlignment="1" pivotButton="0" quotePrefix="0" xfId="0">
      <alignment horizontal="center"/>
    </xf>
    <xf numFmtId="0" fontId="8" fillId="2" borderId="15" applyAlignment="1" pivotButton="0" quotePrefix="0" xfId="0">
      <alignment horizontal="center" vertical="center"/>
    </xf>
    <xf numFmtId="0" fontId="8" fillId="2" borderId="15" applyAlignment="1" pivotButton="0" quotePrefix="0" xfId="0">
      <alignment horizontal="center" vertical="center" wrapText="1"/>
    </xf>
    <xf numFmtId="0" fontId="8" fillId="2" borderId="16" applyAlignment="1" pivotButton="0" quotePrefix="0" xfId="0">
      <alignment horizontal="center" vertical="center"/>
    </xf>
    <xf numFmtId="0" fontId="8" fillId="2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14" fontId="0" fillId="0" borderId="12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indent="1"/>
    </xf>
    <xf numFmtId="0" fontId="1" fillId="0" borderId="1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 wrapText="1"/>
    </xf>
    <xf numFmtId="0" fontId="8" fillId="2" borderId="20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2" fontId="2" fillId="0" borderId="15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164" fontId="0" fillId="0" borderId="1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applyAlignment="1" pivotButton="0" quotePrefix="0" xfId="0">
      <alignment horizontal="center" vertical="top"/>
    </xf>
    <xf numFmtId="166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textRotation="90"/>
    </xf>
    <xf numFmtId="0" fontId="10" fillId="0" borderId="0" applyAlignment="1" pivotButton="0" quotePrefix="0" xfId="0">
      <alignment horizontal="center" vertical="center" textRotation="90"/>
    </xf>
    <xf numFmtId="0" fontId="17" fillId="3" borderId="1" applyAlignment="1" pivotButton="0" quotePrefix="0" xfId="0">
      <alignment horizontal="center" vertical="center" wrapText="1" shrinkToFit="1"/>
    </xf>
    <xf numFmtId="0" fontId="17" fillId="3" borderId="39" applyAlignment="1" pivotButton="0" quotePrefix="0" xfId="0">
      <alignment horizontal="center" vertical="center" wrapText="1" shrinkToFit="1"/>
    </xf>
    <xf numFmtId="0" fontId="17" fillId="3" borderId="41" applyAlignment="1" pivotButton="0" quotePrefix="0" xfId="0">
      <alignment horizontal="center" vertical="center" wrapText="1" shrinkToFit="1"/>
    </xf>
    <xf numFmtId="0" fontId="17" fillId="3" borderId="42" applyAlignment="1" pivotButton="0" quotePrefix="0" xfId="0">
      <alignment horizontal="center" vertical="center" wrapText="1" shrinkToFit="1"/>
    </xf>
    <xf numFmtId="0" fontId="17" fillId="3" borderId="43" applyAlignment="1" pivotButton="0" quotePrefix="0" xfId="0">
      <alignment horizontal="center" vertical="center" wrapText="1" shrinkToFit="1"/>
    </xf>
    <xf numFmtId="0" fontId="1" fillId="0" borderId="1" applyAlignment="1" pivotButton="0" quotePrefix="0" xfId="0">
      <alignment horizontal="left" vertical="center" wrapText="1" indent="1"/>
    </xf>
    <xf numFmtId="0" fontId="8" fillId="0" borderId="29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 wrapText="1"/>
    </xf>
    <xf numFmtId="0" fontId="8" fillId="0" borderId="33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 textRotation="90" wrapText="1"/>
    </xf>
    <xf numFmtId="0" fontId="8" fillId="0" borderId="19" applyAlignment="1" pivotButton="0" quotePrefix="0" xfId="0">
      <alignment horizontal="center" vertical="center" textRotation="90" wrapText="1"/>
    </xf>
    <xf numFmtId="0" fontId="0" fillId="0" borderId="26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left" vertical="center" wrapText="1" indent="1"/>
    </xf>
    <xf numFmtId="165" fontId="1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 textRotation="90" wrapText="1"/>
    </xf>
    <xf numFmtId="0" fontId="10" fillId="0" borderId="1" applyAlignment="1" pivotButton="0" quotePrefix="0" xfId="0">
      <alignment horizontal="center" vertical="center" textRotation="90"/>
    </xf>
    <xf numFmtId="165" fontId="1" fillId="0" borderId="1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 textRotation="90"/>
    </xf>
    <xf numFmtId="0" fontId="10" fillId="0" borderId="12" applyAlignment="1" pivotButton="0" quotePrefix="0" xfId="0">
      <alignment horizontal="center" vertical="center" textRotation="90"/>
    </xf>
    <xf numFmtId="0" fontId="0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 textRotation="90"/>
    </xf>
    <xf numFmtId="166" fontId="1" fillId="0" borderId="1" applyAlignment="1" pivotButton="0" quotePrefix="0" xfId="0">
      <alignment horizontal="left" vertical="center" indent="1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left" vertical="center" indent="1"/>
    </xf>
    <xf numFmtId="0" fontId="1" fillId="0" borderId="35" applyAlignment="1" pivotButton="0" quotePrefix="0" xfId="0">
      <alignment horizontal="center" vertical="center"/>
    </xf>
    <xf numFmtId="165" fontId="0" fillId="0" borderId="35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left" vertical="center" wrapText="1" indent="1"/>
    </xf>
    <xf numFmtId="165" fontId="1" fillId="0" borderId="12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vertical="center"/>
    </xf>
    <xf numFmtId="0" fontId="0" fillId="0" borderId="25" applyAlignment="1" pivotButton="0" quotePrefix="0" xfId="0">
      <alignment horizontal="center" vertical="center" textRotation="90" wrapText="1"/>
    </xf>
    <xf numFmtId="0" fontId="0" fillId="0" borderId="25" applyAlignment="1" pivotButton="0" quotePrefix="0" xfId="0">
      <alignment vertical="center" textRotation="90"/>
    </xf>
    <xf numFmtId="0" fontId="0" fillId="0" borderId="23" applyAlignment="1" pivotButton="0" quotePrefix="0" xfId="0">
      <alignment vertical="center" textRotation="90"/>
    </xf>
    <xf numFmtId="0" fontId="1" fillId="0" borderId="34" applyAlignment="1" pivotButton="0" quotePrefix="0" xfId="0">
      <alignment horizontal="center" vertical="center"/>
    </xf>
    <xf numFmtId="165" fontId="1" fillId="0" borderId="3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textRotation="90"/>
    </xf>
    <xf numFmtId="0" fontId="1" fillId="0" borderId="7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indent="2"/>
    </xf>
    <xf numFmtId="0" fontId="1" fillId="0" borderId="11" applyAlignment="1" pivotButton="0" quotePrefix="0" xfId="0">
      <alignment horizontal="center" vertical="center"/>
    </xf>
    <xf numFmtId="0" fontId="1" fillId="0" borderId="35" applyAlignment="1" pivotButton="0" quotePrefix="0" xfId="0">
      <alignment horizontal="left" vertical="center" wrapText="1" indent="1"/>
    </xf>
    <xf numFmtId="0" fontId="10" fillId="0" borderId="3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 textRotation="90" wrapText="1"/>
      <protection locked="0" hidden="0"/>
    </xf>
    <xf numFmtId="0" fontId="8" fillId="0" borderId="1" applyAlignment="1" applyProtection="1" pivotButton="0" quotePrefix="0" xfId="0">
      <alignment horizontal="center" vertical="center" textRotation="90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49" fontId="2" fillId="0" borderId="1" applyAlignment="1" applyProtection="1" pivotButton="0" quotePrefix="0" xfId="0">
      <alignment horizontal="center" vertical="center" textRotation="90" wrapText="1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center"/>
      <protection locked="0" hidden="0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left" indent="1"/>
    </xf>
    <xf numFmtId="49" fontId="1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49" fontId="0" fillId="0" borderId="1" applyAlignment="1" applyProtection="1" pivotButton="0" quotePrefix="0" xfId="0">
      <alignment horizontal="center"/>
      <protection locked="0" hidden="0"/>
    </xf>
    <xf numFmtId="49" fontId="1" fillId="0" borderId="1" applyAlignment="1" applyProtection="1" pivotButton="0" quotePrefix="0" xfId="0">
      <alignment horizontal="left" indent="1"/>
      <protection locked="0" hidden="0"/>
    </xf>
    <xf numFmtId="0" fontId="1" fillId="0" borderId="0" applyProtection="1" pivotButton="0" quotePrefix="0" xfId="0">
      <protection locked="0" hidden="0"/>
    </xf>
    <xf numFmtId="49" fontId="12" fillId="0" borderId="1" applyAlignment="1" pivotButton="0" quotePrefix="0" xfId="0">
      <alignment horizontal="left" indent="1"/>
    </xf>
    <xf numFmtId="0" fontId="0" fillId="0" borderId="1" applyAlignment="1" pivotButton="0" quotePrefix="0" xfId="0">
      <alignment horizontal="left" indent="1"/>
    </xf>
    <xf numFmtId="0" fontId="0" fillId="0" borderId="1" applyAlignment="1" applyProtection="1" pivotButton="0" quotePrefix="0" xfId="0">
      <alignment horizontal="center"/>
      <protection locked="0" hidden="0"/>
    </xf>
    <xf numFmtId="0" fontId="1" fillId="0" borderId="1" applyAlignment="1" applyProtection="1" pivotButton="0" quotePrefix="0" xfId="0">
      <alignment horizontal="left" indent="1"/>
      <protection locked="0" hidden="0"/>
    </xf>
    <xf numFmtId="0" fontId="12" fillId="0" borderId="1" applyAlignment="1" pivotButton="0" quotePrefix="0" xfId="0">
      <alignment horizontal="left" indent="1"/>
    </xf>
    <xf numFmtId="49" fontId="12" fillId="0" borderId="1" applyAlignment="1" pivotButton="0" quotePrefix="0" xfId="0">
      <alignment horizontal="center"/>
    </xf>
    <xf numFmtId="0" fontId="12" fillId="0" borderId="1" applyAlignment="1" applyProtection="1" pivotButton="0" quotePrefix="0" xfId="0">
      <alignment horizontal="left" indent="1"/>
      <protection locked="0" hidden="0"/>
    </xf>
    <xf numFmtId="0" fontId="14" fillId="0" borderId="1" applyAlignment="1" pivotButton="0" quotePrefix="0" xfId="0">
      <alignment horizontal="left" indent="1"/>
    </xf>
    <xf numFmtId="0" fontId="1" fillId="0" borderId="1" applyAlignment="1" applyProtection="1" pivotButton="0" quotePrefix="1" xfId="0">
      <alignment horizontal="left" indent="1"/>
      <protection locked="0" hidden="0"/>
    </xf>
    <xf numFmtId="0" fontId="12" fillId="0" borderId="1" applyAlignment="1" applyProtection="1" pivotButton="0" quotePrefix="0" xfId="0">
      <alignment horizontal="center"/>
      <protection locked="0" hidden="0"/>
    </xf>
    <xf numFmtId="0" fontId="1" fillId="0" borderId="1" applyAlignment="1" applyProtection="1" pivotButton="0" quotePrefix="0" xfId="0">
      <alignment horizontal="left" wrapText="1" indent="1"/>
      <protection locked="0" hidden="0"/>
    </xf>
    <xf numFmtId="14" fontId="1" fillId="0" borderId="1" applyAlignment="1" applyProtection="1" pivotButton="0" quotePrefix="1" xfId="0">
      <alignment horizontal="left" indent="1"/>
      <protection locked="0" hidden="0"/>
    </xf>
    <xf numFmtId="0" fontId="1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1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left" indent="1"/>
    </xf>
    <xf numFmtId="0" fontId="1" fillId="0" borderId="1" applyAlignment="1" applyProtection="1" pivotButton="0" quotePrefix="0" xfId="0">
      <alignment horizontal="left" indent="2"/>
      <protection locked="0" hidden="0"/>
    </xf>
    <xf numFmtId="0" fontId="0" fillId="0" borderId="1" applyAlignment="1" applyProtection="1" pivotButton="0" quotePrefix="0" xfId="0">
      <alignment horizontal="left" indent="1"/>
      <protection locked="0" hidden="0"/>
    </xf>
    <xf numFmtId="0" fontId="11" fillId="0" borderId="1" applyAlignment="1" applyProtection="1" pivotButton="0" quotePrefix="0" xfId="0">
      <alignment horizontal="left" indent="1"/>
      <protection locked="0" hidden="0"/>
    </xf>
    <xf numFmtId="0" fontId="1" fillId="0" borderId="1" applyAlignment="1" applyProtection="1" pivotButton="0" quotePrefix="0" xfId="0">
      <alignment horizontal="left" wrapText="1" indent="2"/>
      <protection locked="0" hidden="0"/>
    </xf>
    <xf numFmtId="0" fontId="13" fillId="0" borderId="1" applyAlignment="1" applyProtection="1" pivotButton="0" quotePrefix="0" xfId="0">
      <alignment horizontal="left" indent="2"/>
      <protection locked="0" hidden="0"/>
    </xf>
    <xf numFmtId="0" fontId="0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left" indent="1"/>
      <protection locked="0" hidden="0"/>
    </xf>
    <xf numFmtId="49" fontId="12" fillId="0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/>
    </xf>
    <xf numFmtId="0" fontId="3" fillId="0" borderId="1" applyAlignment="1" applyProtection="1" pivotButton="0" quotePrefix="0" xfId="0">
      <alignment horizontal="center"/>
      <protection locked="0" hidden="0"/>
    </xf>
    <xf numFmtId="0" fontId="0" fillId="0" borderId="1" applyAlignment="1" pivotButton="0" quotePrefix="0" xfId="0">
      <alignment horizontal="left" wrapText="1" indent="1"/>
    </xf>
    <xf numFmtId="0" fontId="7" fillId="0" borderId="1" applyAlignment="1" pivotButton="0" quotePrefix="0" xfId="0">
      <alignment horizont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0" applyAlignment="1" applyProtection="1" pivotButton="0" quotePrefix="0" xfId="0">
      <alignment horizontal="left" indent="1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left" indent="1"/>
      <protection locked="0" hidden="0"/>
    </xf>
    <xf numFmtId="0" fontId="1" fillId="0" borderId="7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0" borderId="25" applyAlignment="1" pivotButton="0" quotePrefix="1" xfId="0">
      <alignment horizontal="center" vertical="center"/>
    </xf>
    <xf numFmtId="0" fontId="0" fillId="0" borderId="23" applyAlignment="1" pivotButton="0" quotePrefix="1" xfId="0">
      <alignment horizontal="center" vertical="center"/>
    </xf>
    <xf numFmtId="0" fontId="8" fillId="0" borderId="1" applyAlignment="1" pivotButton="0" quotePrefix="0" xfId="0">
      <alignment horizontal="center" vertical="center" textRotation="90" wrapText="1"/>
    </xf>
    <xf numFmtId="0" fontId="8" fillId="0" borderId="1" applyAlignment="1" pivotButton="0" quotePrefix="0" xfId="0">
      <alignment horizontal="center" vertical="center" textRotation="90"/>
    </xf>
    <xf numFmtId="0" fontId="1" fillId="0" borderId="0" applyAlignment="1" applyProtection="1" pivotButton="0" quotePrefix="0" xfId="0">
      <alignment horizontal="left" indent="3"/>
      <protection locked="0" hidden="0"/>
    </xf>
    <xf numFmtId="0" fontId="9" fillId="0" borderId="25" applyAlignment="1" pivotButton="0" quotePrefix="0" xfId="0">
      <alignment horizontal="right" indent="1"/>
    </xf>
    <xf numFmtId="0" fontId="6" fillId="0" borderId="23" applyAlignment="1" pivotButton="0" quotePrefix="0" xfId="0">
      <alignment horizontal="right" indent="1"/>
    </xf>
    <xf numFmtId="0" fontId="9" fillId="0" borderId="0" applyAlignment="1" applyProtection="1" pivotButton="0" quotePrefix="0" xfId="0">
      <alignment horizontal="left" indent="2"/>
      <protection locked="0" hidden="0"/>
    </xf>
    <xf numFmtId="164" fontId="1" fillId="0" borderId="1" applyAlignment="1" pivotButton="0" quotePrefix="0" xfId="0">
      <alignment horizontal="center"/>
    </xf>
    <xf numFmtId="0" fontId="1" fillId="0" borderId="7" pivotButton="0" quotePrefix="0" xfId="0"/>
    <xf numFmtId="0" fontId="1" fillId="0" borderId="25" pivotButton="0" quotePrefix="0" xfId="0"/>
    <xf numFmtId="0" fontId="1" fillId="0" borderId="0" applyAlignment="1" pivotButton="0" quotePrefix="0" xfId="0">
      <alignment horizontal="center"/>
    </xf>
    <xf numFmtId="49" fontId="9" fillId="0" borderId="25" applyAlignment="1" pivotButton="0" quotePrefix="0" xfId="0">
      <alignment horizontal="left" indent="1"/>
    </xf>
    <xf numFmtId="49" fontId="0" fillId="0" borderId="25" applyAlignment="1" pivotButton="0" quotePrefix="0" xfId="0">
      <alignment horizontal="center"/>
    </xf>
    <xf numFmtId="49" fontId="6" fillId="0" borderId="25" applyAlignment="1" pivotButton="0" quotePrefix="0" xfId="0">
      <alignment horizontal="left" indent="1"/>
    </xf>
    <xf numFmtId="0" fontId="1" fillId="0" borderId="23" applyAlignment="1" pivotButton="0" quotePrefix="0" xfId="0">
      <alignment horizontal="center"/>
    </xf>
    <xf numFmtId="49" fontId="9" fillId="0" borderId="25" applyAlignment="1" pivotButton="0" quotePrefix="0" xfId="0">
      <alignment horizontal="right" indent="1"/>
    </xf>
    <xf numFmtId="49" fontId="6" fillId="0" borderId="23" applyAlignment="1" pivotButton="0" quotePrefix="0" xfId="0">
      <alignment horizontal="right" indent="1"/>
    </xf>
    <xf numFmtId="0" fontId="1" fillId="0" borderId="12" applyAlignment="1" pivotButton="0" quotePrefix="0" xfId="0">
      <alignment horizontal="center"/>
    </xf>
    <xf numFmtId="0" fontId="1" fillId="0" borderId="7" applyAlignment="1" pivotButton="0" quotePrefix="0" xfId="0">
      <alignment horizontal="right"/>
    </xf>
    <xf numFmtId="0" fontId="0" fillId="0" borderId="7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49" fontId="0" fillId="0" borderId="0" applyAlignment="1" applyProtection="1" pivotButton="0" quotePrefix="0" xfId="0">
      <alignment horizontal="center"/>
      <protection locked="0" hidden="0"/>
    </xf>
    <xf numFmtId="0" fontId="8" fillId="0" borderId="17" applyAlignment="1" applyProtection="1" pivotButton="0" quotePrefix="0" xfId="0">
      <alignment horizontal="center" vertical="center" wrapText="1"/>
      <protection locked="0" hidden="0"/>
    </xf>
    <xf numFmtId="0" fontId="2" fillId="0" borderId="12" applyAlignment="1" applyProtection="1" pivotButton="0" quotePrefix="0" xfId="0">
      <alignment horizontal="center" vertical="center" wrapText="1"/>
      <protection locked="0" hidden="0"/>
    </xf>
    <xf numFmtId="0" fontId="8" fillId="0" borderId="12" applyAlignment="1" applyProtection="1" pivotButton="0" quotePrefix="0" xfId="0">
      <alignment horizontal="center" vertical="center" wrapText="1"/>
      <protection locked="0" hidden="0"/>
    </xf>
    <xf numFmtId="0" fontId="8" fillId="0" borderId="12" applyAlignment="1" applyProtection="1" pivotButton="0" quotePrefix="0" xfId="0">
      <alignment horizontal="center" vertical="center" textRotation="90" wrapText="1"/>
      <protection locked="0" hidden="0"/>
    </xf>
    <xf numFmtId="49" fontId="2" fillId="0" borderId="12" applyAlignment="1" applyProtection="1" pivotButton="0" quotePrefix="0" xfId="0">
      <alignment horizontal="center" vertical="center" wrapText="1"/>
      <protection locked="0" hidden="0"/>
    </xf>
    <xf numFmtId="0" fontId="8" fillId="0" borderId="12" applyAlignment="1" applyProtection="1" pivotButton="0" quotePrefix="0" xfId="0">
      <alignment horizontal="center" vertical="center" textRotation="90"/>
      <protection locked="0" hidden="0"/>
    </xf>
    <xf numFmtId="0" fontId="2" fillId="0" borderId="23" applyAlignment="1" applyProtection="1" pivotButton="0" quotePrefix="0" xfId="0">
      <alignment horizontal="center" vertical="center" wrapText="1"/>
      <protection locked="0" hidden="0"/>
    </xf>
    <xf numFmtId="0" fontId="1" fillId="0" borderId="23" applyAlignment="1" applyProtection="1" pivotButton="0" quotePrefix="0" xfId="0">
      <alignment horizontal="center"/>
      <protection locked="0" hidden="0"/>
    </xf>
    <xf numFmtId="0" fontId="1" fillId="0" borderId="44" applyAlignment="1" applyProtection="1" pivotButton="0" quotePrefix="0" xfId="0">
      <alignment horizontal="center"/>
      <protection locked="0" hidden="0"/>
    </xf>
    <xf numFmtId="0" fontId="0" fillId="0" borderId="9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0" fillId="0" borderId="9" applyAlignment="1" pivotButton="0" quotePrefix="0" xfId="0">
      <alignment horizontal="left" indent="1"/>
    </xf>
    <xf numFmtId="49" fontId="1" fillId="0" borderId="9" applyAlignment="1" pivotButton="0" quotePrefix="0" xfId="0">
      <alignment horizontal="center"/>
    </xf>
    <xf numFmtId="49" fontId="0" fillId="0" borderId="9" applyAlignment="1" pivotButton="0" quotePrefix="0" xfId="0">
      <alignment horizontal="center"/>
    </xf>
    <xf numFmtId="0" fontId="0" fillId="0" borderId="9" applyAlignment="1" applyProtection="1" pivotButton="0" quotePrefix="0" xfId="0">
      <alignment horizontal="center"/>
      <protection locked="0" hidden="0"/>
    </xf>
    <xf numFmtId="0" fontId="1" fillId="0" borderId="9" applyAlignment="1" applyProtection="1" pivotButton="0" quotePrefix="0" xfId="0">
      <alignment horizontal="center"/>
      <protection locked="0" hidden="0"/>
    </xf>
    <xf numFmtId="0" fontId="1" fillId="0" borderId="9" applyAlignment="1" applyProtection="1" pivotButton="0" quotePrefix="0" xfId="0">
      <alignment horizontal="left" indent="1"/>
      <protection locked="0" hidden="0"/>
    </xf>
    <xf numFmtId="49" fontId="8" fillId="0" borderId="12" applyAlignment="1" applyProtection="1" pivotButton="0" quotePrefix="0" xfId="0">
      <alignment horizontal="center" vertical="center" wrapText="1"/>
      <protection locked="0" hidden="0"/>
    </xf>
    <xf numFmtId="0" fontId="2" fillId="0" borderId="12" applyAlignment="1" applyProtection="1" pivotButton="0" quotePrefix="0" xfId="0">
      <alignment horizontal="center" vertical="center" textRotation="90" wrapText="1"/>
      <protection locked="0" hidden="0"/>
    </xf>
    <xf numFmtId="0" fontId="2" fillId="0" borderId="1" applyAlignment="1" applyProtection="1" pivotButton="0" quotePrefix="0" xfId="0">
      <alignment horizontal="center" vertical="center" textRotation="90" wrapText="1"/>
      <protection locked="0" hidden="0"/>
    </xf>
    <xf numFmtId="0" fontId="0" fillId="0" borderId="25" applyAlignment="1" pivotButton="0" quotePrefix="1" xfId="0">
      <alignment horizontal="center" vertical="center"/>
    </xf>
    <xf numFmtId="0" fontId="6" fillId="0" borderId="25" applyAlignment="1" pivotButton="0" quotePrefix="0" xfId="0">
      <alignment horizontal="right" indent="1"/>
    </xf>
    <xf numFmtId="49" fontId="6" fillId="0" borderId="25" applyAlignment="1" pivotButton="0" quotePrefix="0" xfId="0">
      <alignment horizontal="right" indent="1"/>
    </xf>
    <xf numFmtId="0" fontId="0" fillId="0" borderId="7" applyAlignment="1" pivotButton="0" quotePrefix="0" xfId="0">
      <alignment horizontal="right"/>
    </xf>
    <xf numFmtId="0" fontId="1" fillId="0" borderId="0" applyAlignment="1" applyProtection="1" pivotButton="0" quotePrefix="0" xfId="0">
      <alignment horizontal="left" indent="2"/>
      <protection locked="0" hidden="0"/>
    </xf>
    <xf numFmtId="0" fontId="0" fillId="0" borderId="1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 textRotation="90" wrapText="1"/>
    </xf>
    <xf numFmtId="0" fontId="0" fillId="0" borderId="36" applyAlignment="1" pivotButton="0" quotePrefix="0" xfId="0">
      <alignment horizontal="center" vertical="center" textRotation="90"/>
    </xf>
    <xf numFmtId="0" fontId="10" fillId="0" borderId="35" applyAlignment="1" pivotButton="0" quotePrefix="0" xfId="0">
      <alignment horizontal="center" vertical="center" textRotation="90"/>
    </xf>
    <xf numFmtId="0" fontId="0" fillId="0" borderId="7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2" fontId="1" fillId="0" borderId="7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 vertical="center"/>
    </xf>
    <xf numFmtId="165" fontId="1" fillId="0" borderId="9" applyAlignment="1" pivotButton="0" quotePrefix="0" xfId="0">
      <alignment horizontal="center" vertical="center"/>
    </xf>
    <xf numFmtId="165" fontId="0" fillId="0" borderId="12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37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" fillId="2" borderId="48" applyAlignment="1" pivotButton="0" quotePrefix="0" xfId="0">
      <alignment horizontal="center" vertical="center" wrapText="1"/>
    </xf>
    <xf numFmtId="0" fontId="1" fillId="0" borderId="48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indent="1"/>
    </xf>
    <xf numFmtId="0" fontId="1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left" indent="1"/>
    </xf>
    <xf numFmtId="0" fontId="0" fillId="0" borderId="6" applyAlignment="1" pivotButton="0" quotePrefix="0" xfId="0">
      <alignment horizontal="left" indent="1"/>
    </xf>
    <xf numFmtId="1" fontId="0" fillId="0" borderId="49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" fontId="0" fillId="0" borderId="47" applyAlignment="1" pivotButton="0" quotePrefix="0" xfId="0">
      <alignment horizontal="center" vertical="center"/>
    </xf>
    <xf numFmtId="1" fontId="0" fillId="0" borderId="25" applyAlignment="1" pivotButton="0" quotePrefix="0" xfId="0">
      <alignment horizontal="center" vertical="center"/>
    </xf>
    <xf numFmtId="1" fontId="0" fillId="0" borderId="50" applyAlignment="1" pivotButton="0" quotePrefix="0" xfId="0">
      <alignment horizontal="center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left" indent="1"/>
    </xf>
    <xf numFmtId="0" fontId="0" fillId="0" borderId="51" applyAlignment="1" pivotButton="0" quotePrefix="0" xfId="0">
      <alignment horizontal="left" vertical="center" indent="1"/>
    </xf>
    <xf numFmtId="0" fontId="1" fillId="4" borderId="23" applyAlignment="1" applyProtection="1" pivotButton="0" quotePrefix="0" xfId="0">
      <alignment horizontal="center"/>
      <protection locked="0" hidden="0"/>
    </xf>
    <xf numFmtId="0" fontId="12" fillId="0" borderId="0" applyAlignment="1" applyProtection="1" pivotButton="0" quotePrefix="0" xfId="0">
      <alignment horizontal="center"/>
      <protection locked="0" hidden="0"/>
    </xf>
    <xf numFmtId="0" fontId="12" fillId="0" borderId="0" applyAlignment="1" applyProtection="1" pivotButton="0" quotePrefix="0" xfId="0">
      <alignment horizontal="left" indent="1"/>
      <protection locked="0" hidden="0"/>
    </xf>
    <xf numFmtId="0" fontId="0" fillId="4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0" fontId="8" fillId="4" borderId="1" applyAlignment="1" applyProtection="1" pivotButton="0" quotePrefix="0" xfId="0">
      <alignment horizontal="center" vertical="center" wrapText="1"/>
      <protection locked="0" hidden="0"/>
    </xf>
    <xf numFmtId="0" fontId="1" fillId="4" borderId="9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/>
      <protection locked="0" hidden="0"/>
    </xf>
    <xf numFmtId="0" fontId="1" fillId="4" borderId="11" applyAlignment="1" applyProtection="1" pivotButton="0" quotePrefix="0" xfId="0">
      <alignment horizontal="center"/>
      <protection locked="0" hidden="0"/>
    </xf>
    <xf numFmtId="0" fontId="1" fillId="4" borderId="2" applyAlignment="1" applyProtection="1" pivotButton="0" quotePrefix="0" xfId="0">
      <alignment horizontal="center"/>
      <protection locked="0" hidden="0"/>
    </xf>
    <xf numFmtId="0" fontId="1" fillId="4" borderId="4" applyAlignment="1" applyProtection="1" pivotButton="0" quotePrefix="0" xfId="0">
      <alignment horizontal="center"/>
      <protection locked="0" hidden="0"/>
    </xf>
    <xf numFmtId="0" fontId="8" fillId="4" borderId="31" applyAlignment="1" applyProtection="1" pivotButton="0" quotePrefix="0" xfId="0">
      <alignment horizontal="center"/>
      <protection locked="0" hidden="0"/>
    </xf>
    <xf numFmtId="0" fontId="1" fillId="4" borderId="0" applyProtection="1" pivotButton="0" quotePrefix="0" xfId="0">
      <protection locked="0" hidden="0"/>
    </xf>
    <xf numFmtId="0" fontId="8" fillId="5" borderId="12" applyAlignment="1" applyProtection="1" pivotButton="0" quotePrefix="0" xfId="0">
      <alignment horizontal="center" vertical="center" wrapText="1"/>
      <protection locked="0" hidden="0"/>
    </xf>
    <xf numFmtId="0" fontId="1" fillId="6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15" fillId="6" borderId="1" applyAlignment="1" pivotButton="0" quotePrefix="0" xfId="0">
      <alignment horizontal="center"/>
    </xf>
    <xf numFmtId="49" fontId="12" fillId="4" borderId="1" applyAlignment="1" pivotButton="0" quotePrefix="0" xfId="0">
      <alignment horizontal="center"/>
    </xf>
    <xf numFmtId="0" fontId="0" fillId="4" borderId="1" pivotButton="0" quotePrefix="0" xfId="0"/>
    <xf numFmtId="0" fontId="2" fillId="4" borderId="1" applyAlignment="1" applyProtection="1" pivotButton="0" quotePrefix="0" xfId="0">
      <alignment horizontal="center" vertical="center" wrapText="1"/>
      <protection locked="0" hidden="0"/>
    </xf>
    <xf numFmtId="49" fontId="0" fillId="4" borderId="1" applyAlignment="1" pivotButton="0" quotePrefix="0" xfId="0">
      <alignment horizontal="center"/>
    </xf>
    <xf numFmtId="0" fontId="0" fillId="4" borderId="9" applyAlignment="1" pivotButton="0" quotePrefix="0" xfId="0">
      <alignment horizontal="center"/>
    </xf>
    <xf numFmtId="0" fontId="0" fillId="4" borderId="0" applyAlignment="1" applyProtection="1" pivotButton="0" quotePrefix="0" xfId="0">
      <alignment horizontal="center"/>
      <protection locked="0" hidden="0"/>
    </xf>
    <xf numFmtId="0" fontId="0" fillId="4" borderId="13" applyAlignment="1" pivotButton="0" quotePrefix="0" xfId="0">
      <alignment horizontal="center"/>
    </xf>
    <xf numFmtId="0" fontId="0" fillId="4" borderId="3" applyAlignment="1" pivotButton="0" quotePrefix="0" xfId="0">
      <alignment horizontal="center"/>
    </xf>
    <xf numFmtId="0" fontId="0" fillId="4" borderId="6" applyAlignment="1" applyProtection="1" pivotButton="0" quotePrefix="0" xfId="0">
      <alignment horizontal="center"/>
      <protection locked="0" hidden="0"/>
    </xf>
    <xf numFmtId="0" fontId="0" fillId="4" borderId="32" applyAlignment="1" pivotButton="0" quotePrefix="0" xfId="0">
      <alignment horizontal="center"/>
    </xf>
    <xf numFmtId="0" fontId="0" fillId="4" borderId="0" applyProtection="1" pivotButton="0" quotePrefix="0" xfId="0">
      <protection locked="0" hidden="0"/>
    </xf>
    <xf numFmtId="0" fontId="16" fillId="4" borderId="14" applyAlignment="1" applyProtection="1" pivotButton="0" quotePrefix="0" xfId="0">
      <alignment horizontal="center" vertical="center"/>
      <protection locked="0" hidden="0"/>
    </xf>
    <xf numFmtId="0" fontId="0" fillId="0" borderId="52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17" fillId="3" borderId="1" applyAlignment="1" pivotButton="0" quotePrefix="0" xfId="0">
      <alignment horizontal="center" vertical="center" wrapText="1" shrinkToFit="1"/>
    </xf>
    <xf numFmtId="0" fontId="0" fillId="0" borderId="12" pivotButton="0" quotePrefix="0" xfId="0"/>
    <xf numFmtId="0" fontId="0" fillId="0" borderId="55" pivotButton="0" quotePrefix="0" xfId="0"/>
    <xf numFmtId="0" fontId="17" fillId="3" borderId="39" applyAlignment="1" pivotButton="0" quotePrefix="0" xfId="0">
      <alignment horizontal="center" vertical="center" wrapText="1" shrinkToFit="1"/>
    </xf>
    <xf numFmtId="0" fontId="17" fillId="3" borderId="41" applyAlignment="1" pivotButton="0" quotePrefix="0" xfId="0">
      <alignment horizontal="center" vertical="center" wrapText="1" shrinkToFit="1"/>
    </xf>
    <xf numFmtId="0" fontId="0" fillId="0" borderId="58" pivotButton="0" quotePrefix="0" xfId="0"/>
    <xf numFmtId="0" fontId="0" fillId="0" borderId="59" pivotButton="0" quotePrefix="0" xfId="0"/>
    <xf numFmtId="0" fontId="17" fillId="3" borderId="40" applyAlignment="1" pivotButton="0" quotePrefix="0" xfId="0">
      <alignment horizontal="center" vertical="center" wrapText="1" shrinkToFit="1"/>
    </xf>
    <xf numFmtId="0" fontId="0" fillId="0" borderId="57" pivotButton="0" quotePrefix="0" xfId="0"/>
    <xf numFmtId="0" fontId="17" fillId="3" borderId="42" applyAlignment="1" pivotButton="0" quotePrefix="0" xfId="0">
      <alignment horizontal="center" vertical="center" wrapText="1" shrinkToFit="1"/>
    </xf>
    <xf numFmtId="0" fontId="0" fillId="0" borderId="56" pivotButton="0" quotePrefix="0" xfId="0"/>
    <xf numFmtId="0" fontId="17" fillId="3" borderId="38" applyAlignment="1" pivotButton="0" quotePrefix="0" xfId="0">
      <alignment horizontal="center" vertical="center" wrapText="1" shrinkToFit="1"/>
    </xf>
    <xf numFmtId="0" fontId="17" fillId="3" borderId="45" applyAlignment="1" pivotButton="0" quotePrefix="0" xfId="0">
      <alignment horizontal="center" vertical="center" wrapText="1" shrinkToFit="1"/>
    </xf>
    <xf numFmtId="0" fontId="0" fillId="0" borderId="53" pivotButton="0" quotePrefix="0" xfId="0"/>
    <xf numFmtId="0" fontId="0" fillId="0" borderId="54" pivotButton="0" quotePrefix="0" xfId="0"/>
    <xf numFmtId="0" fontId="18" fillId="7" borderId="0" applyAlignment="1" pivotButton="0" quotePrefix="0" xfId="0">
      <alignment horizontal="center"/>
    </xf>
    <xf numFmtId="10" fontId="0" fillId="0" borderId="0" pivotButton="0" quotePrefix="0" xfId="0"/>
    <xf numFmtId="0" fontId="0" fillId="8" borderId="0" pivotButton="0" quotePrefix="0" xfId="0"/>
    <xf numFmtId="0" fontId="0" fillId="9" borderId="0" pivotButton="0" quotePrefix="0" xfId="0"/>
    <xf numFmtId="2" fontId="0" fillId="9" borderId="0" pivotButton="0" quotePrefix="0" xfId="0"/>
    <xf numFmtId="2" fontId="0" fillId="8" borderId="0" pivotButton="0" quotePrefix="0" xfId="0"/>
    <xf numFmtId="0" fontId="0" fillId="8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2" fontId="0" fillId="0" borderId="0" pivotButton="0" quotePrefix="0" xfId="0"/>
    <xf numFmtId="0" fontId="12" fillId="9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5" fillId="9" borderId="1" applyAlignment="1" pivotButton="0" quotePrefix="0" xfId="0">
      <alignment horizontal="center"/>
    </xf>
    <xf numFmtId="0" fontId="16" fillId="8" borderId="14" applyAlignment="1" applyProtection="1" pivotButton="0" quotePrefix="0" xfId="0">
      <alignment horizontal="center" vertical="center"/>
      <protection locked="0" hidden="0"/>
    </xf>
    <xf numFmtId="0" fontId="1" fillId="8" borderId="11" applyAlignment="1" applyProtection="1" pivotButton="0" quotePrefix="0" xfId="0">
      <alignment horizontal="center"/>
      <protection locked="0" hidden="0"/>
    </xf>
    <xf numFmtId="0" fontId="1" fillId="8" borderId="2" applyAlignment="1" applyProtection="1" pivotButton="0" quotePrefix="0" xfId="0">
      <alignment horizontal="center"/>
      <protection locked="0" hidden="0"/>
    </xf>
    <xf numFmtId="0" fontId="8" fillId="8" borderId="31" applyAlignment="1" applyProtection="1" pivotButton="0" quotePrefix="0" xfId="0">
      <alignment horizontal="center"/>
      <protection locked="0" hidden="0"/>
    </xf>
  </cellXfs>
  <cellStyles count="2">
    <cellStyle name="Normal" xfId="0" builtinId="0"/>
    <cellStyle name="Normal 3" xfId="1"/>
  </cellStyles>
  <dxfs count="111"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alignment horizontal="center" vertical="bottom"/>
    </dxf>
    <dxf>
      <border outline="0">
        <bottom style="thin">
          <color theme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 textRotation="9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numFmt numFmtId="165" formatCode="0.0"/>
      <fill>
        <patternFill>
          <fgColor indexed="64"/>
          <bgColor indexed="6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center" relativeInden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</dxf>
    <dxf>
      <border>
        <bottom style="thin">
          <color rgb="FF000000"/>
        </bottom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bottom" inden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numFmt numFmtId="30" formatCode="@"/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bottom" inden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protection locked="0" hidden="0"/>
    </dxf>
    <dxf>
      <border outline="0">
        <bottom style="thin">
          <color indexed="64"/>
        </bottom>
      </border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bottom" inden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30" formatCode="@"/>
      <fill>
        <patternFill>
          <fgColor indexed="64"/>
          <bgColor indexed="65"/>
        </patternFill>
      </fill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bottom" inden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bottom"/>
      <protection locked="0" hidden="0"/>
    </dxf>
    <dxf>
      <border outline="0"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indexed="6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RL5 PROGRESS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'RL7'!$O$1631</f>
              <strCache>
                <ptCount val="1"/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'RL7'!$P$1628:$Y$1628</f>
              <strCache>
                <ptCount val="10"/>
                <pt idx="0">
                  <v>DEVICE
INSTALLED</v>
                </pt>
                <pt idx="1">
                  <v>DEVICE
TAGGED</v>
                </pt>
                <pt idx="2">
                  <v>CA
INSTALLED</v>
                </pt>
                <pt idx="3">
                  <v>RACEWAYS
COMPLETE</v>
                </pt>
                <pt idx="4">
                  <v>WIRE
PULLED</v>
                </pt>
                <pt idx="5">
                  <v>WIRE
TERMED</v>
                </pt>
                <pt idx="6">
                  <v>WIRE
TAGGED</v>
                </pt>
                <pt idx="7">
                  <v>POINT
TO POINT</v>
                </pt>
                <pt idx="8">
                  <v>IO CHECK</v>
                </pt>
                <pt idx="9">
                  <v>IO GOOD</v>
                </pt>
              </strCache>
            </strRef>
          </cat>
          <val>
            <numRef>
              <f>'RL7'!$P$1631:$Y$1631</f>
              <numCache>
                <formatCode>0.0%</formatCode>
                <ptCount val="1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ser>
          <idx val="1"/>
          <order val="1"/>
          <tx>
            <strRef>
              <f>'RL7'!$O$1632</f>
              <strCache>
                <ptCount val="1"/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'RL7'!$P$1628:$Y$1628</f>
              <strCache>
                <ptCount val="10"/>
                <pt idx="0">
                  <v>DEVICE
INSTALLED</v>
                </pt>
                <pt idx="1">
                  <v>DEVICE
TAGGED</v>
                </pt>
                <pt idx="2">
                  <v>CA
INSTALLED</v>
                </pt>
                <pt idx="3">
                  <v>RACEWAYS
COMPLETE</v>
                </pt>
                <pt idx="4">
                  <v>WIRE
PULLED</v>
                </pt>
                <pt idx="5">
                  <v>WIRE
TERMED</v>
                </pt>
                <pt idx="6">
                  <v>WIRE
TAGGED</v>
                </pt>
                <pt idx="7">
                  <v>POINT
TO POINT</v>
                </pt>
                <pt idx="8">
                  <v>IO CHECK</v>
                </pt>
                <pt idx="9">
                  <v>IO GOOD</v>
                </pt>
              </strCache>
            </strRef>
          </cat>
          <val>
            <numRef>
              <f>'RL7'!$P$1632:$Y$1632</f>
              <numCache>
                <formatCode>0.0%</formatCode>
                <ptCount val="10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982485727"/>
        <axId val="74129503"/>
      </barChart>
      <catAx>
        <axId val="9824857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4129503"/>
        <crosses val="autoZero"/>
        <auto val="1"/>
        <lblAlgn val="ctr"/>
        <lblOffset val="100"/>
        <noMultiLvlLbl val="0"/>
      </catAx>
      <valAx>
        <axId val="74129503"/>
        <scaling>
          <orientation val="minMax"/>
          <max val="1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0.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98248572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19049</colOff>
      <row>0</row>
      <rowOff>19049</rowOff>
    </from>
    <to>
      <col>10</col>
      <colOff>581024</colOff>
      <row>35</row>
      <rowOff>161924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5" displayName="Table5" ref="A1:Z1623" headerRowCount="1" totalsRowShown="0" headerRowDxfId="110" dataDxfId="108" headerRowBorderDxfId="109" tableBorderDxfId="107">
  <autoFilter ref="A1:Z1623"/>
  <sortState ref="A2:Z1623">
    <sortCondition ref="G1:G1623"/>
  </sortState>
  <tableColumns count="26">
    <tableColumn id="1" name="NO" dataDxfId="106"/>
    <tableColumn id="2" name="PHASE 2 TAG" dataDxfId="105"/>
    <tableColumn id="3" name="PHASE 2A TAG" dataDxfId="0"/>
    <tableColumn id="4" name="OEM TAG" dataDxfId="104"/>
    <tableColumn id="5" name="JB" dataDxfId="103"/>
    <tableColumn id="6" name="DESCRIPTION" dataDxfId="102"/>
    <tableColumn id="7" name="P&amp;ID" dataDxfId="101"/>
    <tableColumn id="8" name="ROOM" dataDxfId="100"/>
    <tableColumn id="9" name="PANEL" dataDxfId="99"/>
    <tableColumn id="10" name="ORDER" dataDxfId="98"/>
    <tableColumn id="11" name="SLOT" dataDxfId="97"/>
    <tableColumn id="12" name="CH" dataDxfId="96"/>
    <tableColumn id="13" name="MODULE _x000a_TYPE" dataDxfId="95"/>
    <tableColumn id="14" name="MODULE _x000a_P/N" dataDxfId="94"/>
    <tableColumn id="15" name="RANGE" dataDxfId="93"/>
    <tableColumn id="16" name="DEVICE_x000a_INSTALLED" dataDxfId="92"/>
    <tableColumn id="17" name="DEVICE_x000a_TAGGED" dataDxfId="91"/>
    <tableColumn id="18" name="CA_x000a_INSTALLED" dataDxfId="90"/>
    <tableColumn id="19" name="RACEWAYS_x000a_COMPLETE" dataDxfId="89"/>
    <tableColumn id="20" name="WIRE_x000a_PULLED" dataDxfId="88"/>
    <tableColumn id="21" name="WIRE_x000a_TERMED" dataDxfId="87"/>
    <tableColumn id="22" name="WIRE_x000a_TAGGED" dataDxfId="86"/>
    <tableColumn id="23" name="POINT_x000a_TO POINT" dataDxfId="85"/>
    <tableColumn id="24" name="IO CHECK" dataDxfId="84"/>
    <tableColumn id="25" name="IO GOOD" dataDxfId="83"/>
    <tableColumn id="26" name="NOTES" dataDxfId="8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6" displayName="Table6" ref="A1:Z83" headerRowCount="1" totalsRowShown="0" headerRowDxfId="81" dataDxfId="79" headerRowBorderDxfId="80" tableBorderDxfId="78">
  <autoFilter ref="A1:Z83"/>
  <tableColumns count="26">
    <tableColumn id="1" name="NO" dataDxfId="77"/>
    <tableColumn id="2" name="PHASE 2 TAG" dataDxfId="76"/>
    <tableColumn id="3" name="PHASE 2A TAG" dataDxfId="75"/>
    <tableColumn id="4" name="OEM TAGNAME" dataDxfId="74"/>
    <tableColumn id="5" name="JB" dataDxfId="73"/>
    <tableColumn id="6" name="DESCRIPTION" dataDxfId="72"/>
    <tableColumn id="7" name="P&amp;ID" dataDxfId="71"/>
    <tableColumn id="8" name="ROOM" dataDxfId="70"/>
    <tableColumn id="9" name="PANEL" dataDxfId="69"/>
    <tableColumn id="10" name="ORDER" dataDxfId="68"/>
    <tableColumn id="11" name="SLOT" dataDxfId="67"/>
    <tableColumn id="12" name="CH" dataDxfId="66"/>
    <tableColumn id="13" name="MODULE _x000a_TYPE" dataDxfId="65"/>
    <tableColumn id="14" name="MODULE _x000a_P/N" dataDxfId="64"/>
    <tableColumn id="15" name="RANGE" dataDxfId="63"/>
    <tableColumn id="16" name="DEVICE_x000a_INSTALLED" dataDxfId="62"/>
    <tableColumn id="17" name="DEVICE_x000a_TAGGED" dataDxfId="61"/>
    <tableColumn id="18" name="CA_x000a_INSTALLED" dataDxfId="60"/>
    <tableColumn id="19" name="RACEWAYS_x000a_COMPLETE" dataDxfId="59"/>
    <tableColumn id="20" name="WIRE_x000a_PULLED" dataDxfId="58"/>
    <tableColumn id="21" name="WIRE_x000a_TERMED" dataDxfId="57"/>
    <tableColumn id="22" name="WIRE_x000a_TAGGED" dataDxfId="56"/>
    <tableColumn id="23" name="POINT_x000a_TO POINT" dataDxfId="55"/>
    <tableColumn id="24" name="IO CHECK" dataDxfId="54"/>
    <tableColumn id="25" name="IO GOOD" dataDxfId="53"/>
    <tableColumn id="26" name="NOTES" dataDxfId="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CC_Table" displayName="MCC_Table" ref="A1:AJ412" headerRowCount="1" totalsRowShown="0" headerRowDxfId="51" dataDxfId="49" headerRowBorderDxfId="50" tableBorderDxfId="48" totalsRowBorderDxfId="47">
  <autoFilter ref="A1:AJ412">
    <filterColumn colId="0" hiddenButton="0" showButton="1">
      <filters>
        <filter val="RL7-6MCC01"/>
        <filter val="RL7-6MCC02"/>
        <filter val="RL7-6MCC03"/>
      </filters>
    </filterColumn>
  </autoFilter>
  <tableColumns count="36">
    <tableColumn id="7" name="MCC" dataDxfId="46"/>
    <tableColumn id="6" name="BUCKET" dataDxfId="45"/>
    <tableColumn id="2" name="EQUIP ID" dataDxfId="44"/>
    <tableColumn id="3" name="DESCRIPTION" dataDxfId="43"/>
    <tableColumn id="23" name="BUCKET TYPE" dataDxfId="42"/>
    <tableColumn id="4" name="MOTOR HP" dataDxfId="41"/>
    <tableColumn id="5" name="STARTER_x000a_HP RATING" dataDxfId="40"/>
    <tableColumn id="33" name="VFD AMP RATING" dataDxfId="39"/>
    <tableColumn id="19" name="STARTER SIZE" dataDxfId="38"/>
    <tableColumn id="24" name="SF" dataDxfId="37">
      <calculatedColumnFormula>IF(ISNUMBER(MCC_Table[[#This Row],[SIZE]]), MCC_Table[[#This Row],[SIZE]]/12, 0)</calculatedColumnFormula>
    </tableColumn>
    <tableColumn id="20" name="CB TRIP" dataDxfId="36"/>
    <tableColumn id="14" name="CB FRAME" dataDxfId="35"/>
    <tableColumn id="31" name="FUSE TRIP" dataDxfId="34"/>
    <tableColumn id="32" name="CABLE" dataDxfId="33"/>
    <tableColumn id="13" name="NOTES" dataDxfId="32"/>
    <tableColumn id="21" name="RACEWAYS_x000a_COMPLETE" dataDxfId="31"/>
    <tableColumn id="1" name="FEEDER_x000a_PULLED" dataDxfId="30"/>
    <tableColumn id="8" name="FEEDER_x000a_TERMED" dataDxfId="29"/>
    <tableColumn id="11" name="MOTOR_x000a_BUMPED" dataDxfId="28"/>
    <tableColumn id="22" name="AUX POINT TO POINT" dataDxfId="27"/>
    <tableColumn id="18" name="AUX _x000a_I/O CHECK" dataDxfId="26"/>
    <tableColumn id="15" name="COMMS_x000a_PULLED" dataDxfId="25"/>
    <tableColumn id="16" name="COMMS_x000a_TERMED" dataDxfId="24"/>
    <tableColumn id="17" name="COMMS_x000a_TESTED" dataDxfId="23"/>
    <tableColumn id="9" name="COMMS_x000a_TAGGED" dataDxfId="22"/>
    <tableColumn id="10" name="COMMS CONFIG" dataDxfId="21"/>
    <tableColumn id="12" name="COMMS_x000a_GOOD" dataDxfId="20"/>
    <tableColumn id="35" name="REVIT FAMILY" dataDxfId="19"/>
    <tableColumn id="36" name="FAMILY TYPE" dataDxfId="18"/>
    <tableColumn id="34" name="GRAPHICS" dataDxfId="17"/>
    <tableColumn id="25" name="SECTION" dataDxfId="16">
      <calculatedColumnFormula>_xlfn.NUMBERVALUE(LEFT(MCC_Table[[#This Row],[BUCKET]],LEN(MCC_Table[[#This Row],[BUCKET]])-1))</calculatedColumnFormula>
    </tableColumn>
    <tableColumn id="26" name="START UNIT" dataDxfId="15">
      <calculatedColumnFormula>RIGHT(MCC_Table[[#This Row],[BUCKET]],1)</calculatedColumnFormula>
    </tableColumn>
    <tableColumn id="27" name="START INDEX" dataDxfId="14">
      <calculatedColumnFormula>VLOOKUP(MCC_Table[[#This Row],[START UNIT]],UnitMap[],2,FALSE)</calculatedColumnFormula>
    </tableColumn>
    <tableColumn id="28" name="SIZE" dataDxfId="13">
      <calculatedColumnFormula array="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calculatedColumnFormula>
    </tableColumn>
    <tableColumn id="29" name="UNITS USED" dataDxfId="12">
      <calculatedColumnFormula>IF(ISNUMBER(MCC_Table[[#This Row],[SIZE]]), MCC_Table[[#This Row],[SIZE]]/6, 0)</calculatedColumnFormula>
    </tableColumn>
    <tableColumn id="30" name="END INDEX" dataDxfId="11">
      <calculatedColumnFormula>MCC_Table[[#This Row],[START INDEX]]+MCC_Table[[#This Row],[UNITS USED]]-1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UnitMap" displayName="UnitMap" ref="A1:B13" headerRowCount="1" totalsRowShown="0" headerRowDxfId="8" dataDxfId="7">
  <autoFilter ref="A1:B13"/>
  <tableColumns count="2">
    <tableColumn id="1" name="UnitLetter" dataDxfId="6"/>
    <tableColumn id="2" name="UnitIndex" dataDxfId="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BucketOptions" displayName="BucketOptions" ref="D1:D13" headerRowCount="1" totalsRowShown="0" headerRowDxfId="4" headerRowBorderDxfId="3">
  <autoFilter ref="D1:D13"/>
  <tableColumns count="1">
    <tableColumn id="1" name="RevitFamily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FamilyType" displayName="FamilyType" ref="F1:F30" headerRowCount="1" totalsRowShown="0" headerRowDxfId="2">
  <autoFilter ref="F1:F30"/>
  <tableColumns count="1">
    <tableColumn id="1" name="FamilyType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FamilyGraphics" displayName="FamilyGraphics" ref="H1:H11" headerRowCount="1" totalsRowShown="0" headerRowDxfId="1">
  <autoFilter ref="H1:H11"/>
  <tableColumns count="1">
    <tableColumn id="1" name="FamilyGraphic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Relationship Type="http://schemas.openxmlformats.org/officeDocument/2006/relationships/table" Target="/xl/tables/table7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306" t="inlineStr">
        <is>
          <t>Metric</t>
        </is>
      </c>
      <c r="B1" s="306" t="inlineStr">
        <is>
          <t>Value</t>
        </is>
      </c>
    </row>
    <row r="2">
      <c r="A2" t="inlineStr">
        <is>
          <t>Rows reviewed</t>
        </is>
      </c>
      <c r="B2" t="n">
        <v>840</v>
      </c>
    </row>
    <row r="3">
      <c r="A3" t="inlineStr">
        <is>
          <t>Matched rows</t>
        </is>
      </c>
      <c r="B3" t="n">
        <v>580</v>
      </c>
    </row>
    <row r="4">
      <c r="A4" t="inlineStr">
        <is>
          <t>Match rate</t>
        </is>
      </c>
      <c r="B4" s="307" t="n">
        <v>0.6904761904761905</v>
      </c>
    </row>
    <row r="5">
      <c r="A5" t="inlineStr">
        <is>
          <t>High confidence matches</t>
        </is>
      </c>
      <c r="B5" t="n">
        <v>558</v>
      </c>
    </row>
    <row r="6">
      <c r="A6" t="inlineStr">
        <is>
          <t>Medium confidence matches</t>
        </is>
      </c>
      <c r="B6" t="n">
        <v>22</v>
      </c>
    </row>
    <row r="7">
      <c r="A7" t="inlineStr">
        <is>
          <t>Low confidence matches</t>
        </is>
      </c>
      <c r="B7" t="n">
        <v>0</v>
      </c>
    </row>
    <row r="8">
      <c r="A8" t="inlineStr">
        <is>
          <t>Ambiguous matches (multi-occurrence)</t>
        </is>
      </c>
      <c r="B8" t="n">
        <v>7</v>
      </c>
    </row>
    <row r="9">
      <c r="A9" t="inlineStr">
        <is>
          <t>Rows without mapped PDF page</t>
        </is>
      </c>
      <c r="B9" t="n">
        <v>80</v>
      </c>
    </row>
    <row r="10">
      <c r="A10" t="inlineStr">
        <is>
          <t>Rows not found in PDF</t>
        </is>
      </c>
      <c r="B10" t="n">
        <v>120</v>
      </c>
    </row>
    <row r="11">
      <c r="A11" t="inlineStr">
        <is>
          <t>Rows skipped (unrecognized)</t>
        </is>
      </c>
      <c r="B11" t="n">
        <v>60</v>
      </c>
    </row>
    <row r="12">
      <c r="A12" t="inlineStr">
        <is>
          <t>Rows matched by block fallback</t>
        </is>
      </c>
      <c r="B12" t="n">
        <v>8</v>
      </c>
    </row>
    <row r="13">
      <c r="A13" t="inlineStr">
        <is>
          <t>Rows matched by same-page inference</t>
        </is>
      </c>
      <c r="B13" t="n">
        <v>10</v>
      </c>
    </row>
    <row r="14">
      <c r="A14" t="inlineStr">
        <is>
          <t>Rows searched across all PDF pages</t>
        </is>
      </c>
      <c r="B14" t="n">
        <v>7</v>
      </c>
    </row>
    <row r="15">
      <c r="A15" t="inlineStr">
        <is>
          <t>PDF candidates total</t>
        </is>
      </c>
      <c r="B15" t="n">
        <v>1486</v>
      </c>
    </row>
    <row r="16">
      <c r="A16" t="inlineStr">
        <is>
          <t>PDF High confidence candidates</t>
        </is>
      </c>
      <c r="B16" t="n">
        <v>684</v>
      </c>
    </row>
    <row r="17">
      <c r="A17" t="inlineStr">
        <is>
          <t>PDF Medium confidence candidates</t>
        </is>
      </c>
      <c r="B17" t="n">
        <v>400</v>
      </c>
    </row>
    <row r="18">
      <c r="A18" t="inlineStr">
        <is>
          <t>PDF Low confidence candidates</t>
        </is>
      </c>
      <c r="B18" t="n">
        <v>402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  <col width="34" customWidth="1" min="4" max="4"/>
    <col width="14" customWidth="1" min="5" max="5"/>
    <col width="10" customWidth="1" min="6" max="6"/>
    <col width="14" customWidth="1" min="7" max="7"/>
  </cols>
  <sheetData>
    <row r="1">
      <c r="A1" s="306" t="inlineStr">
        <is>
          <t>Excel Tag</t>
        </is>
      </c>
      <c r="B1" s="306" t="inlineStr">
        <is>
          <t>Excel P&amp;ID</t>
        </is>
      </c>
      <c r="C1" s="306" t="inlineStr">
        <is>
          <t>Status</t>
        </is>
      </c>
      <c r="D1" s="306" t="inlineStr">
        <is>
          <t>Normalized Tag</t>
        </is>
      </c>
      <c r="E1" s="306" t="inlineStr">
        <is>
          <t>Best Confidence</t>
        </is>
      </c>
      <c r="F1" s="306" t="inlineStr">
        <is>
          <t>Rating</t>
        </is>
      </c>
      <c r="G1" s="306" t="inlineStr">
        <is>
          <t>PDF Occurrences</t>
        </is>
      </c>
    </row>
    <row r="2">
      <c r="A2" s="308" t="inlineStr">
        <is>
          <t>RL7-LFT-101-1:I.PT00</t>
        </is>
      </c>
      <c r="B2" s="308" t="inlineStr">
        <is>
          <t>DG6800</t>
        </is>
      </c>
      <c r="C2" s="308" t="inlineStr">
        <is>
          <t>Skipped - unrecognized tag</t>
        </is>
      </c>
      <c r="D2" s="308" t="inlineStr"/>
      <c r="E2" s="308" t="inlineStr"/>
      <c r="F2" s="308" t="inlineStr">
        <is>
          <t>Low</t>
        </is>
      </c>
      <c r="G2" s="308" t="n">
        <v>0</v>
      </c>
    </row>
    <row r="3">
      <c r="A3" s="308" t="inlineStr">
        <is>
          <t>RL7-LFT-101-1:I.PT01</t>
        </is>
      </c>
      <c r="B3" s="308" t="inlineStr">
        <is>
          <t>DG6800</t>
        </is>
      </c>
      <c r="C3" s="308" t="inlineStr">
        <is>
          <t>Skipped - unrecognized tag</t>
        </is>
      </c>
      <c r="D3" s="308" t="inlineStr"/>
      <c r="E3" s="308" t="inlineStr"/>
      <c r="F3" s="308" t="inlineStr">
        <is>
          <t>Low</t>
        </is>
      </c>
      <c r="G3" s="308" t="n">
        <v>0</v>
      </c>
    </row>
    <row r="4">
      <c r="A4" s="308" t="inlineStr">
        <is>
          <t>RL7-LFT-101-1:I.PT02</t>
        </is>
      </c>
      <c r="B4" s="308" t="inlineStr">
        <is>
          <t>DG6800</t>
        </is>
      </c>
      <c r="C4" s="308" t="inlineStr">
        <is>
          <t>Skipped - unrecognized tag</t>
        </is>
      </c>
      <c r="D4" s="308" t="inlineStr"/>
      <c r="E4" s="308" t="inlineStr"/>
      <c r="F4" s="308" t="inlineStr">
        <is>
          <t>Low</t>
        </is>
      </c>
      <c r="G4" s="308" t="n">
        <v>0</v>
      </c>
    </row>
    <row r="5">
      <c r="A5" s="308" t="inlineStr">
        <is>
          <t>RL7-LFT-101-1:I.PT03</t>
        </is>
      </c>
      <c r="B5" s="308" t="inlineStr">
        <is>
          <t>DG6800</t>
        </is>
      </c>
      <c r="C5" s="308" t="inlineStr">
        <is>
          <t>Skipped - unrecognized tag</t>
        </is>
      </c>
      <c r="D5" s="308" t="inlineStr"/>
      <c r="E5" s="308" t="inlineStr"/>
      <c r="F5" s="308" t="inlineStr">
        <is>
          <t>Low</t>
        </is>
      </c>
      <c r="G5" s="308" t="n">
        <v>0</v>
      </c>
    </row>
    <row r="6">
      <c r="A6" s="308" t="inlineStr">
        <is>
          <t>RL7-LFT-101-1:I.PT04</t>
        </is>
      </c>
      <c r="B6" s="308" t="inlineStr">
        <is>
          <t>DG6800</t>
        </is>
      </c>
      <c r="C6" s="308" t="inlineStr">
        <is>
          <t>Skipped - unrecognized tag</t>
        </is>
      </c>
      <c r="D6" s="308" t="inlineStr"/>
      <c r="E6" s="308" t="inlineStr"/>
      <c r="F6" s="308" t="inlineStr">
        <is>
          <t>Low</t>
        </is>
      </c>
      <c r="G6" s="308" t="n">
        <v>0</v>
      </c>
    </row>
    <row r="7">
      <c r="A7" s="308" t="inlineStr">
        <is>
          <t>RL7-LFT-101-1:I.PT05</t>
        </is>
      </c>
      <c r="B7" s="308" t="inlineStr">
        <is>
          <t>DG6800</t>
        </is>
      </c>
      <c r="C7" s="308" t="inlineStr">
        <is>
          <t>Skipped - unrecognized tag</t>
        </is>
      </c>
      <c r="D7" s="308" t="inlineStr"/>
      <c r="E7" s="308" t="inlineStr"/>
      <c r="F7" s="308" t="inlineStr">
        <is>
          <t>Low</t>
        </is>
      </c>
      <c r="G7" s="308" t="n">
        <v>0</v>
      </c>
    </row>
    <row r="8">
      <c r="A8" s="308" t="inlineStr">
        <is>
          <t>RL7-LFT-101-1:I.PT06</t>
        </is>
      </c>
      <c r="B8" s="308" t="inlineStr">
        <is>
          <t>DG6800</t>
        </is>
      </c>
      <c r="C8" s="308" t="inlineStr">
        <is>
          <t>Skipped - unrecognized tag</t>
        </is>
      </c>
      <c r="D8" s="308" t="inlineStr"/>
      <c r="E8" s="308" t="inlineStr"/>
      <c r="F8" s="308" t="inlineStr">
        <is>
          <t>Low</t>
        </is>
      </c>
      <c r="G8" s="308" t="n">
        <v>0</v>
      </c>
    </row>
    <row r="9">
      <c r="A9" s="308" t="inlineStr">
        <is>
          <t>RL7-LFT-101-1:I.PT07</t>
        </is>
      </c>
      <c r="B9" s="308" t="inlineStr">
        <is>
          <t>DG6800</t>
        </is>
      </c>
      <c r="C9" s="308" t="inlineStr">
        <is>
          <t>Skipped - unrecognized tag</t>
        </is>
      </c>
      <c r="D9" s="308" t="inlineStr"/>
      <c r="E9" s="308" t="inlineStr"/>
      <c r="F9" s="308" t="inlineStr">
        <is>
          <t>Low</t>
        </is>
      </c>
      <c r="G9" s="308" t="n">
        <v>0</v>
      </c>
    </row>
    <row r="10">
      <c r="A10" s="308" t="inlineStr">
        <is>
          <t>RL7-LFT-101-1:I.PT08</t>
        </is>
      </c>
      <c r="B10" s="308" t="inlineStr">
        <is>
          <t>DG6800</t>
        </is>
      </c>
      <c r="C10" s="308" t="inlineStr">
        <is>
          <t>Skipped - unrecognized tag</t>
        </is>
      </c>
      <c r="D10" s="308" t="inlineStr"/>
      <c r="E10" s="308" t="inlineStr"/>
      <c r="F10" s="308" t="inlineStr">
        <is>
          <t>Low</t>
        </is>
      </c>
      <c r="G10" s="308" t="n">
        <v>0</v>
      </c>
    </row>
    <row r="11">
      <c r="A11" s="308" t="inlineStr">
        <is>
          <t>RL7-LFT-101-1:I.PT09</t>
        </is>
      </c>
      <c r="B11" s="308" t="inlineStr">
        <is>
          <t>DG6800</t>
        </is>
      </c>
      <c r="C11" s="308" t="inlineStr">
        <is>
          <t>Skipped - unrecognized tag</t>
        </is>
      </c>
      <c r="D11" s="308" t="inlineStr"/>
      <c r="E11" s="308" t="inlineStr"/>
      <c r="F11" s="308" t="inlineStr">
        <is>
          <t>Low</t>
        </is>
      </c>
      <c r="G11" s="308" t="n">
        <v>0</v>
      </c>
    </row>
    <row r="12">
      <c r="A12" s="308" t="inlineStr">
        <is>
          <t>RL7-LFT-101-1:I.PT10</t>
        </is>
      </c>
      <c r="B12" s="308" t="inlineStr">
        <is>
          <t>DG6800</t>
        </is>
      </c>
      <c r="C12" s="308" t="inlineStr">
        <is>
          <t>Skipped - unrecognized tag</t>
        </is>
      </c>
      <c r="D12" s="308" t="inlineStr"/>
      <c r="E12" s="308" t="inlineStr"/>
      <c r="F12" s="308" t="inlineStr">
        <is>
          <t>Low</t>
        </is>
      </c>
      <c r="G12" s="308" t="n">
        <v>0</v>
      </c>
    </row>
    <row r="13">
      <c r="A13" s="308" t="inlineStr">
        <is>
          <t>RL7-LFT-101-1:I.PT11</t>
        </is>
      </c>
      <c r="B13" s="308" t="inlineStr">
        <is>
          <t>DG6800</t>
        </is>
      </c>
      <c r="C13" s="308" t="inlineStr">
        <is>
          <t>Skipped - unrecognized tag</t>
        </is>
      </c>
      <c r="D13" s="308" t="inlineStr"/>
      <c r="E13" s="308" t="inlineStr"/>
      <c r="F13" s="308" t="inlineStr">
        <is>
          <t>Low</t>
        </is>
      </c>
      <c r="G13" s="308" t="n">
        <v>0</v>
      </c>
    </row>
    <row r="14">
      <c r="A14" s="308" t="inlineStr">
        <is>
          <t>RL7-LFT-101-1:I.PT12</t>
        </is>
      </c>
      <c r="B14" s="308" t="inlineStr">
        <is>
          <t>DG6800</t>
        </is>
      </c>
      <c r="C14" s="308" t="inlineStr">
        <is>
          <t>Skipped - unrecognized tag</t>
        </is>
      </c>
      <c r="D14" s="308" t="inlineStr"/>
      <c r="E14" s="308" t="inlineStr"/>
      <c r="F14" s="308" t="inlineStr">
        <is>
          <t>Low</t>
        </is>
      </c>
      <c r="G14" s="308" t="n">
        <v>0</v>
      </c>
    </row>
    <row r="15">
      <c r="A15" s="308" t="inlineStr">
        <is>
          <t>RL7-LFT-101-1:I.PT13</t>
        </is>
      </c>
      <c r="B15" s="308" t="inlineStr">
        <is>
          <t>DG6800</t>
        </is>
      </c>
      <c r="C15" s="308" t="inlineStr">
        <is>
          <t>Skipped - unrecognized tag</t>
        </is>
      </c>
      <c r="D15" s="308" t="inlineStr"/>
      <c r="E15" s="308" t="inlineStr"/>
      <c r="F15" s="308" t="inlineStr">
        <is>
          <t>Low</t>
        </is>
      </c>
      <c r="G15" s="308" t="n">
        <v>0</v>
      </c>
    </row>
    <row r="16">
      <c r="A16" s="308" t="inlineStr">
        <is>
          <t>RL7-LFT-101-1:I.PT14</t>
        </is>
      </c>
      <c r="B16" s="308" t="inlineStr">
        <is>
          <t>DG6800</t>
        </is>
      </c>
      <c r="C16" s="308" t="inlineStr">
        <is>
          <t>Skipped - unrecognized tag</t>
        </is>
      </c>
      <c r="D16" s="308" t="inlineStr"/>
      <c r="E16" s="308" t="inlineStr"/>
      <c r="F16" s="308" t="inlineStr">
        <is>
          <t>Low</t>
        </is>
      </c>
      <c r="G16" s="308" t="n">
        <v>0</v>
      </c>
    </row>
    <row r="17">
      <c r="A17" s="308" t="inlineStr">
        <is>
          <t>RL7-LFT-101-1:I.PT15</t>
        </is>
      </c>
      <c r="B17" s="308" t="inlineStr">
        <is>
          <t>DG6800</t>
        </is>
      </c>
      <c r="C17" s="308" t="inlineStr">
        <is>
          <t>Skipped - unrecognized tag</t>
        </is>
      </c>
      <c r="D17" s="308" t="inlineStr"/>
      <c r="E17" s="308" t="inlineStr"/>
      <c r="F17" s="308" t="inlineStr">
        <is>
          <t>Low</t>
        </is>
      </c>
      <c r="G17" s="308" t="n">
        <v>0</v>
      </c>
    </row>
    <row r="18">
      <c r="A18" s="308" t="inlineStr">
        <is>
          <t>RL7-LFT-101-2:I.PT00</t>
        </is>
      </c>
      <c r="B18" s="308" t="inlineStr">
        <is>
          <t>DG6800</t>
        </is>
      </c>
      <c r="C18" s="308" t="inlineStr">
        <is>
          <t>Skipped - unrecognized tag</t>
        </is>
      </c>
      <c r="D18" s="308" t="inlineStr"/>
      <c r="E18" s="308" t="inlineStr"/>
      <c r="F18" s="308" t="inlineStr">
        <is>
          <t>Low</t>
        </is>
      </c>
      <c r="G18" s="308" t="n">
        <v>0</v>
      </c>
    </row>
    <row r="19">
      <c r="A19" s="308" t="inlineStr">
        <is>
          <t>RL7-LFT-101-2:I.PT01</t>
        </is>
      </c>
      <c r="B19" s="308" t="inlineStr">
        <is>
          <t>DG6800</t>
        </is>
      </c>
      <c r="C19" s="308" t="inlineStr">
        <is>
          <t>Skipped - unrecognized tag</t>
        </is>
      </c>
      <c r="D19" s="308" t="inlineStr"/>
      <c r="E19" s="308" t="inlineStr"/>
      <c r="F19" s="308" t="inlineStr">
        <is>
          <t>Low</t>
        </is>
      </c>
      <c r="G19" s="308" t="n">
        <v>0</v>
      </c>
    </row>
    <row r="20">
      <c r="A20" s="308" t="inlineStr">
        <is>
          <t>RL7-LFT-101-2:I.PT02</t>
        </is>
      </c>
      <c r="B20" s="308" t="inlineStr">
        <is>
          <t>DG6800</t>
        </is>
      </c>
      <c r="C20" s="308" t="inlineStr">
        <is>
          <t>Skipped - unrecognized tag</t>
        </is>
      </c>
      <c r="D20" s="308" t="inlineStr"/>
      <c r="E20" s="308" t="inlineStr"/>
      <c r="F20" s="308" t="inlineStr">
        <is>
          <t>Low</t>
        </is>
      </c>
      <c r="G20" s="308" t="n">
        <v>0</v>
      </c>
    </row>
    <row r="21">
      <c r="A21" s="308" t="inlineStr">
        <is>
          <t>RL7-LFT-101-2:I.PT03</t>
        </is>
      </c>
      <c r="B21" s="308" t="inlineStr">
        <is>
          <t>DG6800</t>
        </is>
      </c>
      <c r="C21" s="308" t="inlineStr">
        <is>
          <t>Skipped - unrecognized tag</t>
        </is>
      </c>
      <c r="D21" s="308" t="inlineStr"/>
      <c r="E21" s="308" t="inlineStr"/>
      <c r="F21" s="308" t="inlineStr">
        <is>
          <t>Low</t>
        </is>
      </c>
      <c r="G21" s="308" t="n">
        <v>0</v>
      </c>
    </row>
    <row r="22">
      <c r="A22" s="308" t="inlineStr">
        <is>
          <t>RL7-LFT-101-2:I.PT04</t>
        </is>
      </c>
      <c r="B22" s="308" t="inlineStr">
        <is>
          <t>DG6800</t>
        </is>
      </c>
      <c r="C22" s="308" t="inlineStr">
        <is>
          <t>Skipped - unrecognized tag</t>
        </is>
      </c>
      <c r="D22" s="308" t="inlineStr"/>
      <c r="E22" s="308" t="inlineStr"/>
      <c r="F22" s="308" t="inlineStr">
        <is>
          <t>Low</t>
        </is>
      </c>
      <c r="G22" s="308" t="n">
        <v>0</v>
      </c>
    </row>
    <row r="23">
      <c r="A23" s="308" t="inlineStr">
        <is>
          <t>RL7-LFT-101-2:I.PT05</t>
        </is>
      </c>
      <c r="B23" s="308" t="inlineStr">
        <is>
          <t>DG6800</t>
        </is>
      </c>
      <c r="C23" s="308" t="inlineStr">
        <is>
          <t>Skipped - unrecognized tag</t>
        </is>
      </c>
      <c r="D23" s="308" t="inlineStr"/>
      <c r="E23" s="308" t="inlineStr"/>
      <c r="F23" s="308" t="inlineStr">
        <is>
          <t>Low</t>
        </is>
      </c>
      <c r="G23" s="308" t="n">
        <v>0</v>
      </c>
    </row>
    <row r="24">
      <c r="A24" s="308" t="inlineStr">
        <is>
          <t>RL7-LFT-101-2:I.PT06</t>
        </is>
      </c>
      <c r="B24" s="308" t="inlineStr">
        <is>
          <t>DG6800</t>
        </is>
      </c>
      <c r="C24" s="308" t="inlineStr">
        <is>
          <t>Skipped - unrecognized tag</t>
        </is>
      </c>
      <c r="D24" s="308" t="inlineStr"/>
      <c r="E24" s="308" t="inlineStr"/>
      <c r="F24" s="308" t="inlineStr">
        <is>
          <t>Low</t>
        </is>
      </c>
      <c r="G24" s="308" t="n">
        <v>0</v>
      </c>
    </row>
    <row r="25">
      <c r="A25" s="308" t="inlineStr">
        <is>
          <t>RL7-LFT-101-2:I.PT07</t>
        </is>
      </c>
      <c r="B25" s="308" t="inlineStr">
        <is>
          <t>DG6800</t>
        </is>
      </c>
      <c r="C25" s="308" t="inlineStr">
        <is>
          <t>Skipped - unrecognized tag</t>
        </is>
      </c>
      <c r="D25" s="308" t="inlineStr"/>
      <c r="E25" s="308" t="inlineStr"/>
      <c r="F25" s="308" t="inlineStr">
        <is>
          <t>Low</t>
        </is>
      </c>
      <c r="G25" s="308" t="n">
        <v>0</v>
      </c>
    </row>
    <row r="26">
      <c r="A26" s="308" t="inlineStr">
        <is>
          <t>RL7-LFT-101-3:O.PT00</t>
        </is>
      </c>
      <c r="B26" s="308" t="inlineStr">
        <is>
          <t>DG6800</t>
        </is>
      </c>
      <c r="C26" s="308" t="inlineStr">
        <is>
          <t>Skipped - unrecognized tag</t>
        </is>
      </c>
      <c r="D26" s="308" t="inlineStr"/>
      <c r="E26" s="308" t="inlineStr"/>
      <c r="F26" s="308" t="inlineStr">
        <is>
          <t>Low</t>
        </is>
      </c>
      <c r="G26" s="308" t="n">
        <v>0</v>
      </c>
    </row>
    <row r="27">
      <c r="A27" s="308" t="inlineStr">
        <is>
          <t>RL7-LFT-101-3:O.PT01</t>
        </is>
      </c>
      <c r="B27" s="308" t="inlineStr">
        <is>
          <t>DG6800</t>
        </is>
      </c>
      <c r="C27" s="308" t="inlineStr">
        <is>
          <t>Skipped - unrecognized tag</t>
        </is>
      </c>
      <c r="D27" s="308" t="inlineStr"/>
      <c r="E27" s="308" t="inlineStr"/>
      <c r="F27" s="308" t="inlineStr">
        <is>
          <t>Low</t>
        </is>
      </c>
      <c r="G27" s="308" t="n">
        <v>0</v>
      </c>
    </row>
    <row r="28">
      <c r="A28" s="308" t="inlineStr">
        <is>
          <t>RL7-LFT-101-3:O.PT02</t>
        </is>
      </c>
      <c r="B28" s="308" t="inlineStr">
        <is>
          <t>DG6800</t>
        </is>
      </c>
      <c r="C28" s="308" t="inlineStr">
        <is>
          <t>Skipped - unrecognized tag</t>
        </is>
      </c>
      <c r="D28" s="308" t="inlineStr"/>
      <c r="E28" s="308" t="inlineStr"/>
      <c r="F28" s="308" t="inlineStr">
        <is>
          <t>Low</t>
        </is>
      </c>
      <c r="G28" s="308" t="n">
        <v>0</v>
      </c>
    </row>
    <row r="29">
      <c r="A29" s="308" t="inlineStr">
        <is>
          <t>RL7-LFT-101-3:O.PT03</t>
        </is>
      </c>
      <c r="B29" s="308" t="inlineStr">
        <is>
          <t>DG6800</t>
        </is>
      </c>
      <c r="C29" s="308" t="inlineStr">
        <is>
          <t>Skipped - unrecognized tag</t>
        </is>
      </c>
      <c r="D29" s="308" t="inlineStr"/>
      <c r="E29" s="308" t="inlineStr"/>
      <c r="F29" s="308" t="inlineStr">
        <is>
          <t>Low</t>
        </is>
      </c>
      <c r="G29" s="308" t="n">
        <v>0</v>
      </c>
    </row>
    <row r="30">
      <c r="A30" s="308" t="inlineStr">
        <is>
          <t>RL7-LFT-101-3:O.PT04</t>
        </is>
      </c>
      <c r="B30" s="308" t="inlineStr">
        <is>
          <t>DG6800</t>
        </is>
      </c>
      <c r="C30" s="308" t="inlineStr">
        <is>
          <t>Skipped - unrecognized tag</t>
        </is>
      </c>
      <c r="D30" s="308" t="inlineStr"/>
      <c r="E30" s="308" t="inlineStr"/>
      <c r="F30" s="308" t="inlineStr">
        <is>
          <t>Low</t>
        </is>
      </c>
      <c r="G30" s="308" t="n">
        <v>0</v>
      </c>
    </row>
    <row r="31">
      <c r="A31" s="308" t="inlineStr">
        <is>
          <t>RL7-LFT-101-3:O.PT05</t>
        </is>
      </c>
      <c r="B31" s="308" t="inlineStr">
        <is>
          <t>DG6800</t>
        </is>
      </c>
      <c r="C31" s="308" t="inlineStr">
        <is>
          <t>Skipped - unrecognized tag</t>
        </is>
      </c>
      <c r="D31" s="308" t="inlineStr"/>
      <c r="E31" s="308" t="inlineStr"/>
      <c r="F31" s="308" t="inlineStr">
        <is>
          <t>Low</t>
        </is>
      </c>
      <c r="G31" s="308" t="n">
        <v>0</v>
      </c>
    </row>
    <row r="32">
      <c r="A32" s="308" t="inlineStr">
        <is>
          <t>RL7-LFT-101-3:O.PT06</t>
        </is>
      </c>
      <c r="B32" s="308" t="inlineStr">
        <is>
          <t>DG6800</t>
        </is>
      </c>
      <c r="C32" s="308" t="inlineStr">
        <is>
          <t>Skipped - unrecognized tag</t>
        </is>
      </c>
      <c r="D32" s="308" t="inlineStr"/>
      <c r="E32" s="308" t="inlineStr"/>
      <c r="F32" s="308" t="inlineStr">
        <is>
          <t>Low</t>
        </is>
      </c>
      <c r="G32" s="308" t="n">
        <v>0</v>
      </c>
    </row>
    <row r="33">
      <c r="A33" s="308" t="inlineStr">
        <is>
          <t>RL7-LFT-101-3:O.PT07</t>
        </is>
      </c>
      <c r="B33" s="308" t="inlineStr">
        <is>
          <t>DG6800</t>
        </is>
      </c>
      <c r="C33" s="308" t="inlineStr">
        <is>
          <t>Skipped - unrecognized tag</t>
        </is>
      </c>
      <c r="D33" s="308" t="inlineStr"/>
      <c r="E33" s="308" t="inlineStr"/>
      <c r="F33" s="308" t="inlineStr">
        <is>
          <t>Low</t>
        </is>
      </c>
      <c r="G33" s="308" t="n">
        <v>0</v>
      </c>
    </row>
    <row r="34">
      <c r="A34" s="308" t="inlineStr">
        <is>
          <t>RL7-LFT-101-3:O.PT08</t>
        </is>
      </c>
      <c r="B34" s="308" t="inlineStr">
        <is>
          <t>DG6800</t>
        </is>
      </c>
      <c r="C34" s="308" t="inlineStr">
        <is>
          <t>Skipped - unrecognized tag</t>
        </is>
      </c>
      <c r="D34" s="308" t="inlineStr"/>
      <c r="E34" s="308" t="inlineStr"/>
      <c r="F34" s="308" t="inlineStr">
        <is>
          <t>Low</t>
        </is>
      </c>
      <c r="G34" s="308" t="n">
        <v>0</v>
      </c>
    </row>
    <row r="35">
      <c r="A35" s="308" t="inlineStr">
        <is>
          <t>RL7-LFT-101-3:O.PT09</t>
        </is>
      </c>
      <c r="B35" s="308" t="inlineStr">
        <is>
          <t>DG6800</t>
        </is>
      </c>
      <c r="C35" s="308" t="inlineStr">
        <is>
          <t>Skipped - unrecognized tag</t>
        </is>
      </c>
      <c r="D35" s="308" t="inlineStr"/>
      <c r="E35" s="308" t="inlineStr"/>
      <c r="F35" s="308" t="inlineStr">
        <is>
          <t>Low</t>
        </is>
      </c>
      <c r="G35" s="308" t="n">
        <v>0</v>
      </c>
    </row>
    <row r="36">
      <c r="A36" s="308" t="inlineStr">
        <is>
          <t>RL7-LFT-101-3:O.PT10</t>
        </is>
      </c>
      <c r="B36" s="308" t="inlineStr">
        <is>
          <t>DG6800</t>
        </is>
      </c>
      <c r="C36" s="308" t="inlineStr">
        <is>
          <t>Skipped - unrecognized tag</t>
        </is>
      </c>
      <c r="D36" s="308" t="inlineStr"/>
      <c r="E36" s="308" t="inlineStr"/>
      <c r="F36" s="308" t="inlineStr">
        <is>
          <t>Low</t>
        </is>
      </c>
      <c r="G36" s="308" t="n">
        <v>0</v>
      </c>
    </row>
    <row r="37">
      <c r="A37" s="308" t="inlineStr">
        <is>
          <t>RL7-LFT-101-3:O.PT11</t>
        </is>
      </c>
      <c r="B37" s="308" t="inlineStr">
        <is>
          <t>DG6800</t>
        </is>
      </c>
      <c r="C37" s="308" t="inlineStr">
        <is>
          <t>Skipped - unrecognized tag</t>
        </is>
      </c>
      <c r="D37" s="308" t="inlineStr"/>
      <c r="E37" s="308" t="inlineStr"/>
      <c r="F37" s="308" t="inlineStr">
        <is>
          <t>Low</t>
        </is>
      </c>
      <c r="G37" s="308" t="n">
        <v>0</v>
      </c>
    </row>
    <row r="38">
      <c r="A38" s="308" t="inlineStr">
        <is>
          <t>RL7-LFT-101-3:O.PT12</t>
        </is>
      </c>
      <c r="B38" s="308" t="inlineStr">
        <is>
          <t>DG6800</t>
        </is>
      </c>
      <c r="C38" s="308" t="inlineStr">
        <is>
          <t>Skipped - unrecognized tag</t>
        </is>
      </c>
      <c r="D38" s="308" t="inlineStr"/>
      <c r="E38" s="308" t="inlineStr"/>
      <c r="F38" s="308" t="inlineStr">
        <is>
          <t>Low</t>
        </is>
      </c>
      <c r="G38" s="308" t="n">
        <v>0</v>
      </c>
    </row>
    <row r="39">
      <c r="A39" s="308" t="inlineStr">
        <is>
          <t>RL7-LFT-101-3:O.PT13</t>
        </is>
      </c>
      <c r="B39" s="308" t="inlineStr">
        <is>
          <t>DG6800</t>
        </is>
      </c>
      <c r="C39" s="308" t="inlineStr">
        <is>
          <t>Skipped - unrecognized tag</t>
        </is>
      </c>
      <c r="D39" s="308" t="inlineStr"/>
      <c r="E39" s="308" t="inlineStr"/>
      <c r="F39" s="308" t="inlineStr">
        <is>
          <t>Low</t>
        </is>
      </c>
      <c r="G39" s="308" t="n">
        <v>0</v>
      </c>
    </row>
    <row r="40">
      <c r="A40" s="308" t="inlineStr">
        <is>
          <t>RL7-LFT-101-3:O.PT14</t>
        </is>
      </c>
      <c r="B40" s="308" t="inlineStr">
        <is>
          <t>DG6800</t>
        </is>
      </c>
      <c r="C40" s="308" t="inlineStr">
        <is>
          <t>Skipped - unrecognized tag</t>
        </is>
      </c>
      <c r="D40" s="308" t="inlineStr"/>
      <c r="E40" s="308" t="inlineStr"/>
      <c r="F40" s="308" t="inlineStr">
        <is>
          <t>Low</t>
        </is>
      </c>
      <c r="G40" s="308" t="n">
        <v>0</v>
      </c>
    </row>
    <row r="41">
      <c r="A41" s="308" t="inlineStr">
        <is>
          <t>RL7-TNK-101-ZSC-04</t>
        </is>
      </c>
      <c r="B41" s="308" t="inlineStr">
        <is>
          <t>DG6806</t>
        </is>
      </c>
      <c r="C41" s="308" t="inlineStr">
        <is>
          <t>No mapped PDF sheet</t>
        </is>
      </c>
      <c r="D41" s="308" t="inlineStr">
        <is>
          <t>RL7-TNK-101-ZSC04</t>
        </is>
      </c>
      <c r="E41" s="308" t="inlineStr"/>
      <c r="F41" s="308" t="inlineStr">
        <is>
          <t>Low</t>
        </is>
      </c>
      <c r="G41" s="308" t="n">
        <v>0</v>
      </c>
    </row>
    <row r="42">
      <c r="A42" s="308" t="inlineStr">
        <is>
          <t>RL7-TNK-101-ZSC-05</t>
        </is>
      </c>
      <c r="B42" s="308" t="inlineStr">
        <is>
          <t>DG6806</t>
        </is>
      </c>
      <c r="C42" s="308" t="inlineStr">
        <is>
          <t>No mapped PDF sheet</t>
        </is>
      </c>
      <c r="D42" s="308" t="inlineStr">
        <is>
          <t>RL7-TNK-101-ZSC05</t>
        </is>
      </c>
      <c r="E42" s="308" t="inlineStr"/>
      <c r="F42" s="308" t="inlineStr">
        <is>
          <t>Low</t>
        </is>
      </c>
      <c r="G42" s="308" t="n">
        <v>0</v>
      </c>
    </row>
    <row r="43">
      <c r="A43" s="308" t="inlineStr">
        <is>
          <t>RL7-AGC-104-PBL-01</t>
        </is>
      </c>
      <c r="B43" s="308" t="inlineStr">
        <is>
          <t>DG6807</t>
        </is>
      </c>
      <c r="C43" s="308" t="inlineStr">
        <is>
          <t>No mapped PDF sheet</t>
        </is>
      </c>
      <c r="D43" s="308" t="inlineStr">
        <is>
          <t>RL7-AGC-104-PBL01</t>
        </is>
      </c>
      <c r="E43" s="308" t="inlineStr"/>
      <c r="F43" s="308" t="inlineStr">
        <is>
          <t>Low</t>
        </is>
      </c>
      <c r="G43" s="308" t="n">
        <v>0</v>
      </c>
    </row>
    <row r="44">
      <c r="A44" s="308" t="inlineStr">
        <is>
          <t>RL7-CNV-107-XV-08</t>
        </is>
      </c>
      <c r="B44" s="308" t="inlineStr">
        <is>
          <t>DG6809</t>
        </is>
      </c>
      <c r="C44" s="308" t="inlineStr">
        <is>
          <t>No mapped PDF sheet</t>
        </is>
      </c>
      <c r="D44" s="308" t="inlineStr">
        <is>
          <t>RL7-CNV-107-XV08</t>
        </is>
      </c>
      <c r="E44" s="308" t="inlineStr"/>
      <c r="F44" s="308" t="inlineStr">
        <is>
          <t>Low</t>
        </is>
      </c>
      <c r="G44" s="308" t="n">
        <v>0</v>
      </c>
    </row>
    <row r="45">
      <c r="A45" s="308" t="inlineStr">
        <is>
          <t>RL7-CNV-107.M2</t>
        </is>
      </c>
      <c r="B45" s="308" t="inlineStr">
        <is>
          <t>DG6809</t>
        </is>
      </c>
      <c r="C45" s="308" t="inlineStr">
        <is>
          <t>Skipped - unrecognized tag</t>
        </is>
      </c>
      <c r="D45" s="308" t="inlineStr"/>
      <c r="E45" s="308" t="inlineStr"/>
      <c r="F45" s="308" t="inlineStr">
        <is>
          <t>Low</t>
        </is>
      </c>
      <c r="G45" s="308" t="n">
        <v>0</v>
      </c>
    </row>
    <row r="46">
      <c r="A46" s="308" t="inlineStr">
        <is>
          <t>RL7-AGC-201-ZSS-02</t>
        </is>
      </c>
      <c r="B46" s="308" t="inlineStr">
        <is>
          <t>DG6817</t>
        </is>
      </c>
      <c r="C46" s="308" t="inlineStr">
        <is>
          <t>No mapped PDF sheet</t>
        </is>
      </c>
      <c r="D46" s="308" t="inlineStr">
        <is>
          <t>RL7-AGC-201-ZSS02</t>
        </is>
      </c>
      <c r="E46" s="308" t="inlineStr"/>
      <c r="F46" s="308" t="inlineStr">
        <is>
          <t>Low</t>
        </is>
      </c>
      <c r="G46" s="308" t="n">
        <v>0</v>
      </c>
    </row>
    <row r="47">
      <c r="A47" s="308" t="inlineStr">
        <is>
          <t>RL7-AGC-201-ZSS-02</t>
        </is>
      </c>
      <c r="B47" s="308" t="inlineStr">
        <is>
          <t>DG6817</t>
        </is>
      </c>
      <c r="C47" s="308" t="inlineStr">
        <is>
          <t>No mapped PDF sheet</t>
        </is>
      </c>
      <c r="D47" s="308" t="inlineStr">
        <is>
          <t>RL7-AGC-201-ZSS02</t>
        </is>
      </c>
      <c r="E47" s="308" t="inlineStr"/>
      <c r="F47" s="308" t="inlineStr">
        <is>
          <t>Low</t>
        </is>
      </c>
      <c r="G47" s="308" t="n">
        <v>0</v>
      </c>
    </row>
    <row r="48">
      <c r="A48" s="308" t="inlineStr">
        <is>
          <t>RL7-AGC-201-PSL-01</t>
        </is>
      </c>
      <c r="B48" s="308" t="inlineStr">
        <is>
          <t>DG6817</t>
        </is>
      </c>
      <c r="C48" s="308" t="inlineStr">
        <is>
          <t>No mapped PDF sheet</t>
        </is>
      </c>
      <c r="D48" s="308" t="inlineStr">
        <is>
          <t>RL7-AGC-201-PSL01</t>
        </is>
      </c>
      <c r="E48" s="308" t="inlineStr"/>
      <c r="F48" s="308" t="inlineStr">
        <is>
          <t>Low</t>
        </is>
      </c>
      <c r="G48" s="308" t="n">
        <v>0</v>
      </c>
    </row>
    <row r="49">
      <c r="A49" s="308" t="inlineStr">
        <is>
          <t>RL7-CNV-201-YI-01</t>
        </is>
      </c>
      <c r="B49" s="308" t="inlineStr">
        <is>
          <t>DG6818</t>
        </is>
      </c>
      <c r="C49" s="308" t="inlineStr">
        <is>
          <t>No mapped PDF sheet</t>
        </is>
      </c>
      <c r="D49" s="308" t="inlineStr">
        <is>
          <t>RL7-CNV-201-YI01</t>
        </is>
      </c>
      <c r="E49" s="308" t="inlineStr"/>
      <c r="F49" s="308" t="inlineStr">
        <is>
          <t>Low</t>
        </is>
      </c>
      <c r="G49" s="308" t="n">
        <v>0</v>
      </c>
    </row>
    <row r="50">
      <c r="A50" s="308" t="inlineStr">
        <is>
          <t>RL7-CHM-201-YS-01</t>
        </is>
      </c>
      <c r="B50" s="308" t="inlineStr">
        <is>
          <t>DG6818</t>
        </is>
      </c>
      <c r="C50" s="308" t="inlineStr">
        <is>
          <t>No mapped PDF sheet</t>
        </is>
      </c>
      <c r="D50" s="308" t="inlineStr">
        <is>
          <t>RL7-CHM-201-YS01</t>
        </is>
      </c>
      <c r="E50" s="308" t="inlineStr"/>
      <c r="F50" s="308" t="inlineStr">
        <is>
          <t>Low</t>
        </is>
      </c>
      <c r="G50" s="308" t="n">
        <v>0</v>
      </c>
    </row>
    <row r="51">
      <c r="A51" s="308" t="inlineStr">
        <is>
          <t>RL7-CHR-201-AH-01</t>
        </is>
      </c>
      <c r="B51" s="308" t="inlineStr">
        <is>
          <t>DG6820</t>
        </is>
      </c>
      <c r="C51" s="308" t="inlineStr">
        <is>
          <t>No mapped PDF sheet</t>
        </is>
      </c>
      <c r="D51" s="308" t="inlineStr">
        <is>
          <t>RL7-CHR-201-AH01</t>
        </is>
      </c>
      <c r="E51" s="308" t="inlineStr"/>
      <c r="F51" s="308" t="inlineStr">
        <is>
          <t>Low</t>
        </is>
      </c>
      <c r="G51" s="308" t="n">
        <v>0</v>
      </c>
    </row>
    <row r="52">
      <c r="A52" s="309" t="inlineStr">
        <is>
          <t>RL7-GRR-103-ZSS-01</t>
        </is>
      </c>
      <c r="B52" s="309" t="inlineStr">
        <is>
          <t>DG7000</t>
        </is>
      </c>
      <c r="C52" s="309" t="inlineStr">
        <is>
          <t>Matched</t>
        </is>
      </c>
      <c r="D52" s="309" t="inlineStr">
        <is>
          <t>RL7-GRR-103-ZSS01</t>
        </is>
      </c>
      <c r="E52" s="310" t="n">
        <v>0.99</v>
      </c>
      <c r="F52" s="309" t="inlineStr">
        <is>
          <t>High</t>
        </is>
      </c>
      <c r="G52" s="309" t="n">
        <v>1</v>
      </c>
    </row>
    <row r="53">
      <c r="A53" s="309" t="inlineStr">
        <is>
          <t>RL7-GRR-103-ZSS-01</t>
        </is>
      </c>
      <c r="B53" s="309" t="inlineStr">
        <is>
          <t>DG7000</t>
        </is>
      </c>
      <c r="C53" s="309" t="inlineStr">
        <is>
          <t>Matched</t>
        </is>
      </c>
      <c r="D53" s="309" t="inlineStr">
        <is>
          <t>RL7-GRR-103-ZSS01</t>
        </is>
      </c>
      <c r="E53" s="310" t="n">
        <v>0.99</v>
      </c>
      <c r="F53" s="309" t="inlineStr">
        <is>
          <t>High</t>
        </is>
      </c>
      <c r="G53" s="309" t="n">
        <v>1</v>
      </c>
    </row>
    <row r="54">
      <c r="A54" s="309" t="inlineStr">
        <is>
          <t>RL7-GRR-103-ZSS-02</t>
        </is>
      </c>
      <c r="B54" s="309" t="inlineStr">
        <is>
          <t>DG7000</t>
        </is>
      </c>
      <c r="C54" s="309" t="inlineStr">
        <is>
          <t>Matched</t>
        </is>
      </c>
      <c r="D54" s="309" t="inlineStr">
        <is>
          <t>RL7-GRR-103-ZSS02</t>
        </is>
      </c>
      <c r="E54" s="310" t="n">
        <v>0.99</v>
      </c>
      <c r="F54" s="309" t="inlineStr">
        <is>
          <t>High</t>
        </is>
      </c>
      <c r="G54" s="309" t="n">
        <v>1</v>
      </c>
    </row>
    <row r="55">
      <c r="A55" s="309" t="inlineStr">
        <is>
          <t>RL7-GRR-103-ZSS-02</t>
        </is>
      </c>
      <c r="B55" s="309" t="inlineStr">
        <is>
          <t>DG7000</t>
        </is>
      </c>
      <c r="C55" s="309" t="inlineStr">
        <is>
          <t>Matched</t>
        </is>
      </c>
      <c r="D55" s="309" t="inlineStr">
        <is>
          <t>RL7-GRR-103-ZSS02</t>
        </is>
      </c>
      <c r="E55" s="310" t="n">
        <v>0.99</v>
      </c>
      <c r="F55" s="309" t="inlineStr">
        <is>
          <t>High</t>
        </is>
      </c>
      <c r="G55" s="309" t="n">
        <v>1</v>
      </c>
    </row>
    <row r="56">
      <c r="A56" s="309" t="inlineStr">
        <is>
          <t>RL7-GRR-103-ZSS-03</t>
        </is>
      </c>
      <c r="B56" s="309" t="inlineStr">
        <is>
          <t>DG7000</t>
        </is>
      </c>
      <c r="C56" s="309" t="inlineStr">
        <is>
          <t>Matched</t>
        </is>
      </c>
      <c r="D56" s="309" t="inlineStr">
        <is>
          <t>RL7-GRR-103-ZSS03</t>
        </is>
      </c>
      <c r="E56" s="310" t="n">
        <v>0.99</v>
      </c>
      <c r="F56" s="309" t="inlineStr">
        <is>
          <t>High</t>
        </is>
      </c>
      <c r="G56" s="309" t="n">
        <v>1</v>
      </c>
    </row>
    <row r="57">
      <c r="A57" s="309" t="inlineStr">
        <is>
          <t>RL7-GRR-103-ZSS-03</t>
        </is>
      </c>
      <c r="B57" s="309" t="inlineStr">
        <is>
          <t>DG7000</t>
        </is>
      </c>
      <c r="C57" s="309" t="inlineStr">
        <is>
          <t>Matched</t>
        </is>
      </c>
      <c r="D57" s="309" t="inlineStr">
        <is>
          <t>RL7-GRR-103-ZSS03</t>
        </is>
      </c>
      <c r="E57" s="310" t="n">
        <v>0.99</v>
      </c>
      <c r="F57" s="309" t="inlineStr">
        <is>
          <t>High</t>
        </is>
      </c>
      <c r="G57" s="309" t="n">
        <v>1</v>
      </c>
    </row>
    <row r="58">
      <c r="A58" s="309" t="inlineStr">
        <is>
          <t>RL7-GRR-103-ZSS-04</t>
        </is>
      </c>
      <c r="B58" s="309" t="inlineStr">
        <is>
          <t>DG7000</t>
        </is>
      </c>
      <c r="C58" s="309" t="inlineStr">
        <is>
          <t>Matched</t>
        </is>
      </c>
      <c r="D58" s="309" t="inlineStr">
        <is>
          <t>RL7-GRR-103-ZSS04</t>
        </is>
      </c>
      <c r="E58" s="310" t="n">
        <v>0.99</v>
      </c>
      <c r="F58" s="309" t="inlineStr">
        <is>
          <t>High</t>
        </is>
      </c>
      <c r="G58" s="309" t="n">
        <v>1</v>
      </c>
    </row>
    <row r="59">
      <c r="A59" s="309" t="inlineStr">
        <is>
          <t>RL7-GRR-103-ZSS-04</t>
        </is>
      </c>
      <c r="B59" s="309" t="inlineStr">
        <is>
          <t>DG7000</t>
        </is>
      </c>
      <c r="C59" s="309" t="inlineStr">
        <is>
          <t>Matched</t>
        </is>
      </c>
      <c r="D59" s="309" t="inlineStr">
        <is>
          <t>RL7-GRR-103-ZSS04</t>
        </is>
      </c>
      <c r="E59" s="310" t="n">
        <v>0.99</v>
      </c>
      <c r="F59" s="309" t="inlineStr">
        <is>
          <t>High</t>
        </is>
      </c>
      <c r="G59" s="309" t="n">
        <v>1</v>
      </c>
    </row>
    <row r="60">
      <c r="A60" s="309" t="inlineStr">
        <is>
          <t>RL7-CNV-109-ZSS-01</t>
        </is>
      </c>
      <c r="B60" s="309" t="inlineStr">
        <is>
          <t>DG7000</t>
        </is>
      </c>
      <c r="C60" s="309" t="inlineStr">
        <is>
          <t>Matched</t>
        </is>
      </c>
      <c r="D60" s="309" t="inlineStr">
        <is>
          <t>RL7-CNV-109-ZSS01</t>
        </is>
      </c>
      <c r="E60" s="310" t="n">
        <v>0.99</v>
      </c>
      <c r="F60" s="309" t="inlineStr">
        <is>
          <t>High</t>
        </is>
      </c>
      <c r="G60" s="309" t="n">
        <v>1</v>
      </c>
    </row>
    <row r="61">
      <c r="A61" s="309" t="inlineStr">
        <is>
          <t>RL7-CNV-109-ZSS-01</t>
        </is>
      </c>
      <c r="B61" s="309" t="inlineStr">
        <is>
          <t>DG7000</t>
        </is>
      </c>
      <c r="C61" s="309" t="inlineStr">
        <is>
          <t>Matched</t>
        </is>
      </c>
      <c r="D61" s="309" t="inlineStr">
        <is>
          <t>RL7-CNV-109-ZSS01</t>
        </is>
      </c>
      <c r="E61" s="310" t="n">
        <v>0.99</v>
      </c>
      <c r="F61" s="309" t="inlineStr">
        <is>
          <t>High</t>
        </is>
      </c>
      <c r="G61" s="309" t="n">
        <v>1</v>
      </c>
    </row>
    <row r="62">
      <c r="A62" s="309" t="inlineStr">
        <is>
          <t>RL7-CNV-109-ZSS-02</t>
        </is>
      </c>
      <c r="B62" s="309" t="inlineStr">
        <is>
          <t>DG7000</t>
        </is>
      </c>
      <c r="C62" s="309" t="inlineStr">
        <is>
          <t>Matched</t>
        </is>
      </c>
      <c r="D62" s="309" t="inlineStr">
        <is>
          <t>RL7-CNV-109-ZSS02</t>
        </is>
      </c>
      <c r="E62" s="310" t="n">
        <v>0.99</v>
      </c>
      <c r="F62" s="309" t="inlineStr">
        <is>
          <t>High</t>
        </is>
      </c>
      <c r="G62" s="309" t="n">
        <v>1</v>
      </c>
    </row>
    <row r="63">
      <c r="A63" s="309" t="inlineStr">
        <is>
          <t>RL7-CNV-109-ZSS-02</t>
        </is>
      </c>
      <c r="B63" s="309" t="inlineStr">
        <is>
          <t>DG7000</t>
        </is>
      </c>
      <c r="C63" s="309" t="inlineStr">
        <is>
          <t>Matched</t>
        </is>
      </c>
      <c r="D63" s="309" t="inlineStr">
        <is>
          <t>RL7-CNV-109-ZSS02</t>
        </is>
      </c>
      <c r="E63" s="310" t="n">
        <v>0.99</v>
      </c>
      <c r="F63" s="309" t="inlineStr">
        <is>
          <t>High</t>
        </is>
      </c>
      <c r="G63" s="309" t="n">
        <v>1</v>
      </c>
    </row>
    <row r="64">
      <c r="A64" s="309" t="inlineStr">
        <is>
          <t>RL7-CNV-109-ZSS-03</t>
        </is>
      </c>
      <c r="B64" s="309" t="inlineStr">
        <is>
          <t>DG7000</t>
        </is>
      </c>
      <c r="C64" s="309" t="inlineStr">
        <is>
          <t>Matched</t>
        </is>
      </c>
      <c r="D64" s="309" t="inlineStr">
        <is>
          <t>RL7-CNV-109-ZSS03</t>
        </is>
      </c>
      <c r="E64" s="310" t="n">
        <v>0.99</v>
      </c>
      <c r="F64" s="309" t="inlineStr">
        <is>
          <t>High</t>
        </is>
      </c>
      <c r="G64" s="309" t="n">
        <v>1</v>
      </c>
    </row>
    <row r="65">
      <c r="A65" s="309" t="inlineStr">
        <is>
          <t>RL7-CNV-109-ZSS-03</t>
        </is>
      </c>
      <c r="B65" s="309" t="inlineStr">
        <is>
          <t>DG7000</t>
        </is>
      </c>
      <c r="C65" s="309" t="inlineStr">
        <is>
          <t>Matched</t>
        </is>
      </c>
      <c r="D65" s="309" t="inlineStr">
        <is>
          <t>RL7-CNV-109-ZSS03</t>
        </is>
      </c>
      <c r="E65" s="310" t="n">
        <v>0.99</v>
      </c>
      <c r="F65" s="309" t="inlineStr">
        <is>
          <t>High</t>
        </is>
      </c>
      <c r="G65" s="309" t="n">
        <v>1</v>
      </c>
    </row>
    <row r="66">
      <c r="A66" s="309" t="inlineStr">
        <is>
          <t>RL7-CNV-109-ZSS-04</t>
        </is>
      </c>
      <c r="B66" s="309" t="inlineStr">
        <is>
          <t>DG7000</t>
        </is>
      </c>
      <c r="C66" s="309" t="inlineStr">
        <is>
          <t>Matched</t>
        </is>
      </c>
      <c r="D66" s="309" t="inlineStr">
        <is>
          <t>RL7-CNV-109-ZSS04</t>
        </is>
      </c>
      <c r="E66" s="310" t="n">
        <v>0.99</v>
      </c>
      <c r="F66" s="309" t="inlineStr">
        <is>
          <t>High</t>
        </is>
      </c>
      <c r="G66" s="309" t="n">
        <v>1</v>
      </c>
    </row>
    <row r="67">
      <c r="A67" s="309" t="inlineStr">
        <is>
          <t>RL7-CNV-109-ZSS-04</t>
        </is>
      </c>
      <c r="B67" s="309" t="inlineStr">
        <is>
          <t>DG7000</t>
        </is>
      </c>
      <c r="C67" s="309" t="inlineStr">
        <is>
          <t>Matched</t>
        </is>
      </c>
      <c r="D67" s="309" t="inlineStr">
        <is>
          <t>RL7-CNV-109-ZSS04</t>
        </is>
      </c>
      <c r="E67" s="310" t="n">
        <v>0.99</v>
      </c>
      <c r="F67" s="309" t="inlineStr">
        <is>
          <t>High</t>
        </is>
      </c>
      <c r="G67" s="309" t="n">
        <v>1</v>
      </c>
    </row>
    <row r="68">
      <c r="A68" s="309" t="inlineStr">
        <is>
          <t>RL7-CNV-109-ZSS-05</t>
        </is>
      </c>
      <c r="B68" s="309" t="inlineStr">
        <is>
          <t>DG7000</t>
        </is>
      </c>
      <c r="C68" s="309" t="inlineStr">
        <is>
          <t>Matched</t>
        </is>
      </c>
      <c r="D68" s="309" t="inlineStr">
        <is>
          <t>RL7-CNV-109-ZSS05</t>
        </is>
      </c>
      <c r="E68" s="310" t="n">
        <v>0.99</v>
      </c>
      <c r="F68" s="309" t="inlineStr">
        <is>
          <t>High</t>
        </is>
      </c>
      <c r="G68" s="309" t="n">
        <v>1</v>
      </c>
    </row>
    <row r="69">
      <c r="A69" s="309" t="inlineStr">
        <is>
          <t>RL7-CNV-109-ZSS-05</t>
        </is>
      </c>
      <c r="B69" s="309" t="inlineStr">
        <is>
          <t>DG7000</t>
        </is>
      </c>
      <c r="C69" s="309" t="inlineStr">
        <is>
          <t>Matched</t>
        </is>
      </c>
      <c r="D69" s="309" t="inlineStr">
        <is>
          <t>RL7-CNV-109-ZSS05</t>
        </is>
      </c>
      <c r="E69" s="310" t="n">
        <v>0.99</v>
      </c>
      <c r="F69" s="309" t="inlineStr">
        <is>
          <t>High</t>
        </is>
      </c>
      <c r="G69" s="309" t="n">
        <v>1</v>
      </c>
    </row>
    <row r="70">
      <c r="A70" s="308" t="inlineStr">
        <is>
          <t>RL7-CNV-109-ZSS-06</t>
        </is>
      </c>
      <c r="B70" s="308" t="inlineStr">
        <is>
          <t>DG7000</t>
        </is>
      </c>
      <c r="C70" s="308" t="inlineStr">
        <is>
          <t>Not found in PDF</t>
        </is>
      </c>
      <c r="D70" s="308" t="inlineStr">
        <is>
          <t>RL7-CNV-109-ZSS06</t>
        </is>
      </c>
      <c r="E70" s="308" t="inlineStr"/>
      <c r="F70" s="308" t="inlineStr">
        <is>
          <t>Low</t>
        </is>
      </c>
      <c r="G70" s="308" t="n">
        <v>0</v>
      </c>
    </row>
    <row r="71">
      <c r="A71" s="308" t="inlineStr">
        <is>
          <t>RL7-CNV-109-ZSS-06</t>
        </is>
      </c>
      <c r="B71" s="308" t="inlineStr">
        <is>
          <t>DG7000</t>
        </is>
      </c>
      <c r="C71" s="308" t="inlineStr">
        <is>
          <t>Not found in PDF</t>
        </is>
      </c>
      <c r="D71" s="308" t="inlineStr">
        <is>
          <t>RL7-CNV-109-ZSS06</t>
        </is>
      </c>
      <c r="E71" s="308" t="inlineStr"/>
      <c r="F71" s="308" t="inlineStr">
        <is>
          <t>Low</t>
        </is>
      </c>
      <c r="G71" s="308" t="n">
        <v>0</v>
      </c>
    </row>
    <row r="72">
      <c r="A72" s="308" t="inlineStr">
        <is>
          <t>RL7-CNV-109-ZSS-07</t>
        </is>
      </c>
      <c r="B72" s="308" t="inlineStr">
        <is>
          <t>DG7000</t>
        </is>
      </c>
      <c r="C72" s="308" t="inlineStr">
        <is>
          <t>Not found in PDF</t>
        </is>
      </c>
      <c r="D72" s="308" t="inlineStr">
        <is>
          <t>RL7-CNV-109-ZSS07</t>
        </is>
      </c>
      <c r="E72" s="308" t="inlineStr"/>
      <c r="F72" s="308" t="inlineStr">
        <is>
          <t>Low</t>
        </is>
      </c>
      <c r="G72" s="308" t="n">
        <v>0</v>
      </c>
    </row>
    <row r="73">
      <c r="A73" s="308" t="inlineStr">
        <is>
          <t>RL7-CNV-109-ZSS-07</t>
        </is>
      </c>
      <c r="B73" s="308" t="inlineStr">
        <is>
          <t>DG7000</t>
        </is>
      </c>
      <c r="C73" s="308" t="inlineStr">
        <is>
          <t>Not found in PDF</t>
        </is>
      </c>
      <c r="D73" s="308" t="inlineStr">
        <is>
          <t>RL7-CNV-109-ZSS07</t>
        </is>
      </c>
      <c r="E73" s="308" t="inlineStr"/>
      <c r="F73" s="308" t="inlineStr">
        <is>
          <t>Low</t>
        </is>
      </c>
      <c r="G73" s="308" t="n">
        <v>0</v>
      </c>
    </row>
    <row r="74">
      <c r="A74" s="309" t="inlineStr">
        <is>
          <t>RL7-CNV-109-ZSS-08</t>
        </is>
      </c>
      <c r="B74" s="309" t="inlineStr">
        <is>
          <t>DG7000</t>
        </is>
      </c>
      <c r="C74" s="309" t="inlineStr">
        <is>
          <t>Matched</t>
        </is>
      </c>
      <c r="D74" s="309" t="inlineStr">
        <is>
          <t>RL7-CNV-109-ZSS08</t>
        </is>
      </c>
      <c r="E74" s="310" t="n">
        <v>0.99</v>
      </c>
      <c r="F74" s="309" t="inlineStr">
        <is>
          <t>High</t>
        </is>
      </c>
      <c r="G74" s="309" t="n">
        <v>1</v>
      </c>
    </row>
    <row r="75">
      <c r="A75" s="309" t="inlineStr">
        <is>
          <t>RL7-CNV-109-ZSS-08</t>
        </is>
      </c>
      <c r="B75" s="309" t="inlineStr">
        <is>
          <t>DG7000</t>
        </is>
      </c>
      <c r="C75" s="309" t="inlineStr">
        <is>
          <t>Matched</t>
        </is>
      </c>
      <c r="D75" s="309" t="inlineStr">
        <is>
          <t>RL7-CNV-109-ZSS08</t>
        </is>
      </c>
      <c r="E75" s="310" t="n">
        <v>0.99</v>
      </c>
      <c r="F75" s="309" t="inlineStr">
        <is>
          <t>High</t>
        </is>
      </c>
      <c r="G75" s="309" t="n">
        <v>1</v>
      </c>
    </row>
    <row r="76">
      <c r="A76" s="309" t="inlineStr">
        <is>
          <t>RL7-CNV-109-PB-01</t>
        </is>
      </c>
      <c r="B76" s="309" t="inlineStr">
        <is>
          <t>DG7000</t>
        </is>
      </c>
      <c r="C76" s="309" t="inlineStr">
        <is>
          <t>Matched</t>
        </is>
      </c>
      <c r="D76" s="309" t="inlineStr">
        <is>
          <t>RL7-CNV-109-PB01</t>
        </is>
      </c>
      <c r="E76" s="310" t="n">
        <v>0.99</v>
      </c>
      <c r="F76" s="309" t="inlineStr">
        <is>
          <t>High</t>
        </is>
      </c>
      <c r="G76" s="309" t="n">
        <v>1</v>
      </c>
    </row>
    <row r="77">
      <c r="A77" s="309" t="inlineStr">
        <is>
          <t>RL7-CNV-109-PB-01</t>
        </is>
      </c>
      <c r="B77" s="309" t="inlineStr">
        <is>
          <t>DG7000</t>
        </is>
      </c>
      <c r="C77" s="309" t="inlineStr">
        <is>
          <t>Matched</t>
        </is>
      </c>
      <c r="D77" s="309" t="inlineStr">
        <is>
          <t>RL7-CNV-109-PB01</t>
        </is>
      </c>
      <c r="E77" s="310" t="n">
        <v>0.99</v>
      </c>
      <c r="F77" s="309" t="inlineStr">
        <is>
          <t>High</t>
        </is>
      </c>
      <c r="G77" s="309" t="n">
        <v>1</v>
      </c>
    </row>
    <row r="78">
      <c r="A78" s="309" t="inlineStr">
        <is>
          <t>RL7-GRR-103-PB-01</t>
        </is>
      </c>
      <c r="B78" s="309" t="inlineStr">
        <is>
          <t>DG7000</t>
        </is>
      </c>
      <c r="C78" s="309" t="inlineStr">
        <is>
          <t>Matched</t>
        </is>
      </c>
      <c r="D78" s="309" t="inlineStr">
        <is>
          <t>RL7-GRR-103-PB01</t>
        </is>
      </c>
      <c r="E78" s="310" t="n">
        <v>0.99</v>
      </c>
      <c r="F78" s="309" t="inlineStr">
        <is>
          <t>High</t>
        </is>
      </c>
      <c r="G78" s="309" t="n">
        <v>1</v>
      </c>
    </row>
    <row r="79">
      <c r="A79" s="309" t="inlineStr">
        <is>
          <t>RL7-GRR-103-PB-01</t>
        </is>
      </c>
      <c r="B79" s="309" t="inlineStr">
        <is>
          <t>DG7000</t>
        </is>
      </c>
      <c r="C79" s="309" t="inlineStr">
        <is>
          <t>Matched</t>
        </is>
      </c>
      <c r="D79" s="309" t="inlineStr">
        <is>
          <t>RL7-GRR-103-PB01</t>
        </is>
      </c>
      <c r="E79" s="310" t="n">
        <v>0.99</v>
      </c>
      <c r="F79" s="309" t="inlineStr">
        <is>
          <t>High</t>
        </is>
      </c>
      <c r="G79" s="309" t="n">
        <v>1</v>
      </c>
    </row>
    <row r="80">
      <c r="A80" s="309" t="inlineStr">
        <is>
          <t>RL7-GRR-103-PSL-01</t>
        </is>
      </c>
      <c r="B80" s="309" t="inlineStr">
        <is>
          <t>DG7000</t>
        </is>
      </c>
      <c r="C80" s="309" t="inlineStr">
        <is>
          <t>Matched</t>
        </is>
      </c>
      <c r="D80" s="309" t="inlineStr">
        <is>
          <t>RL7-GRR-103-PSL01</t>
        </is>
      </c>
      <c r="E80" s="310" t="n">
        <v>0.99</v>
      </c>
      <c r="F80" s="309" t="inlineStr">
        <is>
          <t>High</t>
        </is>
      </c>
      <c r="G80" s="309" t="n">
        <v>1</v>
      </c>
    </row>
    <row r="81">
      <c r="A81" s="309" t="inlineStr">
        <is>
          <t>RL7-GRR-103-XV-00</t>
        </is>
      </c>
      <c r="B81" s="309" t="inlineStr">
        <is>
          <t>DG7000</t>
        </is>
      </c>
      <c r="C81" s="309" t="inlineStr">
        <is>
          <t>Matched</t>
        </is>
      </c>
      <c r="D81" s="309" t="inlineStr">
        <is>
          <t>RL7-GRR-103-XV00</t>
        </is>
      </c>
      <c r="E81" s="310" t="n">
        <v>0.99</v>
      </c>
      <c r="F81" s="309" t="inlineStr">
        <is>
          <t>High</t>
        </is>
      </c>
      <c r="G81" s="309" t="n">
        <v>1</v>
      </c>
    </row>
    <row r="82">
      <c r="A82" s="309" t="inlineStr">
        <is>
          <t>RL7-GRR-103-XV-01</t>
        </is>
      </c>
      <c r="B82" s="309" t="inlineStr">
        <is>
          <t>DG7000</t>
        </is>
      </c>
      <c r="C82" s="309" t="inlineStr">
        <is>
          <t>Matched</t>
        </is>
      </c>
      <c r="D82" s="309" t="inlineStr">
        <is>
          <t>RL7-GRR-103-XV01</t>
        </is>
      </c>
      <c r="E82" s="310" t="n">
        <v>0.99</v>
      </c>
      <c r="F82" s="309" t="inlineStr">
        <is>
          <t>High</t>
        </is>
      </c>
      <c r="G82" s="309" t="n">
        <v>1</v>
      </c>
    </row>
    <row r="83">
      <c r="A83" s="309" t="inlineStr">
        <is>
          <t>RL7-GRR-103-XV-02</t>
        </is>
      </c>
      <c r="B83" s="309" t="inlineStr">
        <is>
          <t>DG7000</t>
        </is>
      </c>
      <c r="C83" s="309" t="inlineStr">
        <is>
          <t>Matched</t>
        </is>
      </c>
      <c r="D83" s="309" t="inlineStr">
        <is>
          <t>RL7-GRR-103-XV02</t>
        </is>
      </c>
      <c r="E83" s="310" t="n">
        <v>0.99</v>
      </c>
      <c r="F83" s="309" t="inlineStr">
        <is>
          <t>High</t>
        </is>
      </c>
      <c r="G83" s="309" t="n">
        <v>1</v>
      </c>
    </row>
    <row r="84">
      <c r="A84" s="309" t="inlineStr">
        <is>
          <t>RL7-GRR-103-XV-03</t>
        </is>
      </c>
      <c r="B84" s="309" t="inlineStr">
        <is>
          <t>DG7000</t>
        </is>
      </c>
      <c r="C84" s="309" t="inlineStr">
        <is>
          <t>Matched</t>
        </is>
      </c>
      <c r="D84" s="309" t="inlineStr">
        <is>
          <t>RL7-GRR-103-XV03</t>
        </is>
      </c>
      <c r="E84" s="310" t="n">
        <v>0.99</v>
      </c>
      <c r="F84" s="309" t="inlineStr">
        <is>
          <t>High</t>
        </is>
      </c>
      <c r="G84" s="309" t="n">
        <v>1</v>
      </c>
    </row>
    <row r="85">
      <c r="A85" s="309" t="inlineStr">
        <is>
          <t>RL7-GRR-103-XV-04</t>
        </is>
      </c>
      <c r="B85" s="309" t="inlineStr">
        <is>
          <t>DG7000</t>
        </is>
      </c>
      <c r="C85" s="309" t="inlineStr">
        <is>
          <t>Matched</t>
        </is>
      </c>
      <c r="D85" s="309" t="inlineStr">
        <is>
          <t>RL7-GRR-103-XV04</t>
        </is>
      </c>
      <c r="E85" s="310" t="n">
        <v>0.99</v>
      </c>
      <c r="F85" s="309" t="inlineStr">
        <is>
          <t>High</t>
        </is>
      </c>
      <c r="G85" s="309" t="n">
        <v>1</v>
      </c>
    </row>
    <row r="86">
      <c r="A86" s="309" t="inlineStr">
        <is>
          <t>RL7-GRR-103-XV-05</t>
        </is>
      </c>
      <c r="B86" s="309" t="inlineStr">
        <is>
          <t>DG7000</t>
        </is>
      </c>
      <c r="C86" s="309" t="inlineStr">
        <is>
          <t>Matched</t>
        </is>
      </c>
      <c r="D86" s="309" t="inlineStr">
        <is>
          <t>RL7-GRR-103-XV05</t>
        </is>
      </c>
      <c r="E86" s="310" t="n">
        <v>0.99</v>
      </c>
      <c r="F86" s="309" t="inlineStr">
        <is>
          <t>High</t>
        </is>
      </c>
      <c r="G86" s="309" t="n">
        <v>1</v>
      </c>
    </row>
    <row r="87">
      <c r="A87" s="309" t="inlineStr">
        <is>
          <t>RL7-GRR-103-XV-06</t>
        </is>
      </c>
      <c r="B87" s="309" t="inlineStr">
        <is>
          <t>DG7000</t>
        </is>
      </c>
      <c r="C87" s="309" t="inlineStr">
        <is>
          <t>Matched</t>
        </is>
      </c>
      <c r="D87" s="309" t="inlineStr">
        <is>
          <t>RL7-GRR-103-XV06</t>
        </is>
      </c>
      <c r="E87" s="310" t="n">
        <v>0.99</v>
      </c>
      <c r="F87" s="309" t="inlineStr">
        <is>
          <t>High</t>
        </is>
      </c>
      <c r="G87" s="309" t="n">
        <v>1</v>
      </c>
    </row>
    <row r="88">
      <c r="A88" s="308" t="inlineStr">
        <is>
          <t>RL7-GRR-103-PBL-01</t>
        </is>
      </c>
      <c r="B88" s="308" t="inlineStr">
        <is>
          <t>DG7000</t>
        </is>
      </c>
      <c r="C88" s="308" t="inlineStr">
        <is>
          <t>Not found in PDF</t>
        </is>
      </c>
      <c r="D88" s="308" t="inlineStr">
        <is>
          <t>RL7-GRR-103-PBL01</t>
        </is>
      </c>
      <c r="E88" s="308" t="inlineStr"/>
      <c r="F88" s="308" t="inlineStr">
        <is>
          <t>Low</t>
        </is>
      </c>
      <c r="G88" s="308" t="n">
        <v>0</v>
      </c>
    </row>
    <row r="89">
      <c r="A89" s="308" t="inlineStr">
        <is>
          <t>RL7-CNV-109-PBL-01</t>
        </is>
      </c>
      <c r="B89" s="308" t="inlineStr">
        <is>
          <t>DG7000</t>
        </is>
      </c>
      <c r="C89" s="308" t="inlineStr">
        <is>
          <t>Not found in PDF</t>
        </is>
      </c>
      <c r="D89" s="308" t="inlineStr">
        <is>
          <t>RL7-CNV-109-PBL01</t>
        </is>
      </c>
      <c r="E89" s="308" t="inlineStr"/>
      <c r="F89" s="308" t="inlineStr">
        <is>
          <t>Low</t>
        </is>
      </c>
      <c r="G89" s="308" t="n">
        <v>0</v>
      </c>
    </row>
    <row r="90">
      <c r="A90" s="309" t="inlineStr">
        <is>
          <t>RL7-CNV-109-XV-01</t>
        </is>
      </c>
      <c r="B90" s="309" t="inlineStr">
        <is>
          <t>DG7000</t>
        </is>
      </c>
      <c r="C90" s="309" t="inlineStr">
        <is>
          <t>Matched - multiple PDF occurrences</t>
        </is>
      </c>
      <c r="D90" s="309" t="inlineStr">
        <is>
          <t>RL7-CNV-109-XV01</t>
        </is>
      </c>
      <c r="E90" s="310" t="n">
        <v>0.95</v>
      </c>
      <c r="F90" s="309" t="inlineStr">
        <is>
          <t>High</t>
        </is>
      </c>
      <c r="G90" s="309" t="n">
        <v>2</v>
      </c>
    </row>
    <row r="91">
      <c r="A91" s="308" t="inlineStr">
        <is>
          <t>RL7-GRR-101-ZSS-04</t>
        </is>
      </c>
      <c r="B91" s="308" t="inlineStr">
        <is>
          <t>DG7000</t>
        </is>
      </c>
      <c r="C91" s="308" t="inlineStr">
        <is>
          <t>Not found in PDF</t>
        </is>
      </c>
      <c r="D91" s="308" t="inlineStr">
        <is>
          <t>RL7-GRR-101-ZSS04</t>
        </is>
      </c>
      <c r="E91" s="308" t="inlineStr"/>
      <c r="F91" s="308" t="inlineStr">
        <is>
          <t>Low</t>
        </is>
      </c>
      <c r="G91" s="308" t="n">
        <v>0</v>
      </c>
    </row>
    <row r="92">
      <c r="A92" s="308" t="inlineStr">
        <is>
          <t>RL7-GRR-101-ZSS-04</t>
        </is>
      </c>
      <c r="B92" s="308" t="inlineStr">
        <is>
          <t>DG7000</t>
        </is>
      </c>
      <c r="C92" s="308" t="inlineStr">
        <is>
          <t>Not found in PDF</t>
        </is>
      </c>
      <c r="D92" s="308" t="inlineStr">
        <is>
          <t>RL7-GRR-101-ZSS04</t>
        </is>
      </c>
      <c r="E92" s="308" t="inlineStr"/>
      <c r="F92" s="308" t="inlineStr">
        <is>
          <t>Low</t>
        </is>
      </c>
      <c r="G92" s="308" t="n">
        <v>0</v>
      </c>
    </row>
    <row r="93">
      <c r="A93" s="308" t="inlineStr">
        <is>
          <t>RL7-GRR-101-ZSS-01</t>
        </is>
      </c>
      <c r="B93" s="308" t="inlineStr">
        <is>
          <t>DG7000</t>
        </is>
      </c>
      <c r="C93" s="308" t="inlineStr">
        <is>
          <t>Not found in PDF</t>
        </is>
      </c>
      <c r="D93" s="308" t="inlineStr">
        <is>
          <t>RL7-GRR-101-ZSS01</t>
        </is>
      </c>
      <c r="E93" s="308" t="inlineStr"/>
      <c r="F93" s="308" t="inlineStr">
        <is>
          <t>Low</t>
        </is>
      </c>
      <c r="G93" s="308" t="n">
        <v>0</v>
      </c>
    </row>
    <row r="94">
      <c r="A94" s="308" t="inlineStr">
        <is>
          <t>RL7-GRR-101-ZSS-01</t>
        </is>
      </c>
      <c r="B94" s="308" t="inlineStr">
        <is>
          <t>DG7000</t>
        </is>
      </c>
      <c r="C94" s="308" t="inlineStr">
        <is>
          <t>Not found in PDF</t>
        </is>
      </c>
      <c r="D94" s="308" t="inlineStr">
        <is>
          <t>RL7-GRR-101-ZSS01</t>
        </is>
      </c>
      <c r="E94" s="308" t="inlineStr"/>
      <c r="F94" s="308" t="inlineStr">
        <is>
          <t>Low</t>
        </is>
      </c>
      <c r="G94" s="308" t="n">
        <v>0</v>
      </c>
    </row>
    <row r="95">
      <c r="A95" s="308" t="inlineStr">
        <is>
          <t>RL7-GRR-101-ZSS-02</t>
        </is>
      </c>
      <c r="B95" s="308" t="inlineStr">
        <is>
          <t>DG7000</t>
        </is>
      </c>
      <c r="C95" s="308" t="inlineStr">
        <is>
          <t>Not found in PDF</t>
        </is>
      </c>
      <c r="D95" s="308" t="inlineStr">
        <is>
          <t>RL7-GRR-101-ZSS02</t>
        </is>
      </c>
      <c r="E95" s="308" t="inlineStr"/>
      <c r="F95" s="308" t="inlineStr">
        <is>
          <t>Low</t>
        </is>
      </c>
      <c r="G95" s="308" t="n">
        <v>0</v>
      </c>
    </row>
    <row r="96">
      <c r="A96" s="308" t="inlineStr">
        <is>
          <t>RL7-GRR-101-ZSS-02</t>
        </is>
      </c>
      <c r="B96" s="308" t="inlineStr">
        <is>
          <t>DG7000</t>
        </is>
      </c>
      <c r="C96" s="308" t="inlineStr">
        <is>
          <t>Not found in PDF</t>
        </is>
      </c>
      <c r="D96" s="308" t="inlineStr">
        <is>
          <t>RL7-GRR-101-ZSS02</t>
        </is>
      </c>
      <c r="E96" s="308" t="inlineStr"/>
      <c r="F96" s="308" t="inlineStr">
        <is>
          <t>Low</t>
        </is>
      </c>
      <c r="G96" s="308" t="n">
        <v>0</v>
      </c>
    </row>
    <row r="97">
      <c r="A97" s="308" t="inlineStr">
        <is>
          <t>RL7-GRR-101-ZSS-03</t>
        </is>
      </c>
      <c r="B97" s="308" t="inlineStr">
        <is>
          <t>DG7000</t>
        </is>
      </c>
      <c r="C97" s="308" t="inlineStr">
        <is>
          <t>Not found in PDF</t>
        </is>
      </c>
      <c r="D97" s="308" t="inlineStr">
        <is>
          <t>RL7-GRR-101-ZSS03</t>
        </is>
      </c>
      <c r="E97" s="308" t="inlineStr"/>
      <c r="F97" s="308" t="inlineStr">
        <is>
          <t>Low</t>
        </is>
      </c>
      <c r="G97" s="308" t="n">
        <v>0</v>
      </c>
    </row>
    <row r="98">
      <c r="A98" s="308" t="inlineStr">
        <is>
          <t>RL7-GRR-101-ZSS-03</t>
        </is>
      </c>
      <c r="B98" s="308" t="inlineStr">
        <is>
          <t>DG7000</t>
        </is>
      </c>
      <c r="C98" s="308" t="inlineStr">
        <is>
          <t>Not found in PDF</t>
        </is>
      </c>
      <c r="D98" s="308" t="inlineStr">
        <is>
          <t>RL7-GRR-101-ZSS03</t>
        </is>
      </c>
      <c r="E98" s="308" t="inlineStr"/>
      <c r="F98" s="308" t="inlineStr">
        <is>
          <t>Low</t>
        </is>
      </c>
      <c r="G98" s="308" t="n">
        <v>0</v>
      </c>
    </row>
    <row r="99">
      <c r="A99" s="308" t="inlineStr">
        <is>
          <t>RL7-GRR-101-PB-01</t>
        </is>
      </c>
      <c r="B99" s="308" t="inlineStr">
        <is>
          <t>DG7000</t>
        </is>
      </c>
      <c r="C99" s="308" t="inlineStr">
        <is>
          <t>Not found in PDF</t>
        </is>
      </c>
      <c r="D99" s="308" t="inlineStr">
        <is>
          <t>RL7-GRR-101-PB01</t>
        </is>
      </c>
      <c r="E99" s="308" t="inlineStr"/>
      <c r="F99" s="308" t="inlineStr">
        <is>
          <t>Low</t>
        </is>
      </c>
      <c r="G99" s="308" t="n">
        <v>0</v>
      </c>
    </row>
    <row r="100">
      <c r="A100" s="308" t="inlineStr">
        <is>
          <t>RL7-GRR-101-PB-01</t>
        </is>
      </c>
      <c r="B100" s="308" t="inlineStr">
        <is>
          <t>DG7000</t>
        </is>
      </c>
      <c r="C100" s="308" t="inlineStr">
        <is>
          <t>Not found in PDF</t>
        </is>
      </c>
      <c r="D100" s="308" t="inlineStr">
        <is>
          <t>RL7-GRR-101-PB01</t>
        </is>
      </c>
      <c r="E100" s="308" t="inlineStr"/>
      <c r="F100" s="308" t="inlineStr">
        <is>
          <t>Low</t>
        </is>
      </c>
      <c r="G100" s="308" t="n">
        <v>0</v>
      </c>
    </row>
    <row r="101">
      <c r="A101" s="309" t="inlineStr">
        <is>
          <t>RL7-CNV-111-ZSO-01</t>
        </is>
      </c>
      <c r="B101" s="309" t="inlineStr">
        <is>
          <t>DG7001</t>
        </is>
      </c>
      <c r="C101" s="309" t="inlineStr">
        <is>
          <t>Matched</t>
        </is>
      </c>
      <c r="D101" s="309" t="inlineStr">
        <is>
          <t>RL7-CNV-111-ZSO01</t>
        </is>
      </c>
      <c r="E101" s="310" t="n">
        <v>0.99</v>
      </c>
      <c r="F101" s="309" t="inlineStr">
        <is>
          <t>High</t>
        </is>
      </c>
      <c r="G101" s="309" t="n">
        <v>1</v>
      </c>
    </row>
    <row r="102">
      <c r="A102" s="309" t="inlineStr">
        <is>
          <t>RL7-CNV-111-ZSC-01</t>
        </is>
      </c>
      <c r="B102" s="309" t="inlineStr">
        <is>
          <t>DG7001</t>
        </is>
      </c>
      <c r="C102" s="309" t="inlineStr">
        <is>
          <t>Matched</t>
        </is>
      </c>
      <c r="D102" s="309" t="inlineStr">
        <is>
          <t>RL7-CNV-111-ZSC01</t>
        </is>
      </c>
      <c r="E102" s="310" t="n">
        <v>0.99</v>
      </c>
      <c r="F102" s="309" t="inlineStr">
        <is>
          <t>High</t>
        </is>
      </c>
      <c r="G102" s="309" t="n">
        <v>1</v>
      </c>
    </row>
    <row r="103">
      <c r="A103" s="309" t="inlineStr">
        <is>
          <t>RL7-CNV-111-ZSO-02</t>
        </is>
      </c>
      <c r="B103" s="309" t="inlineStr">
        <is>
          <t>DG7001</t>
        </is>
      </c>
      <c r="C103" s="309" t="inlineStr">
        <is>
          <t>Matched</t>
        </is>
      </c>
      <c r="D103" s="309" t="inlineStr">
        <is>
          <t>RL7-CNV-111-ZSO02</t>
        </is>
      </c>
      <c r="E103" s="310" t="n">
        <v>0.99</v>
      </c>
      <c r="F103" s="309" t="inlineStr">
        <is>
          <t>High</t>
        </is>
      </c>
      <c r="G103" s="309" t="n">
        <v>1</v>
      </c>
    </row>
    <row r="104">
      <c r="A104" s="309" t="inlineStr">
        <is>
          <t>RL7-CNV-111-ZSC-02</t>
        </is>
      </c>
      <c r="B104" s="309" t="inlineStr">
        <is>
          <t>DG7001</t>
        </is>
      </c>
      <c r="C104" s="309" t="inlineStr">
        <is>
          <t>Matched</t>
        </is>
      </c>
      <c r="D104" s="309" t="inlineStr">
        <is>
          <t>RL7-CNV-111-ZSC02</t>
        </is>
      </c>
      <c r="E104" s="310" t="n">
        <v>0.99</v>
      </c>
      <c r="F104" s="309" t="inlineStr">
        <is>
          <t>High</t>
        </is>
      </c>
      <c r="G104" s="309" t="n">
        <v>1</v>
      </c>
    </row>
    <row r="105">
      <c r="A105" s="309" t="inlineStr">
        <is>
          <t>RL7-CNV-111-ZSO-03</t>
        </is>
      </c>
      <c r="B105" s="309" t="inlineStr">
        <is>
          <t>DG7001</t>
        </is>
      </c>
      <c r="C105" s="309" t="inlineStr">
        <is>
          <t>Matched</t>
        </is>
      </c>
      <c r="D105" s="309" t="inlineStr">
        <is>
          <t>RL7-CNV-111-ZSO03</t>
        </is>
      </c>
      <c r="E105" s="310" t="n">
        <v>0.99</v>
      </c>
      <c r="F105" s="309" t="inlineStr">
        <is>
          <t>High</t>
        </is>
      </c>
      <c r="G105" s="309" t="n">
        <v>1</v>
      </c>
    </row>
    <row r="106">
      <c r="A106" s="309" t="inlineStr">
        <is>
          <t>RL7-CNV-111-ZSC-03</t>
        </is>
      </c>
      <c r="B106" s="309" t="inlineStr">
        <is>
          <t>DG7001</t>
        </is>
      </c>
      <c r="C106" s="309" t="inlineStr">
        <is>
          <t>Matched</t>
        </is>
      </c>
      <c r="D106" s="309" t="inlineStr">
        <is>
          <t>RL7-CNV-111-ZSC03</t>
        </is>
      </c>
      <c r="E106" s="310" t="n">
        <v>0.99</v>
      </c>
      <c r="F106" s="309" t="inlineStr">
        <is>
          <t>High</t>
        </is>
      </c>
      <c r="G106" s="309" t="n">
        <v>1</v>
      </c>
    </row>
    <row r="107">
      <c r="A107" s="309" t="inlineStr">
        <is>
          <t>RL7-CNV-111-ZSO-04</t>
        </is>
      </c>
      <c r="B107" s="309" t="inlineStr">
        <is>
          <t>DG7001</t>
        </is>
      </c>
      <c r="C107" s="309" t="inlineStr">
        <is>
          <t>Matched</t>
        </is>
      </c>
      <c r="D107" s="309" t="inlineStr">
        <is>
          <t>RL7-CNV-111-ZSO04</t>
        </is>
      </c>
      <c r="E107" s="310" t="n">
        <v>0.99</v>
      </c>
      <c r="F107" s="309" t="inlineStr">
        <is>
          <t>High</t>
        </is>
      </c>
      <c r="G107" s="309" t="n">
        <v>1</v>
      </c>
    </row>
    <row r="108">
      <c r="A108" s="309" t="inlineStr">
        <is>
          <t>RL7-CNV-111-ZSC-04</t>
        </is>
      </c>
      <c r="B108" s="309" t="inlineStr">
        <is>
          <t>DG7001</t>
        </is>
      </c>
      <c r="C108" s="309" t="inlineStr">
        <is>
          <t>Matched</t>
        </is>
      </c>
      <c r="D108" s="309" t="inlineStr">
        <is>
          <t>RL7-CNV-111-ZSC04</t>
        </is>
      </c>
      <c r="E108" s="310" t="n">
        <v>0.99</v>
      </c>
      <c r="F108" s="309" t="inlineStr">
        <is>
          <t>High</t>
        </is>
      </c>
      <c r="G108" s="309" t="n">
        <v>1</v>
      </c>
    </row>
    <row r="109">
      <c r="A109" s="308" t="inlineStr">
        <is>
          <t>RL7-CNV-111-PSL-01</t>
        </is>
      </c>
      <c r="B109" s="308" t="inlineStr">
        <is>
          <t>DG7001</t>
        </is>
      </c>
      <c r="C109" s="308" t="inlineStr">
        <is>
          <t>Matched - same-page inference</t>
        </is>
      </c>
      <c r="D109" s="308" t="inlineStr">
        <is>
          <t>RL7-CNV-111-PSL01</t>
        </is>
      </c>
      <c r="E109" s="311" t="n">
        <v>0.77</v>
      </c>
      <c r="F109" s="308" t="inlineStr">
        <is>
          <t>Medium</t>
        </is>
      </c>
      <c r="G109" s="308" t="n">
        <v>1</v>
      </c>
    </row>
    <row r="110">
      <c r="A110" s="309" t="inlineStr">
        <is>
          <t>RL7-CNV-110-PSL-01</t>
        </is>
      </c>
      <c r="B110" s="309" t="inlineStr">
        <is>
          <t>DG7001</t>
        </is>
      </c>
      <c r="C110" s="309" t="inlineStr">
        <is>
          <t>Matched</t>
        </is>
      </c>
      <c r="D110" s="309" t="inlineStr">
        <is>
          <t>RL7-CNV-110-PSL01</t>
        </is>
      </c>
      <c r="E110" s="310" t="n">
        <v>0.99</v>
      </c>
      <c r="F110" s="309" t="inlineStr">
        <is>
          <t>High</t>
        </is>
      </c>
      <c r="G110" s="309" t="n">
        <v>1</v>
      </c>
    </row>
    <row r="111">
      <c r="A111" s="309" t="inlineStr">
        <is>
          <t>RL7-CNV-111-XY-01A</t>
        </is>
      </c>
      <c r="B111" s="309" t="inlineStr">
        <is>
          <t>DG7001</t>
        </is>
      </c>
      <c r="C111" s="309" t="inlineStr">
        <is>
          <t>Matched</t>
        </is>
      </c>
      <c r="D111" s="309" t="inlineStr">
        <is>
          <t>RL7-CNV-111-XY01A</t>
        </is>
      </c>
      <c r="E111" s="310" t="n">
        <v>0.99</v>
      </c>
      <c r="F111" s="309" t="inlineStr">
        <is>
          <t>High</t>
        </is>
      </c>
      <c r="G111" s="309" t="n">
        <v>1</v>
      </c>
    </row>
    <row r="112">
      <c r="A112" s="309" t="inlineStr">
        <is>
          <t>RL7-CNV-111-XY-01B</t>
        </is>
      </c>
      <c r="B112" s="309" t="inlineStr">
        <is>
          <t>DG7001</t>
        </is>
      </c>
      <c r="C112" s="309" t="inlineStr">
        <is>
          <t>Matched</t>
        </is>
      </c>
      <c r="D112" s="309" t="inlineStr">
        <is>
          <t>RL7-CNV-111-XY01B</t>
        </is>
      </c>
      <c r="E112" s="310" t="n">
        <v>0.99</v>
      </c>
      <c r="F112" s="309" t="inlineStr">
        <is>
          <t>High</t>
        </is>
      </c>
      <c r="G112" s="309" t="n">
        <v>1</v>
      </c>
    </row>
    <row r="113">
      <c r="A113" s="309" t="inlineStr">
        <is>
          <t>RL7-CNV-111-XY-02A</t>
        </is>
      </c>
      <c r="B113" s="309" t="inlineStr">
        <is>
          <t>DG7001</t>
        </is>
      </c>
      <c r="C113" s="309" t="inlineStr">
        <is>
          <t>Matched</t>
        </is>
      </c>
      <c r="D113" s="309" t="inlineStr">
        <is>
          <t>RL7-CNV-111-XY02A</t>
        </is>
      </c>
      <c r="E113" s="310" t="n">
        <v>0.99</v>
      </c>
      <c r="F113" s="309" t="inlineStr">
        <is>
          <t>High</t>
        </is>
      </c>
      <c r="G113" s="309" t="n">
        <v>1</v>
      </c>
    </row>
    <row r="114">
      <c r="A114" s="309" t="inlineStr">
        <is>
          <t>RL7-CNV-111-XY-02B</t>
        </is>
      </c>
      <c r="B114" s="309" t="inlineStr">
        <is>
          <t>DG7001</t>
        </is>
      </c>
      <c r="C114" s="309" t="inlineStr">
        <is>
          <t>Matched</t>
        </is>
      </c>
      <c r="D114" s="309" t="inlineStr">
        <is>
          <t>RL7-CNV-111-XY02B</t>
        </is>
      </c>
      <c r="E114" s="310" t="n">
        <v>0.99</v>
      </c>
      <c r="F114" s="309" t="inlineStr">
        <is>
          <t>High</t>
        </is>
      </c>
      <c r="G114" s="309" t="n">
        <v>1</v>
      </c>
    </row>
    <row r="115">
      <c r="A115" s="309" t="inlineStr">
        <is>
          <t>RL7-CNV-111-XY-03A</t>
        </is>
      </c>
      <c r="B115" s="309" t="inlineStr">
        <is>
          <t>DG7001</t>
        </is>
      </c>
      <c r="C115" s="309" t="inlineStr">
        <is>
          <t>Matched</t>
        </is>
      </c>
      <c r="D115" s="309" t="inlineStr">
        <is>
          <t>RL7-CNV-111-XY03A</t>
        </is>
      </c>
      <c r="E115" s="310" t="n">
        <v>0.99</v>
      </c>
      <c r="F115" s="309" t="inlineStr">
        <is>
          <t>High</t>
        </is>
      </c>
      <c r="G115" s="309" t="n">
        <v>1</v>
      </c>
    </row>
    <row r="116">
      <c r="A116" s="309" t="inlineStr">
        <is>
          <t>RL7-CNV-111-XY-03B</t>
        </is>
      </c>
      <c r="B116" s="309" t="inlineStr">
        <is>
          <t>DG7001</t>
        </is>
      </c>
      <c r="C116" s="309" t="inlineStr">
        <is>
          <t>Matched</t>
        </is>
      </c>
      <c r="D116" s="309" t="inlineStr">
        <is>
          <t>RL7-CNV-111-XY03B</t>
        </is>
      </c>
      <c r="E116" s="310" t="n">
        <v>0.99</v>
      </c>
      <c r="F116" s="309" t="inlineStr">
        <is>
          <t>High</t>
        </is>
      </c>
      <c r="G116" s="309" t="n">
        <v>1</v>
      </c>
    </row>
    <row r="117">
      <c r="A117" s="309" t="inlineStr">
        <is>
          <t>RL7-CNV-111-XY-04A</t>
        </is>
      </c>
      <c r="B117" s="309" t="inlineStr">
        <is>
          <t>DG7001</t>
        </is>
      </c>
      <c r="C117" s="309" t="inlineStr">
        <is>
          <t>Matched</t>
        </is>
      </c>
      <c r="D117" s="309" t="inlineStr">
        <is>
          <t>RL7-CNV-111-XY04A</t>
        </is>
      </c>
      <c r="E117" s="310" t="n">
        <v>0.99</v>
      </c>
      <c r="F117" s="309" t="inlineStr">
        <is>
          <t>High</t>
        </is>
      </c>
      <c r="G117" s="309" t="n">
        <v>1</v>
      </c>
    </row>
    <row r="118">
      <c r="A118" s="309" t="inlineStr">
        <is>
          <t>RL7-CNV-111-XY-04B</t>
        </is>
      </c>
      <c r="B118" s="309" t="inlineStr">
        <is>
          <t>DG7001</t>
        </is>
      </c>
      <c r="C118" s="309" t="inlineStr">
        <is>
          <t>Matched</t>
        </is>
      </c>
      <c r="D118" s="309" t="inlineStr">
        <is>
          <t>RL7-CNV-111-XY04B</t>
        </is>
      </c>
      <c r="E118" s="310" t="n">
        <v>0.99</v>
      </c>
      <c r="F118" s="309" t="inlineStr">
        <is>
          <t>High</t>
        </is>
      </c>
      <c r="G118" s="309" t="n">
        <v>1</v>
      </c>
    </row>
    <row r="119">
      <c r="A119" s="309" t="inlineStr">
        <is>
          <t>RL7-CNV-110-XY-01A</t>
        </is>
      </c>
      <c r="B119" s="309" t="inlineStr">
        <is>
          <t>DG7001</t>
        </is>
      </c>
      <c r="C119" s="309" t="inlineStr">
        <is>
          <t>Matched</t>
        </is>
      </c>
      <c r="D119" s="309" t="inlineStr">
        <is>
          <t>RL7-CNV-110-XY01A</t>
        </is>
      </c>
      <c r="E119" s="310" t="n">
        <v>0.99</v>
      </c>
      <c r="F119" s="309" t="inlineStr">
        <is>
          <t>High</t>
        </is>
      </c>
      <c r="G119" s="309" t="n">
        <v>1</v>
      </c>
    </row>
    <row r="120">
      <c r="A120" s="309" t="inlineStr">
        <is>
          <t>RL7-CNV-110-XY-01B</t>
        </is>
      </c>
      <c r="B120" s="309" t="inlineStr">
        <is>
          <t>DG7001</t>
        </is>
      </c>
      <c r="C120" s="309" t="inlineStr">
        <is>
          <t>Matched</t>
        </is>
      </c>
      <c r="D120" s="309" t="inlineStr">
        <is>
          <t>RL7-CNV-110-XY01B</t>
        </is>
      </c>
      <c r="E120" s="310" t="n">
        <v>0.99</v>
      </c>
      <c r="F120" s="309" t="inlineStr">
        <is>
          <t>High</t>
        </is>
      </c>
      <c r="G120" s="309" t="n">
        <v>1</v>
      </c>
    </row>
    <row r="121">
      <c r="A121" s="308" t="inlineStr">
        <is>
          <t>RL7-CNV-111-XV-05</t>
        </is>
      </c>
      <c r="B121" s="308" t="inlineStr">
        <is>
          <t>DG7001</t>
        </is>
      </c>
      <c r="C121" s="308" t="inlineStr">
        <is>
          <t>Not found in PDF</t>
        </is>
      </c>
      <c r="D121" s="308" t="inlineStr">
        <is>
          <t>RL7-CNV-111-XV05</t>
        </is>
      </c>
      <c r="E121" s="308" t="inlineStr"/>
      <c r="F121" s="308" t="inlineStr">
        <is>
          <t>Low</t>
        </is>
      </c>
      <c r="G121" s="308" t="n">
        <v>0</v>
      </c>
    </row>
    <row r="122">
      <c r="A122" s="309" t="inlineStr">
        <is>
          <t>RL7-CNV-110-XY-02</t>
        </is>
      </c>
      <c r="B122" s="309" t="inlineStr">
        <is>
          <t>DG7001</t>
        </is>
      </c>
      <c r="C122" s="309" t="inlineStr">
        <is>
          <t>Matched</t>
        </is>
      </c>
      <c r="D122" s="309" t="inlineStr">
        <is>
          <t>RL7-CNV-110-XY02</t>
        </is>
      </c>
      <c r="E122" s="310" t="n">
        <v>0.99</v>
      </c>
      <c r="F122" s="309" t="inlineStr">
        <is>
          <t>High</t>
        </is>
      </c>
      <c r="G122" s="309" t="n">
        <v>1</v>
      </c>
    </row>
    <row r="123">
      <c r="A123" s="308" t="inlineStr">
        <is>
          <t>RL7-BIN-101-ZSS-01</t>
        </is>
      </c>
      <c r="B123" s="308" t="inlineStr">
        <is>
          <t>DG7002</t>
        </is>
      </c>
      <c r="C123" s="308" t="inlineStr">
        <is>
          <t>No mapped PDF sheet</t>
        </is>
      </c>
      <c r="D123" s="308" t="inlineStr">
        <is>
          <t>RL7-BIN-101-ZSS01</t>
        </is>
      </c>
      <c r="E123" s="308" t="inlineStr"/>
      <c r="F123" s="308" t="inlineStr">
        <is>
          <t>Low</t>
        </is>
      </c>
      <c r="G123" s="308" t="n">
        <v>0</v>
      </c>
    </row>
    <row r="124">
      <c r="A124" s="308" t="inlineStr">
        <is>
          <t>RL7-BIN-101-ZSS-01</t>
        </is>
      </c>
      <c r="B124" s="308" t="inlineStr">
        <is>
          <t>DG7002</t>
        </is>
      </c>
      <c r="C124" s="308" t="inlineStr">
        <is>
          <t>No mapped PDF sheet</t>
        </is>
      </c>
      <c r="D124" s="308" t="inlineStr">
        <is>
          <t>RL7-BIN-101-ZSS01</t>
        </is>
      </c>
      <c r="E124" s="308" t="inlineStr"/>
      <c r="F124" s="308" t="inlineStr">
        <is>
          <t>Low</t>
        </is>
      </c>
      <c r="G124" s="308" t="n">
        <v>0</v>
      </c>
    </row>
    <row r="125">
      <c r="A125" s="308" t="inlineStr">
        <is>
          <t>RL7-BIN-101-ZSS-02</t>
        </is>
      </c>
      <c r="B125" s="308" t="inlineStr">
        <is>
          <t>DG7002</t>
        </is>
      </c>
      <c r="C125" s="308" t="inlineStr">
        <is>
          <t>No mapped PDF sheet</t>
        </is>
      </c>
      <c r="D125" s="308" t="inlineStr">
        <is>
          <t>RL7-BIN-101-ZSS02</t>
        </is>
      </c>
      <c r="E125" s="308" t="inlineStr"/>
      <c r="F125" s="308" t="inlineStr">
        <is>
          <t>Low</t>
        </is>
      </c>
      <c r="G125" s="308" t="n">
        <v>0</v>
      </c>
    </row>
    <row r="126">
      <c r="A126" s="308" t="inlineStr">
        <is>
          <t>RL7-BIN-101-ZSS-02</t>
        </is>
      </c>
      <c r="B126" s="308" t="inlineStr">
        <is>
          <t>DG7002</t>
        </is>
      </c>
      <c r="C126" s="308" t="inlineStr">
        <is>
          <t>No mapped PDF sheet</t>
        </is>
      </c>
      <c r="D126" s="308" t="inlineStr">
        <is>
          <t>RL7-BIN-101-ZSS02</t>
        </is>
      </c>
      <c r="E126" s="308" t="inlineStr"/>
      <c r="F126" s="308" t="inlineStr">
        <is>
          <t>Low</t>
        </is>
      </c>
      <c r="G126" s="308" t="n">
        <v>0</v>
      </c>
    </row>
    <row r="127">
      <c r="A127" s="308" t="inlineStr">
        <is>
          <t>RL7-BIN-102-ZSS-01</t>
        </is>
      </c>
      <c r="B127" s="308" t="inlineStr">
        <is>
          <t>DG7002</t>
        </is>
      </c>
      <c r="C127" s="308" t="inlineStr">
        <is>
          <t>No mapped PDF sheet</t>
        </is>
      </c>
      <c r="D127" s="308" t="inlineStr">
        <is>
          <t>RL7-BIN-102-ZSS01</t>
        </is>
      </c>
      <c r="E127" s="308" t="inlineStr"/>
      <c r="F127" s="308" t="inlineStr">
        <is>
          <t>Low</t>
        </is>
      </c>
      <c r="G127" s="308" t="n">
        <v>0</v>
      </c>
    </row>
    <row r="128">
      <c r="A128" s="308" t="inlineStr">
        <is>
          <t>RL7-BIN-102-ZSS-01</t>
        </is>
      </c>
      <c r="B128" s="308" t="inlineStr">
        <is>
          <t>DG7002</t>
        </is>
      </c>
      <c r="C128" s="308" t="inlineStr">
        <is>
          <t>No mapped PDF sheet</t>
        </is>
      </c>
      <c r="D128" s="308" t="inlineStr">
        <is>
          <t>RL7-BIN-102-ZSS01</t>
        </is>
      </c>
      <c r="E128" s="308" t="inlineStr"/>
      <c r="F128" s="308" t="inlineStr">
        <is>
          <t>Low</t>
        </is>
      </c>
      <c r="G128" s="308" t="n">
        <v>0</v>
      </c>
    </row>
    <row r="129">
      <c r="A129" s="308" t="inlineStr">
        <is>
          <t>RL7-BIN-102-ZSS-02</t>
        </is>
      </c>
      <c r="B129" s="308" t="inlineStr">
        <is>
          <t>DG7002</t>
        </is>
      </c>
      <c r="C129" s="308" t="inlineStr">
        <is>
          <t>No mapped PDF sheet</t>
        </is>
      </c>
      <c r="D129" s="308" t="inlineStr">
        <is>
          <t>RL7-BIN-102-ZSS02</t>
        </is>
      </c>
      <c r="E129" s="308" t="inlineStr"/>
      <c r="F129" s="308" t="inlineStr">
        <is>
          <t>Low</t>
        </is>
      </c>
      <c r="G129" s="308" t="n">
        <v>0</v>
      </c>
    </row>
    <row r="130">
      <c r="A130" s="308" t="inlineStr">
        <is>
          <t>RL7-BIN-102-ZSS-02</t>
        </is>
      </c>
      <c r="B130" s="308" t="inlineStr">
        <is>
          <t>DG7002</t>
        </is>
      </c>
      <c r="C130" s="308" t="inlineStr">
        <is>
          <t>No mapped PDF sheet</t>
        </is>
      </c>
      <c r="D130" s="308" t="inlineStr">
        <is>
          <t>RL7-BIN-102-ZSS02</t>
        </is>
      </c>
      <c r="E130" s="308" t="inlineStr"/>
      <c r="F130" s="308" t="inlineStr">
        <is>
          <t>Low</t>
        </is>
      </c>
      <c r="G130" s="308" t="n">
        <v>0</v>
      </c>
    </row>
    <row r="131">
      <c r="A131" s="308" t="inlineStr">
        <is>
          <t>RL7-BIN-101-ZSS-03</t>
        </is>
      </c>
      <c r="B131" s="308" t="inlineStr">
        <is>
          <t>DG7002</t>
        </is>
      </c>
      <c r="C131" s="308" t="inlineStr">
        <is>
          <t>No mapped PDF sheet</t>
        </is>
      </c>
      <c r="D131" s="308" t="inlineStr">
        <is>
          <t>RL7-BIN-101-ZSS03</t>
        </is>
      </c>
      <c r="E131" s="308" t="inlineStr"/>
      <c r="F131" s="308" t="inlineStr">
        <is>
          <t>Low</t>
        </is>
      </c>
      <c r="G131" s="308" t="n">
        <v>0</v>
      </c>
    </row>
    <row r="132">
      <c r="A132" s="308" t="inlineStr">
        <is>
          <t>RL7-BIN-101-ZSS-03</t>
        </is>
      </c>
      <c r="B132" s="308" t="inlineStr">
        <is>
          <t>DG7002</t>
        </is>
      </c>
      <c r="C132" s="308" t="inlineStr">
        <is>
          <t>No mapped PDF sheet</t>
        </is>
      </c>
      <c r="D132" s="308" t="inlineStr">
        <is>
          <t>RL7-BIN-101-ZSS03</t>
        </is>
      </c>
      <c r="E132" s="308" t="inlineStr"/>
      <c r="F132" s="308" t="inlineStr">
        <is>
          <t>Low</t>
        </is>
      </c>
      <c r="G132" s="308" t="n">
        <v>0</v>
      </c>
    </row>
    <row r="133">
      <c r="A133" s="308" t="inlineStr">
        <is>
          <t>RL7-BIN-102-ZSS-03</t>
        </is>
      </c>
      <c r="B133" s="308" t="inlineStr">
        <is>
          <t>DG7002</t>
        </is>
      </c>
      <c r="C133" s="308" t="inlineStr">
        <is>
          <t>No mapped PDF sheet</t>
        </is>
      </c>
      <c r="D133" s="308" t="inlineStr">
        <is>
          <t>RL7-BIN-102-ZSS03</t>
        </is>
      </c>
      <c r="E133" s="308" t="inlineStr"/>
      <c r="F133" s="308" t="inlineStr">
        <is>
          <t>Low</t>
        </is>
      </c>
      <c r="G133" s="308" t="n">
        <v>0</v>
      </c>
    </row>
    <row r="134">
      <c r="A134" s="308" t="inlineStr">
        <is>
          <t>RL7-BIN-102-ZSS-03</t>
        </is>
      </c>
      <c r="B134" s="308" t="inlineStr">
        <is>
          <t>DG7002</t>
        </is>
      </c>
      <c r="C134" s="308" t="inlineStr">
        <is>
          <t>No mapped PDF sheet</t>
        </is>
      </c>
      <c r="D134" s="308" t="inlineStr">
        <is>
          <t>RL7-BIN-102-ZSS03</t>
        </is>
      </c>
      <c r="E134" s="308" t="inlineStr"/>
      <c r="F134" s="308" t="inlineStr">
        <is>
          <t>Low</t>
        </is>
      </c>
      <c r="G134" s="308" t="n">
        <v>0</v>
      </c>
    </row>
    <row r="135">
      <c r="A135" s="308" t="inlineStr">
        <is>
          <t>RL7-BIN-101-PB-01</t>
        </is>
      </c>
      <c r="B135" s="308" t="inlineStr">
        <is>
          <t>DG7002</t>
        </is>
      </c>
      <c r="C135" s="308" t="inlineStr">
        <is>
          <t>No mapped PDF sheet</t>
        </is>
      </c>
      <c r="D135" s="308" t="inlineStr">
        <is>
          <t>RL7-BIN-101-PB01</t>
        </is>
      </c>
      <c r="E135" s="308" t="inlineStr"/>
      <c r="F135" s="308" t="inlineStr">
        <is>
          <t>Low</t>
        </is>
      </c>
      <c r="G135" s="308" t="n">
        <v>0</v>
      </c>
    </row>
    <row r="136">
      <c r="A136" s="308" t="inlineStr">
        <is>
          <t>RL7-BIN-101-PB-01</t>
        </is>
      </c>
      <c r="B136" s="308" t="inlineStr">
        <is>
          <t>DG7002</t>
        </is>
      </c>
      <c r="C136" s="308" t="inlineStr">
        <is>
          <t>No mapped PDF sheet</t>
        </is>
      </c>
      <c r="D136" s="308" t="inlineStr">
        <is>
          <t>RL7-BIN-101-PB01</t>
        </is>
      </c>
      <c r="E136" s="308" t="inlineStr"/>
      <c r="F136" s="308" t="inlineStr">
        <is>
          <t>Low</t>
        </is>
      </c>
      <c r="G136" s="308" t="n">
        <v>0</v>
      </c>
    </row>
    <row r="137">
      <c r="A137" s="308" t="inlineStr">
        <is>
          <t>RL7-BIN-101-PBL-01</t>
        </is>
      </c>
      <c r="B137" s="308" t="inlineStr">
        <is>
          <t>DG7002</t>
        </is>
      </c>
      <c r="C137" s="308" t="inlineStr">
        <is>
          <t>No mapped PDF sheet</t>
        </is>
      </c>
      <c r="D137" s="308" t="inlineStr">
        <is>
          <t>RL7-BIN-101-PBL01</t>
        </is>
      </c>
      <c r="E137" s="308" t="inlineStr"/>
      <c r="F137" s="308" t="inlineStr">
        <is>
          <t>Low</t>
        </is>
      </c>
      <c r="G137" s="308" t="n">
        <v>0</v>
      </c>
    </row>
    <row r="138">
      <c r="A138" s="308" t="inlineStr">
        <is>
          <t>RL7-BIN-101-XY-01</t>
        </is>
      </c>
      <c r="B138" s="308" t="inlineStr">
        <is>
          <t>DG7002</t>
        </is>
      </c>
      <c r="C138" s="308" t="inlineStr">
        <is>
          <t>No mapped PDF sheet</t>
        </is>
      </c>
      <c r="D138" s="308" t="inlineStr">
        <is>
          <t>RL7-BIN-101-XY01</t>
        </is>
      </c>
      <c r="E138" s="308" t="inlineStr"/>
      <c r="F138" s="308" t="inlineStr">
        <is>
          <t>Low</t>
        </is>
      </c>
      <c r="G138" s="308" t="n">
        <v>0</v>
      </c>
    </row>
    <row r="139">
      <c r="A139" s="308" t="inlineStr">
        <is>
          <t>RL7-BIN-102-XY-01</t>
        </is>
      </c>
      <c r="B139" s="308" t="inlineStr">
        <is>
          <t>DG7002</t>
        </is>
      </c>
      <c r="C139" s="308" t="inlineStr">
        <is>
          <t>No mapped PDF sheet</t>
        </is>
      </c>
      <c r="D139" s="308" t="inlineStr">
        <is>
          <t>RL7-BIN-102-XY01</t>
        </is>
      </c>
      <c r="E139" s="308" t="inlineStr"/>
      <c r="F139" s="308" t="inlineStr">
        <is>
          <t>Low</t>
        </is>
      </c>
      <c r="G139" s="308" t="n">
        <v>0</v>
      </c>
    </row>
    <row r="140">
      <c r="A140" s="308" t="inlineStr">
        <is>
          <t>RL7-BIN-102-AH-02</t>
        </is>
      </c>
      <c r="B140" s="308" t="inlineStr">
        <is>
          <t>DG7002</t>
        </is>
      </c>
      <c r="C140" s="308" t="inlineStr">
        <is>
          <t>No mapped PDF sheet</t>
        </is>
      </c>
      <c r="D140" s="308" t="inlineStr">
        <is>
          <t>RL7-BIN-102-AH02</t>
        </is>
      </c>
      <c r="E140" s="308" t="inlineStr"/>
      <c r="F140" s="308" t="inlineStr">
        <is>
          <t>Low</t>
        </is>
      </c>
      <c r="G140" s="308" t="n">
        <v>0</v>
      </c>
    </row>
    <row r="141">
      <c r="A141" s="308" t="inlineStr">
        <is>
          <t>RL7-BIN-102-PL-01R</t>
        </is>
      </c>
      <c r="B141" s="308" t="inlineStr">
        <is>
          <t>DG7002</t>
        </is>
      </c>
      <c r="C141" s="308" t="inlineStr">
        <is>
          <t>No mapped PDF sheet</t>
        </is>
      </c>
      <c r="D141" s="308" t="inlineStr">
        <is>
          <t>RL7-BIN-102-PL01R</t>
        </is>
      </c>
      <c r="E141" s="308" t="inlineStr"/>
      <c r="F141" s="308" t="inlineStr">
        <is>
          <t>Low</t>
        </is>
      </c>
      <c r="G141" s="308" t="n">
        <v>0</v>
      </c>
    </row>
    <row r="142">
      <c r="A142" s="308" t="inlineStr">
        <is>
          <t>RL7-BIN-102-PL-01Y</t>
        </is>
      </c>
      <c r="B142" s="308" t="inlineStr">
        <is>
          <t>DG7002</t>
        </is>
      </c>
      <c r="C142" s="308" t="inlineStr">
        <is>
          <t>No mapped PDF sheet</t>
        </is>
      </c>
      <c r="D142" s="308" t="inlineStr">
        <is>
          <t>RL7-BIN-102-PL01Y</t>
        </is>
      </c>
      <c r="E142" s="308" t="inlineStr"/>
      <c r="F142" s="308" t="inlineStr">
        <is>
          <t>Low</t>
        </is>
      </c>
      <c r="G142" s="308" t="n">
        <v>0</v>
      </c>
    </row>
    <row r="143">
      <c r="A143" s="308" t="inlineStr">
        <is>
          <t>RL7-BIN-102-PL-01G</t>
        </is>
      </c>
      <c r="B143" s="308" t="inlineStr">
        <is>
          <t>DG7002</t>
        </is>
      </c>
      <c r="C143" s="308" t="inlineStr">
        <is>
          <t>No mapped PDF sheet</t>
        </is>
      </c>
      <c r="D143" s="308" t="inlineStr">
        <is>
          <t>RL7-BIN-102-PL01G</t>
        </is>
      </c>
      <c r="E143" s="308" t="inlineStr"/>
      <c r="F143" s="308" t="inlineStr">
        <is>
          <t>Low</t>
        </is>
      </c>
      <c r="G143" s="308" t="n">
        <v>0</v>
      </c>
    </row>
    <row r="144">
      <c r="A144" s="308" t="inlineStr">
        <is>
          <t>RL7-BIN-103-ZSS-01</t>
        </is>
      </c>
      <c r="B144" s="308" t="inlineStr">
        <is>
          <t>DG7002</t>
        </is>
      </c>
      <c r="C144" s="308" t="inlineStr">
        <is>
          <t>No mapped PDF sheet</t>
        </is>
      </c>
      <c r="D144" s="308" t="inlineStr">
        <is>
          <t>RL7-BIN-103-ZSS01</t>
        </is>
      </c>
      <c r="E144" s="308" t="inlineStr"/>
      <c r="F144" s="308" t="inlineStr">
        <is>
          <t>Low</t>
        </is>
      </c>
      <c r="G144" s="308" t="n">
        <v>0</v>
      </c>
    </row>
    <row r="145">
      <c r="A145" s="308" t="inlineStr">
        <is>
          <t>RL7-BIN-103-ZSS-01</t>
        </is>
      </c>
      <c r="B145" s="308" t="inlineStr">
        <is>
          <t>DG7002</t>
        </is>
      </c>
      <c r="C145" s="308" t="inlineStr">
        <is>
          <t>No mapped PDF sheet</t>
        </is>
      </c>
      <c r="D145" s="308" t="inlineStr">
        <is>
          <t>RL7-BIN-103-ZSS01</t>
        </is>
      </c>
      <c r="E145" s="308" t="inlineStr"/>
      <c r="F145" s="308" t="inlineStr">
        <is>
          <t>Low</t>
        </is>
      </c>
      <c r="G145" s="308" t="n">
        <v>0</v>
      </c>
    </row>
    <row r="146">
      <c r="A146" s="308" t="inlineStr">
        <is>
          <t>RL7-BIN-103-ZSS-02</t>
        </is>
      </c>
      <c r="B146" s="308" t="inlineStr">
        <is>
          <t>DG7002</t>
        </is>
      </c>
      <c r="C146" s="308" t="inlineStr">
        <is>
          <t>No mapped PDF sheet</t>
        </is>
      </c>
      <c r="D146" s="308" t="inlineStr">
        <is>
          <t>RL7-BIN-103-ZSS02</t>
        </is>
      </c>
      <c r="E146" s="308" t="inlineStr"/>
      <c r="F146" s="308" t="inlineStr">
        <is>
          <t>Low</t>
        </is>
      </c>
      <c r="G146" s="308" t="n">
        <v>0</v>
      </c>
    </row>
    <row r="147">
      <c r="A147" s="308" t="inlineStr">
        <is>
          <t>RL7-BIN-103-ZSS-02</t>
        </is>
      </c>
      <c r="B147" s="308" t="inlineStr">
        <is>
          <t>DG7002</t>
        </is>
      </c>
      <c r="C147" s="308" t="inlineStr">
        <is>
          <t>No mapped PDF sheet</t>
        </is>
      </c>
      <c r="D147" s="308" t="inlineStr">
        <is>
          <t>RL7-BIN-103-ZSS02</t>
        </is>
      </c>
      <c r="E147" s="308" t="inlineStr"/>
      <c r="F147" s="308" t="inlineStr">
        <is>
          <t>Low</t>
        </is>
      </c>
      <c r="G147" s="308" t="n">
        <v>0</v>
      </c>
    </row>
    <row r="148">
      <c r="A148" s="308" t="inlineStr">
        <is>
          <t>RL7-BIN-104-ZSS-01</t>
        </is>
      </c>
      <c r="B148" s="308" t="inlineStr">
        <is>
          <t>DG7002</t>
        </is>
      </c>
      <c r="C148" s="308" t="inlineStr">
        <is>
          <t>No mapped PDF sheet</t>
        </is>
      </c>
      <c r="D148" s="308" t="inlineStr">
        <is>
          <t>RL7-BIN-104-ZSS01</t>
        </is>
      </c>
      <c r="E148" s="308" t="inlineStr"/>
      <c r="F148" s="308" t="inlineStr">
        <is>
          <t>Low</t>
        </is>
      </c>
      <c r="G148" s="308" t="n">
        <v>0</v>
      </c>
    </row>
    <row r="149">
      <c r="A149" s="308" t="inlineStr">
        <is>
          <t>RL7-BIN-104-ZSS-01</t>
        </is>
      </c>
      <c r="B149" s="308" t="inlineStr">
        <is>
          <t>DG7002</t>
        </is>
      </c>
      <c r="C149" s="308" t="inlineStr">
        <is>
          <t>No mapped PDF sheet</t>
        </is>
      </c>
      <c r="D149" s="308" t="inlineStr">
        <is>
          <t>RL7-BIN-104-ZSS01</t>
        </is>
      </c>
      <c r="E149" s="308" t="inlineStr"/>
      <c r="F149" s="308" t="inlineStr">
        <is>
          <t>Low</t>
        </is>
      </c>
      <c r="G149" s="308" t="n">
        <v>0</v>
      </c>
    </row>
    <row r="150">
      <c r="A150" s="308" t="inlineStr">
        <is>
          <t>RL7-BIN-104-ZSS-02</t>
        </is>
      </c>
      <c r="B150" s="308" t="inlineStr">
        <is>
          <t>DG7002</t>
        </is>
      </c>
      <c r="C150" s="308" t="inlineStr">
        <is>
          <t>No mapped PDF sheet</t>
        </is>
      </c>
      <c r="D150" s="308" t="inlineStr">
        <is>
          <t>RL7-BIN-104-ZSS02</t>
        </is>
      </c>
      <c r="E150" s="308" t="inlineStr"/>
      <c r="F150" s="308" t="inlineStr">
        <is>
          <t>Low</t>
        </is>
      </c>
      <c r="G150" s="308" t="n">
        <v>0</v>
      </c>
    </row>
    <row r="151">
      <c r="A151" s="308" t="inlineStr">
        <is>
          <t>RL7-BIN-104-ZSS-02</t>
        </is>
      </c>
      <c r="B151" s="308" t="inlineStr">
        <is>
          <t>DG7002</t>
        </is>
      </c>
      <c r="C151" s="308" t="inlineStr">
        <is>
          <t>No mapped PDF sheet</t>
        </is>
      </c>
      <c r="D151" s="308" t="inlineStr">
        <is>
          <t>RL7-BIN-104-ZSS02</t>
        </is>
      </c>
      <c r="E151" s="308" t="inlineStr"/>
      <c r="F151" s="308" t="inlineStr">
        <is>
          <t>Low</t>
        </is>
      </c>
      <c r="G151" s="308" t="n">
        <v>0</v>
      </c>
    </row>
    <row r="152">
      <c r="A152" s="308" t="inlineStr">
        <is>
          <t>RL7-BIN-103-ZSS-03</t>
        </is>
      </c>
      <c r="B152" s="308" t="inlineStr">
        <is>
          <t>DG7002</t>
        </is>
      </c>
      <c r="C152" s="308" t="inlineStr">
        <is>
          <t>No mapped PDF sheet</t>
        </is>
      </c>
      <c r="D152" s="308" t="inlineStr">
        <is>
          <t>RL7-BIN-103-ZSS03</t>
        </is>
      </c>
      <c r="E152" s="308" t="inlineStr"/>
      <c r="F152" s="308" t="inlineStr">
        <is>
          <t>Low</t>
        </is>
      </c>
      <c r="G152" s="308" t="n">
        <v>0</v>
      </c>
    </row>
    <row r="153">
      <c r="A153" s="308" t="inlineStr">
        <is>
          <t>RL7-BIN-103-ZSS-03</t>
        </is>
      </c>
      <c r="B153" s="308" t="inlineStr">
        <is>
          <t>DG7002</t>
        </is>
      </c>
      <c r="C153" s="308" t="inlineStr">
        <is>
          <t>No mapped PDF sheet</t>
        </is>
      </c>
      <c r="D153" s="308" t="inlineStr">
        <is>
          <t>RL7-BIN-103-ZSS03</t>
        </is>
      </c>
      <c r="E153" s="308" t="inlineStr"/>
      <c r="F153" s="308" t="inlineStr">
        <is>
          <t>Low</t>
        </is>
      </c>
      <c r="G153" s="308" t="n">
        <v>0</v>
      </c>
    </row>
    <row r="154">
      <c r="A154" s="308" t="inlineStr">
        <is>
          <t>RL7-BIN-104-ZSS-03</t>
        </is>
      </c>
      <c r="B154" s="308" t="inlineStr">
        <is>
          <t>DG7002</t>
        </is>
      </c>
      <c r="C154" s="308" t="inlineStr">
        <is>
          <t>No mapped PDF sheet</t>
        </is>
      </c>
      <c r="D154" s="308" t="inlineStr">
        <is>
          <t>RL7-BIN-104-ZSS03</t>
        </is>
      </c>
      <c r="E154" s="308" t="inlineStr"/>
      <c r="F154" s="308" t="inlineStr">
        <is>
          <t>Low</t>
        </is>
      </c>
      <c r="G154" s="308" t="n">
        <v>0</v>
      </c>
    </row>
    <row r="155">
      <c r="A155" s="308" t="inlineStr">
        <is>
          <t>RL7-BIN-104-ZSS-03</t>
        </is>
      </c>
      <c r="B155" s="308" t="inlineStr">
        <is>
          <t>DG7002</t>
        </is>
      </c>
      <c r="C155" s="308" t="inlineStr">
        <is>
          <t>No mapped PDF sheet</t>
        </is>
      </c>
      <c r="D155" s="308" t="inlineStr">
        <is>
          <t>RL7-BIN-104-ZSS03</t>
        </is>
      </c>
      <c r="E155" s="308" t="inlineStr"/>
      <c r="F155" s="308" t="inlineStr">
        <is>
          <t>Low</t>
        </is>
      </c>
      <c r="G155" s="308" t="n">
        <v>0</v>
      </c>
    </row>
    <row r="156">
      <c r="A156" s="308" t="inlineStr">
        <is>
          <t>RL7-CNV-112-PB-01</t>
        </is>
      </c>
      <c r="B156" s="308" t="inlineStr">
        <is>
          <t>DG7002</t>
        </is>
      </c>
      <c r="C156" s="308" t="inlineStr">
        <is>
          <t>No mapped PDF sheet</t>
        </is>
      </c>
      <c r="D156" s="308" t="inlineStr">
        <is>
          <t>RL7-CNV-112-PB01</t>
        </is>
      </c>
      <c r="E156" s="308" t="inlineStr"/>
      <c r="F156" s="308" t="inlineStr">
        <is>
          <t>Low</t>
        </is>
      </c>
      <c r="G156" s="308" t="n">
        <v>0</v>
      </c>
    </row>
    <row r="157">
      <c r="A157" s="308" t="inlineStr">
        <is>
          <t>RL7-CNV-112-PB-01</t>
        </is>
      </c>
      <c r="B157" s="308" t="inlineStr">
        <is>
          <t>DG7002</t>
        </is>
      </c>
      <c r="C157" s="308" t="inlineStr">
        <is>
          <t>No mapped PDF sheet</t>
        </is>
      </c>
      <c r="D157" s="308" t="inlineStr">
        <is>
          <t>RL7-CNV-112-PB01</t>
        </is>
      </c>
      <c r="E157" s="308" t="inlineStr"/>
      <c r="F157" s="308" t="inlineStr">
        <is>
          <t>Low</t>
        </is>
      </c>
      <c r="G157" s="308" t="n">
        <v>0</v>
      </c>
    </row>
    <row r="158">
      <c r="A158" s="308" t="inlineStr">
        <is>
          <t>RL7-BIN-104-PB-01</t>
        </is>
      </c>
      <c r="B158" s="308" t="inlineStr">
        <is>
          <t>DG7002</t>
        </is>
      </c>
      <c r="C158" s="308" t="inlineStr">
        <is>
          <t>No mapped PDF sheet</t>
        </is>
      </c>
      <c r="D158" s="308" t="inlineStr">
        <is>
          <t>RL7-BIN-104-PB01</t>
        </is>
      </c>
      <c r="E158" s="308" t="inlineStr"/>
      <c r="F158" s="308" t="inlineStr">
        <is>
          <t>Low</t>
        </is>
      </c>
      <c r="G158" s="308" t="n">
        <v>0</v>
      </c>
    </row>
    <row r="159">
      <c r="A159" s="308" t="inlineStr">
        <is>
          <t>RL7-BIN-104-PB-01</t>
        </is>
      </c>
      <c r="B159" s="308" t="inlineStr">
        <is>
          <t>DG7002</t>
        </is>
      </c>
      <c r="C159" s="308" t="inlineStr">
        <is>
          <t>No mapped PDF sheet</t>
        </is>
      </c>
      <c r="D159" s="308" t="inlineStr">
        <is>
          <t>RL7-BIN-104-PB01</t>
        </is>
      </c>
      <c r="E159" s="308" t="inlineStr"/>
      <c r="F159" s="308" t="inlineStr">
        <is>
          <t>Low</t>
        </is>
      </c>
      <c r="G159" s="308" t="n">
        <v>0</v>
      </c>
    </row>
    <row r="160">
      <c r="A160" s="308" t="inlineStr">
        <is>
          <t>RL7-BIN-104-PBL-01</t>
        </is>
      </c>
      <c r="B160" s="308" t="inlineStr">
        <is>
          <t>DG7002</t>
        </is>
      </c>
      <c r="C160" s="308" t="inlineStr">
        <is>
          <t>No mapped PDF sheet</t>
        </is>
      </c>
      <c r="D160" s="308" t="inlineStr">
        <is>
          <t>RL7-BIN-104-PBL01</t>
        </is>
      </c>
      <c r="E160" s="308" t="inlineStr"/>
      <c r="F160" s="308" t="inlineStr">
        <is>
          <t>Low</t>
        </is>
      </c>
      <c r="G160" s="308" t="n">
        <v>0</v>
      </c>
    </row>
    <row r="161">
      <c r="A161" s="308" t="inlineStr">
        <is>
          <t>RL7-CNV-112-PBL-01</t>
        </is>
      </c>
      <c r="B161" s="308" t="inlineStr">
        <is>
          <t>DG7002</t>
        </is>
      </c>
      <c r="C161" s="308" t="inlineStr">
        <is>
          <t>No mapped PDF sheet</t>
        </is>
      </c>
      <c r="D161" s="308" t="inlineStr">
        <is>
          <t>RL7-CNV-112-PBL01</t>
        </is>
      </c>
      <c r="E161" s="308" t="inlineStr"/>
      <c r="F161" s="308" t="inlineStr">
        <is>
          <t>Low</t>
        </is>
      </c>
      <c r="G161" s="308" t="n">
        <v>0</v>
      </c>
    </row>
    <row r="162">
      <c r="A162" s="308" t="inlineStr">
        <is>
          <t>RL7-CNV-112-XY-01</t>
        </is>
      </c>
      <c r="B162" s="308" t="inlineStr">
        <is>
          <t>DG7002</t>
        </is>
      </c>
      <c r="C162" s="308" t="inlineStr">
        <is>
          <t>No mapped PDF sheet</t>
        </is>
      </c>
      <c r="D162" s="308" t="inlineStr">
        <is>
          <t>RL7-CNV-112-XY01</t>
        </is>
      </c>
      <c r="E162" s="308" t="inlineStr"/>
      <c r="F162" s="308" t="inlineStr">
        <is>
          <t>Low</t>
        </is>
      </c>
      <c r="G162" s="308" t="n">
        <v>0</v>
      </c>
    </row>
    <row r="163">
      <c r="A163" s="308" t="inlineStr">
        <is>
          <t>RL7-BIN-103-XY-01</t>
        </is>
      </c>
      <c r="B163" s="308" t="inlineStr">
        <is>
          <t>DG7002</t>
        </is>
      </c>
      <c r="C163" s="308" t="inlineStr">
        <is>
          <t>No mapped PDF sheet</t>
        </is>
      </c>
      <c r="D163" s="308" t="inlineStr">
        <is>
          <t>RL7-BIN-103-XY01</t>
        </is>
      </c>
      <c r="E163" s="308" t="inlineStr"/>
      <c r="F163" s="308" t="inlineStr">
        <is>
          <t>Low</t>
        </is>
      </c>
      <c r="G163" s="308" t="n">
        <v>0</v>
      </c>
    </row>
    <row r="164">
      <c r="A164" s="308" t="inlineStr">
        <is>
          <t>RL7-BIN-104-XY-01</t>
        </is>
      </c>
      <c r="B164" s="308" t="inlineStr">
        <is>
          <t>DG7002</t>
        </is>
      </c>
      <c r="C164" s="308" t="inlineStr">
        <is>
          <t>No mapped PDF sheet</t>
        </is>
      </c>
      <c r="D164" s="308" t="inlineStr">
        <is>
          <t>RL7-BIN-104-XY01</t>
        </is>
      </c>
      <c r="E164" s="308" t="inlineStr"/>
      <c r="F164" s="308" t="inlineStr">
        <is>
          <t>Low</t>
        </is>
      </c>
      <c r="G164" s="308" t="n">
        <v>0</v>
      </c>
    </row>
    <row r="165">
      <c r="A165" s="308" t="inlineStr">
        <is>
          <t>RL7-BIN-104-AH-01</t>
        </is>
      </c>
      <c r="B165" s="308" t="inlineStr">
        <is>
          <t>DG7002</t>
        </is>
      </c>
      <c r="C165" s="308" t="inlineStr">
        <is>
          <t>No mapped PDF sheet</t>
        </is>
      </c>
      <c r="D165" s="308" t="inlineStr">
        <is>
          <t>RL7-BIN-104-AH01</t>
        </is>
      </c>
      <c r="E165" s="308" t="inlineStr"/>
      <c r="F165" s="308" t="inlineStr">
        <is>
          <t>Low</t>
        </is>
      </c>
      <c r="G165" s="308" t="n">
        <v>0</v>
      </c>
    </row>
    <row r="166">
      <c r="A166" s="308" t="inlineStr">
        <is>
          <t>RL7-BIN-104-PL-01R</t>
        </is>
      </c>
      <c r="B166" s="308" t="inlineStr">
        <is>
          <t>DG7002</t>
        </is>
      </c>
      <c r="C166" s="308" t="inlineStr">
        <is>
          <t>No mapped PDF sheet</t>
        </is>
      </c>
      <c r="D166" s="308" t="inlineStr">
        <is>
          <t>RL7-BIN-104-PL01R</t>
        </is>
      </c>
      <c r="E166" s="308" t="inlineStr"/>
      <c r="F166" s="308" t="inlineStr">
        <is>
          <t>Low</t>
        </is>
      </c>
      <c r="G166" s="308" t="n">
        <v>0</v>
      </c>
    </row>
    <row r="167">
      <c r="A167" s="308" t="inlineStr">
        <is>
          <t>RL7-BIN-104-PL-01Y</t>
        </is>
      </c>
      <c r="B167" s="308" t="inlineStr">
        <is>
          <t>DG7002</t>
        </is>
      </c>
      <c r="C167" s="308" t="inlineStr">
        <is>
          <t>No mapped PDF sheet</t>
        </is>
      </c>
      <c r="D167" s="308" t="inlineStr">
        <is>
          <t>RL7-BIN-104-PL01Y</t>
        </is>
      </c>
      <c r="E167" s="308" t="inlineStr"/>
      <c r="F167" s="308" t="inlineStr">
        <is>
          <t>Low</t>
        </is>
      </c>
      <c r="G167" s="308" t="n">
        <v>0</v>
      </c>
    </row>
    <row r="168">
      <c r="A168" s="308" t="inlineStr">
        <is>
          <t>RL7-BIN-104-PL-01G</t>
        </is>
      </c>
      <c r="B168" s="308" t="inlineStr">
        <is>
          <t>DG7002</t>
        </is>
      </c>
      <c r="C168" s="308" t="inlineStr">
        <is>
          <t>No mapped PDF sheet</t>
        </is>
      </c>
      <c r="D168" s="308" t="inlineStr">
        <is>
          <t>RL7-BIN-104-PL01G</t>
        </is>
      </c>
      <c r="E168" s="308" t="inlineStr"/>
      <c r="F168" s="308" t="inlineStr">
        <is>
          <t>Low</t>
        </is>
      </c>
      <c r="G168" s="308" t="n">
        <v>0</v>
      </c>
    </row>
    <row r="169">
      <c r="A169" s="309" t="inlineStr">
        <is>
          <t>RL7-CNV-114-ZSS-04</t>
        </is>
      </c>
      <c r="B169" s="309" t="inlineStr">
        <is>
          <t>DG7003</t>
        </is>
      </c>
      <c r="C169" s="309" t="inlineStr">
        <is>
          <t>Matched</t>
        </is>
      </c>
      <c r="D169" s="309" t="inlineStr">
        <is>
          <t>RL7-CNV-114-ZSS04</t>
        </is>
      </c>
      <c r="E169" s="310" t="n">
        <v>0.99</v>
      </c>
      <c r="F169" s="309" t="inlineStr">
        <is>
          <t>High</t>
        </is>
      </c>
      <c r="G169" s="309" t="n">
        <v>1</v>
      </c>
    </row>
    <row r="170">
      <c r="A170" s="309" t="inlineStr">
        <is>
          <t>RL7-CNV-114-ZSS-04</t>
        </is>
      </c>
      <c r="B170" s="309" t="inlineStr">
        <is>
          <t>DG7003</t>
        </is>
      </c>
      <c r="C170" s="309" t="inlineStr">
        <is>
          <t>Matched</t>
        </is>
      </c>
      <c r="D170" s="309" t="inlineStr">
        <is>
          <t>RL7-CNV-114-ZSS04</t>
        </is>
      </c>
      <c r="E170" s="310" t="n">
        <v>0.99</v>
      </c>
      <c r="F170" s="309" t="inlineStr">
        <is>
          <t>High</t>
        </is>
      </c>
      <c r="G170" s="309" t="n">
        <v>1</v>
      </c>
    </row>
    <row r="171">
      <c r="A171" s="309" t="inlineStr">
        <is>
          <t>RL7-CNV-114-ZSS-01</t>
        </is>
      </c>
      <c r="B171" s="309" t="inlineStr">
        <is>
          <t>DG7003</t>
        </is>
      </c>
      <c r="C171" s="309" t="inlineStr">
        <is>
          <t>Matched</t>
        </is>
      </c>
      <c r="D171" s="309" t="inlineStr">
        <is>
          <t>RL7-CNV-114-ZSS01</t>
        </is>
      </c>
      <c r="E171" s="310" t="n">
        <v>0.99</v>
      </c>
      <c r="F171" s="309" t="inlineStr">
        <is>
          <t>High</t>
        </is>
      </c>
      <c r="G171" s="309" t="n">
        <v>1</v>
      </c>
    </row>
    <row r="172">
      <c r="A172" s="309" t="inlineStr">
        <is>
          <t>RL7-CNV-114-ZSS-01</t>
        </is>
      </c>
      <c r="B172" s="309" t="inlineStr">
        <is>
          <t>DG7003</t>
        </is>
      </c>
      <c r="C172" s="309" t="inlineStr">
        <is>
          <t>Matched</t>
        </is>
      </c>
      <c r="D172" s="309" t="inlineStr">
        <is>
          <t>RL7-CNV-114-ZSS01</t>
        </is>
      </c>
      <c r="E172" s="310" t="n">
        <v>0.99</v>
      </c>
      <c r="F172" s="309" t="inlineStr">
        <is>
          <t>High</t>
        </is>
      </c>
      <c r="G172" s="309" t="n">
        <v>1</v>
      </c>
    </row>
    <row r="173">
      <c r="A173" s="309" t="inlineStr">
        <is>
          <t>RL7-CNV-114-ZSS-02</t>
        </is>
      </c>
      <c r="B173" s="309" t="inlineStr">
        <is>
          <t>DG7003</t>
        </is>
      </c>
      <c r="C173" s="309" t="inlineStr">
        <is>
          <t>Matched</t>
        </is>
      </c>
      <c r="D173" s="309" t="inlineStr">
        <is>
          <t>RL7-CNV-114-ZSS02</t>
        </is>
      </c>
      <c r="E173" s="310" t="n">
        <v>0.99</v>
      </c>
      <c r="F173" s="309" t="inlineStr">
        <is>
          <t>High</t>
        </is>
      </c>
      <c r="G173" s="309" t="n">
        <v>1</v>
      </c>
    </row>
    <row r="174">
      <c r="A174" s="309" t="inlineStr">
        <is>
          <t>RL7-CNV-114-ZSS-02</t>
        </is>
      </c>
      <c r="B174" s="309" t="inlineStr">
        <is>
          <t>DG7003</t>
        </is>
      </c>
      <c r="C174" s="309" t="inlineStr">
        <is>
          <t>Matched</t>
        </is>
      </c>
      <c r="D174" s="309" t="inlineStr">
        <is>
          <t>RL7-CNV-114-ZSS02</t>
        </is>
      </c>
      <c r="E174" s="310" t="n">
        <v>0.99</v>
      </c>
      <c r="F174" s="309" t="inlineStr">
        <is>
          <t>High</t>
        </is>
      </c>
      <c r="G174" s="309" t="n">
        <v>1</v>
      </c>
    </row>
    <row r="175">
      <c r="A175" s="309" t="inlineStr">
        <is>
          <t>RL7-CNV-114-ZSS-03</t>
        </is>
      </c>
      <c r="B175" s="309" t="inlineStr">
        <is>
          <t>DG7003</t>
        </is>
      </c>
      <c r="C175" s="309" t="inlineStr">
        <is>
          <t>Matched</t>
        </is>
      </c>
      <c r="D175" s="309" t="inlineStr">
        <is>
          <t>RL7-CNV-114-ZSS03</t>
        </is>
      </c>
      <c r="E175" s="310" t="n">
        <v>0.99</v>
      </c>
      <c r="F175" s="309" t="inlineStr">
        <is>
          <t>High</t>
        </is>
      </c>
      <c r="G175" s="309" t="n">
        <v>1</v>
      </c>
    </row>
    <row r="176">
      <c r="A176" s="309" t="inlineStr">
        <is>
          <t>RL7-CNV-114-ZSS-03</t>
        </is>
      </c>
      <c r="B176" s="309" t="inlineStr">
        <is>
          <t>DG7003</t>
        </is>
      </c>
      <c r="C176" s="309" t="inlineStr">
        <is>
          <t>Matched</t>
        </is>
      </c>
      <c r="D176" s="309" t="inlineStr">
        <is>
          <t>RL7-CNV-114-ZSS03</t>
        </is>
      </c>
      <c r="E176" s="310" t="n">
        <v>0.99</v>
      </c>
      <c r="F176" s="309" t="inlineStr">
        <is>
          <t>High</t>
        </is>
      </c>
      <c r="G176" s="309" t="n">
        <v>1</v>
      </c>
    </row>
    <row r="177">
      <c r="A177" s="309" t="inlineStr">
        <is>
          <t>RL7-CNV-114-ZSS-05</t>
        </is>
      </c>
      <c r="B177" s="309" t="inlineStr">
        <is>
          <t>DG7003</t>
        </is>
      </c>
      <c r="C177" s="309" t="inlineStr">
        <is>
          <t>Matched</t>
        </is>
      </c>
      <c r="D177" s="309" t="inlineStr">
        <is>
          <t>RL7-CNV-114-ZSS05</t>
        </is>
      </c>
      <c r="E177" s="310" t="n">
        <v>0.99</v>
      </c>
      <c r="F177" s="309" t="inlineStr">
        <is>
          <t>High</t>
        </is>
      </c>
      <c r="G177" s="309" t="n">
        <v>1</v>
      </c>
    </row>
    <row r="178">
      <c r="A178" s="309" t="inlineStr">
        <is>
          <t>RL7-CNV-114-ZSS-05</t>
        </is>
      </c>
      <c r="B178" s="309" t="inlineStr">
        <is>
          <t>DG7003</t>
        </is>
      </c>
      <c r="C178" s="309" t="inlineStr">
        <is>
          <t>Matched</t>
        </is>
      </c>
      <c r="D178" s="309" t="inlineStr">
        <is>
          <t>RL7-CNV-114-ZSS05</t>
        </is>
      </c>
      <c r="E178" s="310" t="n">
        <v>0.99</v>
      </c>
      <c r="F178" s="309" t="inlineStr">
        <is>
          <t>High</t>
        </is>
      </c>
      <c r="G178" s="309" t="n">
        <v>1</v>
      </c>
    </row>
    <row r="179">
      <c r="A179" s="309" t="inlineStr">
        <is>
          <t>RL7-CNV-113-ZSS-01</t>
        </is>
      </c>
      <c r="B179" s="309" t="inlineStr">
        <is>
          <t>DG7003</t>
        </is>
      </c>
      <c r="C179" s="309" t="inlineStr">
        <is>
          <t>Matched</t>
        </is>
      </c>
      <c r="D179" s="309" t="inlineStr">
        <is>
          <t>RL7-CNV-113-ZSS01</t>
        </is>
      </c>
      <c r="E179" s="310" t="n">
        <v>0.99</v>
      </c>
      <c r="F179" s="309" t="inlineStr">
        <is>
          <t>High</t>
        </is>
      </c>
      <c r="G179" s="309" t="n">
        <v>1</v>
      </c>
    </row>
    <row r="180">
      <c r="A180" s="309" t="inlineStr">
        <is>
          <t>RL7-CNV-113-ZSS-01</t>
        </is>
      </c>
      <c r="B180" s="309" t="inlineStr">
        <is>
          <t>DG7003</t>
        </is>
      </c>
      <c r="C180" s="309" t="inlineStr">
        <is>
          <t>Matched</t>
        </is>
      </c>
      <c r="D180" s="309" t="inlineStr">
        <is>
          <t>RL7-CNV-113-ZSS01</t>
        </is>
      </c>
      <c r="E180" s="310" t="n">
        <v>0.99</v>
      </c>
      <c r="F180" s="309" t="inlineStr">
        <is>
          <t>High</t>
        </is>
      </c>
      <c r="G180" s="309" t="n">
        <v>1</v>
      </c>
    </row>
    <row r="181">
      <c r="A181" s="309" t="inlineStr">
        <is>
          <t>RL7-CNV-114-ZSC-06</t>
        </is>
      </c>
      <c r="B181" s="309" t="inlineStr">
        <is>
          <t>DG7003</t>
        </is>
      </c>
      <c r="C181" s="309" t="inlineStr">
        <is>
          <t>Matched</t>
        </is>
      </c>
      <c r="D181" s="309" t="inlineStr">
        <is>
          <t>RL7-CNV-114-ZSC06</t>
        </is>
      </c>
      <c r="E181" s="310" t="n">
        <v>0.99</v>
      </c>
      <c r="F181" s="309" t="inlineStr">
        <is>
          <t>High</t>
        </is>
      </c>
      <c r="G181" s="309" t="n">
        <v>1</v>
      </c>
    </row>
    <row r="182">
      <c r="A182" s="309" t="inlineStr">
        <is>
          <t>RL7-CNV-114-ZSC-05</t>
        </is>
      </c>
      <c r="B182" s="309" t="inlineStr">
        <is>
          <t>DG7003</t>
        </is>
      </c>
      <c r="C182" s="309" t="inlineStr">
        <is>
          <t>Matched</t>
        </is>
      </c>
      <c r="D182" s="309" t="inlineStr">
        <is>
          <t>RL7-CNV-114-ZSC05</t>
        </is>
      </c>
      <c r="E182" s="310" t="n">
        <v>0.99</v>
      </c>
      <c r="F182" s="309" t="inlineStr">
        <is>
          <t>High</t>
        </is>
      </c>
      <c r="G182" s="309" t="n">
        <v>1</v>
      </c>
    </row>
    <row r="183">
      <c r="A183" s="309" t="inlineStr">
        <is>
          <t>RL7-CNV-114-ZSC-01</t>
        </is>
      </c>
      <c r="B183" s="309" t="inlineStr">
        <is>
          <t>DG7003</t>
        </is>
      </c>
      <c r="C183" s="309" t="inlineStr">
        <is>
          <t>Matched</t>
        </is>
      </c>
      <c r="D183" s="309" t="inlineStr">
        <is>
          <t>RL7-CNV-114-ZSC01</t>
        </is>
      </c>
      <c r="E183" s="310" t="n">
        <v>0.99</v>
      </c>
      <c r="F183" s="309" t="inlineStr">
        <is>
          <t>High</t>
        </is>
      </c>
      <c r="G183" s="309" t="n">
        <v>1</v>
      </c>
    </row>
    <row r="184">
      <c r="A184" s="309" t="inlineStr">
        <is>
          <t>RL7-CNV-114-ZSC-02</t>
        </is>
      </c>
      <c r="B184" s="309" t="inlineStr">
        <is>
          <t>DG7003</t>
        </is>
      </c>
      <c r="C184" s="309" t="inlineStr">
        <is>
          <t>Matched</t>
        </is>
      </c>
      <c r="D184" s="309" t="inlineStr">
        <is>
          <t>RL7-CNV-114-ZSC02</t>
        </is>
      </c>
      <c r="E184" s="310" t="n">
        <v>0.99</v>
      </c>
      <c r="F184" s="309" t="inlineStr">
        <is>
          <t>High</t>
        </is>
      </c>
      <c r="G184" s="309" t="n">
        <v>1</v>
      </c>
    </row>
    <row r="185">
      <c r="A185" s="309" t="inlineStr">
        <is>
          <t>RL7-CNV-114-ZSC-04</t>
        </is>
      </c>
      <c r="B185" s="309" t="inlineStr">
        <is>
          <t>DG7003</t>
        </is>
      </c>
      <c r="C185" s="309" t="inlineStr">
        <is>
          <t>Matched</t>
        </is>
      </c>
      <c r="D185" s="309" t="inlineStr">
        <is>
          <t>RL7-CNV-114-ZSC04</t>
        </is>
      </c>
      <c r="E185" s="310" t="n">
        <v>0.99</v>
      </c>
      <c r="F185" s="309" t="inlineStr">
        <is>
          <t>High</t>
        </is>
      </c>
      <c r="G185" s="309" t="n">
        <v>1</v>
      </c>
    </row>
    <row r="186">
      <c r="A186" s="309" t="inlineStr">
        <is>
          <t>RL7-CNV-114-ZSC-03</t>
        </is>
      </c>
      <c r="B186" s="309" t="inlineStr">
        <is>
          <t>DG7003</t>
        </is>
      </c>
      <c r="C186" s="309" t="inlineStr">
        <is>
          <t>Matched</t>
        </is>
      </c>
      <c r="D186" s="309" t="inlineStr">
        <is>
          <t>RL7-CNV-114-ZSC03</t>
        </is>
      </c>
      <c r="E186" s="310" t="n">
        <v>0.99</v>
      </c>
      <c r="F186" s="309" t="inlineStr">
        <is>
          <t>High</t>
        </is>
      </c>
      <c r="G186" s="309" t="n">
        <v>1</v>
      </c>
    </row>
    <row r="187">
      <c r="A187" s="309" t="inlineStr">
        <is>
          <t>RL7-CNV-114-XY-101</t>
        </is>
      </c>
      <c r="B187" s="309" t="inlineStr">
        <is>
          <t>DG7003</t>
        </is>
      </c>
      <c r="C187" s="309" t="inlineStr">
        <is>
          <t>Matched</t>
        </is>
      </c>
      <c r="D187" s="309" t="inlineStr">
        <is>
          <t>RL7-CNV-114-XY101</t>
        </is>
      </c>
      <c r="E187" s="310" t="n">
        <v>0.99</v>
      </c>
      <c r="F187" s="309" t="inlineStr">
        <is>
          <t>High</t>
        </is>
      </c>
      <c r="G187" s="309" t="n">
        <v>1</v>
      </c>
    </row>
    <row r="188">
      <c r="A188" s="309" t="inlineStr">
        <is>
          <t>RL7-CNV-114-XY-102</t>
        </is>
      </c>
      <c r="B188" s="309" t="inlineStr">
        <is>
          <t>DG7003</t>
        </is>
      </c>
      <c r="C188" s="309" t="inlineStr">
        <is>
          <t>Matched</t>
        </is>
      </c>
      <c r="D188" s="309" t="inlineStr">
        <is>
          <t>RL7-CNV-114-XY102</t>
        </is>
      </c>
      <c r="E188" s="310" t="n">
        <v>0.99</v>
      </c>
      <c r="F188" s="309" t="inlineStr">
        <is>
          <t>High</t>
        </is>
      </c>
      <c r="G188" s="309" t="n">
        <v>1</v>
      </c>
    </row>
    <row r="189">
      <c r="A189" s="309" t="inlineStr">
        <is>
          <t>RL7-CNV-113-XY-01</t>
        </is>
      </c>
      <c r="B189" s="309" t="inlineStr">
        <is>
          <t>DG7003</t>
        </is>
      </c>
      <c r="C189" s="309" t="inlineStr">
        <is>
          <t>Matched</t>
        </is>
      </c>
      <c r="D189" s="309" t="inlineStr">
        <is>
          <t>RL7-CNV-113-XY01</t>
        </is>
      </c>
      <c r="E189" s="310" t="n">
        <v>0.99</v>
      </c>
      <c r="F189" s="309" t="inlineStr">
        <is>
          <t>High</t>
        </is>
      </c>
      <c r="G189" s="309" t="n">
        <v>1</v>
      </c>
    </row>
    <row r="190">
      <c r="A190" s="309" t="inlineStr">
        <is>
          <t>RL7-CNV-114-XY-08</t>
        </is>
      </c>
      <c r="B190" s="309" t="inlineStr">
        <is>
          <t>DG7003</t>
        </is>
      </c>
      <c r="C190" s="309" t="inlineStr">
        <is>
          <t>Matched</t>
        </is>
      </c>
      <c r="D190" s="309" t="inlineStr">
        <is>
          <t>RL7-CNV-114-XY08</t>
        </is>
      </c>
      <c r="E190" s="310" t="n">
        <v>0.99</v>
      </c>
      <c r="F190" s="309" t="inlineStr">
        <is>
          <t>High</t>
        </is>
      </c>
      <c r="G190" s="309" t="n">
        <v>1</v>
      </c>
    </row>
    <row r="191">
      <c r="A191" s="308" t="inlineStr">
        <is>
          <t>RL7-CNV-114.M2</t>
        </is>
      </c>
      <c r="B191" s="308" t="inlineStr">
        <is>
          <t>DG7003</t>
        </is>
      </c>
      <c r="C191" s="308" t="inlineStr">
        <is>
          <t>Skipped - unrecognized tag</t>
        </is>
      </c>
      <c r="D191" s="308" t="inlineStr"/>
      <c r="E191" s="308" t="inlineStr"/>
      <c r="F191" s="308" t="inlineStr">
        <is>
          <t>Low</t>
        </is>
      </c>
      <c r="G191" s="308" t="n">
        <v>0</v>
      </c>
    </row>
    <row r="192">
      <c r="A192" s="309" t="inlineStr">
        <is>
          <t>RL7-CNV-115-ZSS-01</t>
        </is>
      </c>
      <c r="B192" s="309" t="inlineStr">
        <is>
          <t>DG7004</t>
        </is>
      </c>
      <c r="C192" s="309" t="inlineStr">
        <is>
          <t>Matched</t>
        </is>
      </c>
      <c r="D192" s="309" t="inlineStr">
        <is>
          <t>RL7-CNV-115-ZSS01</t>
        </is>
      </c>
      <c r="E192" s="310" t="n">
        <v>0.99</v>
      </c>
      <c r="F192" s="309" t="inlineStr">
        <is>
          <t>High</t>
        </is>
      </c>
      <c r="G192" s="309" t="n">
        <v>1</v>
      </c>
    </row>
    <row r="193">
      <c r="A193" s="309" t="inlineStr">
        <is>
          <t>RL7-CNV-115-ZSS-01</t>
        </is>
      </c>
      <c r="B193" s="309" t="inlineStr">
        <is>
          <t>DG7004</t>
        </is>
      </c>
      <c r="C193" s="309" t="inlineStr">
        <is>
          <t>Matched</t>
        </is>
      </c>
      <c r="D193" s="309" t="inlineStr">
        <is>
          <t>RL7-CNV-115-ZSS01</t>
        </is>
      </c>
      <c r="E193" s="310" t="n">
        <v>0.99</v>
      </c>
      <c r="F193" s="309" t="inlineStr">
        <is>
          <t>High</t>
        </is>
      </c>
      <c r="G193" s="309" t="n">
        <v>1</v>
      </c>
    </row>
    <row r="194">
      <c r="A194" s="309" t="inlineStr">
        <is>
          <t>RL7-CNV-115-PB-01</t>
        </is>
      </c>
      <c r="B194" s="309" t="inlineStr">
        <is>
          <t>DG7004</t>
        </is>
      </c>
      <c r="C194" s="309" t="inlineStr">
        <is>
          <t>Matched</t>
        </is>
      </c>
      <c r="D194" s="309" t="inlineStr">
        <is>
          <t>RL7-CNV-115-PB01</t>
        </is>
      </c>
      <c r="E194" s="310" t="n">
        <v>0.99</v>
      </c>
      <c r="F194" s="309" t="inlineStr">
        <is>
          <t>High</t>
        </is>
      </c>
      <c r="G194" s="309" t="n">
        <v>1</v>
      </c>
    </row>
    <row r="195">
      <c r="A195" s="309" t="inlineStr">
        <is>
          <t>RL7-CNV-115-PB-01</t>
        </is>
      </c>
      <c r="B195" s="309" t="inlineStr">
        <is>
          <t>DG7004</t>
        </is>
      </c>
      <c r="C195" s="309" t="inlineStr">
        <is>
          <t>Matched</t>
        </is>
      </c>
      <c r="D195" s="309" t="inlineStr">
        <is>
          <t>RL7-CNV-115-PB01</t>
        </is>
      </c>
      <c r="E195" s="310" t="n">
        <v>0.99</v>
      </c>
      <c r="F195" s="309" t="inlineStr">
        <is>
          <t>High</t>
        </is>
      </c>
      <c r="G195" s="309" t="n">
        <v>1</v>
      </c>
    </row>
    <row r="196">
      <c r="A196" s="309" t="inlineStr">
        <is>
          <t>RL7-CNV-106-ZSS-04</t>
        </is>
      </c>
      <c r="B196" s="309" t="inlineStr">
        <is>
          <t>DG7004</t>
        </is>
      </c>
      <c r="C196" s="309" t="inlineStr">
        <is>
          <t>Matched</t>
        </is>
      </c>
      <c r="D196" s="309" t="inlineStr">
        <is>
          <t>RL7-CNV-106-ZSS04</t>
        </is>
      </c>
      <c r="E196" s="310" t="n">
        <v>0.99</v>
      </c>
      <c r="F196" s="309" t="inlineStr">
        <is>
          <t>High</t>
        </is>
      </c>
      <c r="G196" s="309" t="n">
        <v>1</v>
      </c>
    </row>
    <row r="197">
      <c r="A197" s="309" t="inlineStr">
        <is>
          <t>RL7-CNV-106-ZSS-04</t>
        </is>
      </c>
      <c r="B197" s="309" t="inlineStr">
        <is>
          <t>DG7004</t>
        </is>
      </c>
      <c r="C197" s="309" t="inlineStr">
        <is>
          <t>Matched</t>
        </is>
      </c>
      <c r="D197" s="309" t="inlineStr">
        <is>
          <t>RL7-CNV-106-ZSS04</t>
        </is>
      </c>
      <c r="E197" s="310" t="n">
        <v>0.99</v>
      </c>
      <c r="F197" s="309" t="inlineStr">
        <is>
          <t>High</t>
        </is>
      </c>
      <c r="G197" s="309" t="n">
        <v>1</v>
      </c>
    </row>
    <row r="198">
      <c r="A198" s="309" t="inlineStr">
        <is>
          <t>RL7-CNV-106-ZSS-01</t>
        </is>
      </c>
      <c r="B198" s="309" t="inlineStr">
        <is>
          <t>DG7004</t>
        </is>
      </c>
      <c r="C198" s="309" t="inlineStr">
        <is>
          <t>Matched</t>
        </is>
      </c>
      <c r="D198" s="309" t="inlineStr">
        <is>
          <t>RL7-CNV-106-ZSS01</t>
        </is>
      </c>
      <c r="E198" s="310" t="n">
        <v>0.99</v>
      </c>
      <c r="F198" s="309" t="inlineStr">
        <is>
          <t>High</t>
        </is>
      </c>
      <c r="G198" s="309" t="n">
        <v>1</v>
      </c>
    </row>
    <row r="199">
      <c r="A199" s="309" t="inlineStr">
        <is>
          <t>RL7-CNV-106-ZSS-01</t>
        </is>
      </c>
      <c r="B199" s="309" t="inlineStr">
        <is>
          <t>DG7004</t>
        </is>
      </c>
      <c r="C199" s="309" t="inlineStr">
        <is>
          <t>Matched</t>
        </is>
      </c>
      <c r="D199" s="309" t="inlineStr">
        <is>
          <t>RL7-CNV-106-ZSS01</t>
        </is>
      </c>
      <c r="E199" s="310" t="n">
        <v>0.99</v>
      </c>
      <c r="F199" s="309" t="inlineStr">
        <is>
          <t>High</t>
        </is>
      </c>
      <c r="G199" s="309" t="n">
        <v>1</v>
      </c>
    </row>
    <row r="200">
      <c r="A200" s="309" t="inlineStr">
        <is>
          <t>RL7-CNV-106-ZSS-02</t>
        </is>
      </c>
      <c r="B200" s="309" t="inlineStr">
        <is>
          <t>DG7004</t>
        </is>
      </c>
      <c r="C200" s="309" t="inlineStr">
        <is>
          <t>Matched</t>
        </is>
      </c>
      <c r="D200" s="309" t="inlineStr">
        <is>
          <t>RL7-CNV-106-ZSS02</t>
        </is>
      </c>
      <c r="E200" s="310" t="n">
        <v>0.99</v>
      </c>
      <c r="F200" s="309" t="inlineStr">
        <is>
          <t>High</t>
        </is>
      </c>
      <c r="G200" s="309" t="n">
        <v>1</v>
      </c>
    </row>
    <row r="201">
      <c r="A201" s="309" t="inlineStr">
        <is>
          <t>RL7-CNV-106-ZSS-02</t>
        </is>
      </c>
      <c r="B201" s="309" t="inlineStr">
        <is>
          <t>DG7004</t>
        </is>
      </c>
      <c r="C201" s="309" t="inlineStr">
        <is>
          <t>Matched</t>
        </is>
      </c>
      <c r="D201" s="309" t="inlineStr">
        <is>
          <t>RL7-CNV-106-ZSS02</t>
        </is>
      </c>
      <c r="E201" s="310" t="n">
        <v>0.99</v>
      </c>
      <c r="F201" s="309" t="inlineStr">
        <is>
          <t>High</t>
        </is>
      </c>
      <c r="G201" s="309" t="n">
        <v>1</v>
      </c>
    </row>
    <row r="202">
      <c r="A202" s="309" t="inlineStr">
        <is>
          <t>RL7-CNV-106-ZSS-03</t>
        </is>
      </c>
      <c r="B202" s="309" t="inlineStr">
        <is>
          <t>DG7004</t>
        </is>
      </c>
      <c r="C202" s="309" t="inlineStr">
        <is>
          <t>Matched</t>
        </is>
      </c>
      <c r="D202" s="309" t="inlineStr">
        <is>
          <t>RL7-CNV-106-ZSS03</t>
        </is>
      </c>
      <c r="E202" s="310" t="n">
        <v>0.99</v>
      </c>
      <c r="F202" s="309" t="inlineStr">
        <is>
          <t>High</t>
        </is>
      </c>
      <c r="G202" s="309" t="n">
        <v>1</v>
      </c>
    </row>
    <row r="203">
      <c r="A203" s="309" t="inlineStr">
        <is>
          <t>RL7-CNV-106-ZSS-03</t>
        </is>
      </c>
      <c r="B203" s="309" t="inlineStr">
        <is>
          <t>DG7004</t>
        </is>
      </c>
      <c r="C203" s="309" t="inlineStr">
        <is>
          <t>Matched</t>
        </is>
      </c>
      <c r="D203" s="309" t="inlineStr">
        <is>
          <t>RL7-CNV-106-ZSS03</t>
        </is>
      </c>
      <c r="E203" s="310" t="n">
        <v>0.99</v>
      </c>
      <c r="F203" s="309" t="inlineStr">
        <is>
          <t>High</t>
        </is>
      </c>
      <c r="G203" s="309" t="n">
        <v>1</v>
      </c>
    </row>
    <row r="204">
      <c r="A204" s="308" t="inlineStr">
        <is>
          <t>RL7-CNV-106-ZSC-06</t>
        </is>
      </c>
      <c r="B204" s="308" t="inlineStr">
        <is>
          <t>DG7004</t>
        </is>
      </c>
      <c r="C204" s="308" t="inlineStr">
        <is>
          <t>Matched</t>
        </is>
      </c>
      <c r="D204" s="308" t="inlineStr">
        <is>
          <t>RL7-CNV-106-ZSC06</t>
        </is>
      </c>
      <c r="E204" s="311" t="n">
        <v>0.7600000000000001</v>
      </c>
      <c r="F204" s="308" t="inlineStr">
        <is>
          <t>Medium</t>
        </is>
      </c>
      <c r="G204" s="308" t="n">
        <v>1</v>
      </c>
    </row>
    <row r="205">
      <c r="A205" s="309" t="inlineStr">
        <is>
          <t>RL7-CNV-106-ZSC-03</t>
        </is>
      </c>
      <c r="B205" s="309" t="inlineStr">
        <is>
          <t>DG7004</t>
        </is>
      </c>
      <c r="C205" s="309" t="inlineStr">
        <is>
          <t>Matched</t>
        </is>
      </c>
      <c r="D205" s="309" t="inlineStr">
        <is>
          <t>RL7-CNV-106-ZSC03</t>
        </is>
      </c>
      <c r="E205" s="310" t="n">
        <v>0.99</v>
      </c>
      <c r="F205" s="309" t="inlineStr">
        <is>
          <t>High</t>
        </is>
      </c>
      <c r="G205" s="309" t="n">
        <v>1</v>
      </c>
    </row>
    <row r="206">
      <c r="A206" s="309" t="inlineStr">
        <is>
          <t>RL7-CNV-106-ZSC-05</t>
        </is>
      </c>
      <c r="B206" s="309" t="inlineStr">
        <is>
          <t>DG7004</t>
        </is>
      </c>
      <c r="C206" s="309" t="inlineStr">
        <is>
          <t>Matched</t>
        </is>
      </c>
      <c r="D206" s="309" t="inlineStr">
        <is>
          <t>RL7-CNV-106-ZSC05</t>
        </is>
      </c>
      <c r="E206" s="310" t="n">
        <v>0.99</v>
      </c>
      <c r="F206" s="309" t="inlineStr">
        <is>
          <t>High</t>
        </is>
      </c>
      <c r="G206" s="309" t="n">
        <v>1</v>
      </c>
    </row>
    <row r="207">
      <c r="A207" s="309" t="inlineStr">
        <is>
          <t>RL7-CNV-106-ZSC-04</t>
        </is>
      </c>
      <c r="B207" s="309" t="inlineStr">
        <is>
          <t>DG7004</t>
        </is>
      </c>
      <c r="C207" s="309" t="inlineStr">
        <is>
          <t>Matched</t>
        </is>
      </c>
      <c r="D207" s="309" t="inlineStr">
        <is>
          <t>RL7-CNV-106-ZSC04</t>
        </is>
      </c>
      <c r="E207" s="310" t="n">
        <v>0.99</v>
      </c>
      <c r="F207" s="309" t="inlineStr">
        <is>
          <t>High</t>
        </is>
      </c>
      <c r="G207" s="309" t="n">
        <v>1</v>
      </c>
    </row>
    <row r="208">
      <c r="A208" s="309" t="inlineStr">
        <is>
          <t>RL7-CNV-106-ZSC-01</t>
        </is>
      </c>
      <c r="B208" s="309" t="inlineStr">
        <is>
          <t>DG7004</t>
        </is>
      </c>
      <c r="C208" s="309" t="inlineStr">
        <is>
          <t>Matched</t>
        </is>
      </c>
      <c r="D208" s="309" t="inlineStr">
        <is>
          <t>RL7-CNV-106-ZSC01</t>
        </is>
      </c>
      <c r="E208" s="310" t="n">
        <v>0.99</v>
      </c>
      <c r="F208" s="309" t="inlineStr">
        <is>
          <t>High</t>
        </is>
      </c>
      <c r="G208" s="309" t="n">
        <v>1</v>
      </c>
    </row>
    <row r="209">
      <c r="A209" s="309" t="inlineStr">
        <is>
          <t>RL7-CNV-106-ZSC-02</t>
        </is>
      </c>
      <c r="B209" s="309" t="inlineStr">
        <is>
          <t>DG7004</t>
        </is>
      </c>
      <c r="C209" s="309" t="inlineStr">
        <is>
          <t>Matched</t>
        </is>
      </c>
      <c r="D209" s="309" t="inlineStr">
        <is>
          <t>RL7-CNV-106-ZSC02</t>
        </is>
      </c>
      <c r="E209" s="310" t="n">
        <v>0.99</v>
      </c>
      <c r="F209" s="309" t="inlineStr">
        <is>
          <t>High</t>
        </is>
      </c>
      <c r="G209" s="309" t="n">
        <v>1</v>
      </c>
    </row>
    <row r="210">
      <c r="A210" s="308" t="inlineStr">
        <is>
          <t>RL7-GRR-101-LSL-01</t>
        </is>
      </c>
      <c r="B210" s="308" t="inlineStr">
        <is>
          <t>DG7004</t>
        </is>
      </c>
      <c r="C210" s="308" t="inlineStr">
        <is>
          <t>Not found in PDF</t>
        </is>
      </c>
      <c r="D210" s="308" t="inlineStr">
        <is>
          <t>RL7-GRR-101-LSL01</t>
        </is>
      </c>
      <c r="E210" s="308" t="inlineStr"/>
      <c r="F210" s="308" t="inlineStr">
        <is>
          <t>Low</t>
        </is>
      </c>
      <c r="G210" s="308" t="n">
        <v>0</v>
      </c>
    </row>
    <row r="211">
      <c r="A211" s="308" t="inlineStr">
        <is>
          <t>RL7-GRR-101-LSH-01</t>
        </is>
      </c>
      <c r="B211" s="308" t="inlineStr">
        <is>
          <t>DG7004</t>
        </is>
      </c>
      <c r="C211" s="308" t="inlineStr">
        <is>
          <t>Not found in PDF</t>
        </is>
      </c>
      <c r="D211" s="308" t="inlineStr">
        <is>
          <t>RL7-GRR-101-LSH01</t>
        </is>
      </c>
      <c r="E211" s="308" t="inlineStr"/>
      <c r="F211" s="308" t="inlineStr">
        <is>
          <t>Low</t>
        </is>
      </c>
      <c r="G211" s="308" t="n">
        <v>0</v>
      </c>
    </row>
    <row r="212">
      <c r="A212" s="309" t="inlineStr">
        <is>
          <t>RL7-CNV-106-XY-101</t>
        </is>
      </c>
      <c r="B212" s="309" t="inlineStr">
        <is>
          <t>DG7004</t>
        </is>
      </c>
      <c r="C212" s="309" t="inlineStr">
        <is>
          <t>Matched</t>
        </is>
      </c>
      <c r="D212" s="309" t="inlineStr">
        <is>
          <t>RL7-CNV-106-XY101</t>
        </is>
      </c>
      <c r="E212" s="310" t="n">
        <v>0.99</v>
      </c>
      <c r="F212" s="309" t="inlineStr">
        <is>
          <t>High</t>
        </is>
      </c>
      <c r="G212" s="309" t="n">
        <v>1</v>
      </c>
    </row>
    <row r="213">
      <c r="A213" s="309" t="inlineStr">
        <is>
          <t>RL7-CNV-106-XY-102</t>
        </is>
      </c>
      <c r="B213" s="309" t="inlineStr">
        <is>
          <t>DG7004</t>
        </is>
      </c>
      <c r="C213" s="309" t="inlineStr">
        <is>
          <t>Matched</t>
        </is>
      </c>
      <c r="D213" s="309" t="inlineStr">
        <is>
          <t>RL7-CNV-106-XY102</t>
        </is>
      </c>
      <c r="E213" s="310" t="n">
        <v>0.99</v>
      </c>
      <c r="F213" s="309" t="inlineStr">
        <is>
          <t>High</t>
        </is>
      </c>
      <c r="G213" s="309" t="n">
        <v>1</v>
      </c>
    </row>
    <row r="214">
      <c r="A214" s="309" t="inlineStr">
        <is>
          <t>RL7-CNV-106-XY-08</t>
        </is>
      </c>
      <c r="B214" s="309" t="inlineStr">
        <is>
          <t>DG7004</t>
        </is>
      </c>
      <c r="C214" s="309" t="inlineStr">
        <is>
          <t>Matched</t>
        </is>
      </c>
      <c r="D214" s="309" t="inlineStr">
        <is>
          <t>RL7-CNV-106-XY08</t>
        </is>
      </c>
      <c r="E214" s="310" t="n">
        <v>0.99</v>
      </c>
      <c r="F214" s="309" t="inlineStr">
        <is>
          <t>High</t>
        </is>
      </c>
      <c r="G214" s="309" t="n">
        <v>1</v>
      </c>
    </row>
    <row r="215">
      <c r="A215" s="308" t="inlineStr">
        <is>
          <t>RL7-GRR-101.M1</t>
        </is>
      </c>
      <c r="B215" s="308" t="inlineStr">
        <is>
          <t>DG7004</t>
        </is>
      </c>
      <c r="C215" s="308" t="inlineStr">
        <is>
          <t>Skipped - unrecognized tag</t>
        </is>
      </c>
      <c r="D215" s="308" t="inlineStr"/>
      <c r="E215" s="308" t="inlineStr"/>
      <c r="F215" s="308" t="inlineStr">
        <is>
          <t>Low</t>
        </is>
      </c>
      <c r="G215" s="308" t="n">
        <v>0</v>
      </c>
    </row>
    <row r="216">
      <c r="A216" s="308" t="inlineStr">
        <is>
          <t>RL7-CNV-106.M2</t>
        </is>
      </c>
      <c r="B216" s="308" t="inlineStr">
        <is>
          <t>DG7004</t>
        </is>
      </c>
      <c r="C216" s="308" t="inlineStr">
        <is>
          <t>Skipped - unrecognized tag</t>
        </is>
      </c>
      <c r="D216" s="308" t="inlineStr"/>
      <c r="E216" s="308" t="inlineStr"/>
      <c r="F216" s="308" t="inlineStr">
        <is>
          <t>Low</t>
        </is>
      </c>
      <c r="G216" s="308" t="n">
        <v>0</v>
      </c>
    </row>
    <row r="217">
      <c r="A217" s="309" t="inlineStr">
        <is>
          <t>RL7-TNK-101-PB-01</t>
        </is>
      </c>
      <c r="B217" s="309" t="inlineStr">
        <is>
          <t>DG7010</t>
        </is>
      </c>
      <c r="C217" s="309" t="inlineStr">
        <is>
          <t>Matched</t>
        </is>
      </c>
      <c r="D217" s="309" t="inlineStr">
        <is>
          <t>RL7-TNK-101-PB01</t>
        </is>
      </c>
      <c r="E217" s="310" t="n">
        <v>0.99</v>
      </c>
      <c r="F217" s="309" t="inlineStr">
        <is>
          <t>High</t>
        </is>
      </c>
      <c r="G217" s="309" t="n">
        <v>1</v>
      </c>
    </row>
    <row r="218">
      <c r="A218" s="309" t="inlineStr">
        <is>
          <t>RL7-TNK-101-PB-01</t>
        </is>
      </c>
      <c r="B218" s="309" t="inlineStr">
        <is>
          <t>DG7010</t>
        </is>
      </c>
      <c r="C218" s="309" t="inlineStr">
        <is>
          <t>Matched</t>
        </is>
      </c>
      <c r="D218" s="309" t="inlineStr">
        <is>
          <t>RL7-TNK-101-PB01</t>
        </is>
      </c>
      <c r="E218" s="310" t="n">
        <v>0.99</v>
      </c>
      <c r="F218" s="309" t="inlineStr">
        <is>
          <t>High</t>
        </is>
      </c>
      <c r="G218" s="309" t="n">
        <v>1</v>
      </c>
    </row>
    <row r="219">
      <c r="A219" s="309" t="inlineStr">
        <is>
          <t>RL7-DRM-101-PB-01</t>
        </is>
      </c>
      <c r="B219" s="309" t="inlineStr">
        <is>
          <t>DG7010</t>
        </is>
      </c>
      <c r="C219" s="309" t="inlineStr">
        <is>
          <t>Matched</t>
        </is>
      </c>
      <c r="D219" s="309" t="inlineStr">
        <is>
          <t>RL7-DRM-101-PB01</t>
        </is>
      </c>
      <c r="E219" s="310" t="n">
        <v>0.99</v>
      </c>
      <c r="F219" s="309" t="inlineStr">
        <is>
          <t>High</t>
        </is>
      </c>
      <c r="G219" s="309" t="n">
        <v>1</v>
      </c>
    </row>
    <row r="220">
      <c r="A220" s="309" t="inlineStr">
        <is>
          <t>RL7-DRM-101-PB-01</t>
        </is>
      </c>
      <c r="B220" s="309" t="inlineStr">
        <is>
          <t>DG7010</t>
        </is>
      </c>
      <c r="C220" s="309" t="inlineStr">
        <is>
          <t>Matched</t>
        </is>
      </c>
      <c r="D220" s="309" t="inlineStr">
        <is>
          <t>RL7-DRM-101-PB01</t>
        </is>
      </c>
      <c r="E220" s="310" t="n">
        <v>0.99</v>
      </c>
      <c r="F220" s="309" t="inlineStr">
        <is>
          <t>High</t>
        </is>
      </c>
      <c r="G220" s="309" t="n">
        <v>1</v>
      </c>
    </row>
    <row r="221">
      <c r="A221" s="309" t="inlineStr">
        <is>
          <t>RL7-DRM-101-ZSS-01</t>
        </is>
      </c>
      <c r="B221" s="309" t="inlineStr">
        <is>
          <t>DG7010</t>
        </is>
      </c>
      <c r="C221" s="309" t="inlineStr">
        <is>
          <t>Matched</t>
        </is>
      </c>
      <c r="D221" s="309" t="inlineStr">
        <is>
          <t>RL7-DRM-101-ZSS01</t>
        </is>
      </c>
      <c r="E221" s="310" t="n">
        <v>0.99</v>
      </c>
      <c r="F221" s="309" t="inlineStr">
        <is>
          <t>High</t>
        </is>
      </c>
      <c r="G221" s="309" t="n">
        <v>1</v>
      </c>
    </row>
    <row r="222">
      <c r="A222" s="309" t="inlineStr">
        <is>
          <t>RL7-DRM-101-ZSS-01</t>
        </is>
      </c>
      <c r="B222" s="309" t="inlineStr">
        <is>
          <t>DG7010</t>
        </is>
      </c>
      <c r="C222" s="309" t="inlineStr">
        <is>
          <t>Matched</t>
        </is>
      </c>
      <c r="D222" s="309" t="inlineStr">
        <is>
          <t>RL7-DRM-101-ZSS01</t>
        </is>
      </c>
      <c r="E222" s="310" t="n">
        <v>0.99</v>
      </c>
      <c r="F222" s="309" t="inlineStr">
        <is>
          <t>High</t>
        </is>
      </c>
      <c r="G222" s="309" t="n">
        <v>1</v>
      </c>
    </row>
    <row r="223">
      <c r="A223" s="309" t="inlineStr">
        <is>
          <t>RL7-TNK-101-ZSO-01</t>
        </is>
      </c>
      <c r="B223" s="309" t="inlineStr">
        <is>
          <t>DG7010</t>
        </is>
      </c>
      <c r="C223" s="309" t="inlineStr">
        <is>
          <t>Matched</t>
        </is>
      </c>
      <c r="D223" s="309" t="inlineStr">
        <is>
          <t>RL7-TNK-101-ZSO01</t>
        </is>
      </c>
      <c r="E223" s="310" t="n">
        <v>0.99</v>
      </c>
      <c r="F223" s="309" t="inlineStr">
        <is>
          <t>High</t>
        </is>
      </c>
      <c r="G223" s="309" t="n">
        <v>1</v>
      </c>
    </row>
    <row r="224">
      <c r="A224" s="309" t="inlineStr">
        <is>
          <t>RL7-TNK-101-ZSC-01</t>
        </is>
      </c>
      <c r="B224" s="309" t="inlineStr">
        <is>
          <t>DG7010</t>
        </is>
      </c>
      <c r="C224" s="309" t="inlineStr">
        <is>
          <t>Matched</t>
        </is>
      </c>
      <c r="D224" s="309" t="inlineStr">
        <is>
          <t>RL7-TNK-101-ZSC01</t>
        </is>
      </c>
      <c r="E224" s="310" t="n">
        <v>0.99</v>
      </c>
      <c r="F224" s="309" t="inlineStr">
        <is>
          <t>High</t>
        </is>
      </c>
      <c r="G224" s="309" t="n">
        <v>1</v>
      </c>
    </row>
    <row r="225">
      <c r="A225" s="309" t="inlineStr">
        <is>
          <t>RL7-TNK-101-ZSO-02</t>
        </is>
      </c>
      <c r="B225" s="309" t="inlineStr">
        <is>
          <t>DG7010</t>
        </is>
      </c>
      <c r="C225" s="309" t="inlineStr">
        <is>
          <t>Matched</t>
        </is>
      </c>
      <c r="D225" s="309" t="inlineStr">
        <is>
          <t>RL7-TNK-101-ZSO02</t>
        </is>
      </c>
      <c r="E225" s="310" t="n">
        <v>0.99</v>
      </c>
      <c r="F225" s="309" t="inlineStr">
        <is>
          <t>High</t>
        </is>
      </c>
      <c r="G225" s="309" t="n">
        <v>1</v>
      </c>
    </row>
    <row r="226">
      <c r="A226" s="309" t="inlineStr">
        <is>
          <t>RL7-TNK-101-ZSC-02</t>
        </is>
      </c>
      <c r="B226" s="309" t="inlineStr">
        <is>
          <t>DG7010</t>
        </is>
      </c>
      <c r="C226" s="309" t="inlineStr">
        <is>
          <t>Matched</t>
        </is>
      </c>
      <c r="D226" s="309" t="inlineStr">
        <is>
          <t>RL7-TNK-101-ZSC02</t>
        </is>
      </c>
      <c r="E226" s="310" t="n">
        <v>0.99</v>
      </c>
      <c r="F226" s="309" t="inlineStr">
        <is>
          <t>High</t>
        </is>
      </c>
      <c r="G226" s="309" t="n">
        <v>1</v>
      </c>
    </row>
    <row r="227">
      <c r="A227" s="309" t="inlineStr">
        <is>
          <t>RL7-TNK-101-ZSO-03</t>
        </is>
      </c>
      <c r="B227" s="309" t="inlineStr">
        <is>
          <t>DG7010</t>
        </is>
      </c>
      <c r="C227" s="309" t="inlineStr">
        <is>
          <t>Matched</t>
        </is>
      </c>
      <c r="D227" s="309" t="inlineStr">
        <is>
          <t>RL7-TNK-101-ZSO03</t>
        </is>
      </c>
      <c r="E227" s="310" t="n">
        <v>0.99</v>
      </c>
      <c r="F227" s="309" t="inlineStr">
        <is>
          <t>High</t>
        </is>
      </c>
      <c r="G227" s="309" t="n">
        <v>1</v>
      </c>
    </row>
    <row r="228">
      <c r="A228" s="309" t="inlineStr">
        <is>
          <t>RL7-TNK-101-ZSC-03</t>
        </is>
      </c>
      <c r="B228" s="309" t="inlineStr">
        <is>
          <t>DG7010</t>
        </is>
      </c>
      <c r="C228" s="309" t="inlineStr">
        <is>
          <t>Matched</t>
        </is>
      </c>
      <c r="D228" s="309" t="inlineStr">
        <is>
          <t>RL7-TNK-101-ZSC03</t>
        </is>
      </c>
      <c r="E228" s="310" t="n">
        <v>0.99</v>
      </c>
      <c r="F228" s="309" t="inlineStr">
        <is>
          <t>High</t>
        </is>
      </c>
      <c r="G228" s="309" t="n">
        <v>1</v>
      </c>
    </row>
    <row r="229">
      <c r="A229" s="309" t="inlineStr">
        <is>
          <t>RL7-SKD-101-ZSO-01</t>
        </is>
      </c>
      <c r="B229" s="309" t="inlineStr">
        <is>
          <t>DG7010</t>
        </is>
      </c>
      <c r="C229" s="309" t="inlineStr">
        <is>
          <t>Matched</t>
        </is>
      </c>
      <c r="D229" s="309" t="inlineStr">
        <is>
          <t>RL7-SKD-101-ZSO01</t>
        </is>
      </c>
      <c r="E229" s="310" t="n">
        <v>0.99</v>
      </c>
      <c r="F229" s="309" t="inlineStr">
        <is>
          <t>High</t>
        </is>
      </c>
      <c r="G229" s="309" t="n">
        <v>1</v>
      </c>
    </row>
    <row r="230">
      <c r="A230" s="309" t="inlineStr">
        <is>
          <t>RL7-SKD-101-ZSC-01</t>
        </is>
      </c>
      <c r="B230" s="309" t="inlineStr">
        <is>
          <t>DG7010</t>
        </is>
      </c>
      <c r="C230" s="309" t="inlineStr">
        <is>
          <t>Matched</t>
        </is>
      </c>
      <c r="D230" s="309" t="inlineStr">
        <is>
          <t>RL7-SKD-101-ZSC01</t>
        </is>
      </c>
      <c r="E230" s="310" t="n">
        <v>0.99</v>
      </c>
      <c r="F230" s="309" t="inlineStr">
        <is>
          <t>High</t>
        </is>
      </c>
      <c r="G230" s="309" t="n">
        <v>1</v>
      </c>
    </row>
    <row r="231">
      <c r="A231" s="309" t="inlineStr">
        <is>
          <t>RL7-DRM-101-PB-02</t>
        </is>
      </c>
      <c r="B231" s="309" t="inlineStr">
        <is>
          <t>DG7010</t>
        </is>
      </c>
      <c r="C231" s="309" t="inlineStr">
        <is>
          <t>Matched</t>
        </is>
      </c>
      <c r="D231" s="309" t="inlineStr">
        <is>
          <t>RL7-DRM-101-PB02</t>
        </is>
      </c>
      <c r="E231" s="310" t="n">
        <v>0.99</v>
      </c>
      <c r="F231" s="309" t="inlineStr">
        <is>
          <t>High</t>
        </is>
      </c>
      <c r="G231" s="309" t="n">
        <v>1</v>
      </c>
    </row>
    <row r="232">
      <c r="A232" s="309" t="inlineStr">
        <is>
          <t>RL7-DRM-101-PB-03</t>
        </is>
      </c>
      <c r="B232" s="309" t="inlineStr">
        <is>
          <t>DG7010</t>
        </is>
      </c>
      <c r="C232" s="309" t="inlineStr">
        <is>
          <t>Matched</t>
        </is>
      </c>
      <c r="D232" s="309" t="inlineStr">
        <is>
          <t>RL7-DRM-101-PB03</t>
        </is>
      </c>
      <c r="E232" s="310" t="n">
        <v>0.99</v>
      </c>
      <c r="F232" s="309" t="inlineStr">
        <is>
          <t>High</t>
        </is>
      </c>
      <c r="G232" s="309" t="n">
        <v>1</v>
      </c>
    </row>
    <row r="233">
      <c r="A233" s="309" t="inlineStr">
        <is>
          <t>RL7-DRM-101-PSL-01</t>
        </is>
      </c>
      <c r="B233" s="309" t="inlineStr">
        <is>
          <t>DG7010</t>
        </is>
      </c>
      <c r="C233" s="309" t="inlineStr">
        <is>
          <t>Matched</t>
        </is>
      </c>
      <c r="D233" s="309" t="inlineStr">
        <is>
          <t>RL7-DRM-101-PSL01</t>
        </is>
      </c>
      <c r="E233" s="310" t="n">
        <v>0.99</v>
      </c>
      <c r="F233" s="309" t="inlineStr">
        <is>
          <t>High</t>
        </is>
      </c>
      <c r="G233" s="309" t="n">
        <v>1</v>
      </c>
    </row>
    <row r="234">
      <c r="A234" s="309" t="inlineStr">
        <is>
          <t>RL7-DRM-101-PSL-02</t>
        </is>
      </c>
      <c r="B234" s="309" t="inlineStr">
        <is>
          <t>DG7010</t>
        </is>
      </c>
      <c r="C234" s="309" t="inlineStr">
        <is>
          <t>Matched</t>
        </is>
      </c>
      <c r="D234" s="309" t="inlineStr">
        <is>
          <t>RL7-DRM-101-PSL02</t>
        </is>
      </c>
      <c r="E234" s="310" t="n">
        <v>0.99</v>
      </c>
      <c r="F234" s="309" t="inlineStr">
        <is>
          <t>High</t>
        </is>
      </c>
      <c r="G234" s="309" t="n">
        <v>1</v>
      </c>
    </row>
    <row r="235">
      <c r="A235" s="309" t="inlineStr">
        <is>
          <t>RL7-DRM-101-ZSC-06</t>
        </is>
      </c>
      <c r="B235" s="309" t="inlineStr">
        <is>
          <t>DG7010</t>
        </is>
      </c>
      <c r="C235" s="309" t="inlineStr">
        <is>
          <t>Matched</t>
        </is>
      </c>
      <c r="D235" s="309" t="inlineStr">
        <is>
          <t>RL7-DRM-101-ZSC06</t>
        </is>
      </c>
      <c r="E235" s="310" t="n">
        <v>0.99</v>
      </c>
      <c r="F235" s="309" t="inlineStr">
        <is>
          <t>High</t>
        </is>
      </c>
      <c r="G235" s="309" t="n">
        <v>1</v>
      </c>
    </row>
    <row r="236">
      <c r="A236" s="309" t="inlineStr">
        <is>
          <t>RL7-DRM-101-ZSC-07</t>
        </is>
      </c>
      <c r="B236" s="309" t="inlineStr">
        <is>
          <t>DG7010</t>
        </is>
      </c>
      <c r="C236" s="309" t="inlineStr">
        <is>
          <t>Matched</t>
        </is>
      </c>
      <c r="D236" s="309" t="inlineStr">
        <is>
          <t>RL7-DRM-101-ZSC07</t>
        </is>
      </c>
      <c r="E236" s="310" t="n">
        <v>0.99</v>
      </c>
      <c r="F236" s="309" t="inlineStr">
        <is>
          <t>High</t>
        </is>
      </c>
      <c r="G236" s="309" t="n">
        <v>1</v>
      </c>
    </row>
    <row r="237">
      <c r="A237" s="309" t="inlineStr">
        <is>
          <t>RL7-DRM-101-ZSC-08</t>
        </is>
      </c>
      <c r="B237" s="309" t="inlineStr">
        <is>
          <t>DG7010</t>
        </is>
      </c>
      <c r="C237" s="309" t="inlineStr">
        <is>
          <t>Matched</t>
        </is>
      </c>
      <c r="D237" s="309" t="inlineStr">
        <is>
          <t>RL7-DRM-101-ZSC08</t>
        </is>
      </c>
      <c r="E237" s="310" t="n">
        <v>0.99</v>
      </c>
      <c r="F237" s="309" t="inlineStr">
        <is>
          <t>High</t>
        </is>
      </c>
      <c r="G237" s="309" t="n">
        <v>1</v>
      </c>
    </row>
    <row r="238">
      <c r="A238" s="309" t="inlineStr">
        <is>
          <t>RL7-DRM-101-ZSC-09</t>
        </is>
      </c>
      <c r="B238" s="309" t="inlineStr">
        <is>
          <t>DG7010</t>
        </is>
      </c>
      <c r="C238" s="309" t="inlineStr">
        <is>
          <t>Matched</t>
        </is>
      </c>
      <c r="D238" s="309" t="inlineStr">
        <is>
          <t>RL7-DRM-101-ZSC09</t>
        </is>
      </c>
      <c r="E238" s="310" t="n">
        <v>0.99</v>
      </c>
      <c r="F238" s="309" t="inlineStr">
        <is>
          <t>High</t>
        </is>
      </c>
      <c r="G238" s="309" t="n">
        <v>1</v>
      </c>
    </row>
    <row r="239">
      <c r="A239" s="309" t="inlineStr">
        <is>
          <t>RL7-DRM-101-ZSC-10</t>
        </is>
      </c>
      <c r="B239" s="309" t="inlineStr">
        <is>
          <t>DG7010</t>
        </is>
      </c>
      <c r="C239" s="309" t="inlineStr">
        <is>
          <t>Matched</t>
        </is>
      </c>
      <c r="D239" s="309" t="inlineStr">
        <is>
          <t>RL7-DRM-101-ZSC10</t>
        </is>
      </c>
      <c r="E239" s="310" t="n">
        <v>0.99</v>
      </c>
      <c r="F239" s="309" t="inlineStr">
        <is>
          <t>High</t>
        </is>
      </c>
      <c r="G239" s="309" t="n">
        <v>1</v>
      </c>
    </row>
    <row r="240">
      <c r="A240" s="309" t="inlineStr">
        <is>
          <t>RL7-DRM-101-ZSC-11</t>
        </is>
      </c>
      <c r="B240" s="309" t="inlineStr">
        <is>
          <t>DG7010</t>
        </is>
      </c>
      <c r="C240" s="309" t="inlineStr">
        <is>
          <t>Matched</t>
        </is>
      </c>
      <c r="D240" s="309" t="inlineStr">
        <is>
          <t>RL7-DRM-101-ZSC11</t>
        </is>
      </c>
      <c r="E240" s="310" t="n">
        <v>0.99</v>
      </c>
      <c r="F240" s="309" t="inlineStr">
        <is>
          <t>High</t>
        </is>
      </c>
      <c r="G240" s="309" t="n">
        <v>1</v>
      </c>
    </row>
    <row r="241">
      <c r="A241" s="308" t="inlineStr">
        <is>
          <t>RL7-TNK-101-PBL-01</t>
        </is>
      </c>
      <c r="B241" s="308" t="inlineStr">
        <is>
          <t>DG7010</t>
        </is>
      </c>
      <c r="C241" s="308" t="inlineStr">
        <is>
          <t>Not found in PDF</t>
        </is>
      </c>
      <c r="D241" s="308" t="inlineStr">
        <is>
          <t>RL7-TNK-101-PBL01</t>
        </is>
      </c>
      <c r="E241" s="308" t="inlineStr"/>
      <c r="F241" s="308" t="inlineStr">
        <is>
          <t>Low</t>
        </is>
      </c>
      <c r="G241" s="308" t="n">
        <v>0</v>
      </c>
    </row>
    <row r="242">
      <c r="A242" s="309" t="inlineStr">
        <is>
          <t>RL7-TNK-101-XV-02</t>
        </is>
      </c>
      <c r="B242" s="309" t="inlineStr">
        <is>
          <t>DG7010</t>
        </is>
      </c>
      <c r="C242" s="309" t="inlineStr">
        <is>
          <t>Matched</t>
        </is>
      </c>
      <c r="D242" s="309" t="inlineStr">
        <is>
          <t>RL7-TNK-101-XV02</t>
        </is>
      </c>
      <c r="E242" s="310" t="n">
        <v>0.99</v>
      </c>
      <c r="F242" s="309" t="inlineStr">
        <is>
          <t>High</t>
        </is>
      </c>
      <c r="G242" s="309" t="n">
        <v>1</v>
      </c>
    </row>
    <row r="243">
      <c r="A243" s="309" t="inlineStr">
        <is>
          <t>RL7-TNK-101-XV-01</t>
        </is>
      </c>
      <c r="B243" s="309" t="inlineStr">
        <is>
          <t>DG7010</t>
        </is>
      </c>
      <c r="C243" s="309" t="inlineStr">
        <is>
          <t>Matched</t>
        </is>
      </c>
      <c r="D243" s="309" t="inlineStr">
        <is>
          <t>RL7-TNK-101-XV01</t>
        </is>
      </c>
      <c r="E243" s="310" t="n">
        <v>0.99</v>
      </c>
      <c r="F243" s="309" t="inlineStr">
        <is>
          <t>High</t>
        </is>
      </c>
      <c r="G243" s="309" t="n">
        <v>1</v>
      </c>
    </row>
    <row r="244">
      <c r="A244" s="309" t="inlineStr">
        <is>
          <t>RL7-TNK-101-XV-03</t>
        </is>
      </c>
      <c r="B244" s="309" t="inlineStr">
        <is>
          <t>DG7010</t>
        </is>
      </c>
      <c r="C244" s="309" t="inlineStr">
        <is>
          <t>Matched</t>
        </is>
      </c>
      <c r="D244" s="309" t="inlineStr">
        <is>
          <t>RL7-TNK-101-XV03</t>
        </is>
      </c>
      <c r="E244" s="310" t="n">
        <v>0.99</v>
      </c>
      <c r="F244" s="309" t="inlineStr">
        <is>
          <t>High</t>
        </is>
      </c>
      <c r="G244" s="309" t="n">
        <v>1</v>
      </c>
    </row>
    <row r="245">
      <c r="A245" s="308" t="inlineStr">
        <is>
          <t>RL7-TNK-101-XV-04</t>
        </is>
      </c>
      <c r="B245" s="308" t="inlineStr">
        <is>
          <t>DG7010</t>
        </is>
      </c>
      <c r="C245" s="308" t="inlineStr">
        <is>
          <t>Not found in PDF</t>
        </is>
      </c>
      <c r="D245" s="308" t="inlineStr">
        <is>
          <t>RL7-TNK-101-XV04</t>
        </is>
      </c>
      <c r="E245" s="308" t="inlineStr"/>
      <c r="F245" s="308" t="inlineStr">
        <is>
          <t>Low</t>
        </is>
      </c>
      <c r="G245" s="308" t="n">
        <v>0</v>
      </c>
    </row>
    <row r="246">
      <c r="A246" s="309" t="inlineStr">
        <is>
          <t>RL7-DRM-101-AH-01</t>
        </is>
      </c>
      <c r="B246" s="309" t="inlineStr">
        <is>
          <t>DG7010</t>
        </is>
      </c>
      <c r="C246" s="309" t="inlineStr">
        <is>
          <t>Matched</t>
        </is>
      </c>
      <c r="D246" s="309" t="inlineStr">
        <is>
          <t>RL7-DRM-101-AH01</t>
        </is>
      </c>
      <c r="E246" s="310" t="n">
        <v>0.99</v>
      </c>
      <c r="F246" s="309" t="inlineStr">
        <is>
          <t>High</t>
        </is>
      </c>
      <c r="G246" s="309" t="n">
        <v>1</v>
      </c>
    </row>
    <row r="247">
      <c r="A247" s="309" t="inlineStr">
        <is>
          <t>RL7-DRM-101-PL-01R</t>
        </is>
      </c>
      <c r="B247" s="309" t="inlineStr">
        <is>
          <t>DG7010</t>
        </is>
      </c>
      <c r="C247" s="309" t="inlineStr">
        <is>
          <t>Matched</t>
        </is>
      </c>
      <c r="D247" s="309" t="inlineStr">
        <is>
          <t>RL7-DRM-101-PL01R</t>
        </is>
      </c>
      <c r="E247" s="310" t="n">
        <v>0.99</v>
      </c>
      <c r="F247" s="309" t="inlineStr">
        <is>
          <t>High</t>
        </is>
      </c>
      <c r="G247" s="309" t="n">
        <v>1</v>
      </c>
    </row>
    <row r="248">
      <c r="A248" s="309" t="inlineStr">
        <is>
          <t>RL7-DRM-101-PL-01Y</t>
        </is>
      </c>
      <c r="B248" s="309" t="inlineStr">
        <is>
          <t>DG7010</t>
        </is>
      </c>
      <c r="C248" s="309" t="inlineStr">
        <is>
          <t>Matched</t>
        </is>
      </c>
      <c r="D248" s="309" t="inlineStr">
        <is>
          <t>RL7-DRM-101-PL01Y</t>
        </is>
      </c>
      <c r="E248" s="310" t="n">
        <v>0.99</v>
      </c>
      <c r="F248" s="309" t="inlineStr">
        <is>
          <t>High</t>
        </is>
      </c>
      <c r="G248" s="309" t="n">
        <v>1</v>
      </c>
    </row>
    <row r="249">
      <c r="A249" s="309" t="inlineStr">
        <is>
          <t>RL7-DRM-101-PL-01G</t>
        </is>
      </c>
      <c r="B249" s="309" t="inlineStr">
        <is>
          <t>DG7010</t>
        </is>
      </c>
      <c r="C249" s="309" t="inlineStr">
        <is>
          <t>Matched</t>
        </is>
      </c>
      <c r="D249" s="309" t="inlineStr">
        <is>
          <t>RL7-DRM-101-PL01G</t>
        </is>
      </c>
      <c r="E249" s="310" t="n">
        <v>0.99</v>
      </c>
      <c r="F249" s="309" t="inlineStr">
        <is>
          <t>High</t>
        </is>
      </c>
      <c r="G249" s="309" t="n">
        <v>1</v>
      </c>
    </row>
    <row r="250">
      <c r="A250" s="309" t="inlineStr">
        <is>
          <t>RL7-DRM-101-PBL-02</t>
        </is>
      </c>
      <c r="B250" s="309" t="inlineStr">
        <is>
          <t>DG7010</t>
        </is>
      </c>
      <c r="C250" s="309" t="inlineStr">
        <is>
          <t>Matched</t>
        </is>
      </c>
      <c r="D250" s="309" t="inlineStr">
        <is>
          <t>RL7-DRM-101-PBL02</t>
        </is>
      </c>
      <c r="E250" s="310" t="n">
        <v>0.99</v>
      </c>
      <c r="F250" s="309" t="inlineStr">
        <is>
          <t>High</t>
        </is>
      </c>
      <c r="G250" s="309" t="n">
        <v>1</v>
      </c>
    </row>
    <row r="251">
      <c r="A251" s="309" t="inlineStr">
        <is>
          <t>RL7-DRM-101-PBL-03</t>
        </is>
      </c>
      <c r="B251" s="309" t="inlineStr">
        <is>
          <t>DG7010</t>
        </is>
      </c>
      <c r="C251" s="309" t="inlineStr">
        <is>
          <t>Matched</t>
        </is>
      </c>
      <c r="D251" s="309" t="inlineStr">
        <is>
          <t>RL7-DRM-101-PBL03</t>
        </is>
      </c>
      <c r="E251" s="310" t="n">
        <v>0.99</v>
      </c>
      <c r="F251" s="309" t="inlineStr">
        <is>
          <t>High</t>
        </is>
      </c>
      <c r="G251" s="309" t="n">
        <v>1</v>
      </c>
    </row>
    <row r="252">
      <c r="A252" s="309" t="inlineStr">
        <is>
          <t>RL7-DRM-101-XY-06</t>
        </is>
      </c>
      <c r="B252" s="309" t="inlineStr">
        <is>
          <t>DG7010</t>
        </is>
      </c>
      <c r="C252" s="309" t="inlineStr">
        <is>
          <t>Matched</t>
        </is>
      </c>
      <c r="D252" s="309" t="inlineStr">
        <is>
          <t>RL7-DRM-101-XY06</t>
        </is>
      </c>
      <c r="E252" s="310" t="n">
        <v>0.99</v>
      </c>
      <c r="F252" s="309" t="inlineStr">
        <is>
          <t>High</t>
        </is>
      </c>
      <c r="G252" s="309" t="n">
        <v>1</v>
      </c>
    </row>
    <row r="253">
      <c r="A253" s="309" t="inlineStr">
        <is>
          <t>RL7-DRM-101-XY-07</t>
        </is>
      </c>
      <c r="B253" s="309" t="inlineStr">
        <is>
          <t>DG7010</t>
        </is>
      </c>
      <c r="C253" s="309" t="inlineStr">
        <is>
          <t>Matched</t>
        </is>
      </c>
      <c r="D253" s="309" t="inlineStr">
        <is>
          <t>RL7-DRM-101-XY07</t>
        </is>
      </c>
      <c r="E253" s="310" t="n">
        <v>0.99</v>
      </c>
      <c r="F253" s="309" t="inlineStr">
        <is>
          <t>High</t>
        </is>
      </c>
      <c r="G253" s="309" t="n">
        <v>1</v>
      </c>
    </row>
    <row r="254">
      <c r="A254" s="309" t="inlineStr">
        <is>
          <t>RL7-DRM-101-XY-08</t>
        </is>
      </c>
      <c r="B254" s="309" t="inlineStr">
        <is>
          <t>DG7010</t>
        </is>
      </c>
      <c r="C254" s="309" t="inlineStr">
        <is>
          <t>Matched</t>
        </is>
      </c>
      <c r="D254" s="309" t="inlineStr">
        <is>
          <t>RL7-DRM-101-XY08</t>
        </is>
      </c>
      <c r="E254" s="310" t="n">
        <v>0.99</v>
      </c>
      <c r="F254" s="309" t="inlineStr">
        <is>
          <t>High</t>
        </is>
      </c>
      <c r="G254" s="309" t="n">
        <v>1</v>
      </c>
    </row>
    <row r="255">
      <c r="A255" s="309" t="inlineStr">
        <is>
          <t>RL7-DRM-101-XY-09</t>
        </is>
      </c>
      <c r="B255" s="309" t="inlineStr">
        <is>
          <t>DG7010</t>
        </is>
      </c>
      <c r="C255" s="309" t="inlineStr">
        <is>
          <t>Matched</t>
        </is>
      </c>
      <c r="D255" s="309" t="inlineStr">
        <is>
          <t>RL7-DRM-101-XY09</t>
        </is>
      </c>
      <c r="E255" s="310" t="n">
        <v>0.99</v>
      </c>
      <c r="F255" s="309" t="inlineStr">
        <is>
          <t>High</t>
        </is>
      </c>
      <c r="G255" s="309" t="n">
        <v>1</v>
      </c>
    </row>
    <row r="256">
      <c r="A256" s="309" t="inlineStr">
        <is>
          <t>RL7-DRM-101-XY-10</t>
        </is>
      </c>
      <c r="B256" s="309" t="inlineStr">
        <is>
          <t>DG7010</t>
        </is>
      </c>
      <c r="C256" s="309" t="inlineStr">
        <is>
          <t>Matched</t>
        </is>
      </c>
      <c r="D256" s="309" t="inlineStr">
        <is>
          <t>RL7-DRM-101-XY10</t>
        </is>
      </c>
      <c r="E256" s="310" t="n">
        <v>0.99</v>
      </c>
      <c r="F256" s="309" t="inlineStr">
        <is>
          <t>High</t>
        </is>
      </c>
      <c r="G256" s="309" t="n">
        <v>1</v>
      </c>
    </row>
    <row r="257">
      <c r="A257" s="309" t="inlineStr">
        <is>
          <t>RL7-DRM-101-XY-01B</t>
        </is>
      </c>
      <c r="B257" s="309" t="inlineStr">
        <is>
          <t>DG7010</t>
        </is>
      </c>
      <c r="C257" s="309" t="inlineStr">
        <is>
          <t>Matched</t>
        </is>
      </c>
      <c r="D257" s="309" t="inlineStr">
        <is>
          <t>RL7-DRM-101-XY01B</t>
        </is>
      </c>
      <c r="E257" s="310" t="n">
        <v>0.99</v>
      </c>
      <c r="F257" s="309" t="inlineStr">
        <is>
          <t>High</t>
        </is>
      </c>
      <c r="G257" s="309" t="n">
        <v>1</v>
      </c>
    </row>
    <row r="258">
      <c r="A258" s="309" t="inlineStr">
        <is>
          <t>RL7-DRM-101-XY-01A</t>
        </is>
      </c>
      <c r="B258" s="309" t="inlineStr">
        <is>
          <t>DG7010</t>
        </is>
      </c>
      <c r="C258" s="309" t="inlineStr">
        <is>
          <t>Matched</t>
        </is>
      </c>
      <c r="D258" s="309" t="inlineStr">
        <is>
          <t>RL7-DRM-101-XY01A</t>
        </is>
      </c>
      <c r="E258" s="310" t="n">
        <v>0.99</v>
      </c>
      <c r="F258" s="309" t="inlineStr">
        <is>
          <t>High</t>
        </is>
      </c>
      <c r="G258" s="309" t="n">
        <v>1</v>
      </c>
    </row>
    <row r="259">
      <c r="A259" s="309" t="inlineStr">
        <is>
          <t>RL7-DRM-101-XY-02B</t>
        </is>
      </c>
      <c r="B259" s="309" t="inlineStr">
        <is>
          <t>DG7010</t>
        </is>
      </c>
      <c r="C259" s="309" t="inlineStr">
        <is>
          <t>Matched</t>
        </is>
      </c>
      <c r="D259" s="309" t="inlineStr">
        <is>
          <t>RL7-DRM-101-XY02B</t>
        </is>
      </c>
      <c r="E259" s="310" t="n">
        <v>0.99</v>
      </c>
      <c r="F259" s="309" t="inlineStr">
        <is>
          <t>High</t>
        </is>
      </c>
      <c r="G259" s="309" t="n">
        <v>1</v>
      </c>
    </row>
    <row r="260">
      <c r="A260" s="309" t="inlineStr">
        <is>
          <t>RL7-DRM-101-XY-02A</t>
        </is>
      </c>
      <c r="B260" s="309" t="inlineStr">
        <is>
          <t>DG7010</t>
        </is>
      </c>
      <c r="C260" s="309" t="inlineStr">
        <is>
          <t>Matched</t>
        </is>
      </c>
      <c r="D260" s="309" t="inlineStr">
        <is>
          <t>RL7-DRM-101-XY02A</t>
        </is>
      </c>
      <c r="E260" s="310" t="n">
        <v>0.99</v>
      </c>
      <c r="F260" s="309" t="inlineStr">
        <is>
          <t>High</t>
        </is>
      </c>
      <c r="G260" s="309" t="n">
        <v>1</v>
      </c>
    </row>
    <row r="261">
      <c r="A261" s="309" t="inlineStr">
        <is>
          <t>RL7-DRM-101-XY-03</t>
        </is>
      </c>
      <c r="B261" s="309" t="inlineStr">
        <is>
          <t>DG7010</t>
        </is>
      </c>
      <c r="C261" s="309" t="inlineStr">
        <is>
          <t>Matched</t>
        </is>
      </c>
      <c r="D261" s="309" t="inlineStr">
        <is>
          <t>RL7-DRM-101-XY03</t>
        </is>
      </c>
      <c r="E261" s="310" t="n">
        <v>0.99</v>
      </c>
      <c r="F261" s="309" t="inlineStr">
        <is>
          <t>High</t>
        </is>
      </c>
      <c r="G261" s="309" t="n">
        <v>1</v>
      </c>
    </row>
    <row r="262">
      <c r="A262" s="309" t="inlineStr">
        <is>
          <t>RL7-TNK-101-FVI-02</t>
        </is>
      </c>
      <c r="B262" s="309" t="inlineStr">
        <is>
          <t>DG7010</t>
        </is>
      </c>
      <c r="C262" s="309" t="inlineStr">
        <is>
          <t>Matched</t>
        </is>
      </c>
      <c r="D262" s="309" t="inlineStr">
        <is>
          <t>RL7-TNK-101-FVI02</t>
        </is>
      </c>
      <c r="E262" s="310" t="n">
        <v>0.99</v>
      </c>
      <c r="F262" s="309" t="inlineStr">
        <is>
          <t>High</t>
        </is>
      </c>
      <c r="G262" s="309" t="n">
        <v>1</v>
      </c>
    </row>
    <row r="263">
      <c r="A263" s="309" t="inlineStr">
        <is>
          <t>RL7-TNK-101-FIT-02</t>
        </is>
      </c>
      <c r="B263" s="309" t="inlineStr">
        <is>
          <t>DG7010</t>
        </is>
      </c>
      <c r="C263" s="309" t="inlineStr">
        <is>
          <t>Matched</t>
        </is>
      </c>
      <c r="D263" s="309" t="inlineStr">
        <is>
          <t>RL7-TNK-101-FIT02</t>
        </is>
      </c>
      <c r="E263" s="310" t="n">
        <v>0.99</v>
      </c>
      <c r="F263" s="309" t="inlineStr">
        <is>
          <t>High</t>
        </is>
      </c>
      <c r="G263" s="309" t="n">
        <v>1</v>
      </c>
    </row>
    <row r="264">
      <c r="A264" s="309" t="inlineStr">
        <is>
          <t>RL7-TNK-101-FCV-02</t>
        </is>
      </c>
      <c r="B264" s="309" t="inlineStr">
        <is>
          <t>DG7010</t>
        </is>
      </c>
      <c r="C264" s="309" t="inlineStr">
        <is>
          <t>Matched</t>
        </is>
      </c>
      <c r="D264" s="309" t="inlineStr">
        <is>
          <t>RL7-TNK-101-FCV02</t>
        </is>
      </c>
      <c r="E264" s="310" t="n">
        <v>0.99</v>
      </c>
      <c r="F264" s="309" t="inlineStr">
        <is>
          <t>High</t>
        </is>
      </c>
      <c r="G264" s="309" t="n">
        <v>1</v>
      </c>
    </row>
    <row r="265">
      <c r="A265" s="308" t="inlineStr">
        <is>
          <t>RL7-LINE-PBL-01</t>
        </is>
      </c>
      <c r="B265" s="308" t="inlineStr">
        <is>
          <t>DG7010</t>
        </is>
      </c>
      <c r="C265" s="308" t="inlineStr">
        <is>
          <t>Not found in PDF</t>
        </is>
      </c>
      <c r="D265" s="308" t="inlineStr">
        <is>
          <t>RL7-LINE-PBL01</t>
        </is>
      </c>
      <c r="E265" s="308" t="inlineStr"/>
      <c r="F265" s="308" t="inlineStr">
        <is>
          <t>Low</t>
        </is>
      </c>
      <c r="G265" s="308" t="n">
        <v>0</v>
      </c>
    </row>
    <row r="266">
      <c r="A266" s="308" t="inlineStr">
        <is>
          <t>RL7-LINE-AH-01</t>
        </is>
      </c>
      <c r="B266" s="308" t="inlineStr">
        <is>
          <t>DG7010</t>
        </is>
      </c>
      <c r="C266" s="308" t="inlineStr">
        <is>
          <t>Matched - block fallback</t>
        </is>
      </c>
      <c r="D266" s="308" t="inlineStr">
        <is>
          <t>RL7-LINE-AH01</t>
        </is>
      </c>
      <c r="E266" s="311" t="n">
        <v>0.8100000000000001</v>
      </c>
      <c r="F266" s="308" t="inlineStr">
        <is>
          <t>Medium</t>
        </is>
      </c>
      <c r="G266" s="308" t="n">
        <v>1</v>
      </c>
    </row>
    <row r="267">
      <c r="A267" s="308" t="inlineStr">
        <is>
          <t>RL7-LINE-PL-01R</t>
        </is>
      </c>
      <c r="B267" s="308" t="inlineStr">
        <is>
          <t>DG7010</t>
        </is>
      </c>
      <c r="C267" s="308" t="inlineStr">
        <is>
          <t>Matched - block fallback</t>
        </is>
      </c>
      <c r="D267" s="308" t="inlineStr">
        <is>
          <t>RL7-LINE-PL01R</t>
        </is>
      </c>
      <c r="E267" s="311" t="n">
        <v>0.8100000000000001</v>
      </c>
      <c r="F267" s="308" t="inlineStr">
        <is>
          <t>Medium</t>
        </is>
      </c>
      <c r="G267" s="308" t="n">
        <v>1</v>
      </c>
    </row>
    <row r="268">
      <c r="A268" s="308" t="inlineStr">
        <is>
          <t>RL7-LINE-PL-01Y</t>
        </is>
      </c>
      <c r="B268" s="308" t="inlineStr">
        <is>
          <t>DG7010</t>
        </is>
      </c>
      <c r="C268" s="308" t="inlineStr">
        <is>
          <t>Matched - block fallback</t>
        </is>
      </c>
      <c r="D268" s="308" t="inlineStr">
        <is>
          <t>RL7-LINE-PL01Y</t>
        </is>
      </c>
      <c r="E268" s="311" t="n">
        <v>0.8100000000000001</v>
      </c>
      <c r="F268" s="308" t="inlineStr">
        <is>
          <t>Medium</t>
        </is>
      </c>
      <c r="G268" s="308" t="n">
        <v>1</v>
      </c>
    </row>
    <row r="269">
      <c r="A269" s="308" t="inlineStr">
        <is>
          <t>RL7-LINE-PL-01G</t>
        </is>
      </c>
      <c r="B269" s="308" t="inlineStr">
        <is>
          <t>DG7010</t>
        </is>
      </c>
      <c r="C269" s="308" t="inlineStr">
        <is>
          <t>Matched - block fallback</t>
        </is>
      </c>
      <c r="D269" s="308" t="inlineStr">
        <is>
          <t>RL7-LINE-PL01G</t>
        </is>
      </c>
      <c r="E269" s="311" t="n">
        <v>0.8100000000000001</v>
      </c>
      <c r="F269" s="308" t="inlineStr">
        <is>
          <t>Medium</t>
        </is>
      </c>
      <c r="G269" s="308" t="n">
        <v>1</v>
      </c>
    </row>
    <row r="270">
      <c r="A270" s="309" t="inlineStr">
        <is>
          <t>RL7-TNK-101-FVI-01</t>
        </is>
      </c>
      <c r="B270" s="309" t="inlineStr">
        <is>
          <t>DG7010</t>
        </is>
      </c>
      <c r="C270" s="309" t="inlineStr">
        <is>
          <t>Matched</t>
        </is>
      </c>
      <c r="D270" s="309" t="inlineStr">
        <is>
          <t>RL7-TNK-101-FVI01</t>
        </is>
      </c>
      <c r="E270" s="310" t="n">
        <v>0.99</v>
      </c>
      <c r="F270" s="309" t="inlineStr">
        <is>
          <t>High</t>
        </is>
      </c>
      <c r="G270" s="309" t="n">
        <v>1</v>
      </c>
    </row>
    <row r="271">
      <c r="A271" s="309" t="inlineStr">
        <is>
          <t>RL7-TNK-101-FIT-01</t>
        </is>
      </c>
      <c r="B271" s="309" t="inlineStr">
        <is>
          <t>DG7010</t>
        </is>
      </c>
      <c r="C271" s="309" t="inlineStr">
        <is>
          <t>Matched</t>
        </is>
      </c>
      <c r="D271" s="309" t="inlineStr">
        <is>
          <t>RL7-TNK-101-FIT01</t>
        </is>
      </c>
      <c r="E271" s="310" t="n">
        <v>0.99</v>
      </c>
      <c r="F271" s="309" t="inlineStr">
        <is>
          <t>High</t>
        </is>
      </c>
      <c r="G271" s="309" t="n">
        <v>1</v>
      </c>
    </row>
    <row r="272">
      <c r="A272" s="309" t="inlineStr">
        <is>
          <t>RL7-TNK-101-FCV-01</t>
        </is>
      </c>
      <c r="B272" s="309" t="inlineStr">
        <is>
          <t>DG7010</t>
        </is>
      </c>
      <c r="C272" s="309" t="inlineStr">
        <is>
          <t>Matched</t>
        </is>
      </c>
      <c r="D272" s="309" t="inlineStr">
        <is>
          <t>RL7-TNK-101-FCV01</t>
        </is>
      </c>
      <c r="E272" s="310" t="n">
        <v>0.99</v>
      </c>
      <c r="F272" s="309" t="inlineStr">
        <is>
          <t>High</t>
        </is>
      </c>
      <c r="G272" s="309" t="n">
        <v>1</v>
      </c>
    </row>
    <row r="273">
      <c r="A273" s="308" t="inlineStr">
        <is>
          <t>RL7-DRM-101.M1</t>
        </is>
      </c>
      <c r="B273" s="308" t="inlineStr">
        <is>
          <t>DG7010</t>
        </is>
      </c>
      <c r="C273" s="308" t="inlineStr">
        <is>
          <t>Skipped - unrecognized tag</t>
        </is>
      </c>
      <c r="D273" s="308" t="inlineStr"/>
      <c r="E273" s="308" t="inlineStr"/>
      <c r="F273" s="308" t="inlineStr">
        <is>
          <t>Low</t>
        </is>
      </c>
      <c r="G273" s="308" t="n">
        <v>0</v>
      </c>
    </row>
    <row r="274">
      <c r="A274" s="308" t="inlineStr">
        <is>
          <t>RL7-LINE-PB-01</t>
        </is>
      </c>
      <c r="B274" s="308" t="inlineStr">
        <is>
          <t>DG7010</t>
        </is>
      </c>
      <c r="C274" s="308" t="inlineStr">
        <is>
          <t>Matched - block fallback</t>
        </is>
      </c>
      <c r="D274" s="308" t="inlineStr">
        <is>
          <t>RL7-LINE-PB01</t>
        </is>
      </c>
      <c r="E274" s="311" t="n">
        <v>0.8100000000000001</v>
      </c>
      <c r="F274" s="308" t="inlineStr">
        <is>
          <t>Medium</t>
        </is>
      </c>
      <c r="G274" s="308" t="n">
        <v>1</v>
      </c>
    </row>
    <row r="275">
      <c r="A275" s="308" t="inlineStr">
        <is>
          <t>RL7-LINE-PB-01</t>
        </is>
      </c>
      <c r="B275" s="308" t="inlineStr">
        <is>
          <t>DG7010</t>
        </is>
      </c>
      <c r="C275" s="308" t="inlineStr">
        <is>
          <t>Matched - block fallback</t>
        </is>
      </c>
      <c r="D275" s="308" t="inlineStr">
        <is>
          <t>RL7-LINE-PB01</t>
        </is>
      </c>
      <c r="E275" s="311" t="n">
        <v>0.8100000000000001</v>
      </c>
      <c r="F275" s="308" t="inlineStr">
        <is>
          <t>Medium</t>
        </is>
      </c>
      <c r="G275" s="308" t="n">
        <v>1</v>
      </c>
    </row>
    <row r="276">
      <c r="A276" s="309" t="inlineStr">
        <is>
          <t>RL7-AGC-101-PB-01</t>
        </is>
      </c>
      <c r="B276" s="309" t="inlineStr">
        <is>
          <t>DG7011</t>
        </is>
      </c>
      <c r="C276" s="309" t="inlineStr">
        <is>
          <t>Matched</t>
        </is>
      </c>
      <c r="D276" s="309" t="inlineStr">
        <is>
          <t>RL7-AGC-101-PB01</t>
        </is>
      </c>
      <c r="E276" s="310" t="n">
        <v>0.99</v>
      </c>
      <c r="F276" s="309" t="inlineStr">
        <is>
          <t>High</t>
        </is>
      </c>
      <c r="G276" s="309" t="n">
        <v>1</v>
      </c>
    </row>
    <row r="277">
      <c r="A277" s="309" t="inlineStr">
        <is>
          <t>RL7-AGC-101-PB-01</t>
        </is>
      </c>
      <c r="B277" s="309" t="inlineStr">
        <is>
          <t>DG7011</t>
        </is>
      </c>
      <c r="C277" s="309" t="inlineStr">
        <is>
          <t>Matched</t>
        </is>
      </c>
      <c r="D277" s="309" t="inlineStr">
        <is>
          <t>RL7-AGC-101-PB01</t>
        </is>
      </c>
      <c r="E277" s="310" t="n">
        <v>0.99</v>
      </c>
      <c r="F277" s="309" t="inlineStr">
        <is>
          <t>High</t>
        </is>
      </c>
      <c r="G277" s="309" t="n">
        <v>1</v>
      </c>
    </row>
    <row r="278">
      <c r="A278" s="309" t="inlineStr">
        <is>
          <t>RL7-AGC-101-PB-02</t>
        </is>
      </c>
      <c r="B278" s="309" t="inlineStr">
        <is>
          <t>DG7011</t>
        </is>
      </c>
      <c r="C278" s="309" t="inlineStr">
        <is>
          <t>Matched</t>
        </is>
      </c>
      <c r="D278" s="309" t="inlineStr">
        <is>
          <t>RL7-AGC-101-PB02</t>
        </is>
      </c>
      <c r="E278" s="310" t="n">
        <v>0.99</v>
      </c>
      <c r="F278" s="309" t="inlineStr">
        <is>
          <t>High</t>
        </is>
      </c>
      <c r="G278" s="309" t="n">
        <v>1</v>
      </c>
    </row>
    <row r="279">
      <c r="A279" s="309" t="inlineStr">
        <is>
          <t>RL7-AGC-101-ZSS-01</t>
        </is>
      </c>
      <c r="B279" s="309" t="inlineStr">
        <is>
          <t>DG7011</t>
        </is>
      </c>
      <c r="C279" s="309" t="inlineStr">
        <is>
          <t>Matched</t>
        </is>
      </c>
      <c r="D279" s="309" t="inlineStr">
        <is>
          <t>RL7-AGC-101-ZSS01</t>
        </is>
      </c>
      <c r="E279" s="310" t="n">
        <v>0.99</v>
      </c>
      <c r="F279" s="309" t="inlineStr">
        <is>
          <t>High</t>
        </is>
      </c>
      <c r="G279" s="309" t="n">
        <v>1</v>
      </c>
    </row>
    <row r="280">
      <c r="A280" s="309" t="inlineStr">
        <is>
          <t>RL7-AGC-101-ZSS-01</t>
        </is>
      </c>
      <c r="B280" s="309" t="inlineStr">
        <is>
          <t>DG7011</t>
        </is>
      </c>
      <c r="C280" s="309" t="inlineStr">
        <is>
          <t>Matched</t>
        </is>
      </c>
      <c r="D280" s="309" t="inlineStr">
        <is>
          <t>RL7-AGC-101-ZSS01</t>
        </is>
      </c>
      <c r="E280" s="310" t="n">
        <v>0.99</v>
      </c>
      <c r="F280" s="309" t="inlineStr">
        <is>
          <t>High</t>
        </is>
      </c>
      <c r="G280" s="309" t="n">
        <v>1</v>
      </c>
    </row>
    <row r="281">
      <c r="A281" s="309" t="inlineStr">
        <is>
          <t>RL7-AGC-101-ZSS-02</t>
        </is>
      </c>
      <c r="B281" s="309" t="inlineStr">
        <is>
          <t>DG7011</t>
        </is>
      </c>
      <c r="C281" s="309" t="inlineStr">
        <is>
          <t>Matched</t>
        </is>
      </c>
      <c r="D281" s="309" t="inlineStr">
        <is>
          <t>RL7-AGC-101-ZSS02</t>
        </is>
      </c>
      <c r="E281" s="310" t="n">
        <v>0.99</v>
      </c>
      <c r="F281" s="309" t="inlineStr">
        <is>
          <t>High</t>
        </is>
      </c>
      <c r="G281" s="309" t="n">
        <v>1</v>
      </c>
    </row>
    <row r="282">
      <c r="A282" s="309" t="inlineStr">
        <is>
          <t>RL7-AGC-101-ZSS-02</t>
        </is>
      </c>
      <c r="B282" s="309" t="inlineStr">
        <is>
          <t>DG7011</t>
        </is>
      </c>
      <c r="C282" s="309" t="inlineStr">
        <is>
          <t>Matched</t>
        </is>
      </c>
      <c r="D282" s="309" t="inlineStr">
        <is>
          <t>RL7-AGC-101-ZSS02</t>
        </is>
      </c>
      <c r="E282" s="310" t="n">
        <v>0.99</v>
      </c>
      <c r="F282" s="309" t="inlineStr">
        <is>
          <t>High</t>
        </is>
      </c>
      <c r="G282" s="309" t="n">
        <v>1</v>
      </c>
    </row>
    <row r="283">
      <c r="A283" s="309" t="inlineStr">
        <is>
          <t>RL7-AGC-101-ZSS-03</t>
        </is>
      </c>
      <c r="B283" s="309" t="inlineStr">
        <is>
          <t>DG7011</t>
        </is>
      </c>
      <c r="C283" s="309" t="inlineStr">
        <is>
          <t>Matched</t>
        </is>
      </c>
      <c r="D283" s="309" t="inlineStr">
        <is>
          <t>RL7-AGC-101-ZSS03</t>
        </is>
      </c>
      <c r="E283" s="310" t="n">
        <v>0.99</v>
      </c>
      <c r="F283" s="309" t="inlineStr">
        <is>
          <t>High</t>
        </is>
      </c>
      <c r="G283" s="309" t="n">
        <v>1</v>
      </c>
    </row>
    <row r="284">
      <c r="A284" s="309" t="inlineStr">
        <is>
          <t>RL7-AGC-101-ZSS-03</t>
        </is>
      </c>
      <c r="B284" s="309" t="inlineStr">
        <is>
          <t>DG7011</t>
        </is>
      </c>
      <c r="C284" s="309" t="inlineStr">
        <is>
          <t>Matched</t>
        </is>
      </c>
      <c r="D284" s="309" t="inlineStr">
        <is>
          <t>RL7-AGC-101-ZSS03</t>
        </is>
      </c>
      <c r="E284" s="310" t="n">
        <v>0.99</v>
      </c>
      <c r="F284" s="309" t="inlineStr">
        <is>
          <t>High</t>
        </is>
      </c>
      <c r="G284" s="309" t="n">
        <v>1</v>
      </c>
    </row>
    <row r="285">
      <c r="A285" s="309" t="inlineStr">
        <is>
          <t>RL7-AGC-101-ZSS-04</t>
        </is>
      </c>
      <c r="B285" s="309" t="inlineStr">
        <is>
          <t>DG7011</t>
        </is>
      </c>
      <c r="C285" s="309" t="inlineStr">
        <is>
          <t>Matched</t>
        </is>
      </c>
      <c r="D285" s="309" t="inlineStr">
        <is>
          <t>RL7-AGC-101-ZSS04</t>
        </is>
      </c>
      <c r="E285" s="310" t="n">
        <v>0.99</v>
      </c>
      <c r="F285" s="309" t="inlineStr">
        <is>
          <t>High</t>
        </is>
      </c>
      <c r="G285" s="309" t="n">
        <v>1</v>
      </c>
    </row>
    <row r="286">
      <c r="A286" s="309" t="inlineStr">
        <is>
          <t>RL7-AGC-101-ZSS-04</t>
        </is>
      </c>
      <c r="B286" s="309" t="inlineStr">
        <is>
          <t>DG7011</t>
        </is>
      </c>
      <c r="C286" s="309" t="inlineStr">
        <is>
          <t>Matched</t>
        </is>
      </c>
      <c r="D286" s="309" t="inlineStr">
        <is>
          <t>RL7-AGC-101-ZSS04</t>
        </is>
      </c>
      <c r="E286" s="310" t="n">
        <v>0.99</v>
      </c>
      <c r="F286" s="309" t="inlineStr">
        <is>
          <t>High</t>
        </is>
      </c>
      <c r="G286" s="309" t="n">
        <v>1</v>
      </c>
    </row>
    <row r="287">
      <c r="A287" s="309" t="inlineStr">
        <is>
          <t>RL7-AGC-102-PB-01</t>
        </is>
      </c>
      <c r="B287" s="309" t="inlineStr">
        <is>
          <t>DG7011</t>
        </is>
      </c>
      <c r="C287" s="309" t="inlineStr">
        <is>
          <t>Matched</t>
        </is>
      </c>
      <c r="D287" s="309" t="inlineStr">
        <is>
          <t>RL7-AGC-102-PB01</t>
        </is>
      </c>
      <c r="E287" s="310" t="n">
        <v>0.99</v>
      </c>
      <c r="F287" s="309" t="inlineStr">
        <is>
          <t>High</t>
        </is>
      </c>
      <c r="G287" s="309" t="n">
        <v>1</v>
      </c>
    </row>
    <row r="288">
      <c r="A288" s="309" t="inlineStr">
        <is>
          <t>RL7-AGC-102-PB-01</t>
        </is>
      </c>
      <c r="B288" s="309" t="inlineStr">
        <is>
          <t>DG7011</t>
        </is>
      </c>
      <c r="C288" s="309" t="inlineStr">
        <is>
          <t>Matched</t>
        </is>
      </c>
      <c r="D288" s="309" t="inlineStr">
        <is>
          <t>RL7-AGC-102-PB01</t>
        </is>
      </c>
      <c r="E288" s="310" t="n">
        <v>0.99</v>
      </c>
      <c r="F288" s="309" t="inlineStr">
        <is>
          <t>High</t>
        </is>
      </c>
      <c r="G288" s="309" t="n">
        <v>1</v>
      </c>
    </row>
    <row r="289">
      <c r="A289" s="309" t="inlineStr">
        <is>
          <t>RL7-AGC-102-PB-02</t>
        </is>
      </c>
      <c r="B289" s="309" t="inlineStr">
        <is>
          <t>DG7011</t>
        </is>
      </c>
      <c r="C289" s="309" t="inlineStr">
        <is>
          <t>Matched</t>
        </is>
      </c>
      <c r="D289" s="309" t="inlineStr">
        <is>
          <t>RL7-AGC-102-PB02</t>
        </is>
      </c>
      <c r="E289" s="310" t="n">
        <v>0.99</v>
      </c>
      <c r="F289" s="309" t="inlineStr">
        <is>
          <t>High</t>
        </is>
      </c>
      <c r="G289" s="309" t="n">
        <v>1</v>
      </c>
    </row>
    <row r="290">
      <c r="A290" s="308" t="inlineStr">
        <is>
          <t>RL7-AGC-102-PBL-01</t>
        </is>
      </c>
      <c r="B290" s="308" t="inlineStr">
        <is>
          <t>DG7011</t>
        </is>
      </c>
      <c r="C290" s="308" t="inlineStr">
        <is>
          <t>Not found in PDF</t>
        </is>
      </c>
      <c r="D290" s="308" t="inlineStr">
        <is>
          <t>RL7-AGC-102-PBL01</t>
        </is>
      </c>
      <c r="E290" s="308" t="inlineStr"/>
      <c r="F290" s="308" t="inlineStr">
        <is>
          <t>Low</t>
        </is>
      </c>
      <c r="G290" s="308" t="n">
        <v>0</v>
      </c>
    </row>
    <row r="291">
      <c r="A291" s="309" t="inlineStr">
        <is>
          <t>RL7-AGC-102-ZSS-01</t>
        </is>
      </c>
      <c r="B291" s="309" t="inlineStr">
        <is>
          <t>DG7011</t>
        </is>
      </c>
      <c r="C291" s="309" t="inlineStr">
        <is>
          <t>Matched</t>
        </is>
      </c>
      <c r="D291" s="309" t="inlineStr">
        <is>
          <t>RL7-AGC-102-ZSS01</t>
        </is>
      </c>
      <c r="E291" s="310" t="n">
        <v>0.99</v>
      </c>
      <c r="F291" s="309" t="inlineStr">
        <is>
          <t>High</t>
        </is>
      </c>
      <c r="G291" s="309" t="n">
        <v>1</v>
      </c>
    </row>
    <row r="292">
      <c r="A292" s="309" t="inlineStr">
        <is>
          <t>RL7-AGC-102-ZSS-01</t>
        </is>
      </c>
      <c r="B292" s="309" t="inlineStr">
        <is>
          <t>DG7011</t>
        </is>
      </c>
      <c r="C292" s="309" t="inlineStr">
        <is>
          <t>Matched</t>
        </is>
      </c>
      <c r="D292" s="309" t="inlineStr">
        <is>
          <t>RL7-AGC-102-ZSS01</t>
        </is>
      </c>
      <c r="E292" s="310" t="n">
        <v>0.99</v>
      </c>
      <c r="F292" s="309" t="inlineStr">
        <is>
          <t>High</t>
        </is>
      </c>
      <c r="G292" s="309" t="n">
        <v>1</v>
      </c>
    </row>
    <row r="293">
      <c r="A293" s="309" t="inlineStr">
        <is>
          <t>RL7-AGC-102-ZSS-02</t>
        </is>
      </c>
      <c r="B293" s="309" t="inlineStr">
        <is>
          <t>DG7011</t>
        </is>
      </c>
      <c r="C293" s="309" t="inlineStr">
        <is>
          <t>Matched</t>
        </is>
      </c>
      <c r="D293" s="309" t="inlineStr">
        <is>
          <t>RL7-AGC-102-ZSS02</t>
        </is>
      </c>
      <c r="E293" s="310" t="n">
        <v>0.99</v>
      </c>
      <c r="F293" s="309" t="inlineStr">
        <is>
          <t>High</t>
        </is>
      </c>
      <c r="G293" s="309" t="n">
        <v>1</v>
      </c>
    </row>
    <row r="294">
      <c r="A294" s="309" t="inlineStr">
        <is>
          <t>RL7-AGC-102-ZSS-02</t>
        </is>
      </c>
      <c r="B294" s="309" t="inlineStr">
        <is>
          <t>DG7011</t>
        </is>
      </c>
      <c r="C294" s="309" t="inlineStr">
        <is>
          <t>Matched</t>
        </is>
      </c>
      <c r="D294" s="309" t="inlineStr">
        <is>
          <t>RL7-AGC-102-ZSS02</t>
        </is>
      </c>
      <c r="E294" s="310" t="n">
        <v>0.99</v>
      </c>
      <c r="F294" s="309" t="inlineStr">
        <is>
          <t>High</t>
        </is>
      </c>
      <c r="G294" s="309" t="n">
        <v>1</v>
      </c>
    </row>
    <row r="295">
      <c r="A295" s="309" t="inlineStr">
        <is>
          <t>RL7-AGC-102-ZSS-03</t>
        </is>
      </c>
      <c r="B295" s="309" t="inlineStr">
        <is>
          <t>DG7011</t>
        </is>
      </c>
      <c r="C295" s="309" t="inlineStr">
        <is>
          <t>Matched</t>
        </is>
      </c>
      <c r="D295" s="309" t="inlineStr">
        <is>
          <t>RL7-AGC-102-ZSS03</t>
        </is>
      </c>
      <c r="E295" s="310" t="n">
        <v>0.99</v>
      </c>
      <c r="F295" s="309" t="inlineStr">
        <is>
          <t>High</t>
        </is>
      </c>
      <c r="G295" s="309" t="n">
        <v>1</v>
      </c>
    </row>
    <row r="296">
      <c r="A296" s="309" t="inlineStr">
        <is>
          <t>RL7-AGC-102-ZSS-03</t>
        </is>
      </c>
      <c r="B296" s="309" t="inlineStr">
        <is>
          <t>DG7011</t>
        </is>
      </c>
      <c r="C296" s="309" t="inlineStr">
        <is>
          <t>Matched</t>
        </is>
      </c>
      <c r="D296" s="309" t="inlineStr">
        <is>
          <t>RL7-AGC-102-ZSS03</t>
        </is>
      </c>
      <c r="E296" s="310" t="n">
        <v>0.99</v>
      </c>
      <c r="F296" s="309" t="inlineStr">
        <is>
          <t>High</t>
        </is>
      </c>
      <c r="G296" s="309" t="n">
        <v>1</v>
      </c>
    </row>
    <row r="297">
      <c r="A297" s="309" t="inlineStr">
        <is>
          <t>RL7-AGC-102-ZSS-04</t>
        </is>
      </c>
      <c r="B297" s="309" t="inlineStr">
        <is>
          <t>DG7011</t>
        </is>
      </c>
      <c r="C297" s="309" t="inlineStr">
        <is>
          <t>Matched</t>
        </is>
      </c>
      <c r="D297" s="309" t="inlineStr">
        <is>
          <t>RL7-AGC-102-ZSS04</t>
        </is>
      </c>
      <c r="E297" s="310" t="n">
        <v>0.99</v>
      </c>
      <c r="F297" s="309" t="inlineStr">
        <is>
          <t>High</t>
        </is>
      </c>
      <c r="G297" s="309" t="n">
        <v>1</v>
      </c>
    </row>
    <row r="298">
      <c r="A298" s="309" t="inlineStr">
        <is>
          <t>RL7-AGC-102-ZSS-04</t>
        </is>
      </c>
      <c r="B298" s="309" t="inlineStr">
        <is>
          <t>DG7011</t>
        </is>
      </c>
      <c r="C298" s="309" t="inlineStr">
        <is>
          <t>Matched</t>
        </is>
      </c>
      <c r="D298" s="309" t="inlineStr">
        <is>
          <t>RL7-AGC-102-ZSS04</t>
        </is>
      </c>
      <c r="E298" s="310" t="n">
        <v>0.99</v>
      </c>
      <c r="F298" s="309" t="inlineStr">
        <is>
          <t>High</t>
        </is>
      </c>
      <c r="G298" s="309" t="n">
        <v>1</v>
      </c>
    </row>
    <row r="299">
      <c r="A299" s="308" t="inlineStr">
        <is>
          <t>RL7-MLT-104.M1</t>
        </is>
      </c>
      <c r="B299" s="308" t="inlineStr">
        <is>
          <t>DG7011</t>
        </is>
      </c>
      <c r="C299" s="308" t="inlineStr">
        <is>
          <t>Skipped - unrecognized tag</t>
        </is>
      </c>
      <c r="D299" s="308" t="inlineStr"/>
      <c r="E299" s="308" t="inlineStr"/>
      <c r="F299" s="308" t="inlineStr">
        <is>
          <t>Low</t>
        </is>
      </c>
      <c r="G299" s="308" t="n">
        <v>0</v>
      </c>
    </row>
    <row r="300">
      <c r="A300" s="309" t="inlineStr">
        <is>
          <t>RL7-MLT-104-HS-01</t>
        </is>
      </c>
      <c r="B300" s="309" t="inlineStr">
        <is>
          <t>DG7011</t>
        </is>
      </c>
      <c r="C300" s="309" t="inlineStr">
        <is>
          <t>Matched</t>
        </is>
      </c>
      <c r="D300" s="309" t="inlineStr">
        <is>
          <t>RL7-MLT-104-HS01</t>
        </is>
      </c>
      <c r="E300" s="310" t="n">
        <v>0.99</v>
      </c>
      <c r="F300" s="309" t="inlineStr">
        <is>
          <t>High</t>
        </is>
      </c>
      <c r="G300" s="309" t="n">
        <v>1</v>
      </c>
    </row>
    <row r="301">
      <c r="A301" s="309" t="inlineStr">
        <is>
          <t>RL7-MLT-104-HS-02</t>
        </is>
      </c>
      <c r="B301" s="309" t="inlineStr">
        <is>
          <t>DG7011</t>
        </is>
      </c>
      <c r="C301" s="309" t="inlineStr">
        <is>
          <t>Matched</t>
        </is>
      </c>
      <c r="D301" s="309" t="inlineStr">
        <is>
          <t>RL7-MLT-104-HS02</t>
        </is>
      </c>
      <c r="E301" s="310" t="n">
        <v>0.99</v>
      </c>
      <c r="F301" s="309" t="inlineStr">
        <is>
          <t>High</t>
        </is>
      </c>
      <c r="G301" s="309" t="n">
        <v>1</v>
      </c>
    </row>
    <row r="302">
      <c r="A302" s="309" t="inlineStr">
        <is>
          <t>RL7-MLT-104-PB-01</t>
        </is>
      </c>
      <c r="B302" s="309" t="inlineStr">
        <is>
          <t>DG7011</t>
        </is>
      </c>
      <c r="C302" s="309" t="inlineStr">
        <is>
          <t>Matched</t>
        </is>
      </c>
      <c r="D302" s="309" t="inlineStr">
        <is>
          <t>RL7-MLT-104-PB01</t>
        </is>
      </c>
      <c r="E302" s="310" t="n">
        <v>0.99</v>
      </c>
      <c r="F302" s="309" t="inlineStr">
        <is>
          <t>High</t>
        </is>
      </c>
      <c r="G302" s="309" t="n">
        <v>1</v>
      </c>
    </row>
    <row r="303">
      <c r="A303" s="309" t="inlineStr">
        <is>
          <t>RL7-MLT-104-PB-01</t>
        </is>
      </c>
      <c r="B303" s="309" t="inlineStr">
        <is>
          <t>DG7011</t>
        </is>
      </c>
      <c r="C303" s="309" t="inlineStr">
        <is>
          <t>Matched</t>
        </is>
      </c>
      <c r="D303" s="309" t="inlineStr">
        <is>
          <t>RL7-MLT-104-PB01</t>
        </is>
      </c>
      <c r="E303" s="310" t="n">
        <v>0.99</v>
      </c>
      <c r="F303" s="309" t="inlineStr">
        <is>
          <t>High</t>
        </is>
      </c>
      <c r="G303" s="309" t="n">
        <v>1</v>
      </c>
    </row>
    <row r="304">
      <c r="A304" s="309" t="inlineStr">
        <is>
          <t>RL7-MLT-104-PB-02</t>
        </is>
      </c>
      <c r="B304" s="309" t="inlineStr">
        <is>
          <t>DG7011</t>
        </is>
      </c>
      <c r="C304" s="309" t="inlineStr">
        <is>
          <t>Matched</t>
        </is>
      </c>
      <c r="D304" s="309" t="inlineStr">
        <is>
          <t>RL7-MLT-104-PB02</t>
        </is>
      </c>
      <c r="E304" s="310" t="n">
        <v>0.99</v>
      </c>
      <c r="F304" s="309" t="inlineStr">
        <is>
          <t>High</t>
        </is>
      </c>
      <c r="G304" s="309" t="n">
        <v>1</v>
      </c>
    </row>
    <row r="305">
      <c r="A305" s="309" t="inlineStr">
        <is>
          <t>RL7-MLT-104-PB-03</t>
        </is>
      </c>
      <c r="B305" s="309" t="inlineStr">
        <is>
          <t>DG7011</t>
        </is>
      </c>
      <c r="C305" s="309" t="inlineStr">
        <is>
          <t>Matched</t>
        </is>
      </c>
      <c r="D305" s="309" t="inlineStr">
        <is>
          <t>RL7-MLT-104-PB03</t>
        </is>
      </c>
      <c r="E305" s="310" t="n">
        <v>0.99</v>
      </c>
      <c r="F305" s="309" t="inlineStr">
        <is>
          <t>High</t>
        </is>
      </c>
      <c r="G305" s="309" t="n">
        <v>1</v>
      </c>
    </row>
    <row r="306">
      <c r="A306" s="308" t="inlineStr">
        <is>
          <t>RL7-MLT-104-PBL-01</t>
        </is>
      </c>
      <c r="B306" s="308" t="inlineStr">
        <is>
          <t>DG7011</t>
        </is>
      </c>
      <c r="C306" s="308" t="inlineStr">
        <is>
          <t>Not found in PDF</t>
        </is>
      </c>
      <c r="D306" s="308" t="inlineStr">
        <is>
          <t>RL7-MLT-104-PBL01</t>
        </is>
      </c>
      <c r="E306" s="308" t="inlineStr"/>
      <c r="F306" s="308" t="inlineStr">
        <is>
          <t>Low</t>
        </is>
      </c>
      <c r="G306" s="308" t="n">
        <v>0</v>
      </c>
    </row>
    <row r="307">
      <c r="A307" s="309" t="inlineStr">
        <is>
          <t>RL7-MLT-104-PSL-01</t>
        </is>
      </c>
      <c r="B307" s="309" t="inlineStr">
        <is>
          <t>DG7011</t>
        </is>
      </c>
      <c r="C307" s="309" t="inlineStr">
        <is>
          <t>Matched</t>
        </is>
      </c>
      <c r="D307" s="309" t="inlineStr">
        <is>
          <t>RL7-MLT-104-PSL01</t>
        </is>
      </c>
      <c r="E307" s="310" t="n">
        <v>0.99</v>
      </c>
      <c r="F307" s="309" t="inlineStr">
        <is>
          <t>High</t>
        </is>
      </c>
      <c r="G307" s="309" t="n">
        <v>1</v>
      </c>
    </row>
    <row r="308">
      <c r="A308" s="309" t="inlineStr">
        <is>
          <t>RL7-MLT-104-XY-101A</t>
        </is>
      </c>
      <c r="B308" s="309" t="inlineStr">
        <is>
          <t>DG7011</t>
        </is>
      </c>
      <c r="C308" s="309" t="inlineStr">
        <is>
          <t>Matched</t>
        </is>
      </c>
      <c r="D308" s="309" t="inlineStr">
        <is>
          <t>RL7-MLT-104-XY101A</t>
        </is>
      </c>
      <c r="E308" s="310" t="n">
        <v>0.99</v>
      </c>
      <c r="F308" s="309" t="inlineStr">
        <is>
          <t>High</t>
        </is>
      </c>
      <c r="G308" s="309" t="n">
        <v>1</v>
      </c>
    </row>
    <row r="309">
      <c r="A309" s="309" t="inlineStr">
        <is>
          <t>RL7-MLT-104-XY-101B</t>
        </is>
      </c>
      <c r="B309" s="309" t="inlineStr">
        <is>
          <t>DG7011</t>
        </is>
      </c>
      <c r="C309" s="309" t="inlineStr">
        <is>
          <t>Matched</t>
        </is>
      </c>
      <c r="D309" s="309" t="inlineStr">
        <is>
          <t>RL7-MLT-104-XY101B</t>
        </is>
      </c>
      <c r="E309" s="310" t="n">
        <v>0.99</v>
      </c>
      <c r="F309" s="309" t="inlineStr">
        <is>
          <t>High</t>
        </is>
      </c>
      <c r="G309" s="309" t="n">
        <v>1</v>
      </c>
    </row>
    <row r="310">
      <c r="A310" s="309" t="inlineStr">
        <is>
          <t>RL7-MLT-104-XY-102A</t>
        </is>
      </c>
      <c r="B310" s="309" t="inlineStr">
        <is>
          <t>DG7011</t>
        </is>
      </c>
      <c r="C310" s="309" t="inlineStr">
        <is>
          <t>Matched</t>
        </is>
      </c>
      <c r="D310" s="309" t="inlineStr">
        <is>
          <t>RL7-MLT-104-XY102A</t>
        </is>
      </c>
      <c r="E310" s="310" t="n">
        <v>0.99</v>
      </c>
      <c r="F310" s="309" t="inlineStr">
        <is>
          <t>High</t>
        </is>
      </c>
      <c r="G310" s="309" t="n">
        <v>1</v>
      </c>
    </row>
    <row r="311">
      <c r="A311" s="309" t="inlineStr">
        <is>
          <t>RL7-MLT-104-XY-102B</t>
        </is>
      </c>
      <c r="B311" s="309" t="inlineStr">
        <is>
          <t>DG7011</t>
        </is>
      </c>
      <c r="C311" s="309" t="inlineStr">
        <is>
          <t>Matched</t>
        </is>
      </c>
      <c r="D311" s="309" t="inlineStr">
        <is>
          <t>RL7-MLT-104-XY102B</t>
        </is>
      </c>
      <c r="E311" s="310" t="n">
        <v>0.99</v>
      </c>
      <c r="F311" s="309" t="inlineStr">
        <is>
          <t>High</t>
        </is>
      </c>
      <c r="G311" s="309" t="n">
        <v>1</v>
      </c>
    </row>
    <row r="312">
      <c r="A312" s="308" t="inlineStr">
        <is>
          <t>RL7-MLT-104-XY-103A</t>
        </is>
      </c>
      <c r="B312" s="308" t="inlineStr">
        <is>
          <t>DG7011</t>
        </is>
      </c>
      <c r="C312" s="308" t="inlineStr">
        <is>
          <t>Matched</t>
        </is>
      </c>
      <c r="D312" s="308" t="inlineStr">
        <is>
          <t>RL7-MLT-104-XY103A</t>
        </is>
      </c>
      <c r="E312" s="311" t="n">
        <v>0.7600000000000001</v>
      </c>
      <c r="F312" s="308" t="inlineStr">
        <is>
          <t>Medium</t>
        </is>
      </c>
      <c r="G312" s="308" t="n">
        <v>1</v>
      </c>
    </row>
    <row r="313">
      <c r="A313" s="308" t="inlineStr">
        <is>
          <t>RL7-MLT-104-XY-103B</t>
        </is>
      </c>
      <c r="B313" s="308" t="inlineStr">
        <is>
          <t>DG7011</t>
        </is>
      </c>
      <c r="C313" s="308" t="inlineStr">
        <is>
          <t>Matched</t>
        </is>
      </c>
      <c r="D313" s="308" t="inlineStr">
        <is>
          <t>RL7-MLT-104-XY103B</t>
        </is>
      </c>
      <c r="E313" s="311" t="n">
        <v>0.7600000000000001</v>
      </c>
      <c r="F313" s="308" t="inlineStr">
        <is>
          <t>Medium</t>
        </is>
      </c>
      <c r="G313" s="308" t="n">
        <v>1</v>
      </c>
    </row>
    <row r="314">
      <c r="A314" s="309" t="inlineStr">
        <is>
          <t>RL7-MLT-104-ZSC-01</t>
        </is>
      </c>
      <c r="B314" s="309" t="inlineStr">
        <is>
          <t>DG7011</t>
        </is>
      </c>
      <c r="C314" s="309" t="inlineStr">
        <is>
          <t>Matched</t>
        </is>
      </c>
      <c r="D314" s="309" t="inlineStr">
        <is>
          <t>RL7-MLT-104-ZSC01</t>
        </is>
      </c>
      <c r="E314" s="310" t="n">
        <v>0.99</v>
      </c>
      <c r="F314" s="309" t="inlineStr">
        <is>
          <t>High</t>
        </is>
      </c>
      <c r="G314" s="309" t="n">
        <v>1</v>
      </c>
    </row>
    <row r="315">
      <c r="A315" s="309" t="inlineStr">
        <is>
          <t>RL7-MLT-104-ZSS-01</t>
        </is>
      </c>
      <c r="B315" s="309" t="inlineStr">
        <is>
          <t>DG7011</t>
        </is>
      </c>
      <c r="C315" s="309" t="inlineStr">
        <is>
          <t>Matched</t>
        </is>
      </c>
      <c r="D315" s="309" t="inlineStr">
        <is>
          <t>RL7-MLT-104-ZSS01</t>
        </is>
      </c>
      <c r="E315" s="310" t="n">
        <v>0.99</v>
      </c>
      <c r="F315" s="309" t="inlineStr">
        <is>
          <t>High</t>
        </is>
      </c>
      <c r="G315" s="309" t="n">
        <v>1</v>
      </c>
    </row>
    <row r="316">
      <c r="A316" s="309" t="inlineStr">
        <is>
          <t>RL7-MLT-104-ZSS-01</t>
        </is>
      </c>
      <c r="B316" s="309" t="inlineStr">
        <is>
          <t>DG7011</t>
        </is>
      </c>
      <c r="C316" s="309" t="inlineStr">
        <is>
          <t>Matched</t>
        </is>
      </c>
      <c r="D316" s="309" t="inlineStr">
        <is>
          <t>RL7-MLT-104-ZSS01</t>
        </is>
      </c>
      <c r="E316" s="310" t="n">
        <v>0.99</v>
      </c>
      <c r="F316" s="309" t="inlineStr">
        <is>
          <t>High</t>
        </is>
      </c>
      <c r="G316" s="309" t="n">
        <v>1</v>
      </c>
    </row>
    <row r="317">
      <c r="A317" s="309" t="inlineStr">
        <is>
          <t>RL7-MLT-104-ZSS-02</t>
        </is>
      </c>
      <c r="B317" s="309" t="inlineStr">
        <is>
          <t>DG7011</t>
        </is>
      </c>
      <c r="C317" s="309" t="inlineStr">
        <is>
          <t>Matched</t>
        </is>
      </c>
      <c r="D317" s="309" t="inlineStr">
        <is>
          <t>RL7-MLT-104-ZSS02</t>
        </is>
      </c>
      <c r="E317" s="310" t="n">
        <v>0.99</v>
      </c>
      <c r="F317" s="309" t="inlineStr">
        <is>
          <t>High</t>
        </is>
      </c>
      <c r="G317" s="309" t="n">
        <v>1</v>
      </c>
    </row>
    <row r="318">
      <c r="A318" s="309" t="inlineStr">
        <is>
          <t>RL7-MLT-104-ZSS-02</t>
        </is>
      </c>
      <c r="B318" s="309" t="inlineStr">
        <is>
          <t>DG7011</t>
        </is>
      </c>
      <c r="C318" s="309" t="inlineStr">
        <is>
          <t>Matched</t>
        </is>
      </c>
      <c r="D318" s="309" t="inlineStr">
        <is>
          <t>RL7-MLT-104-ZSS02</t>
        </is>
      </c>
      <c r="E318" s="310" t="n">
        <v>0.99</v>
      </c>
      <c r="F318" s="309" t="inlineStr">
        <is>
          <t>High</t>
        </is>
      </c>
      <c r="G318" s="309" t="n">
        <v>1</v>
      </c>
    </row>
    <row r="319">
      <c r="A319" s="309" t="inlineStr">
        <is>
          <t>RL7-MLT-104-ZSS-03</t>
        </is>
      </c>
      <c r="B319" s="309" t="inlineStr">
        <is>
          <t>DG7011</t>
        </is>
      </c>
      <c r="C319" s="309" t="inlineStr">
        <is>
          <t>Matched</t>
        </is>
      </c>
      <c r="D319" s="309" t="inlineStr">
        <is>
          <t>RL7-MLT-104-ZSS03</t>
        </is>
      </c>
      <c r="E319" s="310" t="n">
        <v>0.99</v>
      </c>
      <c r="F319" s="309" t="inlineStr">
        <is>
          <t>High</t>
        </is>
      </c>
      <c r="G319" s="309" t="n">
        <v>1</v>
      </c>
    </row>
    <row r="320">
      <c r="A320" s="309" t="inlineStr">
        <is>
          <t>RL7-MLT-104-ZSS-03</t>
        </is>
      </c>
      <c r="B320" s="309" t="inlineStr">
        <is>
          <t>DG7011</t>
        </is>
      </c>
      <c r="C320" s="309" t="inlineStr">
        <is>
          <t>Matched</t>
        </is>
      </c>
      <c r="D320" s="309" t="inlineStr">
        <is>
          <t>RL7-MLT-104-ZSS03</t>
        </is>
      </c>
      <c r="E320" s="310" t="n">
        <v>0.99</v>
      </c>
      <c r="F320" s="309" t="inlineStr">
        <is>
          <t>High</t>
        </is>
      </c>
      <c r="G320" s="309" t="n">
        <v>1</v>
      </c>
    </row>
    <row r="321">
      <c r="A321" s="308" t="inlineStr">
        <is>
          <t>RL7-MLT-105.M1</t>
        </is>
      </c>
      <c r="B321" s="308" t="inlineStr">
        <is>
          <t>DG7011</t>
        </is>
      </c>
      <c r="C321" s="308" t="inlineStr">
        <is>
          <t>Skipped - unrecognized tag</t>
        </is>
      </c>
      <c r="D321" s="308" t="inlineStr"/>
      <c r="E321" s="308" t="inlineStr"/>
      <c r="F321" s="308" t="inlineStr">
        <is>
          <t>Low</t>
        </is>
      </c>
      <c r="G321" s="308" t="n">
        <v>0</v>
      </c>
    </row>
    <row r="322">
      <c r="A322" s="309" t="inlineStr">
        <is>
          <t>RL7-MLT-105-HS-01</t>
        </is>
      </c>
      <c r="B322" s="309" t="inlineStr">
        <is>
          <t>DG7011</t>
        </is>
      </c>
      <c r="C322" s="309" t="inlineStr">
        <is>
          <t>Matched</t>
        </is>
      </c>
      <c r="D322" s="309" t="inlineStr">
        <is>
          <t>RL7-MLT-105-HS01</t>
        </is>
      </c>
      <c r="E322" s="310" t="n">
        <v>0.99</v>
      </c>
      <c r="F322" s="309" t="inlineStr">
        <is>
          <t>High</t>
        </is>
      </c>
      <c r="G322" s="309" t="n">
        <v>1</v>
      </c>
    </row>
    <row r="323">
      <c r="A323" s="309" t="inlineStr">
        <is>
          <t>RL7-MLT-105-HS-02</t>
        </is>
      </c>
      <c r="B323" s="309" t="inlineStr">
        <is>
          <t>DG7011</t>
        </is>
      </c>
      <c r="C323" s="309" t="inlineStr">
        <is>
          <t>Matched</t>
        </is>
      </c>
      <c r="D323" s="309" t="inlineStr">
        <is>
          <t>RL7-MLT-105-HS02</t>
        </is>
      </c>
      <c r="E323" s="310" t="n">
        <v>0.99</v>
      </c>
      <c r="F323" s="309" t="inlineStr">
        <is>
          <t>High</t>
        </is>
      </c>
      <c r="G323" s="309" t="n">
        <v>1</v>
      </c>
    </row>
    <row r="324">
      <c r="A324" s="309" t="inlineStr">
        <is>
          <t>RL7-MLT-105-PB-01</t>
        </is>
      </c>
      <c r="B324" s="309" t="inlineStr">
        <is>
          <t>DG7011</t>
        </is>
      </c>
      <c r="C324" s="309" t="inlineStr">
        <is>
          <t>Matched</t>
        </is>
      </c>
      <c r="D324" s="309" t="inlineStr">
        <is>
          <t>RL7-MLT-105-PB01</t>
        </is>
      </c>
      <c r="E324" s="310" t="n">
        <v>0.99</v>
      </c>
      <c r="F324" s="309" t="inlineStr">
        <is>
          <t>High</t>
        </is>
      </c>
      <c r="G324" s="309" t="n">
        <v>1</v>
      </c>
    </row>
    <row r="325">
      <c r="A325" s="309" t="inlineStr">
        <is>
          <t>RL7-MLT-105-PB-01</t>
        </is>
      </c>
      <c r="B325" s="309" t="inlineStr">
        <is>
          <t>DG7011</t>
        </is>
      </c>
      <c r="C325" s="309" t="inlineStr">
        <is>
          <t>Matched</t>
        </is>
      </c>
      <c r="D325" s="309" t="inlineStr">
        <is>
          <t>RL7-MLT-105-PB01</t>
        </is>
      </c>
      <c r="E325" s="310" t="n">
        <v>0.99</v>
      </c>
      <c r="F325" s="309" t="inlineStr">
        <is>
          <t>High</t>
        </is>
      </c>
      <c r="G325" s="309" t="n">
        <v>1</v>
      </c>
    </row>
    <row r="326">
      <c r="A326" s="309" t="inlineStr">
        <is>
          <t>RL7-MLT-105-PB-02</t>
        </is>
      </c>
      <c r="B326" s="309" t="inlineStr">
        <is>
          <t>DG7011</t>
        </is>
      </c>
      <c r="C326" s="309" t="inlineStr">
        <is>
          <t>Matched</t>
        </is>
      </c>
      <c r="D326" s="309" t="inlineStr">
        <is>
          <t>RL7-MLT-105-PB02</t>
        </is>
      </c>
      <c r="E326" s="310" t="n">
        <v>0.99</v>
      </c>
      <c r="F326" s="309" t="inlineStr">
        <is>
          <t>High</t>
        </is>
      </c>
      <c r="G326" s="309" t="n">
        <v>1</v>
      </c>
    </row>
    <row r="327">
      <c r="A327" s="309" t="inlineStr">
        <is>
          <t>RL7-MLT-105-PB-03</t>
        </is>
      </c>
      <c r="B327" s="309" t="inlineStr">
        <is>
          <t>DG7011</t>
        </is>
      </c>
      <c r="C327" s="309" t="inlineStr">
        <is>
          <t>Matched</t>
        </is>
      </c>
      <c r="D327" s="309" t="inlineStr">
        <is>
          <t>RL7-MLT-105-PB03</t>
        </is>
      </c>
      <c r="E327" s="310" t="n">
        <v>0.99</v>
      </c>
      <c r="F327" s="309" t="inlineStr">
        <is>
          <t>High</t>
        </is>
      </c>
      <c r="G327" s="309" t="n">
        <v>1</v>
      </c>
    </row>
    <row r="328">
      <c r="A328" s="308" t="inlineStr">
        <is>
          <t>RL7-MLT-105-PBL-01</t>
        </is>
      </c>
      <c r="B328" s="308" t="inlineStr">
        <is>
          <t>DG7011</t>
        </is>
      </c>
      <c r="C328" s="308" t="inlineStr">
        <is>
          <t>Not found in PDF</t>
        </is>
      </c>
      <c r="D328" s="308" t="inlineStr">
        <is>
          <t>RL7-MLT-105-PBL01</t>
        </is>
      </c>
      <c r="E328" s="308" t="inlineStr"/>
      <c r="F328" s="308" t="inlineStr">
        <is>
          <t>Low</t>
        </is>
      </c>
      <c r="G328" s="308" t="n">
        <v>0</v>
      </c>
    </row>
    <row r="329">
      <c r="A329" s="309" t="inlineStr">
        <is>
          <t>RL7-MLT-105-PSL-01</t>
        </is>
      </c>
      <c r="B329" s="309" t="inlineStr">
        <is>
          <t>DG7011</t>
        </is>
      </c>
      <c r="C329" s="309" t="inlineStr">
        <is>
          <t>Matched</t>
        </is>
      </c>
      <c r="D329" s="309" t="inlineStr">
        <is>
          <t>RL7-MLT-105-PSL01</t>
        </is>
      </c>
      <c r="E329" s="310" t="n">
        <v>0.99</v>
      </c>
      <c r="F329" s="309" t="inlineStr">
        <is>
          <t>High</t>
        </is>
      </c>
      <c r="G329" s="309" t="n">
        <v>1</v>
      </c>
    </row>
    <row r="330">
      <c r="A330" s="309" t="inlineStr">
        <is>
          <t>RL7-MLT-105-XY-101A</t>
        </is>
      </c>
      <c r="B330" s="309" t="inlineStr">
        <is>
          <t>DG7011</t>
        </is>
      </c>
      <c r="C330" s="309" t="inlineStr">
        <is>
          <t>Matched</t>
        </is>
      </c>
      <c r="D330" s="309" t="inlineStr">
        <is>
          <t>RL7-MLT-105-XY101A</t>
        </is>
      </c>
      <c r="E330" s="310" t="n">
        <v>0.99</v>
      </c>
      <c r="F330" s="309" t="inlineStr">
        <is>
          <t>High</t>
        </is>
      </c>
      <c r="G330" s="309" t="n">
        <v>1</v>
      </c>
    </row>
    <row r="331">
      <c r="A331" s="309" t="inlineStr">
        <is>
          <t>RL7-MLT-105-XY-101B</t>
        </is>
      </c>
      <c r="B331" s="309" t="inlineStr">
        <is>
          <t>DG7011</t>
        </is>
      </c>
      <c r="C331" s="309" t="inlineStr">
        <is>
          <t>Matched</t>
        </is>
      </c>
      <c r="D331" s="309" t="inlineStr">
        <is>
          <t>RL7-MLT-105-XY101B</t>
        </is>
      </c>
      <c r="E331" s="310" t="n">
        <v>0.99</v>
      </c>
      <c r="F331" s="309" t="inlineStr">
        <is>
          <t>High</t>
        </is>
      </c>
      <c r="G331" s="309" t="n">
        <v>1</v>
      </c>
    </row>
    <row r="332">
      <c r="A332" s="309" t="inlineStr">
        <is>
          <t>RL7-MLT-105-XY-102A</t>
        </is>
      </c>
      <c r="B332" s="309" t="inlineStr">
        <is>
          <t>DG7011</t>
        </is>
      </c>
      <c r="C332" s="309" t="inlineStr">
        <is>
          <t>Matched</t>
        </is>
      </c>
      <c r="D332" s="309" t="inlineStr">
        <is>
          <t>RL7-MLT-105-XY102A</t>
        </is>
      </c>
      <c r="E332" s="310" t="n">
        <v>0.99</v>
      </c>
      <c r="F332" s="309" t="inlineStr">
        <is>
          <t>High</t>
        </is>
      </c>
      <c r="G332" s="309" t="n">
        <v>1</v>
      </c>
    </row>
    <row r="333">
      <c r="A333" s="309" t="inlineStr">
        <is>
          <t>RL7-MLT-105-XY-102B</t>
        </is>
      </c>
      <c r="B333" s="309" t="inlineStr">
        <is>
          <t>DG7011</t>
        </is>
      </c>
      <c r="C333" s="309" t="inlineStr">
        <is>
          <t>Matched</t>
        </is>
      </c>
      <c r="D333" s="309" t="inlineStr">
        <is>
          <t>RL7-MLT-105-XY102B</t>
        </is>
      </c>
      <c r="E333" s="310" t="n">
        <v>0.99</v>
      </c>
      <c r="F333" s="309" t="inlineStr">
        <is>
          <t>High</t>
        </is>
      </c>
      <c r="G333" s="309" t="n">
        <v>1</v>
      </c>
    </row>
    <row r="334">
      <c r="A334" s="309" t="inlineStr">
        <is>
          <t>RL7-MLT-105-XY-103A</t>
        </is>
      </c>
      <c r="B334" s="309" t="inlineStr">
        <is>
          <t>DG7011</t>
        </is>
      </c>
      <c r="C334" s="309" t="inlineStr">
        <is>
          <t>Matched</t>
        </is>
      </c>
      <c r="D334" s="309" t="inlineStr">
        <is>
          <t>RL7-MLT-105-XY103A</t>
        </is>
      </c>
      <c r="E334" s="310" t="n">
        <v>0.99</v>
      </c>
      <c r="F334" s="309" t="inlineStr">
        <is>
          <t>High</t>
        </is>
      </c>
      <c r="G334" s="309" t="n">
        <v>1</v>
      </c>
    </row>
    <row r="335">
      <c r="A335" s="309" t="inlineStr">
        <is>
          <t>RL7-MLT-105-XY-103B</t>
        </is>
      </c>
      <c r="B335" s="309" t="inlineStr">
        <is>
          <t>DG7011</t>
        </is>
      </c>
      <c r="C335" s="309" t="inlineStr">
        <is>
          <t>Matched</t>
        </is>
      </c>
      <c r="D335" s="309" t="inlineStr">
        <is>
          <t>RL7-MLT-105-XY103B</t>
        </is>
      </c>
      <c r="E335" s="310" t="n">
        <v>0.99</v>
      </c>
      <c r="F335" s="309" t="inlineStr">
        <is>
          <t>High</t>
        </is>
      </c>
      <c r="G335" s="309" t="n">
        <v>1</v>
      </c>
    </row>
    <row r="336">
      <c r="A336" s="309" t="inlineStr">
        <is>
          <t>RL7-MLT-105-ZSC-01</t>
        </is>
      </c>
      <c r="B336" s="309" t="inlineStr">
        <is>
          <t>DG7011</t>
        </is>
      </c>
      <c r="C336" s="309" t="inlineStr">
        <is>
          <t>Matched</t>
        </is>
      </c>
      <c r="D336" s="309" t="inlineStr">
        <is>
          <t>RL7-MLT-105-ZSC01</t>
        </is>
      </c>
      <c r="E336" s="310" t="n">
        <v>0.99</v>
      </c>
      <c r="F336" s="309" t="inlineStr">
        <is>
          <t>High</t>
        </is>
      </c>
      <c r="G336" s="309" t="n">
        <v>1</v>
      </c>
    </row>
    <row r="337">
      <c r="A337" s="309" t="inlineStr">
        <is>
          <t>RL7-MLT-105-ZSS-01</t>
        </is>
      </c>
      <c r="B337" s="309" t="inlineStr">
        <is>
          <t>DG7011</t>
        </is>
      </c>
      <c r="C337" s="309" t="inlineStr">
        <is>
          <t>Matched</t>
        </is>
      </c>
      <c r="D337" s="309" t="inlineStr">
        <is>
          <t>RL7-MLT-105-ZSS01</t>
        </is>
      </c>
      <c r="E337" s="310" t="n">
        <v>0.99</v>
      </c>
      <c r="F337" s="309" t="inlineStr">
        <is>
          <t>High</t>
        </is>
      </c>
      <c r="G337" s="309" t="n">
        <v>1</v>
      </c>
    </row>
    <row r="338">
      <c r="A338" s="309" t="inlineStr">
        <is>
          <t>RL7-MLT-105-ZSS-01</t>
        </is>
      </c>
      <c r="B338" s="309" t="inlineStr">
        <is>
          <t>DG7011</t>
        </is>
      </c>
      <c r="C338" s="309" t="inlineStr">
        <is>
          <t>Matched</t>
        </is>
      </c>
      <c r="D338" s="309" t="inlineStr">
        <is>
          <t>RL7-MLT-105-ZSS01</t>
        </is>
      </c>
      <c r="E338" s="310" t="n">
        <v>0.99</v>
      </c>
      <c r="F338" s="309" t="inlineStr">
        <is>
          <t>High</t>
        </is>
      </c>
      <c r="G338" s="309" t="n">
        <v>1</v>
      </c>
    </row>
    <row r="339">
      <c r="A339" s="309" t="inlineStr">
        <is>
          <t>RL7-MLT-105-ZSS-02</t>
        </is>
      </c>
      <c r="B339" s="309" t="inlineStr">
        <is>
          <t>DG7011</t>
        </is>
      </c>
      <c r="C339" s="309" t="inlineStr">
        <is>
          <t>Matched</t>
        </is>
      </c>
      <c r="D339" s="309" t="inlineStr">
        <is>
          <t>RL7-MLT-105-ZSS02</t>
        </is>
      </c>
      <c r="E339" s="310" t="n">
        <v>0.99</v>
      </c>
      <c r="F339" s="309" t="inlineStr">
        <is>
          <t>High</t>
        </is>
      </c>
      <c r="G339" s="309" t="n">
        <v>1</v>
      </c>
    </row>
    <row r="340">
      <c r="A340" s="309" t="inlineStr">
        <is>
          <t>RL7-MLT-105-ZSS-02</t>
        </is>
      </c>
      <c r="B340" s="309" t="inlineStr">
        <is>
          <t>DG7011</t>
        </is>
      </c>
      <c r="C340" s="309" t="inlineStr">
        <is>
          <t>Matched</t>
        </is>
      </c>
      <c r="D340" s="309" t="inlineStr">
        <is>
          <t>RL7-MLT-105-ZSS02</t>
        </is>
      </c>
      <c r="E340" s="310" t="n">
        <v>0.99</v>
      </c>
      <c r="F340" s="309" t="inlineStr">
        <is>
          <t>High</t>
        </is>
      </c>
      <c r="G340" s="309" t="n">
        <v>1</v>
      </c>
    </row>
    <row r="341">
      <c r="A341" s="309" t="inlineStr">
        <is>
          <t>RL7-MLT-105-ZSS-03</t>
        </is>
      </c>
      <c r="B341" s="309" t="inlineStr">
        <is>
          <t>DG7011</t>
        </is>
      </c>
      <c r="C341" s="309" t="inlineStr">
        <is>
          <t>Matched</t>
        </is>
      </c>
      <c r="D341" s="309" t="inlineStr">
        <is>
          <t>RL7-MLT-105-ZSS03</t>
        </is>
      </c>
      <c r="E341" s="310" t="n">
        <v>0.99</v>
      </c>
      <c r="F341" s="309" t="inlineStr">
        <is>
          <t>High</t>
        </is>
      </c>
      <c r="G341" s="309" t="n">
        <v>1</v>
      </c>
    </row>
    <row r="342">
      <c r="A342" s="309" t="inlineStr">
        <is>
          <t>RL7-MLT-105-ZSS-03</t>
        </is>
      </c>
      <c r="B342" s="309" t="inlineStr">
        <is>
          <t>DG7011</t>
        </is>
      </c>
      <c r="C342" s="309" t="inlineStr">
        <is>
          <t>Matched</t>
        </is>
      </c>
      <c r="D342" s="309" t="inlineStr">
        <is>
          <t>RL7-MLT-105-ZSS03</t>
        </is>
      </c>
      <c r="E342" s="310" t="n">
        <v>0.99</v>
      </c>
      <c r="F342" s="309" t="inlineStr">
        <is>
          <t>High</t>
        </is>
      </c>
      <c r="G342" s="309" t="n">
        <v>1</v>
      </c>
    </row>
    <row r="343">
      <c r="A343" s="308" t="inlineStr">
        <is>
          <t>RL7-CNV-108-PBL-01</t>
        </is>
      </c>
      <c r="B343" s="308" t="inlineStr">
        <is>
          <t>DG7012</t>
        </is>
      </c>
      <c r="C343" s="308" t="inlineStr">
        <is>
          <t>Not found in PDF</t>
        </is>
      </c>
      <c r="D343" s="308" t="inlineStr">
        <is>
          <t>RL7-CNV-108-PBL01</t>
        </is>
      </c>
      <c r="E343" s="308" t="inlineStr"/>
      <c r="F343" s="308" t="inlineStr">
        <is>
          <t>Low</t>
        </is>
      </c>
      <c r="G343" s="308" t="n">
        <v>0</v>
      </c>
    </row>
    <row r="344">
      <c r="A344" s="308" t="inlineStr">
        <is>
          <t>RL7-GRR-102-PBL-01</t>
        </is>
      </c>
      <c r="B344" s="308" t="inlineStr">
        <is>
          <t>DG7012</t>
        </is>
      </c>
      <c r="C344" s="308" t="inlineStr">
        <is>
          <t>Not found in PDF</t>
        </is>
      </c>
      <c r="D344" s="308" t="inlineStr">
        <is>
          <t>RL7-GRR-102-PBL01</t>
        </is>
      </c>
      <c r="E344" s="308" t="inlineStr"/>
      <c r="F344" s="308" t="inlineStr">
        <is>
          <t>Low</t>
        </is>
      </c>
      <c r="G344" s="308" t="n">
        <v>0</v>
      </c>
    </row>
    <row r="345">
      <c r="A345" s="308" t="inlineStr">
        <is>
          <t>RL7-MLT-106.M1</t>
        </is>
      </c>
      <c r="B345" s="308" t="inlineStr">
        <is>
          <t>DG7012</t>
        </is>
      </c>
      <c r="C345" s="308" t="inlineStr">
        <is>
          <t>Skipped - unrecognized tag</t>
        </is>
      </c>
      <c r="D345" s="308" t="inlineStr"/>
      <c r="E345" s="308" t="inlineStr"/>
      <c r="F345" s="308" t="inlineStr">
        <is>
          <t>Low</t>
        </is>
      </c>
      <c r="G345" s="308" t="n">
        <v>0</v>
      </c>
    </row>
    <row r="346">
      <c r="A346" s="309" t="inlineStr">
        <is>
          <t>RL7-MLT-106-PB-01</t>
        </is>
      </c>
      <c r="B346" s="309" t="inlineStr">
        <is>
          <t>DG7012</t>
        </is>
      </c>
      <c r="C346" s="309" t="inlineStr">
        <is>
          <t>Matched</t>
        </is>
      </c>
      <c r="D346" s="309" t="inlineStr">
        <is>
          <t>RL7-MLT-106-PB01</t>
        </is>
      </c>
      <c r="E346" s="310" t="n">
        <v>0.99</v>
      </c>
      <c r="F346" s="309" t="inlineStr">
        <is>
          <t>High</t>
        </is>
      </c>
      <c r="G346" s="309" t="n">
        <v>1</v>
      </c>
    </row>
    <row r="347">
      <c r="A347" s="309" t="inlineStr">
        <is>
          <t>RL7-MLT-106-PB-02</t>
        </is>
      </c>
      <c r="B347" s="309" t="inlineStr">
        <is>
          <t>DG7012</t>
        </is>
      </c>
      <c r="C347" s="309" t="inlineStr">
        <is>
          <t>Matched</t>
        </is>
      </c>
      <c r="D347" s="309" t="inlineStr">
        <is>
          <t>RL7-MLT-106-PB02</t>
        </is>
      </c>
      <c r="E347" s="310" t="n">
        <v>0.99</v>
      </c>
      <c r="F347" s="309" t="inlineStr">
        <is>
          <t>High</t>
        </is>
      </c>
      <c r="G347" s="309" t="n">
        <v>1</v>
      </c>
    </row>
    <row r="348">
      <c r="A348" s="309" t="inlineStr">
        <is>
          <t>RL7-MLT-106-PB-03</t>
        </is>
      </c>
      <c r="B348" s="309" t="inlineStr">
        <is>
          <t>DG7012</t>
        </is>
      </c>
      <c r="C348" s="309" t="inlineStr">
        <is>
          <t>Matched</t>
        </is>
      </c>
      <c r="D348" s="309" t="inlineStr">
        <is>
          <t>RL7-MLT-106-PB03</t>
        </is>
      </c>
      <c r="E348" s="310" t="n">
        <v>0.99</v>
      </c>
      <c r="F348" s="309" t="inlineStr">
        <is>
          <t>High</t>
        </is>
      </c>
      <c r="G348" s="309" t="n">
        <v>1</v>
      </c>
    </row>
    <row r="349">
      <c r="A349" s="309" t="inlineStr">
        <is>
          <t>RL7-MLT-106-PB-04</t>
        </is>
      </c>
      <c r="B349" s="309" t="inlineStr">
        <is>
          <t>DG7012</t>
        </is>
      </c>
      <c r="C349" s="309" t="inlineStr">
        <is>
          <t>Matched</t>
        </is>
      </c>
      <c r="D349" s="309" t="inlineStr">
        <is>
          <t>RL7-MLT-106-PB04</t>
        </is>
      </c>
      <c r="E349" s="310" t="n">
        <v>0.99</v>
      </c>
      <c r="F349" s="309" t="inlineStr">
        <is>
          <t>High</t>
        </is>
      </c>
      <c r="G349" s="309" t="n">
        <v>1</v>
      </c>
    </row>
    <row r="350">
      <c r="A350" s="309" t="inlineStr">
        <is>
          <t>RL7-MLT-106-PB-04</t>
        </is>
      </c>
      <c r="B350" s="309" t="inlineStr">
        <is>
          <t>DG7012</t>
        </is>
      </c>
      <c r="C350" s="309" t="inlineStr">
        <is>
          <t>Matched</t>
        </is>
      </c>
      <c r="D350" s="309" t="inlineStr">
        <is>
          <t>RL7-MLT-106-PB04</t>
        </is>
      </c>
      <c r="E350" s="310" t="n">
        <v>0.99</v>
      </c>
      <c r="F350" s="309" t="inlineStr">
        <is>
          <t>High</t>
        </is>
      </c>
      <c r="G350" s="309" t="n">
        <v>1</v>
      </c>
    </row>
    <row r="351">
      <c r="A351" s="308" t="inlineStr">
        <is>
          <t>RL7-MLT-106-PB-05</t>
        </is>
      </c>
      <c r="B351" s="308" t="inlineStr">
        <is>
          <t>DG7012</t>
        </is>
      </c>
      <c r="C351" s="308" t="inlineStr">
        <is>
          <t>Not found in PDF</t>
        </is>
      </c>
      <c r="D351" s="308" t="inlineStr">
        <is>
          <t>RL7-MLT-106-PB05</t>
        </is>
      </c>
      <c r="E351" s="308" t="inlineStr"/>
      <c r="F351" s="308" t="inlineStr">
        <is>
          <t>Low</t>
        </is>
      </c>
      <c r="G351" s="308" t="n">
        <v>0</v>
      </c>
    </row>
    <row r="352">
      <c r="A352" s="308" t="inlineStr">
        <is>
          <t>RL7-MLT-106-PB-06</t>
        </is>
      </c>
      <c r="B352" s="308" t="inlineStr">
        <is>
          <t>DG7012</t>
        </is>
      </c>
      <c r="C352" s="308" t="inlineStr">
        <is>
          <t>Not found in PDF</t>
        </is>
      </c>
      <c r="D352" s="308" t="inlineStr">
        <is>
          <t>RL7-MLT-106-PB06</t>
        </is>
      </c>
      <c r="E352" s="308" t="inlineStr"/>
      <c r="F352" s="308" t="inlineStr">
        <is>
          <t>Low</t>
        </is>
      </c>
      <c r="G352" s="308" t="n">
        <v>0</v>
      </c>
    </row>
    <row r="353">
      <c r="A353" s="308" t="inlineStr">
        <is>
          <t>RL7-MLT-106-PBL-04</t>
        </is>
      </c>
      <c r="B353" s="308" t="inlineStr">
        <is>
          <t>DG7012</t>
        </is>
      </c>
      <c r="C353" s="308" t="inlineStr">
        <is>
          <t>Not found in PDF</t>
        </is>
      </c>
      <c r="D353" s="308" t="inlineStr">
        <is>
          <t>RL7-MLT-106-PBL04</t>
        </is>
      </c>
      <c r="E353" s="308" t="inlineStr"/>
      <c r="F353" s="308" t="inlineStr">
        <is>
          <t>Low</t>
        </is>
      </c>
      <c r="G353" s="308" t="n">
        <v>0</v>
      </c>
    </row>
    <row r="354">
      <c r="A354" s="309" t="inlineStr">
        <is>
          <t>RL7-MLT-106-ZSC-01</t>
        </is>
      </c>
      <c r="B354" s="309" t="inlineStr">
        <is>
          <t>DG7012</t>
        </is>
      </c>
      <c r="C354" s="309" t="inlineStr">
        <is>
          <t>Matched</t>
        </is>
      </c>
      <c r="D354" s="309" t="inlineStr">
        <is>
          <t>RL7-MLT-106-ZSC01</t>
        </is>
      </c>
      <c r="E354" s="310" t="n">
        <v>0.99</v>
      </c>
      <c r="F354" s="309" t="inlineStr">
        <is>
          <t>High</t>
        </is>
      </c>
      <c r="G354" s="309" t="n">
        <v>1</v>
      </c>
    </row>
    <row r="355">
      <c r="A355" s="309" t="inlineStr">
        <is>
          <t>RL7-MLT-106-ZSC-02</t>
        </is>
      </c>
      <c r="B355" s="309" t="inlineStr">
        <is>
          <t>DG7012</t>
        </is>
      </c>
      <c r="C355" s="309" t="inlineStr">
        <is>
          <t>Matched</t>
        </is>
      </c>
      <c r="D355" s="309" t="inlineStr">
        <is>
          <t>RL7-MLT-106-ZSC02</t>
        </is>
      </c>
      <c r="E355" s="310" t="n">
        <v>0.99</v>
      </c>
      <c r="F355" s="309" t="inlineStr">
        <is>
          <t>High</t>
        </is>
      </c>
      <c r="G355" s="309" t="n">
        <v>1</v>
      </c>
    </row>
    <row r="356">
      <c r="A356" s="309" t="inlineStr">
        <is>
          <t>RL7-MLT-106-ZSC-03</t>
        </is>
      </c>
      <c r="B356" s="309" t="inlineStr">
        <is>
          <t>DG7012</t>
        </is>
      </c>
      <c r="C356" s="309" t="inlineStr">
        <is>
          <t>Matched</t>
        </is>
      </c>
      <c r="D356" s="309" t="inlineStr">
        <is>
          <t>RL7-MLT-106-ZSC03</t>
        </is>
      </c>
      <c r="E356" s="310" t="n">
        <v>0.99</v>
      </c>
      <c r="F356" s="309" t="inlineStr">
        <is>
          <t>High</t>
        </is>
      </c>
      <c r="G356" s="309" t="n">
        <v>1</v>
      </c>
    </row>
    <row r="357">
      <c r="A357" s="308" t="inlineStr">
        <is>
          <t>RL7-MLT-106-ZSS-04</t>
        </is>
      </c>
      <c r="B357" s="308" t="inlineStr">
        <is>
          <t>DG7012</t>
        </is>
      </c>
      <c r="C357" s="308" t="inlineStr">
        <is>
          <t>Matched - same-page inference</t>
        </is>
      </c>
      <c r="D357" s="308" t="inlineStr">
        <is>
          <t>RL7-MLT-106-ZSS04</t>
        </is>
      </c>
      <c r="E357" s="311" t="n">
        <v>0.77</v>
      </c>
      <c r="F357" s="308" t="inlineStr">
        <is>
          <t>Medium</t>
        </is>
      </c>
      <c r="G357" s="308" t="n">
        <v>1</v>
      </c>
    </row>
    <row r="358">
      <c r="A358" s="308" t="inlineStr">
        <is>
          <t>RL7-MLT-106-ZSS-04</t>
        </is>
      </c>
      <c r="B358" s="308" t="inlineStr">
        <is>
          <t>DG7012</t>
        </is>
      </c>
      <c r="C358" s="308" t="inlineStr">
        <is>
          <t>Matched - same-page inference</t>
        </is>
      </c>
      <c r="D358" s="308" t="inlineStr">
        <is>
          <t>RL7-MLT-106-ZSS04</t>
        </is>
      </c>
      <c r="E358" s="311" t="n">
        <v>0.77</v>
      </c>
      <c r="F358" s="308" t="inlineStr">
        <is>
          <t>Medium</t>
        </is>
      </c>
      <c r="G358" s="308" t="n">
        <v>1</v>
      </c>
    </row>
    <row r="359">
      <c r="A359" s="308" t="inlineStr">
        <is>
          <t>RL7-MLT-106-ZSS-05</t>
        </is>
      </c>
      <c r="B359" s="308" t="inlineStr">
        <is>
          <t>DG7012</t>
        </is>
      </c>
      <c r="C359" s="308" t="inlineStr">
        <is>
          <t>Not found in PDF</t>
        </is>
      </c>
      <c r="D359" s="308" t="inlineStr">
        <is>
          <t>RL7-MLT-106-ZSS05</t>
        </is>
      </c>
      <c r="E359" s="308" t="inlineStr"/>
      <c r="F359" s="308" t="inlineStr">
        <is>
          <t>Low</t>
        </is>
      </c>
      <c r="G359" s="308" t="n">
        <v>0</v>
      </c>
    </row>
    <row r="360">
      <c r="A360" s="308" t="inlineStr">
        <is>
          <t>RL7-MLT-106-ZSS-05</t>
        </is>
      </c>
      <c r="B360" s="308" t="inlineStr">
        <is>
          <t>DG7012</t>
        </is>
      </c>
      <c r="C360" s="308" t="inlineStr">
        <is>
          <t>Not found in PDF</t>
        </is>
      </c>
      <c r="D360" s="308" t="inlineStr">
        <is>
          <t>RL7-MLT-106-ZSS05</t>
        </is>
      </c>
      <c r="E360" s="308" t="inlineStr"/>
      <c r="F360" s="308" t="inlineStr">
        <is>
          <t>Low</t>
        </is>
      </c>
      <c r="G360" s="308" t="n">
        <v>0</v>
      </c>
    </row>
    <row r="361">
      <c r="A361" s="309" t="inlineStr">
        <is>
          <t>RL7-PRM-101-FCV-01</t>
        </is>
      </c>
      <c r="B361" s="309" t="inlineStr">
        <is>
          <t>DG7012</t>
        </is>
      </c>
      <c r="C361" s="309" t="inlineStr">
        <is>
          <t>Matched</t>
        </is>
      </c>
      <c r="D361" s="309" t="inlineStr">
        <is>
          <t>RL7-PRM-101-FCV01</t>
        </is>
      </c>
      <c r="E361" s="310" t="n">
        <v>0.99</v>
      </c>
      <c r="F361" s="309" t="inlineStr">
        <is>
          <t>High</t>
        </is>
      </c>
      <c r="G361" s="309" t="n">
        <v>1</v>
      </c>
    </row>
    <row r="362">
      <c r="A362" s="309" t="inlineStr">
        <is>
          <t>RL7-PRM-101-FIT-01</t>
        </is>
      </c>
      <c r="B362" s="309" t="inlineStr">
        <is>
          <t>DG7012</t>
        </is>
      </c>
      <c r="C362" s="309" t="inlineStr">
        <is>
          <t>Matched</t>
        </is>
      </c>
      <c r="D362" s="309" t="inlineStr">
        <is>
          <t>RL7-PRM-101-FIT01</t>
        </is>
      </c>
      <c r="E362" s="310" t="n">
        <v>0.99</v>
      </c>
      <c r="F362" s="309" t="inlineStr">
        <is>
          <t>High</t>
        </is>
      </c>
      <c r="G362" s="309" t="n">
        <v>1</v>
      </c>
    </row>
    <row r="363">
      <c r="A363" s="309" t="inlineStr">
        <is>
          <t>RL7-PRM-101-FVI-01</t>
        </is>
      </c>
      <c r="B363" s="309" t="inlineStr">
        <is>
          <t>DG7012</t>
        </is>
      </c>
      <c r="C363" s="309" t="inlineStr">
        <is>
          <t>Matched</t>
        </is>
      </c>
      <c r="D363" s="309" t="inlineStr">
        <is>
          <t>RL7-PRM-101-FVI01</t>
        </is>
      </c>
      <c r="E363" s="310" t="n">
        <v>0.99</v>
      </c>
      <c r="F363" s="309" t="inlineStr">
        <is>
          <t>High</t>
        </is>
      </c>
      <c r="G363" s="309" t="n">
        <v>1</v>
      </c>
    </row>
    <row r="364">
      <c r="A364" s="309" t="inlineStr">
        <is>
          <t>RL7-PRM-101-PB-01</t>
        </is>
      </c>
      <c r="B364" s="309" t="inlineStr">
        <is>
          <t>DG7012</t>
        </is>
      </c>
      <c r="C364" s="309" t="inlineStr">
        <is>
          <t>Matched</t>
        </is>
      </c>
      <c r="D364" s="309" t="inlineStr">
        <is>
          <t>RL7-PRM-101-PB01</t>
        </is>
      </c>
      <c r="E364" s="310" t="n">
        <v>0.99</v>
      </c>
      <c r="F364" s="309" t="inlineStr">
        <is>
          <t>High</t>
        </is>
      </c>
      <c r="G364" s="309" t="n">
        <v>1</v>
      </c>
    </row>
    <row r="365">
      <c r="A365" s="309" t="inlineStr">
        <is>
          <t>RL7-PRM-101-PB-01</t>
        </is>
      </c>
      <c r="B365" s="309" t="inlineStr">
        <is>
          <t>DG7012</t>
        </is>
      </c>
      <c r="C365" s="309" t="inlineStr">
        <is>
          <t>Matched</t>
        </is>
      </c>
      <c r="D365" s="309" t="inlineStr">
        <is>
          <t>RL7-PRM-101-PB01</t>
        </is>
      </c>
      <c r="E365" s="310" t="n">
        <v>0.99</v>
      </c>
      <c r="F365" s="309" t="inlineStr">
        <is>
          <t>High</t>
        </is>
      </c>
      <c r="G365" s="309" t="n">
        <v>1</v>
      </c>
    </row>
    <row r="366">
      <c r="A366" s="308" t="inlineStr">
        <is>
          <t>RL7-PRM-101-PBL-01</t>
        </is>
      </c>
      <c r="B366" s="308" t="inlineStr">
        <is>
          <t>DG7012</t>
        </is>
      </c>
      <c r="C366" s="308" t="inlineStr">
        <is>
          <t>Not found in PDF</t>
        </is>
      </c>
      <c r="D366" s="308" t="inlineStr">
        <is>
          <t>RL7-PRM-101-PBL01</t>
        </is>
      </c>
      <c r="E366" s="308" t="inlineStr"/>
      <c r="F366" s="308" t="inlineStr">
        <is>
          <t>Low</t>
        </is>
      </c>
      <c r="G366" s="308" t="n">
        <v>0</v>
      </c>
    </row>
    <row r="367">
      <c r="A367" s="309" t="inlineStr">
        <is>
          <t>RL7-PRM-101-PSL-01</t>
        </is>
      </c>
      <c r="B367" s="309" t="inlineStr">
        <is>
          <t>DG7012</t>
        </is>
      </c>
      <c r="C367" s="309" t="inlineStr">
        <is>
          <t>Matched</t>
        </is>
      </c>
      <c r="D367" s="309" t="inlineStr">
        <is>
          <t>RL7-PRM-101-PSL01</t>
        </is>
      </c>
      <c r="E367" s="310" t="n">
        <v>0.99</v>
      </c>
      <c r="F367" s="309" t="inlineStr">
        <is>
          <t>High</t>
        </is>
      </c>
      <c r="G367" s="309" t="n">
        <v>1</v>
      </c>
    </row>
    <row r="368">
      <c r="A368" s="309" t="inlineStr">
        <is>
          <t>RL7-PRM-101-XV-05</t>
        </is>
      </c>
      <c r="B368" s="309" t="inlineStr">
        <is>
          <t>DG7012</t>
        </is>
      </c>
      <c r="C368" s="309" t="inlineStr">
        <is>
          <t>Matched</t>
        </is>
      </c>
      <c r="D368" s="309" t="inlineStr">
        <is>
          <t>RL7-PRM-101-XV05</t>
        </is>
      </c>
      <c r="E368" s="310" t="n">
        <v>0.99</v>
      </c>
      <c r="F368" s="309" t="inlineStr">
        <is>
          <t>High</t>
        </is>
      </c>
      <c r="G368" s="309" t="n">
        <v>1</v>
      </c>
    </row>
    <row r="369">
      <c r="A369" s="309" t="inlineStr">
        <is>
          <t>RL7-PRM-101-XV-05</t>
        </is>
      </c>
      <c r="B369" s="309" t="inlineStr">
        <is>
          <t>DG7012</t>
        </is>
      </c>
      <c r="C369" s="309" t="inlineStr">
        <is>
          <t>Matched</t>
        </is>
      </c>
      <c r="D369" s="309" t="inlineStr">
        <is>
          <t>RL7-PRM-101-XV05</t>
        </is>
      </c>
      <c r="E369" s="310" t="n">
        <v>0.99</v>
      </c>
      <c r="F369" s="309" t="inlineStr">
        <is>
          <t>High</t>
        </is>
      </c>
      <c r="G369" s="309" t="n">
        <v>1</v>
      </c>
    </row>
    <row r="370">
      <c r="A370" s="309" t="inlineStr">
        <is>
          <t>RL7-PRM-101-XV-06</t>
        </is>
      </c>
      <c r="B370" s="309" t="inlineStr">
        <is>
          <t>DG7012</t>
        </is>
      </c>
      <c r="C370" s="309" t="inlineStr">
        <is>
          <t>Matched</t>
        </is>
      </c>
      <c r="D370" s="309" t="inlineStr">
        <is>
          <t>RL7-PRM-101-XV06</t>
        </is>
      </c>
      <c r="E370" s="310" t="n">
        <v>0.99</v>
      </c>
      <c r="F370" s="309" t="inlineStr">
        <is>
          <t>High</t>
        </is>
      </c>
      <c r="G370" s="309" t="n">
        <v>1</v>
      </c>
    </row>
    <row r="371">
      <c r="A371" s="309" t="inlineStr">
        <is>
          <t>RL7-PRM-101-XV-07</t>
        </is>
      </c>
      <c r="B371" s="309" t="inlineStr">
        <is>
          <t>DG7012</t>
        </is>
      </c>
      <c r="C371" s="309" t="inlineStr">
        <is>
          <t>Matched</t>
        </is>
      </c>
      <c r="D371" s="309" t="inlineStr">
        <is>
          <t>RL7-PRM-101-XV07</t>
        </is>
      </c>
      <c r="E371" s="310" t="n">
        <v>0.99</v>
      </c>
      <c r="F371" s="309" t="inlineStr">
        <is>
          <t>High</t>
        </is>
      </c>
      <c r="G371" s="309" t="n">
        <v>1</v>
      </c>
    </row>
    <row r="372">
      <c r="A372" s="309" t="inlineStr">
        <is>
          <t>RL7-PRM-101-XV-08</t>
        </is>
      </c>
      <c r="B372" s="309" t="inlineStr">
        <is>
          <t>DG7012</t>
        </is>
      </c>
      <c r="C372" s="309" t="inlineStr">
        <is>
          <t>Matched</t>
        </is>
      </c>
      <c r="D372" s="309" t="inlineStr">
        <is>
          <t>RL7-PRM-101-XV08</t>
        </is>
      </c>
      <c r="E372" s="310" t="n">
        <v>0.99</v>
      </c>
      <c r="F372" s="309" t="inlineStr">
        <is>
          <t>High</t>
        </is>
      </c>
      <c r="G372" s="309" t="n">
        <v>1</v>
      </c>
    </row>
    <row r="373">
      <c r="A373" s="309" t="inlineStr">
        <is>
          <t>RL7-PRM-101-XV-09</t>
        </is>
      </c>
      <c r="B373" s="309" t="inlineStr">
        <is>
          <t>DG7012</t>
        </is>
      </c>
      <c r="C373" s="309" t="inlineStr">
        <is>
          <t>Matched</t>
        </is>
      </c>
      <c r="D373" s="309" t="inlineStr">
        <is>
          <t>RL7-PRM-101-XV09</t>
        </is>
      </c>
      <c r="E373" s="310" t="n">
        <v>0.99</v>
      </c>
      <c r="F373" s="309" t="inlineStr">
        <is>
          <t>High</t>
        </is>
      </c>
      <c r="G373" s="309" t="n">
        <v>1</v>
      </c>
    </row>
    <row r="374">
      <c r="A374" s="309" t="inlineStr">
        <is>
          <t>RL7-PRM-101-XY-01A</t>
        </is>
      </c>
      <c r="B374" s="309" t="inlineStr">
        <is>
          <t>DG7012</t>
        </is>
      </c>
      <c r="C374" s="309" t="inlineStr">
        <is>
          <t>Matched</t>
        </is>
      </c>
      <c r="D374" s="309" t="inlineStr">
        <is>
          <t>RL7-PRM-101-XY01A</t>
        </is>
      </c>
      <c r="E374" s="310" t="n">
        <v>0.99</v>
      </c>
      <c r="F374" s="309" t="inlineStr">
        <is>
          <t>High</t>
        </is>
      </c>
      <c r="G374" s="309" t="n">
        <v>1</v>
      </c>
    </row>
    <row r="375">
      <c r="A375" s="309" t="inlineStr">
        <is>
          <t>RL7-PRM-101-XY-01B</t>
        </is>
      </c>
      <c r="B375" s="309" t="inlineStr">
        <is>
          <t>DG7012</t>
        </is>
      </c>
      <c r="C375" s="309" t="inlineStr">
        <is>
          <t>Matched</t>
        </is>
      </c>
      <c r="D375" s="309" t="inlineStr">
        <is>
          <t>RL7-PRM-101-XY01B</t>
        </is>
      </c>
      <c r="E375" s="310" t="n">
        <v>0.99</v>
      </c>
      <c r="F375" s="309" t="inlineStr">
        <is>
          <t>High</t>
        </is>
      </c>
      <c r="G375" s="309" t="n">
        <v>1</v>
      </c>
    </row>
    <row r="376">
      <c r="A376" s="309" t="inlineStr">
        <is>
          <t>RL7-PRM-101-XY-02A</t>
        </is>
      </c>
      <c r="B376" s="309" t="inlineStr">
        <is>
          <t>DG7012</t>
        </is>
      </c>
      <c r="C376" s="309" t="inlineStr">
        <is>
          <t>Matched</t>
        </is>
      </c>
      <c r="D376" s="309" t="inlineStr">
        <is>
          <t>RL7-PRM-101-XY02A</t>
        </is>
      </c>
      <c r="E376" s="310" t="n">
        <v>0.99</v>
      </c>
      <c r="F376" s="309" t="inlineStr">
        <is>
          <t>High</t>
        </is>
      </c>
      <c r="G376" s="309" t="n">
        <v>1</v>
      </c>
    </row>
    <row r="377">
      <c r="A377" s="309" t="inlineStr">
        <is>
          <t>RL7-PRM-101-XY-02B</t>
        </is>
      </c>
      <c r="B377" s="309" t="inlineStr">
        <is>
          <t>DG7012</t>
        </is>
      </c>
      <c r="C377" s="309" t="inlineStr">
        <is>
          <t>Matched</t>
        </is>
      </c>
      <c r="D377" s="309" t="inlineStr">
        <is>
          <t>RL7-PRM-101-XY02B</t>
        </is>
      </c>
      <c r="E377" s="310" t="n">
        <v>0.99</v>
      </c>
      <c r="F377" s="309" t="inlineStr">
        <is>
          <t>High</t>
        </is>
      </c>
      <c r="G377" s="309" t="n">
        <v>1</v>
      </c>
    </row>
    <row r="378">
      <c r="A378" s="309" t="inlineStr">
        <is>
          <t>RL7-PRM-101-XYS-04A</t>
        </is>
      </c>
      <c r="B378" s="309" t="inlineStr">
        <is>
          <t>DG7012</t>
        </is>
      </c>
      <c r="C378" s="309" t="inlineStr">
        <is>
          <t>Matched</t>
        </is>
      </c>
      <c r="D378" s="309" t="inlineStr">
        <is>
          <t>RL7-PRM-101-XYS04A</t>
        </is>
      </c>
      <c r="E378" s="310" t="n">
        <v>0.99</v>
      </c>
      <c r="F378" s="309" t="inlineStr">
        <is>
          <t>High</t>
        </is>
      </c>
      <c r="G378" s="309" t="n">
        <v>1</v>
      </c>
    </row>
    <row r="379">
      <c r="A379" s="309" t="inlineStr">
        <is>
          <t>RL7-PRM-101-XYS-04B</t>
        </is>
      </c>
      <c r="B379" s="309" t="inlineStr">
        <is>
          <t>DG7012</t>
        </is>
      </c>
      <c r="C379" s="309" t="inlineStr">
        <is>
          <t>Matched</t>
        </is>
      </c>
      <c r="D379" s="309" t="inlineStr">
        <is>
          <t>RL7-PRM-101-XYS04B</t>
        </is>
      </c>
      <c r="E379" s="310" t="n">
        <v>0.99</v>
      </c>
      <c r="F379" s="309" t="inlineStr">
        <is>
          <t>High</t>
        </is>
      </c>
      <c r="G379" s="309" t="n">
        <v>1</v>
      </c>
    </row>
    <row r="380">
      <c r="A380" s="309" t="inlineStr">
        <is>
          <t>RL7-PRM-101-ZSC-01</t>
        </is>
      </c>
      <c r="B380" s="309" t="inlineStr">
        <is>
          <t>DG7012</t>
        </is>
      </c>
      <c r="C380" s="309" t="inlineStr">
        <is>
          <t>Matched</t>
        </is>
      </c>
      <c r="D380" s="309" t="inlineStr">
        <is>
          <t>RL7-PRM-101-ZSC01</t>
        </is>
      </c>
      <c r="E380" s="310" t="n">
        <v>0.99</v>
      </c>
      <c r="F380" s="309" t="inlineStr">
        <is>
          <t>High</t>
        </is>
      </c>
      <c r="G380" s="309" t="n">
        <v>1</v>
      </c>
    </row>
    <row r="381">
      <c r="A381" s="309" t="inlineStr">
        <is>
          <t>RL7-PRM-101-ZSC-02</t>
        </is>
      </c>
      <c r="B381" s="309" t="inlineStr">
        <is>
          <t>DG7012</t>
        </is>
      </c>
      <c r="C381" s="309" t="inlineStr">
        <is>
          <t>Matched</t>
        </is>
      </c>
      <c r="D381" s="309" t="inlineStr">
        <is>
          <t>RL7-PRM-101-ZSC02</t>
        </is>
      </c>
      <c r="E381" s="310" t="n">
        <v>0.99</v>
      </c>
      <c r="F381" s="309" t="inlineStr">
        <is>
          <t>High</t>
        </is>
      </c>
      <c r="G381" s="309" t="n">
        <v>1</v>
      </c>
    </row>
    <row r="382">
      <c r="A382" s="309" t="inlineStr">
        <is>
          <t>RL7-PRM-101-ZSC-04A</t>
        </is>
      </c>
      <c r="B382" s="309" t="inlineStr">
        <is>
          <t>DG7012</t>
        </is>
      </c>
      <c r="C382" s="309" t="inlineStr">
        <is>
          <t>Matched</t>
        </is>
      </c>
      <c r="D382" s="309" t="inlineStr">
        <is>
          <t>RL7-PRM-101-ZSC04A</t>
        </is>
      </c>
      <c r="E382" s="310" t="n">
        <v>0.99</v>
      </c>
      <c r="F382" s="309" t="inlineStr">
        <is>
          <t>High</t>
        </is>
      </c>
      <c r="G382" s="309" t="n">
        <v>1</v>
      </c>
    </row>
    <row r="383">
      <c r="A383" s="309" t="inlineStr">
        <is>
          <t>RL7-PRM-101-ZSC-04B</t>
        </is>
      </c>
      <c r="B383" s="309" t="inlineStr">
        <is>
          <t>DG7012</t>
        </is>
      </c>
      <c r="C383" s="309" t="inlineStr">
        <is>
          <t>Matched</t>
        </is>
      </c>
      <c r="D383" s="309" t="inlineStr">
        <is>
          <t>RL7-PRM-101-ZSC04B</t>
        </is>
      </c>
      <c r="E383" s="310" t="n">
        <v>0.99</v>
      </c>
      <c r="F383" s="309" t="inlineStr">
        <is>
          <t>High</t>
        </is>
      </c>
      <c r="G383" s="309" t="n">
        <v>1</v>
      </c>
    </row>
    <row r="384">
      <c r="A384" s="309" t="inlineStr">
        <is>
          <t>RL7-PRM-101-ZSC-05</t>
        </is>
      </c>
      <c r="B384" s="309" t="inlineStr">
        <is>
          <t>DG7012</t>
        </is>
      </c>
      <c r="C384" s="309" t="inlineStr">
        <is>
          <t>Matched</t>
        </is>
      </c>
      <c r="D384" s="309" t="inlineStr">
        <is>
          <t>RL7-PRM-101-ZSC05</t>
        </is>
      </c>
      <c r="E384" s="310" t="n">
        <v>0.99</v>
      </c>
      <c r="F384" s="309" t="inlineStr">
        <is>
          <t>High</t>
        </is>
      </c>
      <c r="G384" s="309" t="n">
        <v>1</v>
      </c>
    </row>
    <row r="385">
      <c r="A385" s="309" t="inlineStr">
        <is>
          <t>RL7-PRM-101-ZSC-05</t>
        </is>
      </c>
      <c r="B385" s="309" t="inlineStr">
        <is>
          <t>DG7012</t>
        </is>
      </c>
      <c r="C385" s="309" t="inlineStr">
        <is>
          <t>Matched</t>
        </is>
      </c>
      <c r="D385" s="309" t="inlineStr">
        <is>
          <t>RL7-PRM-101-ZSC05</t>
        </is>
      </c>
      <c r="E385" s="310" t="n">
        <v>0.99</v>
      </c>
      <c r="F385" s="309" t="inlineStr">
        <is>
          <t>High</t>
        </is>
      </c>
      <c r="G385" s="309" t="n">
        <v>1</v>
      </c>
    </row>
    <row r="386">
      <c r="A386" s="309" t="inlineStr">
        <is>
          <t>RL7-PRM-101-ZSC-06</t>
        </is>
      </c>
      <c r="B386" s="309" t="inlineStr">
        <is>
          <t>DG7012</t>
        </is>
      </c>
      <c r="C386" s="309" t="inlineStr">
        <is>
          <t>Matched</t>
        </is>
      </c>
      <c r="D386" s="309" t="inlineStr">
        <is>
          <t>RL7-PRM-101-ZSC06</t>
        </is>
      </c>
      <c r="E386" s="310" t="n">
        <v>0.99</v>
      </c>
      <c r="F386" s="309" t="inlineStr">
        <is>
          <t>High</t>
        </is>
      </c>
      <c r="G386" s="309" t="n">
        <v>1</v>
      </c>
    </row>
    <row r="387">
      <c r="A387" s="309" t="inlineStr">
        <is>
          <t>RL7-PRM-101-ZSC-07</t>
        </is>
      </c>
      <c r="B387" s="309" t="inlineStr">
        <is>
          <t>DG7012</t>
        </is>
      </c>
      <c r="C387" s="309" t="inlineStr">
        <is>
          <t>Matched</t>
        </is>
      </c>
      <c r="D387" s="309" t="inlineStr">
        <is>
          <t>RL7-PRM-101-ZSC07</t>
        </is>
      </c>
      <c r="E387" s="310" t="n">
        <v>0.99</v>
      </c>
      <c r="F387" s="309" t="inlineStr">
        <is>
          <t>High</t>
        </is>
      </c>
      <c r="G387" s="309" t="n">
        <v>1</v>
      </c>
    </row>
    <row r="388">
      <c r="A388" s="309" t="inlineStr">
        <is>
          <t>RL7-PRM-101-ZSC-08</t>
        </is>
      </c>
      <c r="B388" s="309" t="inlineStr">
        <is>
          <t>DG7012</t>
        </is>
      </c>
      <c r="C388" s="309" t="inlineStr">
        <is>
          <t>Matched</t>
        </is>
      </c>
      <c r="D388" s="309" t="inlineStr">
        <is>
          <t>RL7-PRM-101-ZSC08</t>
        </is>
      </c>
      <c r="E388" s="310" t="n">
        <v>0.99</v>
      </c>
      <c r="F388" s="309" t="inlineStr">
        <is>
          <t>High</t>
        </is>
      </c>
      <c r="G388" s="309" t="n">
        <v>1</v>
      </c>
    </row>
    <row r="389">
      <c r="A389" s="309" t="inlineStr">
        <is>
          <t>RL7-PRM-101-ZSC-09</t>
        </is>
      </c>
      <c r="B389" s="309" t="inlineStr">
        <is>
          <t>DG7012</t>
        </is>
      </c>
      <c r="C389" s="309" t="inlineStr">
        <is>
          <t>Matched</t>
        </is>
      </c>
      <c r="D389" s="309" t="inlineStr">
        <is>
          <t>RL7-PRM-101-ZSC09</t>
        </is>
      </c>
      <c r="E389" s="310" t="n">
        <v>0.99</v>
      </c>
      <c r="F389" s="309" t="inlineStr">
        <is>
          <t>High</t>
        </is>
      </c>
      <c r="G389" s="309" t="n">
        <v>1</v>
      </c>
    </row>
    <row r="390">
      <c r="A390" s="309" t="inlineStr">
        <is>
          <t>RL7-PRM-101-ZSO-01</t>
        </is>
      </c>
      <c r="B390" s="309" t="inlineStr">
        <is>
          <t>DG7012</t>
        </is>
      </c>
      <c r="C390" s="309" t="inlineStr">
        <is>
          <t>Matched</t>
        </is>
      </c>
      <c r="D390" s="309" t="inlineStr">
        <is>
          <t>RL7-PRM-101-ZSO01</t>
        </is>
      </c>
      <c r="E390" s="310" t="n">
        <v>0.99</v>
      </c>
      <c r="F390" s="309" t="inlineStr">
        <is>
          <t>High</t>
        </is>
      </c>
      <c r="G390" s="309" t="n">
        <v>1</v>
      </c>
    </row>
    <row r="391">
      <c r="A391" s="309" t="inlineStr">
        <is>
          <t>RL7-PRM-101-ZSO-02</t>
        </is>
      </c>
      <c r="B391" s="309" t="inlineStr">
        <is>
          <t>DG7012</t>
        </is>
      </c>
      <c r="C391" s="309" t="inlineStr">
        <is>
          <t>Matched</t>
        </is>
      </c>
      <c r="D391" s="309" t="inlineStr">
        <is>
          <t>RL7-PRM-101-ZSO02</t>
        </is>
      </c>
      <c r="E391" s="310" t="n">
        <v>0.99</v>
      </c>
      <c r="F391" s="309" t="inlineStr">
        <is>
          <t>High</t>
        </is>
      </c>
      <c r="G391" s="309" t="n">
        <v>1</v>
      </c>
    </row>
    <row r="392">
      <c r="A392" s="309" t="inlineStr">
        <is>
          <t>RL7-PRM-101-ZSO-03</t>
        </is>
      </c>
      <c r="B392" s="309" t="inlineStr">
        <is>
          <t>DG7012</t>
        </is>
      </c>
      <c r="C392" s="309" t="inlineStr">
        <is>
          <t>Matched</t>
        </is>
      </c>
      <c r="D392" s="309" t="inlineStr">
        <is>
          <t>RL7-PRM-101-ZSO03</t>
        </is>
      </c>
      <c r="E392" s="310" t="n">
        <v>0.99</v>
      </c>
      <c r="F392" s="309" t="inlineStr">
        <is>
          <t>High</t>
        </is>
      </c>
      <c r="G392" s="309" t="n">
        <v>1</v>
      </c>
    </row>
    <row r="393">
      <c r="A393" s="309" t="inlineStr">
        <is>
          <t>RL7-PRM-101-ZSO-05</t>
        </is>
      </c>
      <c r="B393" s="309" t="inlineStr">
        <is>
          <t>DG7012</t>
        </is>
      </c>
      <c r="C393" s="309" t="inlineStr">
        <is>
          <t>Matched</t>
        </is>
      </c>
      <c r="D393" s="309" t="inlineStr">
        <is>
          <t>RL7-PRM-101-ZSO05</t>
        </is>
      </c>
      <c r="E393" s="310" t="n">
        <v>0.99</v>
      </c>
      <c r="F393" s="309" t="inlineStr">
        <is>
          <t>High</t>
        </is>
      </c>
      <c r="G393" s="309" t="n">
        <v>1</v>
      </c>
    </row>
    <row r="394">
      <c r="A394" s="309" t="inlineStr">
        <is>
          <t>RL7-PRM-101-ZSO-05</t>
        </is>
      </c>
      <c r="B394" s="309" t="inlineStr">
        <is>
          <t>DG7012</t>
        </is>
      </c>
      <c r="C394" s="309" t="inlineStr">
        <is>
          <t>Matched</t>
        </is>
      </c>
      <c r="D394" s="309" t="inlineStr">
        <is>
          <t>RL7-PRM-101-ZSO05</t>
        </is>
      </c>
      <c r="E394" s="310" t="n">
        <v>0.99</v>
      </c>
      <c r="F394" s="309" t="inlineStr">
        <is>
          <t>High</t>
        </is>
      </c>
      <c r="G394" s="309" t="n">
        <v>1</v>
      </c>
    </row>
    <row r="395">
      <c r="A395" s="309" t="inlineStr">
        <is>
          <t>RL7-PRM-101-ZSO-06</t>
        </is>
      </c>
      <c r="B395" s="309" t="inlineStr">
        <is>
          <t>DG7012</t>
        </is>
      </c>
      <c r="C395" s="309" t="inlineStr">
        <is>
          <t>Matched</t>
        </is>
      </c>
      <c r="D395" s="309" t="inlineStr">
        <is>
          <t>RL7-PRM-101-ZSO06</t>
        </is>
      </c>
      <c r="E395" s="310" t="n">
        <v>0.99</v>
      </c>
      <c r="F395" s="309" t="inlineStr">
        <is>
          <t>High</t>
        </is>
      </c>
      <c r="G395" s="309" t="n">
        <v>1</v>
      </c>
    </row>
    <row r="396">
      <c r="A396" s="309" t="inlineStr">
        <is>
          <t>RL7-PRM-101-ZSO-07</t>
        </is>
      </c>
      <c r="B396" s="309" t="inlineStr">
        <is>
          <t>DG7012</t>
        </is>
      </c>
      <c r="C396" s="309" t="inlineStr">
        <is>
          <t>Matched</t>
        </is>
      </c>
      <c r="D396" s="309" t="inlineStr">
        <is>
          <t>RL7-PRM-101-ZSO07</t>
        </is>
      </c>
      <c r="E396" s="310" t="n">
        <v>0.99</v>
      </c>
      <c r="F396" s="309" t="inlineStr">
        <is>
          <t>High</t>
        </is>
      </c>
      <c r="G396" s="309" t="n">
        <v>1</v>
      </c>
    </row>
    <row r="397">
      <c r="A397" s="309" t="inlineStr">
        <is>
          <t>RL7-PRM-101-ZSO-08</t>
        </is>
      </c>
      <c r="B397" s="309" t="inlineStr">
        <is>
          <t>DG7012</t>
        </is>
      </c>
      <c r="C397" s="309" t="inlineStr">
        <is>
          <t>Matched</t>
        </is>
      </c>
      <c r="D397" s="309" t="inlineStr">
        <is>
          <t>RL7-PRM-101-ZSO08</t>
        </is>
      </c>
      <c r="E397" s="310" t="n">
        <v>0.99</v>
      </c>
      <c r="F397" s="309" t="inlineStr">
        <is>
          <t>High</t>
        </is>
      </c>
      <c r="G397" s="309" t="n">
        <v>1</v>
      </c>
    </row>
    <row r="398">
      <c r="A398" s="309" t="inlineStr">
        <is>
          <t>RL7-PRM-101-ZSO-09</t>
        </is>
      </c>
      <c r="B398" s="309" t="inlineStr">
        <is>
          <t>DG7012</t>
        </is>
      </c>
      <c r="C398" s="309" t="inlineStr">
        <is>
          <t>Matched</t>
        </is>
      </c>
      <c r="D398" s="309" t="inlineStr">
        <is>
          <t>RL7-PRM-101-ZSO09</t>
        </is>
      </c>
      <c r="E398" s="310" t="n">
        <v>0.99</v>
      </c>
      <c r="F398" s="309" t="inlineStr">
        <is>
          <t>High</t>
        </is>
      </c>
      <c r="G398" s="309" t="n">
        <v>1</v>
      </c>
    </row>
    <row r="399">
      <c r="A399" s="309" t="inlineStr">
        <is>
          <t>RL7-PRM-101-ZSS-01</t>
        </is>
      </c>
      <c r="B399" s="309" t="inlineStr">
        <is>
          <t>DG7012</t>
        </is>
      </c>
      <c r="C399" s="309" t="inlineStr">
        <is>
          <t>Matched</t>
        </is>
      </c>
      <c r="D399" s="309" t="inlineStr">
        <is>
          <t>RL7-PRM-101-ZSS01</t>
        </is>
      </c>
      <c r="E399" s="310" t="n">
        <v>0.99</v>
      </c>
      <c r="F399" s="309" t="inlineStr">
        <is>
          <t>High</t>
        </is>
      </c>
      <c r="G399" s="309" t="n">
        <v>1</v>
      </c>
    </row>
    <row r="400">
      <c r="A400" s="309" t="inlineStr">
        <is>
          <t>RL7-PRM-101-ZSS-01</t>
        </is>
      </c>
      <c r="B400" s="309" t="inlineStr">
        <is>
          <t>DG7012</t>
        </is>
      </c>
      <c r="C400" s="309" t="inlineStr">
        <is>
          <t>Matched</t>
        </is>
      </c>
      <c r="D400" s="309" t="inlineStr">
        <is>
          <t>RL7-PRM-101-ZSS01</t>
        </is>
      </c>
      <c r="E400" s="310" t="n">
        <v>0.99</v>
      </c>
      <c r="F400" s="309" t="inlineStr">
        <is>
          <t>High</t>
        </is>
      </c>
      <c r="G400" s="309" t="n">
        <v>1</v>
      </c>
    </row>
    <row r="401">
      <c r="A401" s="309" t="inlineStr">
        <is>
          <t>RL7-PRM-101-ZSS-02</t>
        </is>
      </c>
      <c r="B401" s="309" t="inlineStr">
        <is>
          <t>DG7012</t>
        </is>
      </c>
      <c r="C401" s="309" t="inlineStr">
        <is>
          <t>Matched</t>
        </is>
      </c>
      <c r="D401" s="309" t="inlineStr">
        <is>
          <t>RL7-PRM-101-ZSS02</t>
        </is>
      </c>
      <c r="E401" s="310" t="n">
        <v>0.99</v>
      </c>
      <c r="F401" s="309" t="inlineStr">
        <is>
          <t>High</t>
        </is>
      </c>
      <c r="G401" s="309" t="n">
        <v>1</v>
      </c>
    </row>
    <row r="402">
      <c r="A402" s="309" t="inlineStr">
        <is>
          <t>RL7-PRM-101-ZSS-02</t>
        </is>
      </c>
      <c r="B402" s="309" t="inlineStr">
        <is>
          <t>DG7012</t>
        </is>
      </c>
      <c r="C402" s="309" t="inlineStr">
        <is>
          <t>Matched</t>
        </is>
      </c>
      <c r="D402" s="309" t="inlineStr">
        <is>
          <t>RL7-PRM-101-ZSS02</t>
        </is>
      </c>
      <c r="E402" s="310" t="n">
        <v>0.99</v>
      </c>
      <c r="F402" s="309" t="inlineStr">
        <is>
          <t>High</t>
        </is>
      </c>
      <c r="G402" s="309" t="n">
        <v>1</v>
      </c>
    </row>
    <row r="403">
      <c r="A403" s="309" t="inlineStr">
        <is>
          <t>RL7-PRM-101-ZSS-03</t>
        </is>
      </c>
      <c r="B403" s="309" t="inlineStr">
        <is>
          <t>DG7012</t>
        </is>
      </c>
      <c r="C403" s="309" t="inlineStr">
        <is>
          <t>Matched</t>
        </is>
      </c>
      <c r="D403" s="309" t="inlineStr">
        <is>
          <t>RL7-PRM-101-ZSS03</t>
        </is>
      </c>
      <c r="E403" s="310" t="n">
        <v>0.99</v>
      </c>
      <c r="F403" s="309" t="inlineStr">
        <is>
          <t>High</t>
        </is>
      </c>
      <c r="G403" s="309" t="n">
        <v>1</v>
      </c>
    </row>
    <row r="404">
      <c r="A404" s="309" t="inlineStr">
        <is>
          <t>RL7-PRM-101-ZSS-03</t>
        </is>
      </c>
      <c r="B404" s="309" t="inlineStr">
        <is>
          <t>DG7012</t>
        </is>
      </c>
      <c r="C404" s="309" t="inlineStr">
        <is>
          <t>Matched</t>
        </is>
      </c>
      <c r="D404" s="309" t="inlineStr">
        <is>
          <t>RL7-PRM-101-ZSS03</t>
        </is>
      </c>
      <c r="E404" s="310" t="n">
        <v>0.99</v>
      </c>
      <c r="F404" s="309" t="inlineStr">
        <is>
          <t>High</t>
        </is>
      </c>
      <c r="G404" s="309" t="n">
        <v>1</v>
      </c>
    </row>
    <row r="405">
      <c r="A405" s="309" t="inlineStr">
        <is>
          <t>RL7-PRM-101-ZSS-04</t>
        </is>
      </c>
      <c r="B405" s="309" t="inlineStr">
        <is>
          <t>DG7012</t>
        </is>
      </c>
      <c r="C405" s="309" t="inlineStr">
        <is>
          <t>Matched</t>
        </is>
      </c>
      <c r="D405" s="309" t="inlineStr">
        <is>
          <t>RL7-PRM-101-ZSS04</t>
        </is>
      </c>
      <c r="E405" s="310" t="n">
        <v>0.99</v>
      </c>
      <c r="F405" s="309" t="inlineStr">
        <is>
          <t>High</t>
        </is>
      </c>
      <c r="G405" s="309" t="n">
        <v>1</v>
      </c>
    </row>
    <row r="406">
      <c r="A406" s="309" t="inlineStr">
        <is>
          <t>RL7-PRM-101-ZSS-04</t>
        </is>
      </c>
      <c r="B406" s="309" t="inlineStr">
        <is>
          <t>DG7012</t>
        </is>
      </c>
      <c r="C406" s="309" t="inlineStr">
        <is>
          <t>Matched</t>
        </is>
      </c>
      <c r="D406" s="309" t="inlineStr">
        <is>
          <t>RL7-PRM-101-ZSS04</t>
        </is>
      </c>
      <c r="E406" s="310" t="n">
        <v>0.99</v>
      </c>
      <c r="F406" s="309" t="inlineStr">
        <is>
          <t>High</t>
        </is>
      </c>
      <c r="G406" s="309" t="n">
        <v>1</v>
      </c>
    </row>
    <row r="407">
      <c r="A407" s="308" t="inlineStr">
        <is>
          <t>RL7-MLT-106-PBL-04</t>
        </is>
      </c>
      <c r="B407" s="308" t="inlineStr">
        <is>
          <t>DG7013</t>
        </is>
      </c>
      <c r="C407" s="308" t="inlineStr">
        <is>
          <t>No mapped PDF sheet</t>
        </is>
      </c>
      <c r="D407" s="308" t="inlineStr">
        <is>
          <t>RL7-MLT-106-PBL04</t>
        </is>
      </c>
      <c r="E407" s="308" t="inlineStr"/>
      <c r="F407" s="308" t="inlineStr">
        <is>
          <t>Low</t>
        </is>
      </c>
      <c r="G407" s="308" t="n">
        <v>0</v>
      </c>
    </row>
    <row r="408">
      <c r="A408" s="308" t="inlineStr">
        <is>
          <t>RL7-MLT-106-PBL-05</t>
        </is>
      </c>
      <c r="B408" s="308" t="inlineStr">
        <is>
          <t>DG7014</t>
        </is>
      </c>
      <c r="C408" s="308" t="inlineStr">
        <is>
          <t>No mapped PDF sheet</t>
        </is>
      </c>
      <c r="D408" s="308" t="inlineStr">
        <is>
          <t>RL7-MLT-106-PBL05</t>
        </is>
      </c>
      <c r="E408" s="308" t="inlineStr"/>
      <c r="F408" s="308" t="inlineStr">
        <is>
          <t>Low</t>
        </is>
      </c>
      <c r="G408" s="308" t="n">
        <v>0</v>
      </c>
    </row>
    <row r="409">
      <c r="A409" s="309" t="inlineStr">
        <is>
          <t>RL7-CKR-101-FCV-02</t>
        </is>
      </c>
      <c r="B409" s="309" t="inlineStr">
        <is>
          <t>DG7020</t>
        </is>
      </c>
      <c r="C409" s="309" t="inlineStr">
        <is>
          <t>Matched</t>
        </is>
      </c>
      <c r="D409" s="309" t="inlineStr">
        <is>
          <t>RL7-CKR-101-FCV02</t>
        </is>
      </c>
      <c r="E409" s="310" t="n">
        <v>0.99</v>
      </c>
      <c r="F409" s="309" t="inlineStr">
        <is>
          <t>High</t>
        </is>
      </c>
      <c r="G409" s="309" t="n">
        <v>1</v>
      </c>
    </row>
    <row r="410">
      <c r="A410" s="309" t="inlineStr">
        <is>
          <t>RL7-CKR-101-FIT-02</t>
        </is>
      </c>
      <c r="B410" s="309" t="inlineStr">
        <is>
          <t>DG7020</t>
        </is>
      </c>
      <c r="C410" s="309" t="inlineStr">
        <is>
          <t>Matched</t>
        </is>
      </c>
      <c r="D410" s="309" t="inlineStr">
        <is>
          <t>RL7-CKR-101-FIT02</t>
        </is>
      </c>
      <c r="E410" s="310" t="n">
        <v>0.99</v>
      </c>
      <c r="F410" s="309" t="inlineStr">
        <is>
          <t>High</t>
        </is>
      </c>
      <c r="G410" s="309" t="n">
        <v>1</v>
      </c>
    </row>
    <row r="411">
      <c r="A411" s="309" t="inlineStr">
        <is>
          <t>RL7-CKR-101-FVI-02</t>
        </is>
      </c>
      <c r="B411" s="309" t="inlineStr">
        <is>
          <t>DG7020</t>
        </is>
      </c>
      <c r="C411" s="309" t="inlineStr">
        <is>
          <t>Matched</t>
        </is>
      </c>
      <c r="D411" s="309" t="inlineStr">
        <is>
          <t>RL7-CKR-101-FVI02</t>
        </is>
      </c>
      <c r="E411" s="310" t="n">
        <v>0.99</v>
      </c>
      <c r="F411" s="309" t="inlineStr">
        <is>
          <t>High</t>
        </is>
      </c>
      <c r="G411" s="309" t="n">
        <v>1</v>
      </c>
    </row>
    <row r="412">
      <c r="A412" s="309" t="inlineStr">
        <is>
          <t>RL7-CKR-101-PB-01</t>
        </is>
      </c>
      <c r="B412" s="309" t="inlineStr">
        <is>
          <t>DG7020</t>
        </is>
      </c>
      <c r="C412" s="309" t="inlineStr">
        <is>
          <t>Matched</t>
        </is>
      </c>
      <c r="D412" s="309" t="inlineStr">
        <is>
          <t>RL7-CKR-101-PB01</t>
        </is>
      </c>
      <c r="E412" s="310" t="n">
        <v>0.99</v>
      </c>
      <c r="F412" s="309" t="inlineStr">
        <is>
          <t>High</t>
        </is>
      </c>
      <c r="G412" s="309" t="n">
        <v>1</v>
      </c>
    </row>
    <row r="413">
      <c r="A413" s="309" t="inlineStr">
        <is>
          <t>RL7-CKR-101-PB-01</t>
        </is>
      </c>
      <c r="B413" s="309" t="inlineStr">
        <is>
          <t>DG7020</t>
        </is>
      </c>
      <c r="C413" s="309" t="inlineStr">
        <is>
          <t>Matched</t>
        </is>
      </c>
      <c r="D413" s="309" t="inlineStr">
        <is>
          <t>RL7-CKR-101-PB01</t>
        </is>
      </c>
      <c r="E413" s="310" t="n">
        <v>0.99</v>
      </c>
      <c r="F413" s="309" t="inlineStr">
        <is>
          <t>High</t>
        </is>
      </c>
      <c r="G413" s="309" t="n">
        <v>1</v>
      </c>
    </row>
    <row r="414">
      <c r="A414" s="308" t="inlineStr">
        <is>
          <t>RL7-CKR-101-PB-02</t>
        </is>
      </c>
      <c r="B414" s="308" t="inlineStr">
        <is>
          <t>DG7020</t>
        </is>
      </c>
      <c r="C414" s="308" t="inlineStr">
        <is>
          <t>Matched - same-page inference</t>
        </is>
      </c>
      <c r="D414" s="308" t="inlineStr">
        <is>
          <t>RL7-CKR-101-PB02</t>
        </is>
      </c>
      <c r="E414" s="311" t="n">
        <v>0.77</v>
      </c>
      <c r="F414" s="308" t="inlineStr">
        <is>
          <t>Medium</t>
        </is>
      </c>
      <c r="G414" s="308" t="n">
        <v>1</v>
      </c>
    </row>
    <row r="415">
      <c r="A415" s="308" t="inlineStr">
        <is>
          <t>RL7-CKR-101-PB-03</t>
        </is>
      </c>
      <c r="B415" s="308" t="inlineStr">
        <is>
          <t>DG7020</t>
        </is>
      </c>
      <c r="C415" s="308" t="inlineStr">
        <is>
          <t>Matched - same-page inference</t>
        </is>
      </c>
      <c r="D415" s="308" t="inlineStr">
        <is>
          <t>RL7-CKR-101-PB03</t>
        </is>
      </c>
      <c r="E415" s="311" t="n">
        <v>0.77</v>
      </c>
      <c r="F415" s="308" t="inlineStr">
        <is>
          <t>Medium</t>
        </is>
      </c>
      <c r="G415" s="308" t="n">
        <v>1</v>
      </c>
    </row>
    <row r="416">
      <c r="A416" s="308" t="inlineStr">
        <is>
          <t>RL7-CKR-101-PBL-01</t>
        </is>
      </c>
      <c r="B416" s="308" t="inlineStr">
        <is>
          <t>DG7020</t>
        </is>
      </c>
      <c r="C416" s="308" t="inlineStr">
        <is>
          <t>Not found in PDF</t>
        </is>
      </c>
      <c r="D416" s="308" t="inlineStr">
        <is>
          <t>RL7-CKR-101-PBL01</t>
        </is>
      </c>
      <c r="E416" s="308" t="inlineStr"/>
      <c r="F416" s="308" t="inlineStr">
        <is>
          <t>Low</t>
        </is>
      </c>
      <c r="G416" s="308" t="n">
        <v>0</v>
      </c>
    </row>
    <row r="417">
      <c r="A417" s="308" t="inlineStr">
        <is>
          <t>RL7-CKR-101-PBL-02</t>
        </is>
      </c>
      <c r="B417" s="308" t="inlineStr">
        <is>
          <t>DG7020</t>
        </is>
      </c>
      <c r="C417" s="308" t="inlineStr">
        <is>
          <t>Not found in PDF</t>
        </is>
      </c>
      <c r="D417" s="308" t="inlineStr">
        <is>
          <t>RL7-CKR-101-PBL02</t>
        </is>
      </c>
      <c r="E417" s="308" t="inlineStr"/>
      <c r="F417" s="308" t="inlineStr">
        <is>
          <t>Low</t>
        </is>
      </c>
      <c r="G417" s="308" t="n">
        <v>0</v>
      </c>
    </row>
    <row r="418">
      <c r="A418" s="308" t="inlineStr">
        <is>
          <t>RL7-CKR-101-PBL-03</t>
        </is>
      </c>
      <c r="B418" s="308" t="inlineStr">
        <is>
          <t>DG7020</t>
        </is>
      </c>
      <c r="C418" s="308" t="inlineStr">
        <is>
          <t>Not found in PDF</t>
        </is>
      </c>
      <c r="D418" s="308" t="inlineStr">
        <is>
          <t>RL7-CKR-101-PBL03</t>
        </is>
      </c>
      <c r="E418" s="308" t="inlineStr"/>
      <c r="F418" s="308" t="inlineStr">
        <is>
          <t>Low</t>
        </is>
      </c>
      <c r="G418" s="308" t="n">
        <v>0</v>
      </c>
    </row>
    <row r="419">
      <c r="A419" s="309" t="inlineStr">
        <is>
          <t>RL7-CKR-101-PL-01G</t>
        </is>
      </c>
      <c r="B419" s="309" t="inlineStr">
        <is>
          <t>DG7020</t>
        </is>
      </c>
      <c r="C419" s="309" t="inlineStr">
        <is>
          <t>Matched</t>
        </is>
      </c>
      <c r="D419" s="309" t="inlineStr">
        <is>
          <t>RL7-CKR-101-PL01G</t>
        </is>
      </c>
      <c r="E419" s="310" t="n">
        <v>0.99</v>
      </c>
      <c r="F419" s="309" t="inlineStr">
        <is>
          <t>High</t>
        </is>
      </c>
      <c r="G419" s="309" t="n">
        <v>1</v>
      </c>
    </row>
    <row r="420">
      <c r="A420" s="309" t="inlineStr">
        <is>
          <t>RL7-CKR-101-PL-01R</t>
        </is>
      </c>
      <c r="B420" s="309" t="inlineStr">
        <is>
          <t>DG7020</t>
        </is>
      </c>
      <c r="C420" s="309" t="inlineStr">
        <is>
          <t>Matched</t>
        </is>
      </c>
      <c r="D420" s="309" t="inlineStr">
        <is>
          <t>RL7-CKR-101-PL01R</t>
        </is>
      </c>
      <c r="E420" s="310" t="n">
        <v>0.99</v>
      </c>
      <c r="F420" s="309" t="inlineStr">
        <is>
          <t>High</t>
        </is>
      </c>
      <c r="G420" s="309" t="n">
        <v>1</v>
      </c>
    </row>
    <row r="421">
      <c r="A421" s="309" t="inlineStr">
        <is>
          <t>RL7-CKR-101-PL-01Y</t>
        </is>
      </c>
      <c r="B421" s="309" t="inlineStr">
        <is>
          <t>DG7020</t>
        </is>
      </c>
      <c r="C421" s="309" t="inlineStr">
        <is>
          <t>Matched</t>
        </is>
      </c>
      <c r="D421" s="309" t="inlineStr">
        <is>
          <t>RL7-CKR-101-PL01Y</t>
        </is>
      </c>
      <c r="E421" s="310" t="n">
        <v>0.99</v>
      </c>
      <c r="F421" s="309" t="inlineStr">
        <is>
          <t>High</t>
        </is>
      </c>
      <c r="G421" s="309" t="n">
        <v>1</v>
      </c>
    </row>
    <row r="422">
      <c r="A422" s="309" t="inlineStr">
        <is>
          <t>RL7-CKR-101-PSL-01</t>
        </is>
      </c>
      <c r="B422" s="309" t="inlineStr">
        <is>
          <t>DG7020</t>
        </is>
      </c>
      <c r="C422" s="309" t="inlineStr">
        <is>
          <t>Matched</t>
        </is>
      </c>
      <c r="D422" s="309" t="inlineStr">
        <is>
          <t>RL7-CKR-101-PSL01</t>
        </is>
      </c>
      <c r="E422" s="310" t="n">
        <v>0.99</v>
      </c>
      <c r="F422" s="309" t="inlineStr">
        <is>
          <t>High</t>
        </is>
      </c>
      <c r="G422" s="309" t="n">
        <v>1</v>
      </c>
    </row>
    <row r="423">
      <c r="A423" s="309" t="inlineStr">
        <is>
          <t>RL7-CKR-101-TIT-01</t>
        </is>
      </c>
      <c r="B423" s="309" t="inlineStr">
        <is>
          <t>DG7020</t>
        </is>
      </c>
      <c r="C423" s="309" t="inlineStr">
        <is>
          <t>Matched</t>
        </is>
      </c>
      <c r="D423" s="309" t="inlineStr">
        <is>
          <t>RL7-CKR-101-TIT01</t>
        </is>
      </c>
      <c r="E423" s="310" t="n">
        <v>0.99</v>
      </c>
      <c r="F423" s="309" t="inlineStr">
        <is>
          <t>High</t>
        </is>
      </c>
      <c r="G423" s="309" t="n">
        <v>1</v>
      </c>
    </row>
    <row r="424">
      <c r="A424" s="309" t="inlineStr">
        <is>
          <t>RL7-CKR-101-TIT-02</t>
        </is>
      </c>
      <c r="B424" s="309" t="inlineStr">
        <is>
          <t>DG7020</t>
        </is>
      </c>
      <c r="C424" s="309" t="inlineStr">
        <is>
          <t>Matched</t>
        </is>
      </c>
      <c r="D424" s="309" t="inlineStr">
        <is>
          <t>RL7-CKR-101-TIT02</t>
        </is>
      </c>
      <c r="E424" s="310" t="n">
        <v>0.99</v>
      </c>
      <c r="F424" s="309" t="inlineStr">
        <is>
          <t>High</t>
        </is>
      </c>
      <c r="G424" s="309" t="n">
        <v>1</v>
      </c>
    </row>
    <row r="425">
      <c r="A425" s="308" t="inlineStr">
        <is>
          <t>RL7-CKR-101-XV-18A</t>
        </is>
      </c>
      <c r="B425" s="308" t="inlineStr">
        <is>
          <t>DG7020</t>
        </is>
      </c>
      <c r="C425" s="308" t="inlineStr">
        <is>
          <t>Not found in PDF</t>
        </is>
      </c>
      <c r="D425" s="308" t="inlineStr">
        <is>
          <t>RL7-CKR-101-XV18A</t>
        </is>
      </c>
      <c r="E425" s="308" t="inlineStr"/>
      <c r="F425" s="308" t="inlineStr">
        <is>
          <t>Low</t>
        </is>
      </c>
      <c r="G425" s="308" t="n">
        <v>0</v>
      </c>
    </row>
    <row r="426">
      <c r="A426" s="308" t="inlineStr">
        <is>
          <t>RL7-CKR-101-XV-18B</t>
        </is>
      </c>
      <c r="B426" s="308" t="inlineStr">
        <is>
          <t>DG7020</t>
        </is>
      </c>
      <c r="C426" s="308" t="inlineStr">
        <is>
          <t>Not found in PDF</t>
        </is>
      </c>
      <c r="D426" s="308" t="inlineStr">
        <is>
          <t>RL7-CKR-101-XV18B</t>
        </is>
      </c>
      <c r="E426" s="308" t="inlineStr"/>
      <c r="F426" s="308" t="inlineStr">
        <is>
          <t>Low</t>
        </is>
      </c>
      <c r="G426" s="308" t="n">
        <v>0</v>
      </c>
    </row>
    <row r="427">
      <c r="A427" s="308" t="inlineStr">
        <is>
          <t>RL7-CKR-101-XV-19A</t>
        </is>
      </c>
      <c r="B427" s="308" t="inlineStr">
        <is>
          <t>DG7020</t>
        </is>
      </c>
      <c r="C427" s="308" t="inlineStr">
        <is>
          <t>Not found in PDF</t>
        </is>
      </c>
      <c r="D427" s="308" t="inlineStr">
        <is>
          <t>RL7-CKR-101-XV19A</t>
        </is>
      </c>
      <c r="E427" s="308" t="inlineStr"/>
      <c r="F427" s="308" t="inlineStr">
        <is>
          <t>Low</t>
        </is>
      </c>
      <c r="G427" s="308" t="n">
        <v>0</v>
      </c>
    </row>
    <row r="428">
      <c r="A428" s="308" t="inlineStr">
        <is>
          <t>RL7-CKR-101-XV-19B</t>
        </is>
      </c>
      <c r="B428" s="308" t="inlineStr">
        <is>
          <t>DG7020</t>
        </is>
      </c>
      <c r="C428" s="308" t="inlineStr">
        <is>
          <t>Not found in PDF</t>
        </is>
      </c>
      <c r="D428" s="308" t="inlineStr">
        <is>
          <t>RL7-CKR-101-XV19B</t>
        </is>
      </c>
      <c r="E428" s="308" t="inlineStr"/>
      <c r="F428" s="308" t="inlineStr">
        <is>
          <t>Low</t>
        </is>
      </c>
      <c r="G428" s="308" t="n">
        <v>0</v>
      </c>
    </row>
    <row r="429">
      <c r="A429" s="309" t="inlineStr">
        <is>
          <t>RL7-CKR-101-XV-25</t>
        </is>
      </c>
      <c r="B429" s="309" t="inlineStr">
        <is>
          <t>DG7020</t>
        </is>
      </c>
      <c r="C429" s="309" t="inlineStr">
        <is>
          <t>Matched</t>
        </is>
      </c>
      <c r="D429" s="309" t="inlineStr">
        <is>
          <t>RL7-CKR-101-XV25</t>
        </is>
      </c>
      <c r="E429" s="310" t="n">
        <v>0.99</v>
      </c>
      <c r="F429" s="309" t="inlineStr">
        <is>
          <t>High</t>
        </is>
      </c>
      <c r="G429" s="309" t="n">
        <v>1</v>
      </c>
    </row>
    <row r="430">
      <c r="A430" s="309" t="inlineStr">
        <is>
          <t>RL7-CKR-101-XY-20A</t>
        </is>
      </c>
      <c r="B430" s="309" t="inlineStr">
        <is>
          <t>DG7020</t>
        </is>
      </c>
      <c r="C430" s="309" t="inlineStr">
        <is>
          <t>Matched</t>
        </is>
      </c>
      <c r="D430" s="309" t="inlineStr">
        <is>
          <t>RL7-CKR-101-XY20A</t>
        </is>
      </c>
      <c r="E430" s="310" t="n">
        <v>0.99</v>
      </c>
      <c r="F430" s="309" t="inlineStr">
        <is>
          <t>High</t>
        </is>
      </c>
      <c r="G430" s="309" t="n">
        <v>1</v>
      </c>
    </row>
    <row r="431">
      <c r="A431" s="309" t="inlineStr">
        <is>
          <t>RL7-CKR-101-XY-20B</t>
        </is>
      </c>
      <c r="B431" s="309" t="inlineStr">
        <is>
          <t>DG7020</t>
        </is>
      </c>
      <c r="C431" s="309" t="inlineStr">
        <is>
          <t>Matched</t>
        </is>
      </c>
      <c r="D431" s="309" t="inlineStr">
        <is>
          <t>RL7-CKR-101-XY20B</t>
        </is>
      </c>
      <c r="E431" s="310" t="n">
        <v>0.99</v>
      </c>
      <c r="F431" s="309" t="inlineStr">
        <is>
          <t>High</t>
        </is>
      </c>
      <c r="G431" s="309" t="n">
        <v>1</v>
      </c>
    </row>
    <row r="432">
      <c r="A432" s="309" t="inlineStr">
        <is>
          <t>RL7-CKR-101-XY-22A</t>
        </is>
      </c>
      <c r="B432" s="309" t="inlineStr">
        <is>
          <t>DG7020</t>
        </is>
      </c>
      <c r="C432" s="309" t="inlineStr">
        <is>
          <t>Matched</t>
        </is>
      </c>
      <c r="D432" s="309" t="inlineStr">
        <is>
          <t>RL7-CKR-101-XY22A</t>
        </is>
      </c>
      <c r="E432" s="310" t="n">
        <v>0.99</v>
      </c>
      <c r="F432" s="309" t="inlineStr">
        <is>
          <t>High</t>
        </is>
      </c>
      <c r="G432" s="309" t="n">
        <v>1</v>
      </c>
    </row>
    <row r="433">
      <c r="A433" s="309" t="inlineStr">
        <is>
          <t>RL7-CKR-101-XY-22B</t>
        </is>
      </c>
      <c r="B433" s="309" t="inlineStr">
        <is>
          <t>DG7020</t>
        </is>
      </c>
      <c r="C433" s="309" t="inlineStr">
        <is>
          <t>Matched</t>
        </is>
      </c>
      <c r="D433" s="309" t="inlineStr">
        <is>
          <t>RL7-CKR-101-XY22B</t>
        </is>
      </c>
      <c r="E433" s="310" t="n">
        <v>0.99</v>
      </c>
      <c r="F433" s="309" t="inlineStr">
        <is>
          <t>High</t>
        </is>
      </c>
      <c r="G433" s="309" t="n">
        <v>1</v>
      </c>
    </row>
    <row r="434">
      <c r="A434" s="309" t="inlineStr">
        <is>
          <t>RL7-CKR-101-XY-24</t>
        </is>
      </c>
      <c r="B434" s="309" t="inlineStr">
        <is>
          <t>DG7020</t>
        </is>
      </c>
      <c r="C434" s="309" t="inlineStr">
        <is>
          <t>Matched</t>
        </is>
      </c>
      <c r="D434" s="309" t="inlineStr">
        <is>
          <t>RL7-CKR-101-XY24</t>
        </is>
      </c>
      <c r="E434" s="310" t="n">
        <v>0.99</v>
      </c>
      <c r="F434" s="309" t="inlineStr">
        <is>
          <t>High</t>
        </is>
      </c>
      <c r="G434" s="309" t="n">
        <v>1</v>
      </c>
    </row>
    <row r="435">
      <c r="A435" s="309" t="inlineStr">
        <is>
          <t>RL7-CKR-101-XYS-23A</t>
        </is>
      </c>
      <c r="B435" s="309" t="inlineStr">
        <is>
          <t>DG7020</t>
        </is>
      </c>
      <c r="C435" s="309" t="inlineStr">
        <is>
          <t>Matched</t>
        </is>
      </c>
      <c r="D435" s="309" t="inlineStr">
        <is>
          <t>RL7-CKR-101-XYS23A</t>
        </is>
      </c>
      <c r="E435" s="310" t="n">
        <v>0.99</v>
      </c>
      <c r="F435" s="309" t="inlineStr">
        <is>
          <t>High</t>
        </is>
      </c>
      <c r="G435" s="309" t="n">
        <v>1</v>
      </c>
    </row>
    <row r="436">
      <c r="A436" s="309" t="inlineStr">
        <is>
          <t>RL7-CKR-101-XYS-23B</t>
        </is>
      </c>
      <c r="B436" s="309" t="inlineStr">
        <is>
          <t>DG7020</t>
        </is>
      </c>
      <c r="C436" s="309" t="inlineStr">
        <is>
          <t>Matched</t>
        </is>
      </c>
      <c r="D436" s="309" t="inlineStr">
        <is>
          <t>RL7-CKR-101-XYS23B</t>
        </is>
      </c>
      <c r="E436" s="310" t="n">
        <v>0.99</v>
      </c>
      <c r="F436" s="309" t="inlineStr">
        <is>
          <t>High</t>
        </is>
      </c>
      <c r="G436" s="309" t="n">
        <v>1</v>
      </c>
    </row>
    <row r="437">
      <c r="A437" s="309" t="inlineStr">
        <is>
          <t>RL7-CKR-101-ZSC-18</t>
        </is>
      </c>
      <c r="B437" s="309" t="inlineStr">
        <is>
          <t>DG7020</t>
        </is>
      </c>
      <c r="C437" s="309" t="inlineStr">
        <is>
          <t>Matched</t>
        </is>
      </c>
      <c r="D437" s="309" t="inlineStr">
        <is>
          <t>RL7-CKR-101-ZSC18</t>
        </is>
      </c>
      <c r="E437" s="310" t="n">
        <v>0.99</v>
      </c>
      <c r="F437" s="309" t="inlineStr">
        <is>
          <t>High</t>
        </is>
      </c>
      <c r="G437" s="309" t="n">
        <v>1</v>
      </c>
    </row>
    <row r="438">
      <c r="A438" s="309" t="inlineStr">
        <is>
          <t>RL7-CKR-101-ZSC-19</t>
        </is>
      </c>
      <c r="B438" s="309" t="inlineStr">
        <is>
          <t>DG7020</t>
        </is>
      </c>
      <c r="C438" s="309" t="inlineStr">
        <is>
          <t>Matched</t>
        </is>
      </c>
      <c r="D438" s="309" t="inlineStr">
        <is>
          <t>RL7-CKR-101-ZSC19</t>
        </is>
      </c>
      <c r="E438" s="310" t="n">
        <v>0.99</v>
      </c>
      <c r="F438" s="309" t="inlineStr">
        <is>
          <t>High</t>
        </is>
      </c>
      <c r="G438" s="309" t="n">
        <v>1</v>
      </c>
    </row>
    <row r="439">
      <c r="A439" s="309" t="inlineStr">
        <is>
          <t>RL7-CKR-101-ZSC-20</t>
        </is>
      </c>
      <c r="B439" s="309" t="inlineStr">
        <is>
          <t>DG7020</t>
        </is>
      </c>
      <c r="C439" s="309" t="inlineStr">
        <is>
          <t>Matched</t>
        </is>
      </c>
      <c r="D439" s="309" t="inlineStr">
        <is>
          <t>RL7-CKR-101-ZSC20</t>
        </is>
      </c>
      <c r="E439" s="310" t="n">
        <v>0.99</v>
      </c>
      <c r="F439" s="309" t="inlineStr">
        <is>
          <t>High</t>
        </is>
      </c>
      <c r="G439" s="309" t="n">
        <v>1</v>
      </c>
    </row>
    <row r="440">
      <c r="A440" s="309" t="inlineStr">
        <is>
          <t>RL7-CKR-101-ZSC-21</t>
        </is>
      </c>
      <c r="B440" s="309" t="inlineStr">
        <is>
          <t>DG7020</t>
        </is>
      </c>
      <c r="C440" s="309" t="inlineStr">
        <is>
          <t>Matched</t>
        </is>
      </c>
      <c r="D440" s="309" t="inlineStr">
        <is>
          <t>RL7-CKR-101-ZSC21</t>
        </is>
      </c>
      <c r="E440" s="310" t="n">
        <v>0.99</v>
      </c>
      <c r="F440" s="309" t="inlineStr">
        <is>
          <t>High</t>
        </is>
      </c>
      <c r="G440" s="309" t="n">
        <v>1</v>
      </c>
    </row>
    <row r="441">
      <c r="A441" s="309" t="inlineStr">
        <is>
          <t>RL7-CKR-101-ZSC-23A</t>
        </is>
      </c>
      <c r="B441" s="309" t="inlineStr">
        <is>
          <t>DG7020</t>
        </is>
      </c>
      <c r="C441" s="309" t="inlineStr">
        <is>
          <t>Matched</t>
        </is>
      </c>
      <c r="D441" s="309" t="inlineStr">
        <is>
          <t>RL7-CKR-101-ZSC23A</t>
        </is>
      </c>
      <c r="E441" s="310" t="n">
        <v>0.99</v>
      </c>
      <c r="F441" s="309" t="inlineStr">
        <is>
          <t>High</t>
        </is>
      </c>
      <c r="G441" s="309" t="n">
        <v>1</v>
      </c>
    </row>
    <row r="442">
      <c r="A442" s="309" t="inlineStr">
        <is>
          <t>RL7-CKR-101-ZSC-23B</t>
        </is>
      </c>
      <c r="B442" s="309" t="inlineStr">
        <is>
          <t>DG7020</t>
        </is>
      </c>
      <c r="C442" s="309" t="inlineStr">
        <is>
          <t>Matched</t>
        </is>
      </c>
      <c r="D442" s="309" t="inlineStr">
        <is>
          <t>RL7-CKR-101-ZSC23B</t>
        </is>
      </c>
      <c r="E442" s="310" t="n">
        <v>0.99</v>
      </c>
      <c r="F442" s="309" t="inlineStr">
        <is>
          <t>High</t>
        </is>
      </c>
      <c r="G442" s="309" t="n">
        <v>1</v>
      </c>
    </row>
    <row r="443">
      <c r="A443" s="309" t="inlineStr">
        <is>
          <t>RL7-CKR-101-ZSC-25</t>
        </is>
      </c>
      <c r="B443" s="309" t="inlineStr">
        <is>
          <t>DG7020</t>
        </is>
      </c>
      <c r="C443" s="309" t="inlineStr">
        <is>
          <t>Matched</t>
        </is>
      </c>
      <c r="D443" s="309" t="inlineStr">
        <is>
          <t>RL7-CKR-101-ZSC25</t>
        </is>
      </c>
      <c r="E443" s="310" t="n">
        <v>0.99</v>
      </c>
      <c r="F443" s="309" t="inlineStr">
        <is>
          <t>High</t>
        </is>
      </c>
      <c r="G443" s="309" t="n">
        <v>1</v>
      </c>
    </row>
    <row r="444">
      <c r="A444" s="309" t="inlineStr">
        <is>
          <t>RL7-CKR-101-ZSO-18</t>
        </is>
      </c>
      <c r="B444" s="309" t="inlineStr">
        <is>
          <t>DG7020</t>
        </is>
      </c>
      <c r="C444" s="309" t="inlineStr">
        <is>
          <t>Matched</t>
        </is>
      </c>
      <c r="D444" s="309" t="inlineStr">
        <is>
          <t>RL7-CKR-101-ZSO18</t>
        </is>
      </c>
      <c r="E444" s="310" t="n">
        <v>0.99</v>
      </c>
      <c r="F444" s="309" t="inlineStr">
        <is>
          <t>High</t>
        </is>
      </c>
      <c r="G444" s="309" t="n">
        <v>1</v>
      </c>
    </row>
    <row r="445">
      <c r="A445" s="309" t="inlineStr">
        <is>
          <t>RL7-CKR-101-ZSO-19</t>
        </is>
      </c>
      <c r="B445" s="309" t="inlineStr">
        <is>
          <t>DG7020</t>
        </is>
      </c>
      <c r="C445" s="309" t="inlineStr">
        <is>
          <t>Matched</t>
        </is>
      </c>
      <c r="D445" s="309" t="inlineStr">
        <is>
          <t>RL7-CKR-101-ZSO19</t>
        </is>
      </c>
      <c r="E445" s="310" t="n">
        <v>0.99</v>
      </c>
      <c r="F445" s="309" t="inlineStr">
        <is>
          <t>High</t>
        </is>
      </c>
      <c r="G445" s="309" t="n">
        <v>1</v>
      </c>
    </row>
    <row r="446">
      <c r="A446" s="309" t="inlineStr">
        <is>
          <t>RL7-CKR-101-ZSO-20</t>
        </is>
      </c>
      <c r="B446" s="309" t="inlineStr">
        <is>
          <t>DG7020</t>
        </is>
      </c>
      <c r="C446" s="309" t="inlineStr">
        <is>
          <t>Matched</t>
        </is>
      </c>
      <c r="D446" s="309" t="inlineStr">
        <is>
          <t>RL7-CKR-101-ZSO20</t>
        </is>
      </c>
      <c r="E446" s="310" t="n">
        <v>0.99</v>
      </c>
      <c r="F446" s="309" t="inlineStr">
        <is>
          <t>High</t>
        </is>
      </c>
      <c r="G446" s="309" t="n">
        <v>1</v>
      </c>
    </row>
    <row r="447">
      <c r="A447" s="309" t="inlineStr">
        <is>
          <t>RL7-CKR-101-ZSO-21</t>
        </is>
      </c>
      <c r="B447" s="309" t="inlineStr">
        <is>
          <t>DG7020</t>
        </is>
      </c>
      <c r="C447" s="309" t="inlineStr">
        <is>
          <t>Matched</t>
        </is>
      </c>
      <c r="D447" s="309" t="inlineStr">
        <is>
          <t>RL7-CKR-101-ZSO21</t>
        </is>
      </c>
      <c r="E447" s="310" t="n">
        <v>0.99</v>
      </c>
      <c r="F447" s="309" t="inlineStr">
        <is>
          <t>High</t>
        </is>
      </c>
      <c r="G447" s="309" t="n">
        <v>1</v>
      </c>
    </row>
    <row r="448">
      <c r="A448" s="309" t="inlineStr">
        <is>
          <t>RL7-CKR-101-ZSO-22</t>
        </is>
      </c>
      <c r="B448" s="309" t="inlineStr">
        <is>
          <t>DG7020</t>
        </is>
      </c>
      <c r="C448" s="309" t="inlineStr">
        <is>
          <t>Matched</t>
        </is>
      </c>
      <c r="D448" s="309" t="inlineStr">
        <is>
          <t>RL7-CKR-101-ZSO22</t>
        </is>
      </c>
      <c r="E448" s="310" t="n">
        <v>0.99</v>
      </c>
      <c r="F448" s="309" t="inlineStr">
        <is>
          <t>High</t>
        </is>
      </c>
      <c r="G448" s="309" t="n">
        <v>1</v>
      </c>
    </row>
    <row r="449">
      <c r="A449" s="309" t="inlineStr">
        <is>
          <t>RL7-CKR-101-ZSO-25</t>
        </is>
      </c>
      <c r="B449" s="309" t="inlineStr">
        <is>
          <t>DG7020</t>
        </is>
      </c>
      <c r="C449" s="309" t="inlineStr">
        <is>
          <t>Matched</t>
        </is>
      </c>
      <c r="D449" s="309" t="inlineStr">
        <is>
          <t>RL7-CKR-101-ZSO25</t>
        </is>
      </c>
      <c r="E449" s="310" t="n">
        <v>0.99</v>
      </c>
      <c r="F449" s="309" t="inlineStr">
        <is>
          <t>High</t>
        </is>
      </c>
      <c r="G449" s="309" t="n">
        <v>1</v>
      </c>
    </row>
    <row r="450">
      <c r="A450" s="309" t="inlineStr">
        <is>
          <t>RL7-CKR-101-ZSS-01</t>
        </is>
      </c>
      <c r="B450" s="309" t="inlineStr">
        <is>
          <t>DG7020</t>
        </is>
      </c>
      <c r="C450" s="309" t="inlineStr">
        <is>
          <t>Matched</t>
        </is>
      </c>
      <c r="D450" s="309" t="inlineStr">
        <is>
          <t>RL7-CKR-101-ZSS01</t>
        </is>
      </c>
      <c r="E450" s="310" t="n">
        <v>0.99</v>
      </c>
      <c r="F450" s="309" t="inlineStr">
        <is>
          <t>High</t>
        </is>
      </c>
      <c r="G450" s="309" t="n">
        <v>1</v>
      </c>
    </row>
    <row r="451">
      <c r="A451" s="309" t="inlineStr">
        <is>
          <t>RL7-CKR-101-ZSS-01</t>
        </is>
      </c>
      <c r="B451" s="309" t="inlineStr">
        <is>
          <t>DG7020</t>
        </is>
      </c>
      <c r="C451" s="309" t="inlineStr">
        <is>
          <t>Matched</t>
        </is>
      </c>
      <c r="D451" s="309" t="inlineStr">
        <is>
          <t>RL7-CKR-101-ZSS01</t>
        </is>
      </c>
      <c r="E451" s="310" t="n">
        <v>0.99</v>
      </c>
      <c r="F451" s="309" t="inlineStr">
        <is>
          <t>High</t>
        </is>
      </c>
      <c r="G451" s="309" t="n">
        <v>1</v>
      </c>
    </row>
    <row r="452">
      <c r="A452" s="309" t="inlineStr">
        <is>
          <t>RL7-CKR-101-ZSS-02</t>
        </is>
      </c>
      <c r="B452" s="309" t="inlineStr">
        <is>
          <t>DG7020</t>
        </is>
      </c>
      <c r="C452" s="309" t="inlineStr">
        <is>
          <t>Matched</t>
        </is>
      </c>
      <c r="D452" s="309" t="inlineStr">
        <is>
          <t>RL7-CKR-101-ZSS02</t>
        </is>
      </c>
      <c r="E452" s="310" t="n">
        <v>0.99</v>
      </c>
      <c r="F452" s="309" t="inlineStr">
        <is>
          <t>High</t>
        </is>
      </c>
      <c r="G452" s="309" t="n">
        <v>1</v>
      </c>
    </row>
    <row r="453">
      <c r="A453" s="309" t="inlineStr">
        <is>
          <t>RL7-CKR-101-ZSS-02</t>
        </is>
      </c>
      <c r="B453" s="309" t="inlineStr">
        <is>
          <t>DG7020</t>
        </is>
      </c>
      <c r="C453" s="309" t="inlineStr">
        <is>
          <t>Matched</t>
        </is>
      </c>
      <c r="D453" s="309" t="inlineStr">
        <is>
          <t>RL7-CKR-101-ZSS02</t>
        </is>
      </c>
      <c r="E453" s="310" t="n">
        <v>0.99</v>
      </c>
      <c r="F453" s="309" t="inlineStr">
        <is>
          <t>High</t>
        </is>
      </c>
      <c r="G453" s="309" t="n">
        <v>1</v>
      </c>
    </row>
    <row r="454">
      <c r="A454" s="309" t="inlineStr">
        <is>
          <t>RL7-CKR-101-ZSS-03</t>
        </is>
      </c>
      <c r="B454" s="309" t="inlineStr">
        <is>
          <t>DG7020</t>
        </is>
      </c>
      <c r="C454" s="309" t="inlineStr">
        <is>
          <t>Matched</t>
        </is>
      </c>
      <c r="D454" s="309" t="inlineStr">
        <is>
          <t>RL7-CKR-101-ZSS03</t>
        </is>
      </c>
      <c r="E454" s="310" t="n">
        <v>0.99</v>
      </c>
      <c r="F454" s="309" t="inlineStr">
        <is>
          <t>High</t>
        </is>
      </c>
      <c r="G454" s="309" t="n">
        <v>1</v>
      </c>
    </row>
    <row r="455">
      <c r="A455" s="309" t="inlineStr">
        <is>
          <t>RL7-CKR-101-ZSS-03</t>
        </is>
      </c>
      <c r="B455" s="309" t="inlineStr">
        <is>
          <t>DG7020</t>
        </is>
      </c>
      <c r="C455" s="309" t="inlineStr">
        <is>
          <t>Matched</t>
        </is>
      </c>
      <c r="D455" s="309" t="inlineStr">
        <is>
          <t>RL7-CKR-101-ZSS03</t>
        </is>
      </c>
      <c r="E455" s="310" t="n">
        <v>0.99</v>
      </c>
      <c r="F455" s="309" t="inlineStr">
        <is>
          <t>High</t>
        </is>
      </c>
      <c r="G455" s="309" t="n">
        <v>1</v>
      </c>
    </row>
    <row r="456">
      <c r="A456" s="308" t="inlineStr">
        <is>
          <t>RL7-CKR-101-ZSS-04</t>
        </is>
      </c>
      <c r="B456" s="308" t="inlineStr">
        <is>
          <t>DG7020</t>
        </is>
      </c>
      <c r="C456" s="308" t="inlineStr">
        <is>
          <t>Not found in PDF</t>
        </is>
      </c>
      <c r="D456" s="308" t="inlineStr">
        <is>
          <t>RL7-CKR-101-ZSS04</t>
        </is>
      </c>
      <c r="E456" s="308" t="inlineStr"/>
      <c r="F456" s="308" t="inlineStr">
        <is>
          <t>Low</t>
        </is>
      </c>
      <c r="G456" s="308" t="n">
        <v>0</v>
      </c>
    </row>
    <row r="457">
      <c r="A457" s="308" t="inlineStr">
        <is>
          <t>RL7-CKR-101-ZSS-04</t>
        </is>
      </c>
      <c r="B457" s="308" t="inlineStr">
        <is>
          <t>DG7020</t>
        </is>
      </c>
      <c r="C457" s="308" t="inlineStr">
        <is>
          <t>Not found in PDF</t>
        </is>
      </c>
      <c r="D457" s="308" t="inlineStr">
        <is>
          <t>RL7-CKR-101-ZSS04</t>
        </is>
      </c>
      <c r="E457" s="308" t="inlineStr"/>
      <c r="F457" s="308" t="inlineStr">
        <is>
          <t>Low</t>
        </is>
      </c>
      <c r="G457" s="308" t="n">
        <v>0</v>
      </c>
    </row>
    <row r="458">
      <c r="A458" s="308" t="inlineStr">
        <is>
          <t>RL7-CKR-101-ZSS-05</t>
        </is>
      </c>
      <c r="B458" s="308" t="inlineStr">
        <is>
          <t>DG7020</t>
        </is>
      </c>
      <c r="C458" s="308" t="inlineStr">
        <is>
          <t>Not found in PDF</t>
        </is>
      </c>
      <c r="D458" s="308" t="inlineStr">
        <is>
          <t>RL7-CKR-101-ZSS05</t>
        </is>
      </c>
      <c r="E458" s="308" t="inlineStr"/>
      <c r="F458" s="308" t="inlineStr">
        <is>
          <t>Low</t>
        </is>
      </c>
      <c r="G458" s="308" t="n">
        <v>0</v>
      </c>
    </row>
    <row r="459">
      <c r="A459" s="308" t="inlineStr">
        <is>
          <t>RL7-CKR-101-ZSS-05</t>
        </is>
      </c>
      <c r="B459" s="308" t="inlineStr">
        <is>
          <t>DG7020</t>
        </is>
      </c>
      <c r="C459" s="308" t="inlineStr">
        <is>
          <t>Not found in PDF</t>
        </is>
      </c>
      <c r="D459" s="308" t="inlineStr">
        <is>
          <t>RL7-CKR-101-ZSS05</t>
        </is>
      </c>
      <c r="E459" s="308" t="inlineStr"/>
      <c r="F459" s="308" t="inlineStr">
        <is>
          <t>Low</t>
        </is>
      </c>
      <c r="G459" s="308" t="n">
        <v>0</v>
      </c>
    </row>
    <row r="460">
      <c r="A460" s="308" t="inlineStr">
        <is>
          <t>RL7-MLT-107.M1</t>
        </is>
      </c>
      <c r="B460" s="308" t="inlineStr">
        <is>
          <t>DG7020</t>
        </is>
      </c>
      <c r="C460" s="308" t="inlineStr">
        <is>
          <t>Skipped - unrecognized tag</t>
        </is>
      </c>
      <c r="D460" s="308" t="inlineStr"/>
      <c r="E460" s="308" t="inlineStr"/>
      <c r="F460" s="308" t="inlineStr">
        <is>
          <t>Low</t>
        </is>
      </c>
      <c r="G460" s="308" t="n">
        <v>0</v>
      </c>
    </row>
    <row r="461">
      <c r="A461" s="309" t="inlineStr">
        <is>
          <t>RL7-MLT-107-PB-01</t>
        </is>
      </c>
      <c r="B461" s="309" t="inlineStr">
        <is>
          <t>DG7020</t>
        </is>
      </c>
      <c r="C461" s="309" t="inlineStr">
        <is>
          <t>Matched</t>
        </is>
      </c>
      <c r="D461" s="309" t="inlineStr">
        <is>
          <t>RL7-MLT-107-PB01</t>
        </is>
      </c>
      <c r="E461" s="310" t="n">
        <v>0.99</v>
      </c>
      <c r="F461" s="309" t="inlineStr">
        <is>
          <t>High</t>
        </is>
      </c>
      <c r="G461" s="309" t="n">
        <v>1</v>
      </c>
    </row>
    <row r="462">
      <c r="A462" s="309" t="inlineStr">
        <is>
          <t>RL7-MLT-107-PB-01</t>
        </is>
      </c>
      <c r="B462" s="309" t="inlineStr">
        <is>
          <t>DG7020</t>
        </is>
      </c>
      <c r="C462" s="309" t="inlineStr">
        <is>
          <t>Matched</t>
        </is>
      </c>
      <c r="D462" s="309" t="inlineStr">
        <is>
          <t>RL7-MLT-107-PB01</t>
        </is>
      </c>
      <c r="E462" s="310" t="n">
        <v>0.99</v>
      </c>
      <c r="F462" s="309" t="inlineStr">
        <is>
          <t>High</t>
        </is>
      </c>
      <c r="G462" s="309" t="n">
        <v>1</v>
      </c>
    </row>
    <row r="463">
      <c r="A463" s="309" t="inlineStr">
        <is>
          <t>RL7-MLT-107-PB-02</t>
        </is>
      </c>
      <c r="B463" s="309" t="inlineStr">
        <is>
          <t>DG7020</t>
        </is>
      </c>
      <c r="C463" s="309" t="inlineStr">
        <is>
          <t>Matched</t>
        </is>
      </c>
      <c r="D463" s="309" t="inlineStr">
        <is>
          <t>RL7-MLT-107-PB02</t>
        </is>
      </c>
      <c r="E463" s="310" t="n">
        <v>0.99</v>
      </c>
      <c r="F463" s="309" t="inlineStr">
        <is>
          <t>High</t>
        </is>
      </c>
      <c r="G463" s="309" t="n">
        <v>1</v>
      </c>
    </row>
    <row r="464">
      <c r="A464" s="309" t="inlineStr">
        <is>
          <t>RL7-MLT-107-PB-03</t>
        </is>
      </c>
      <c r="B464" s="309" t="inlineStr">
        <is>
          <t>DG7020</t>
        </is>
      </c>
      <c r="C464" s="309" t="inlineStr">
        <is>
          <t>Matched</t>
        </is>
      </c>
      <c r="D464" s="309" t="inlineStr">
        <is>
          <t>RL7-MLT-107-PB03</t>
        </is>
      </c>
      <c r="E464" s="310" t="n">
        <v>0.99</v>
      </c>
      <c r="F464" s="309" t="inlineStr">
        <is>
          <t>High</t>
        </is>
      </c>
      <c r="G464" s="309" t="n">
        <v>1</v>
      </c>
    </row>
    <row r="465">
      <c r="A465" s="309" t="inlineStr">
        <is>
          <t>RL7-MLT-107-PB-04</t>
        </is>
      </c>
      <c r="B465" s="309" t="inlineStr">
        <is>
          <t>DG7020</t>
        </is>
      </c>
      <c r="C465" s="309" t="inlineStr">
        <is>
          <t>Matched</t>
        </is>
      </c>
      <c r="D465" s="309" t="inlineStr">
        <is>
          <t>RL7-MLT-107-PB04</t>
        </is>
      </c>
      <c r="E465" s="310" t="n">
        <v>0.99</v>
      </c>
      <c r="F465" s="309" t="inlineStr">
        <is>
          <t>High</t>
        </is>
      </c>
      <c r="G465" s="309" t="n">
        <v>1</v>
      </c>
    </row>
    <row r="466">
      <c r="A466" s="308" t="inlineStr">
        <is>
          <t>RL7-MLT-107-PBL-01</t>
        </is>
      </c>
      <c r="B466" s="308" t="inlineStr">
        <is>
          <t>DG7020</t>
        </is>
      </c>
      <c r="C466" s="308" t="inlineStr">
        <is>
          <t>Not found in PDF</t>
        </is>
      </c>
      <c r="D466" s="308" t="inlineStr">
        <is>
          <t>RL7-MLT-107-PBL01</t>
        </is>
      </c>
      <c r="E466" s="308" t="inlineStr"/>
      <c r="F466" s="308" t="inlineStr">
        <is>
          <t>Low</t>
        </is>
      </c>
      <c r="G466" s="308" t="n">
        <v>0</v>
      </c>
    </row>
    <row r="467">
      <c r="A467" s="309" t="inlineStr">
        <is>
          <t>RL7-MLT-107-PL-01G</t>
        </is>
      </c>
      <c r="B467" s="309" t="inlineStr">
        <is>
          <t>DG7020</t>
        </is>
      </c>
      <c r="C467" s="309" t="inlineStr">
        <is>
          <t>Matched</t>
        </is>
      </c>
      <c r="D467" s="309" t="inlineStr">
        <is>
          <t>RL7-MLT-107-PL01G</t>
        </is>
      </c>
      <c r="E467" s="310" t="n">
        <v>0.99</v>
      </c>
      <c r="F467" s="309" t="inlineStr">
        <is>
          <t>High</t>
        </is>
      </c>
      <c r="G467" s="309" t="n">
        <v>1</v>
      </c>
    </row>
    <row r="468">
      <c r="A468" s="309" t="inlineStr">
        <is>
          <t>RL7-MLT-107-PL-01R</t>
        </is>
      </c>
      <c r="B468" s="309" t="inlineStr">
        <is>
          <t>DG7020</t>
        </is>
      </c>
      <c r="C468" s="309" t="inlineStr">
        <is>
          <t>Matched</t>
        </is>
      </c>
      <c r="D468" s="309" t="inlineStr">
        <is>
          <t>RL7-MLT-107-PL01R</t>
        </is>
      </c>
      <c r="E468" s="310" t="n">
        <v>0.99</v>
      </c>
      <c r="F468" s="309" t="inlineStr">
        <is>
          <t>High</t>
        </is>
      </c>
      <c r="G468" s="309" t="n">
        <v>1</v>
      </c>
    </row>
    <row r="469">
      <c r="A469" s="309" t="inlineStr">
        <is>
          <t>RL7-MLT-107-PL-01Y</t>
        </is>
      </c>
      <c r="B469" s="309" t="inlineStr">
        <is>
          <t>DG7020</t>
        </is>
      </c>
      <c r="C469" s="309" t="inlineStr">
        <is>
          <t>Matched</t>
        </is>
      </c>
      <c r="D469" s="309" t="inlineStr">
        <is>
          <t>RL7-MLT-107-PL01Y</t>
        </is>
      </c>
      <c r="E469" s="310" t="n">
        <v>0.99</v>
      </c>
      <c r="F469" s="309" t="inlineStr">
        <is>
          <t>High</t>
        </is>
      </c>
      <c r="G469" s="309" t="n">
        <v>1</v>
      </c>
    </row>
    <row r="470">
      <c r="A470" s="309" t="inlineStr">
        <is>
          <t>RL7-MLT-107-ZSC-01</t>
        </is>
      </c>
      <c r="B470" s="309" t="inlineStr">
        <is>
          <t>DG7020</t>
        </is>
      </c>
      <c r="C470" s="309" t="inlineStr">
        <is>
          <t>Matched</t>
        </is>
      </c>
      <c r="D470" s="309" t="inlineStr">
        <is>
          <t>RL7-MLT-107-ZSC01</t>
        </is>
      </c>
      <c r="E470" s="310" t="n">
        <v>0.99</v>
      </c>
      <c r="F470" s="309" t="inlineStr">
        <is>
          <t>High</t>
        </is>
      </c>
      <c r="G470" s="309" t="n">
        <v>1</v>
      </c>
    </row>
    <row r="471">
      <c r="A471" s="309" t="inlineStr">
        <is>
          <t>RL7-MLT-107-ZSC-02</t>
        </is>
      </c>
      <c r="B471" s="309" t="inlineStr">
        <is>
          <t>DG7020</t>
        </is>
      </c>
      <c r="C471" s="309" t="inlineStr">
        <is>
          <t>Matched</t>
        </is>
      </c>
      <c r="D471" s="309" t="inlineStr">
        <is>
          <t>RL7-MLT-107-ZSC02</t>
        </is>
      </c>
      <c r="E471" s="310" t="n">
        <v>0.99</v>
      </c>
      <c r="F471" s="309" t="inlineStr">
        <is>
          <t>High</t>
        </is>
      </c>
      <c r="G471" s="309" t="n">
        <v>1</v>
      </c>
    </row>
    <row r="472">
      <c r="A472" s="309" t="inlineStr">
        <is>
          <t>RL7-MLT-107-ZSC-03</t>
        </is>
      </c>
      <c r="B472" s="309" t="inlineStr">
        <is>
          <t>DG7020</t>
        </is>
      </c>
      <c r="C472" s="309" t="inlineStr">
        <is>
          <t>Matched</t>
        </is>
      </c>
      <c r="D472" s="309" t="inlineStr">
        <is>
          <t>RL7-MLT-107-ZSC03</t>
        </is>
      </c>
      <c r="E472" s="310" t="n">
        <v>0.99</v>
      </c>
      <c r="F472" s="309" t="inlineStr">
        <is>
          <t>High</t>
        </is>
      </c>
      <c r="G472" s="309" t="n">
        <v>1</v>
      </c>
    </row>
    <row r="473">
      <c r="A473" s="309" t="inlineStr">
        <is>
          <t>RL7-SKD-102-FIT-01</t>
        </is>
      </c>
      <c r="B473" s="309" t="inlineStr">
        <is>
          <t>DG7020</t>
        </is>
      </c>
      <c r="C473" s="309" t="inlineStr">
        <is>
          <t>Matched</t>
        </is>
      </c>
      <c r="D473" s="309" t="inlineStr">
        <is>
          <t>RL7-SKD-102-FIT01</t>
        </is>
      </c>
      <c r="E473" s="310" t="n">
        <v>0.99</v>
      </c>
      <c r="F473" s="309" t="inlineStr">
        <is>
          <t>High</t>
        </is>
      </c>
      <c r="G473" s="309" t="n">
        <v>1</v>
      </c>
    </row>
    <row r="474">
      <c r="A474" s="308" t="inlineStr">
        <is>
          <t>RL7-SKD-102-FIT-02</t>
        </is>
      </c>
      <c r="B474" s="308" t="inlineStr">
        <is>
          <t>DG7020</t>
        </is>
      </c>
      <c r="C474" s="308" t="inlineStr">
        <is>
          <t>Matched - same-page inference</t>
        </is>
      </c>
      <c r="D474" s="308" t="inlineStr">
        <is>
          <t>RL7-SKD-102-FIT02</t>
        </is>
      </c>
      <c r="E474" s="311" t="n">
        <v>0.77</v>
      </c>
      <c r="F474" s="308" t="inlineStr">
        <is>
          <t>Medium</t>
        </is>
      </c>
      <c r="G474" s="308" t="n">
        <v>1</v>
      </c>
    </row>
    <row r="475">
      <c r="A475" s="309" t="inlineStr">
        <is>
          <t>RL7-SKD-102-XV-01</t>
        </is>
      </c>
      <c r="B475" s="309" t="inlineStr">
        <is>
          <t>DG7020</t>
        </is>
      </c>
      <c r="C475" s="309" t="inlineStr">
        <is>
          <t>Matched</t>
        </is>
      </c>
      <c r="D475" s="309" t="inlineStr">
        <is>
          <t>RL7-SKD-102-XV01</t>
        </is>
      </c>
      <c r="E475" s="310" t="n">
        <v>0.99</v>
      </c>
      <c r="F475" s="309" t="inlineStr">
        <is>
          <t>High</t>
        </is>
      </c>
      <c r="G475" s="309" t="n">
        <v>1</v>
      </c>
    </row>
    <row r="476">
      <c r="A476" s="308" t="inlineStr">
        <is>
          <t>RL7-SKD-102-XV-02</t>
        </is>
      </c>
      <c r="B476" s="308" t="inlineStr">
        <is>
          <t>DG7020</t>
        </is>
      </c>
      <c r="C476" s="308" t="inlineStr">
        <is>
          <t>Not found in PDF</t>
        </is>
      </c>
      <c r="D476" s="308" t="inlineStr">
        <is>
          <t>RL7-SKD-102-XV02</t>
        </is>
      </c>
      <c r="E476" s="308" t="inlineStr"/>
      <c r="F476" s="308" t="inlineStr">
        <is>
          <t>Low</t>
        </is>
      </c>
      <c r="G476" s="308" t="n">
        <v>0</v>
      </c>
    </row>
    <row r="477">
      <c r="A477" s="309" t="inlineStr">
        <is>
          <t>RL7-SKD-102-ZSC-01</t>
        </is>
      </c>
      <c r="B477" s="309" t="inlineStr">
        <is>
          <t>DG7020</t>
        </is>
      </c>
      <c r="C477" s="309" t="inlineStr">
        <is>
          <t>Matched</t>
        </is>
      </c>
      <c r="D477" s="309" t="inlineStr">
        <is>
          <t>RL7-SKD-102-ZSC01</t>
        </is>
      </c>
      <c r="E477" s="310" t="n">
        <v>0.99</v>
      </c>
      <c r="F477" s="309" t="inlineStr">
        <is>
          <t>High</t>
        </is>
      </c>
      <c r="G477" s="309" t="n">
        <v>1</v>
      </c>
    </row>
    <row r="478">
      <c r="A478" s="308" t="inlineStr">
        <is>
          <t>RL7-SKD-102-ZSC-02</t>
        </is>
      </c>
      <c r="B478" s="308" t="inlineStr">
        <is>
          <t>DG7020</t>
        </is>
      </c>
      <c r="C478" s="308" t="inlineStr">
        <is>
          <t>Matched - same-page inference</t>
        </is>
      </c>
      <c r="D478" s="308" t="inlineStr">
        <is>
          <t>RL7-SKD-102-ZSC02</t>
        </is>
      </c>
      <c r="E478" s="311" t="n">
        <v>0.77</v>
      </c>
      <c r="F478" s="308" t="inlineStr">
        <is>
          <t>Medium</t>
        </is>
      </c>
      <c r="G478" s="308" t="n">
        <v>1</v>
      </c>
    </row>
    <row r="479">
      <c r="A479" s="309" t="inlineStr">
        <is>
          <t>RL7-SKD-102-ZSO-01</t>
        </is>
      </c>
      <c r="B479" s="309" t="inlineStr">
        <is>
          <t>DG7020</t>
        </is>
      </c>
      <c r="C479" s="309" t="inlineStr">
        <is>
          <t>Matched</t>
        </is>
      </c>
      <c r="D479" s="309" t="inlineStr">
        <is>
          <t>RL7-SKD-102-ZSO01</t>
        </is>
      </c>
      <c r="E479" s="310" t="n">
        <v>0.99</v>
      </c>
      <c r="F479" s="309" t="inlineStr">
        <is>
          <t>High</t>
        </is>
      </c>
      <c r="G479" s="309" t="n">
        <v>1</v>
      </c>
    </row>
    <row r="480">
      <c r="A480" s="308" t="inlineStr">
        <is>
          <t>RL7-SKD-102-ZSO-02</t>
        </is>
      </c>
      <c r="B480" s="308" t="inlineStr">
        <is>
          <t>DG7020</t>
        </is>
      </c>
      <c r="C480" s="308" t="inlineStr">
        <is>
          <t>Not found in PDF</t>
        </is>
      </c>
      <c r="D480" s="308" t="inlineStr">
        <is>
          <t>RL7-SKD-102-ZSO02</t>
        </is>
      </c>
      <c r="E480" s="308" t="inlineStr"/>
      <c r="F480" s="308" t="inlineStr">
        <is>
          <t>Low</t>
        </is>
      </c>
      <c r="G480" s="308" t="n">
        <v>0</v>
      </c>
    </row>
    <row r="481">
      <c r="A481" s="309" t="inlineStr">
        <is>
          <t>RL7-MLT-108-PB-01</t>
        </is>
      </c>
      <c r="B481" s="309" t="inlineStr">
        <is>
          <t>DG7021</t>
        </is>
      </c>
      <c r="C481" s="309" t="inlineStr">
        <is>
          <t>Matched</t>
        </is>
      </c>
      <c r="D481" s="309" t="inlineStr">
        <is>
          <t>RL7-MLT-108-PB01</t>
        </is>
      </c>
      <c r="E481" s="310" t="n">
        <v>0.99</v>
      </c>
      <c r="F481" s="309" t="inlineStr">
        <is>
          <t>High</t>
        </is>
      </c>
      <c r="G481" s="309" t="n">
        <v>1</v>
      </c>
    </row>
    <row r="482">
      <c r="A482" s="309" t="inlineStr">
        <is>
          <t>RL7-MLT-108-PB-01</t>
        </is>
      </c>
      <c r="B482" s="309" t="inlineStr">
        <is>
          <t>DG7021</t>
        </is>
      </c>
      <c r="C482" s="309" t="inlineStr">
        <is>
          <t>Matched</t>
        </is>
      </c>
      <c r="D482" s="309" t="inlineStr">
        <is>
          <t>RL7-MLT-108-PB01</t>
        </is>
      </c>
      <c r="E482" s="310" t="n">
        <v>0.99</v>
      </c>
      <c r="F482" s="309" t="inlineStr">
        <is>
          <t>High</t>
        </is>
      </c>
      <c r="G482" s="309" t="n">
        <v>1</v>
      </c>
    </row>
    <row r="483">
      <c r="A483" s="309" t="inlineStr">
        <is>
          <t>RL7-CKR-102-PB-02</t>
        </is>
      </c>
      <c r="B483" s="309" t="inlineStr">
        <is>
          <t>DG7021</t>
        </is>
      </c>
      <c r="C483" s="309" t="inlineStr">
        <is>
          <t>Matched</t>
        </is>
      </c>
      <c r="D483" s="309" t="inlineStr">
        <is>
          <t>RL7-CKR-102-PB02</t>
        </is>
      </c>
      <c r="E483" s="310" t="n">
        <v>0.99</v>
      </c>
      <c r="F483" s="309" t="inlineStr">
        <is>
          <t>High</t>
        </is>
      </c>
      <c r="G483" s="309" t="n">
        <v>1</v>
      </c>
    </row>
    <row r="484">
      <c r="A484" s="309" t="inlineStr">
        <is>
          <t>RL7-CKR-102-PB-02</t>
        </is>
      </c>
      <c r="B484" s="309" t="inlineStr">
        <is>
          <t>DG7021</t>
        </is>
      </c>
      <c r="C484" s="309" t="inlineStr">
        <is>
          <t>Matched</t>
        </is>
      </c>
      <c r="D484" s="309" t="inlineStr">
        <is>
          <t>RL7-CKR-102-PB02</t>
        </is>
      </c>
      <c r="E484" s="310" t="n">
        <v>0.99</v>
      </c>
      <c r="F484" s="309" t="inlineStr">
        <is>
          <t>High</t>
        </is>
      </c>
      <c r="G484" s="309" t="n">
        <v>1</v>
      </c>
    </row>
    <row r="485">
      <c r="A485" s="309" t="inlineStr">
        <is>
          <t>RL7-CKR-102-ZSS-03</t>
        </is>
      </c>
      <c r="B485" s="309" t="inlineStr">
        <is>
          <t>DG7021</t>
        </is>
      </c>
      <c r="C485" s="309" t="inlineStr">
        <is>
          <t>Matched</t>
        </is>
      </c>
      <c r="D485" s="309" t="inlineStr">
        <is>
          <t>RL7-CKR-102-ZSS03</t>
        </is>
      </c>
      <c r="E485" s="310" t="n">
        <v>0.99</v>
      </c>
      <c r="F485" s="309" t="inlineStr">
        <is>
          <t>High</t>
        </is>
      </c>
      <c r="G485" s="309" t="n">
        <v>1</v>
      </c>
    </row>
    <row r="486">
      <c r="A486" s="309" t="inlineStr">
        <is>
          <t>RL7-CKR-102-ZSS-03</t>
        </is>
      </c>
      <c r="B486" s="309" t="inlineStr">
        <is>
          <t>DG7021</t>
        </is>
      </c>
      <c r="C486" s="309" t="inlineStr">
        <is>
          <t>Matched</t>
        </is>
      </c>
      <c r="D486" s="309" t="inlineStr">
        <is>
          <t>RL7-CKR-102-ZSS03</t>
        </is>
      </c>
      <c r="E486" s="310" t="n">
        <v>0.99</v>
      </c>
      <c r="F486" s="309" t="inlineStr">
        <is>
          <t>High</t>
        </is>
      </c>
      <c r="G486" s="309" t="n">
        <v>1</v>
      </c>
    </row>
    <row r="487">
      <c r="A487" s="309" t="inlineStr">
        <is>
          <t>RL7-CKR-102-ZSS-02</t>
        </is>
      </c>
      <c r="B487" s="309" t="inlineStr">
        <is>
          <t>DG7021</t>
        </is>
      </c>
      <c r="C487" s="309" t="inlineStr">
        <is>
          <t>Matched</t>
        </is>
      </c>
      <c r="D487" s="309" t="inlineStr">
        <is>
          <t>RL7-CKR-102-ZSS02</t>
        </is>
      </c>
      <c r="E487" s="310" t="n">
        <v>0.99</v>
      </c>
      <c r="F487" s="309" t="inlineStr">
        <is>
          <t>High</t>
        </is>
      </c>
      <c r="G487" s="309" t="n">
        <v>1</v>
      </c>
    </row>
    <row r="488">
      <c r="A488" s="309" t="inlineStr">
        <is>
          <t>RL7-CKR-102-ZSS-02</t>
        </is>
      </c>
      <c r="B488" s="309" t="inlineStr">
        <is>
          <t>DG7021</t>
        </is>
      </c>
      <c r="C488" s="309" t="inlineStr">
        <is>
          <t>Matched</t>
        </is>
      </c>
      <c r="D488" s="309" t="inlineStr">
        <is>
          <t>RL7-CKR-102-ZSS02</t>
        </is>
      </c>
      <c r="E488" s="310" t="n">
        <v>0.99</v>
      </c>
      <c r="F488" s="309" t="inlineStr">
        <is>
          <t>High</t>
        </is>
      </c>
      <c r="G488" s="309" t="n">
        <v>1</v>
      </c>
    </row>
    <row r="489">
      <c r="A489" s="309" t="inlineStr">
        <is>
          <t>RL7-CKR-102-PB-01</t>
        </is>
      </c>
      <c r="B489" s="309" t="inlineStr">
        <is>
          <t>DG7021</t>
        </is>
      </c>
      <c r="C489" s="309" t="inlineStr">
        <is>
          <t>Matched</t>
        </is>
      </c>
      <c r="D489" s="309" t="inlineStr">
        <is>
          <t>RL7-CKR-102-PB01</t>
        </is>
      </c>
      <c r="E489" s="310" t="n">
        <v>0.99</v>
      </c>
      <c r="F489" s="309" t="inlineStr">
        <is>
          <t>High</t>
        </is>
      </c>
      <c r="G489" s="309" t="n">
        <v>1</v>
      </c>
    </row>
    <row r="490">
      <c r="A490" s="309" t="inlineStr">
        <is>
          <t>RL7-CKR-102-PB-01</t>
        </is>
      </c>
      <c r="B490" s="309" t="inlineStr">
        <is>
          <t>DG7021</t>
        </is>
      </c>
      <c r="C490" s="309" t="inlineStr">
        <is>
          <t>Matched</t>
        </is>
      </c>
      <c r="D490" s="309" t="inlineStr">
        <is>
          <t>RL7-CKR-102-PB01</t>
        </is>
      </c>
      <c r="E490" s="310" t="n">
        <v>0.99</v>
      </c>
      <c r="F490" s="309" t="inlineStr">
        <is>
          <t>High</t>
        </is>
      </c>
      <c r="G490" s="309" t="n">
        <v>1</v>
      </c>
    </row>
    <row r="491">
      <c r="A491" s="309" t="inlineStr">
        <is>
          <t>RL7-CKR-102-ZSS-01</t>
        </is>
      </c>
      <c r="B491" s="309" t="inlineStr">
        <is>
          <t>DG7021</t>
        </is>
      </c>
      <c r="C491" s="309" t="inlineStr">
        <is>
          <t>Matched</t>
        </is>
      </c>
      <c r="D491" s="309" t="inlineStr">
        <is>
          <t>RL7-CKR-102-ZSS01</t>
        </is>
      </c>
      <c r="E491" s="310" t="n">
        <v>0.99</v>
      </c>
      <c r="F491" s="309" t="inlineStr">
        <is>
          <t>High</t>
        </is>
      </c>
      <c r="G491" s="309" t="n">
        <v>1</v>
      </c>
    </row>
    <row r="492">
      <c r="A492" s="309" t="inlineStr">
        <is>
          <t>RL7-CKR-102-ZSS-01</t>
        </is>
      </c>
      <c r="B492" s="309" t="inlineStr">
        <is>
          <t>DG7021</t>
        </is>
      </c>
      <c r="C492" s="309" t="inlineStr">
        <is>
          <t>Matched</t>
        </is>
      </c>
      <c r="D492" s="309" t="inlineStr">
        <is>
          <t>RL7-CKR-102-ZSS01</t>
        </is>
      </c>
      <c r="E492" s="310" t="n">
        <v>0.99</v>
      </c>
      <c r="F492" s="309" t="inlineStr">
        <is>
          <t>High</t>
        </is>
      </c>
      <c r="G492" s="309" t="n">
        <v>1</v>
      </c>
    </row>
    <row r="493">
      <c r="A493" s="309" t="inlineStr">
        <is>
          <t>RL7-CKR-102-ZSC-23A</t>
        </is>
      </c>
      <c r="B493" s="309" t="inlineStr">
        <is>
          <t>DG7021</t>
        </is>
      </c>
      <c r="C493" s="309" t="inlineStr">
        <is>
          <t>Matched</t>
        </is>
      </c>
      <c r="D493" s="309" t="inlineStr">
        <is>
          <t>RL7-CKR-102-ZSC23A</t>
        </is>
      </c>
      <c r="E493" s="310" t="n">
        <v>0.99</v>
      </c>
      <c r="F493" s="309" t="inlineStr">
        <is>
          <t>High</t>
        </is>
      </c>
      <c r="G493" s="309" t="n">
        <v>1</v>
      </c>
    </row>
    <row r="494">
      <c r="A494" s="309" t="inlineStr">
        <is>
          <t>RL7-CKR-102-ZSC-23B</t>
        </is>
      </c>
      <c r="B494" s="309" t="inlineStr">
        <is>
          <t>DG7021</t>
        </is>
      </c>
      <c r="C494" s="309" t="inlineStr">
        <is>
          <t>Matched</t>
        </is>
      </c>
      <c r="D494" s="309" t="inlineStr">
        <is>
          <t>RL7-CKR-102-ZSC23B</t>
        </is>
      </c>
      <c r="E494" s="310" t="n">
        <v>0.99</v>
      </c>
      <c r="F494" s="309" t="inlineStr">
        <is>
          <t>High</t>
        </is>
      </c>
      <c r="G494" s="309" t="n">
        <v>1</v>
      </c>
    </row>
    <row r="495">
      <c r="A495" s="308" t="inlineStr">
        <is>
          <t>RL7-CKR-102-PB-03</t>
        </is>
      </c>
      <c r="B495" s="308" t="inlineStr">
        <is>
          <t>DG7021</t>
        </is>
      </c>
      <c r="C495" s="308" t="inlineStr">
        <is>
          <t>Matched - same-page inference</t>
        </is>
      </c>
      <c r="D495" s="308" t="inlineStr">
        <is>
          <t>RL7-CKR-102-PB03</t>
        </is>
      </c>
      <c r="E495" s="311" t="n">
        <v>0.77</v>
      </c>
      <c r="F495" s="308" t="inlineStr">
        <is>
          <t>Medium</t>
        </is>
      </c>
      <c r="G495" s="308" t="n">
        <v>1</v>
      </c>
    </row>
    <row r="496">
      <c r="A496" s="308" t="inlineStr">
        <is>
          <t>RL7-CKR-102-PB-04</t>
        </is>
      </c>
      <c r="B496" s="308" t="inlineStr">
        <is>
          <t>DG7021</t>
        </is>
      </c>
      <c r="C496" s="308" t="inlineStr">
        <is>
          <t>Matched - same-page inference</t>
        </is>
      </c>
      <c r="D496" s="308" t="inlineStr">
        <is>
          <t>RL7-CKR-102-PB04</t>
        </is>
      </c>
      <c r="E496" s="311" t="n">
        <v>0.77</v>
      </c>
      <c r="F496" s="308" t="inlineStr">
        <is>
          <t>Medium</t>
        </is>
      </c>
      <c r="G496" s="308" t="n">
        <v>1</v>
      </c>
    </row>
    <row r="497">
      <c r="A497" s="308" t="inlineStr">
        <is>
          <t>RL7-CKR-102-ZSS-04</t>
        </is>
      </c>
      <c r="B497" s="308" t="inlineStr">
        <is>
          <t>DG7021</t>
        </is>
      </c>
      <c r="C497" s="308" t="inlineStr">
        <is>
          <t>Not found in PDF</t>
        </is>
      </c>
      <c r="D497" s="308" t="inlineStr">
        <is>
          <t>RL7-CKR-102-ZSS04</t>
        </is>
      </c>
      <c r="E497" s="308" t="inlineStr"/>
      <c r="F497" s="308" t="inlineStr">
        <is>
          <t>Low</t>
        </is>
      </c>
      <c r="G497" s="308" t="n">
        <v>0</v>
      </c>
    </row>
    <row r="498">
      <c r="A498" s="308" t="inlineStr">
        <is>
          <t>RL7-CKR-102-ZSS-04</t>
        </is>
      </c>
      <c r="B498" s="308" t="inlineStr">
        <is>
          <t>DG7021</t>
        </is>
      </c>
      <c r="C498" s="308" t="inlineStr">
        <is>
          <t>Not found in PDF</t>
        </is>
      </c>
      <c r="D498" s="308" t="inlineStr">
        <is>
          <t>RL7-CKR-102-ZSS04</t>
        </is>
      </c>
      <c r="E498" s="308" t="inlineStr"/>
      <c r="F498" s="308" t="inlineStr">
        <is>
          <t>Low</t>
        </is>
      </c>
      <c r="G498" s="308" t="n">
        <v>0</v>
      </c>
    </row>
    <row r="499">
      <c r="A499" s="308" t="inlineStr">
        <is>
          <t>RL7-CKR-102-ZSS-05</t>
        </is>
      </c>
      <c r="B499" s="308" t="inlineStr">
        <is>
          <t>DG7021</t>
        </is>
      </c>
      <c r="C499" s="308" t="inlineStr">
        <is>
          <t>Not found in PDF</t>
        </is>
      </c>
      <c r="D499" s="308" t="inlineStr">
        <is>
          <t>RL7-CKR-102-ZSS05</t>
        </is>
      </c>
      <c r="E499" s="308" t="inlineStr"/>
      <c r="F499" s="308" t="inlineStr">
        <is>
          <t>Low</t>
        </is>
      </c>
      <c r="G499" s="308" t="n">
        <v>0</v>
      </c>
    </row>
    <row r="500">
      <c r="A500" s="308" t="inlineStr">
        <is>
          <t>RL7-CKR-102-ZSS-05</t>
        </is>
      </c>
      <c r="B500" s="308" t="inlineStr">
        <is>
          <t>DG7021</t>
        </is>
      </c>
      <c r="C500" s="308" t="inlineStr">
        <is>
          <t>Not found in PDF</t>
        </is>
      </c>
      <c r="D500" s="308" t="inlineStr">
        <is>
          <t>RL7-CKR-102-ZSS05</t>
        </is>
      </c>
      <c r="E500" s="308" t="inlineStr"/>
      <c r="F500" s="308" t="inlineStr">
        <is>
          <t>Low</t>
        </is>
      </c>
      <c r="G500" s="308" t="n">
        <v>0</v>
      </c>
    </row>
    <row r="501">
      <c r="A501" s="309" t="inlineStr">
        <is>
          <t>RL7-CKR-102-XYS-23A</t>
        </is>
      </c>
      <c r="B501" s="309" t="inlineStr">
        <is>
          <t>DG7021</t>
        </is>
      </c>
      <c r="C501" s="309" t="inlineStr">
        <is>
          <t>Matched</t>
        </is>
      </c>
      <c r="D501" s="309" t="inlineStr">
        <is>
          <t>RL7-CKR-102-XYS23A</t>
        </is>
      </c>
      <c r="E501" s="310" t="n">
        <v>0.99</v>
      </c>
      <c r="F501" s="309" t="inlineStr">
        <is>
          <t>High</t>
        </is>
      </c>
      <c r="G501" s="309" t="n">
        <v>1</v>
      </c>
    </row>
    <row r="502">
      <c r="A502" s="309" t="inlineStr">
        <is>
          <t>RL7-CKR-102-XYS-23B</t>
        </is>
      </c>
      <c r="B502" s="309" t="inlineStr">
        <is>
          <t>DG7021</t>
        </is>
      </c>
      <c r="C502" s="309" t="inlineStr">
        <is>
          <t>Matched</t>
        </is>
      </c>
      <c r="D502" s="309" t="inlineStr">
        <is>
          <t>RL7-CKR-102-XYS23B</t>
        </is>
      </c>
      <c r="E502" s="310" t="n">
        <v>0.99</v>
      </c>
      <c r="F502" s="309" t="inlineStr">
        <is>
          <t>High</t>
        </is>
      </c>
      <c r="G502" s="309" t="n">
        <v>1</v>
      </c>
    </row>
    <row r="503">
      <c r="A503" s="309" t="inlineStr">
        <is>
          <t>RL7-CKR-102-ZSC-21</t>
        </is>
      </c>
      <c r="B503" s="309" t="inlineStr">
        <is>
          <t>DG7021</t>
        </is>
      </c>
      <c r="C503" s="309" t="inlineStr">
        <is>
          <t>Matched</t>
        </is>
      </c>
      <c r="D503" s="309" t="inlineStr">
        <is>
          <t>RL7-CKR-102-ZSC21</t>
        </is>
      </c>
      <c r="E503" s="310" t="n">
        <v>0.99</v>
      </c>
      <c r="F503" s="309" t="inlineStr">
        <is>
          <t>High</t>
        </is>
      </c>
      <c r="G503" s="309" t="n">
        <v>1</v>
      </c>
    </row>
    <row r="504">
      <c r="A504" s="309" t="inlineStr">
        <is>
          <t>RL7-CKR-102-ZSO-21</t>
        </is>
      </c>
      <c r="B504" s="309" t="inlineStr">
        <is>
          <t>DG7021</t>
        </is>
      </c>
      <c r="C504" s="309" t="inlineStr">
        <is>
          <t>Matched</t>
        </is>
      </c>
      <c r="D504" s="309" t="inlineStr">
        <is>
          <t>RL7-CKR-102-ZSO21</t>
        </is>
      </c>
      <c r="E504" s="310" t="n">
        <v>0.99</v>
      </c>
      <c r="F504" s="309" t="inlineStr">
        <is>
          <t>High</t>
        </is>
      </c>
      <c r="G504" s="309" t="n">
        <v>1</v>
      </c>
    </row>
    <row r="505">
      <c r="A505" s="309" t="inlineStr">
        <is>
          <t>RL7-CKR-102-PSL-01</t>
        </is>
      </c>
      <c r="B505" s="309" t="inlineStr">
        <is>
          <t>DG7021</t>
        </is>
      </c>
      <c r="C505" s="309" t="inlineStr">
        <is>
          <t>Matched</t>
        </is>
      </c>
      <c r="D505" s="309" t="inlineStr">
        <is>
          <t>RL7-CKR-102-PSL01</t>
        </is>
      </c>
      <c r="E505" s="310" t="n">
        <v>0.99</v>
      </c>
      <c r="F505" s="309" t="inlineStr">
        <is>
          <t>High</t>
        </is>
      </c>
      <c r="G505" s="309" t="n">
        <v>1</v>
      </c>
    </row>
    <row r="506">
      <c r="A506" s="309" t="inlineStr">
        <is>
          <t>RL7-MLT-108-ZSC-03</t>
        </is>
      </c>
      <c r="B506" s="309" t="inlineStr">
        <is>
          <t>DG7021</t>
        </is>
      </c>
      <c r="C506" s="309" t="inlineStr">
        <is>
          <t>Matched</t>
        </is>
      </c>
      <c r="D506" s="309" t="inlineStr">
        <is>
          <t>RL7-MLT-108-ZSC03</t>
        </is>
      </c>
      <c r="E506" s="310" t="n">
        <v>0.99</v>
      </c>
      <c r="F506" s="309" t="inlineStr">
        <is>
          <t>High</t>
        </is>
      </c>
      <c r="G506" s="309" t="n">
        <v>1</v>
      </c>
    </row>
    <row r="507">
      <c r="A507" s="309" t="inlineStr">
        <is>
          <t>RL7-MLT-108-ZSC-02</t>
        </is>
      </c>
      <c r="B507" s="309" t="inlineStr">
        <is>
          <t>DG7021</t>
        </is>
      </c>
      <c r="C507" s="309" t="inlineStr">
        <is>
          <t>Matched</t>
        </is>
      </c>
      <c r="D507" s="309" t="inlineStr">
        <is>
          <t>RL7-MLT-108-ZSC02</t>
        </is>
      </c>
      <c r="E507" s="310" t="n">
        <v>0.99</v>
      </c>
      <c r="F507" s="309" t="inlineStr">
        <is>
          <t>High</t>
        </is>
      </c>
      <c r="G507" s="309" t="n">
        <v>1</v>
      </c>
    </row>
    <row r="508">
      <c r="A508" s="309" t="inlineStr">
        <is>
          <t>RL7-MLT-108-ZSC-01</t>
        </is>
      </c>
      <c r="B508" s="309" t="inlineStr">
        <is>
          <t>DG7021</t>
        </is>
      </c>
      <c r="C508" s="309" t="inlineStr">
        <is>
          <t>Matched</t>
        </is>
      </c>
      <c r="D508" s="309" t="inlineStr">
        <is>
          <t>RL7-MLT-108-ZSC01</t>
        </is>
      </c>
      <c r="E508" s="310" t="n">
        <v>0.99</v>
      </c>
      <c r="F508" s="309" t="inlineStr">
        <is>
          <t>High</t>
        </is>
      </c>
      <c r="G508" s="309" t="n">
        <v>1</v>
      </c>
    </row>
    <row r="509">
      <c r="A509" s="309" t="inlineStr">
        <is>
          <t>RL7-CKR-102-ZSO-22</t>
        </is>
      </c>
      <c r="B509" s="309" t="inlineStr">
        <is>
          <t>DG7021</t>
        </is>
      </c>
      <c r="C509" s="309" t="inlineStr">
        <is>
          <t>Matched</t>
        </is>
      </c>
      <c r="D509" s="309" t="inlineStr">
        <is>
          <t>RL7-CKR-102-ZSO22</t>
        </is>
      </c>
      <c r="E509" s="310" t="n">
        <v>0.99</v>
      </c>
      <c r="F509" s="309" t="inlineStr">
        <is>
          <t>High</t>
        </is>
      </c>
      <c r="G509" s="309" t="n">
        <v>1</v>
      </c>
    </row>
    <row r="510">
      <c r="A510" s="308" t="inlineStr">
        <is>
          <t>RL7-CKR-102-PBL-03</t>
        </is>
      </c>
      <c r="B510" s="308" t="inlineStr">
        <is>
          <t>DG7021</t>
        </is>
      </c>
      <c r="C510" s="308" t="inlineStr">
        <is>
          <t>Not found in PDF</t>
        </is>
      </c>
      <c r="D510" s="308" t="inlineStr">
        <is>
          <t>RL7-CKR-102-PBL03</t>
        </is>
      </c>
      <c r="E510" s="308" t="inlineStr"/>
      <c r="F510" s="308" t="inlineStr">
        <is>
          <t>Low</t>
        </is>
      </c>
      <c r="G510" s="308" t="n">
        <v>0</v>
      </c>
    </row>
    <row r="511">
      <c r="A511" s="308" t="inlineStr">
        <is>
          <t>RL7-CKR-102-PBL-04</t>
        </is>
      </c>
      <c r="B511" s="308" t="inlineStr">
        <is>
          <t>DG7021</t>
        </is>
      </c>
      <c r="C511" s="308" t="inlineStr">
        <is>
          <t>Not found in PDF</t>
        </is>
      </c>
      <c r="D511" s="308" t="inlineStr">
        <is>
          <t>RL7-CKR-102-PBL04</t>
        </is>
      </c>
      <c r="E511" s="308" t="inlineStr"/>
      <c r="F511" s="308" t="inlineStr">
        <is>
          <t>Low</t>
        </is>
      </c>
      <c r="G511" s="308" t="n">
        <v>0</v>
      </c>
    </row>
    <row r="512">
      <c r="A512" s="309" t="inlineStr">
        <is>
          <t>RL7-CKR-102-ZSO-20</t>
        </is>
      </c>
      <c r="B512" s="309" t="inlineStr">
        <is>
          <t>DG7021</t>
        </is>
      </c>
      <c r="C512" s="309" t="inlineStr">
        <is>
          <t>Matched</t>
        </is>
      </c>
      <c r="D512" s="309" t="inlineStr">
        <is>
          <t>RL7-CKR-102-ZSO20</t>
        </is>
      </c>
      <c r="E512" s="310" t="n">
        <v>0.99</v>
      </c>
      <c r="F512" s="309" t="inlineStr">
        <is>
          <t>High</t>
        </is>
      </c>
      <c r="G512" s="309" t="n">
        <v>1</v>
      </c>
    </row>
    <row r="513">
      <c r="A513" s="309" t="inlineStr">
        <is>
          <t>RL7-CKR-102-ZSC-20</t>
        </is>
      </c>
      <c r="B513" s="309" t="inlineStr">
        <is>
          <t>DG7021</t>
        </is>
      </c>
      <c r="C513" s="309" t="inlineStr">
        <is>
          <t>Matched</t>
        </is>
      </c>
      <c r="D513" s="309" t="inlineStr">
        <is>
          <t>RL7-CKR-102-ZSC20</t>
        </is>
      </c>
      <c r="E513" s="310" t="n">
        <v>0.99</v>
      </c>
      <c r="F513" s="309" t="inlineStr">
        <is>
          <t>High</t>
        </is>
      </c>
      <c r="G513" s="309" t="n">
        <v>1</v>
      </c>
    </row>
    <row r="514">
      <c r="A514" s="309" t="inlineStr">
        <is>
          <t>RL7-MLT-108-PB-04</t>
        </is>
      </c>
      <c r="B514" s="309" t="inlineStr">
        <is>
          <t>DG7021</t>
        </is>
      </c>
      <c r="C514" s="309" t="inlineStr">
        <is>
          <t>Matched</t>
        </is>
      </c>
      <c r="D514" s="309" t="inlineStr">
        <is>
          <t>RL7-MLT-108-PB04</t>
        </is>
      </c>
      <c r="E514" s="310" t="n">
        <v>0.99</v>
      </c>
      <c r="F514" s="309" t="inlineStr">
        <is>
          <t>High</t>
        </is>
      </c>
      <c r="G514" s="309" t="n">
        <v>1</v>
      </c>
    </row>
    <row r="515">
      <c r="A515" s="309" t="inlineStr">
        <is>
          <t>RL7-MLT-108-PB-03</t>
        </is>
      </c>
      <c r="B515" s="309" t="inlineStr">
        <is>
          <t>DG7021</t>
        </is>
      </c>
      <c r="C515" s="309" t="inlineStr">
        <is>
          <t>Matched</t>
        </is>
      </c>
      <c r="D515" s="309" t="inlineStr">
        <is>
          <t>RL7-MLT-108-PB03</t>
        </is>
      </c>
      <c r="E515" s="310" t="n">
        <v>0.99</v>
      </c>
      <c r="F515" s="309" t="inlineStr">
        <is>
          <t>High</t>
        </is>
      </c>
      <c r="G515" s="309" t="n">
        <v>1</v>
      </c>
    </row>
    <row r="516">
      <c r="A516" s="309" t="inlineStr">
        <is>
          <t>RL7-MLT-108-PB-02</t>
        </is>
      </c>
      <c r="B516" s="309" t="inlineStr">
        <is>
          <t>DG7021</t>
        </is>
      </c>
      <c r="C516" s="309" t="inlineStr">
        <is>
          <t>Matched</t>
        </is>
      </c>
      <c r="D516" s="309" t="inlineStr">
        <is>
          <t>RL7-MLT-108-PB02</t>
        </is>
      </c>
      <c r="E516" s="310" t="n">
        <v>0.99</v>
      </c>
      <c r="F516" s="309" t="inlineStr">
        <is>
          <t>High</t>
        </is>
      </c>
      <c r="G516" s="309" t="n">
        <v>1</v>
      </c>
    </row>
    <row r="517">
      <c r="A517" s="309" t="inlineStr">
        <is>
          <t>RL7-CKR-102-ZSO-18</t>
        </is>
      </c>
      <c r="B517" s="309" t="inlineStr">
        <is>
          <t>DG7021</t>
        </is>
      </c>
      <c r="C517" s="309" t="inlineStr">
        <is>
          <t>Matched</t>
        </is>
      </c>
      <c r="D517" s="309" t="inlineStr">
        <is>
          <t>RL7-CKR-102-ZSO18</t>
        </is>
      </c>
      <c r="E517" s="310" t="n">
        <v>0.99</v>
      </c>
      <c r="F517" s="309" t="inlineStr">
        <is>
          <t>High</t>
        </is>
      </c>
      <c r="G517" s="309" t="n">
        <v>1</v>
      </c>
    </row>
    <row r="518">
      <c r="A518" s="309" t="inlineStr">
        <is>
          <t>RL7-CKR-102-ZSC-18</t>
        </is>
      </c>
      <c r="B518" s="309" t="inlineStr">
        <is>
          <t>DG7021</t>
        </is>
      </c>
      <c r="C518" s="309" t="inlineStr">
        <is>
          <t>Matched</t>
        </is>
      </c>
      <c r="D518" s="309" t="inlineStr">
        <is>
          <t>RL7-CKR-102-ZSC18</t>
        </is>
      </c>
      <c r="E518" s="310" t="n">
        <v>0.99</v>
      </c>
      <c r="F518" s="309" t="inlineStr">
        <is>
          <t>High</t>
        </is>
      </c>
      <c r="G518" s="309" t="n">
        <v>1</v>
      </c>
    </row>
    <row r="519">
      <c r="A519" s="309" t="inlineStr">
        <is>
          <t>RL7-CKR-102-ZSO-19</t>
        </is>
      </c>
      <c r="B519" s="309" t="inlineStr">
        <is>
          <t>DG7021</t>
        </is>
      </c>
      <c r="C519" s="309" t="inlineStr">
        <is>
          <t>Matched</t>
        </is>
      </c>
      <c r="D519" s="309" t="inlineStr">
        <is>
          <t>RL7-CKR-102-ZSO19</t>
        </is>
      </c>
      <c r="E519" s="310" t="n">
        <v>0.99</v>
      </c>
      <c r="F519" s="309" t="inlineStr">
        <is>
          <t>High</t>
        </is>
      </c>
      <c r="G519" s="309" t="n">
        <v>1</v>
      </c>
    </row>
    <row r="520">
      <c r="A520" s="309" t="inlineStr">
        <is>
          <t>RL7-CKR-102-ZSC-19</t>
        </is>
      </c>
      <c r="B520" s="309" t="inlineStr">
        <is>
          <t>DG7021</t>
        </is>
      </c>
      <c r="C520" s="309" t="inlineStr">
        <is>
          <t>Matched</t>
        </is>
      </c>
      <c r="D520" s="309" t="inlineStr">
        <is>
          <t>RL7-CKR-102-ZSC19</t>
        </is>
      </c>
      <c r="E520" s="310" t="n">
        <v>0.99</v>
      </c>
      <c r="F520" s="309" t="inlineStr">
        <is>
          <t>High</t>
        </is>
      </c>
      <c r="G520" s="309" t="n">
        <v>1</v>
      </c>
    </row>
    <row r="521">
      <c r="A521" s="308" t="inlineStr">
        <is>
          <t>RL7-MLT-108-PBL-01</t>
        </is>
      </c>
      <c r="B521" s="308" t="inlineStr">
        <is>
          <t>DG7021</t>
        </is>
      </c>
      <c r="C521" s="308" t="inlineStr">
        <is>
          <t>Not found in PDF</t>
        </is>
      </c>
      <c r="D521" s="308" t="inlineStr">
        <is>
          <t>RL7-MLT-108-PBL01</t>
        </is>
      </c>
      <c r="E521" s="308" t="inlineStr"/>
      <c r="F521" s="308" t="inlineStr">
        <is>
          <t>Low</t>
        </is>
      </c>
      <c r="G521" s="308" t="n">
        <v>0</v>
      </c>
    </row>
    <row r="522">
      <c r="A522" s="309" t="inlineStr">
        <is>
          <t>RL7-MLT-108-PL-01R</t>
        </is>
      </c>
      <c r="B522" s="309" t="inlineStr">
        <is>
          <t>DG7021</t>
        </is>
      </c>
      <c r="C522" s="309" t="inlineStr">
        <is>
          <t>Matched</t>
        </is>
      </c>
      <c r="D522" s="309" t="inlineStr">
        <is>
          <t>RL7-MLT-108-PL01R</t>
        </is>
      </c>
      <c r="E522" s="310" t="n">
        <v>0.99</v>
      </c>
      <c r="F522" s="309" t="inlineStr">
        <is>
          <t>High</t>
        </is>
      </c>
      <c r="G522" s="309" t="n">
        <v>1</v>
      </c>
    </row>
    <row r="523">
      <c r="A523" s="309" t="inlineStr">
        <is>
          <t>RL7-MLT-108-PL-01Y</t>
        </is>
      </c>
      <c r="B523" s="309" t="inlineStr">
        <is>
          <t>DG7021</t>
        </is>
      </c>
      <c r="C523" s="309" t="inlineStr">
        <is>
          <t>Matched</t>
        </is>
      </c>
      <c r="D523" s="309" t="inlineStr">
        <is>
          <t>RL7-MLT-108-PL01Y</t>
        </is>
      </c>
      <c r="E523" s="310" t="n">
        <v>0.99</v>
      </c>
      <c r="F523" s="309" t="inlineStr">
        <is>
          <t>High</t>
        </is>
      </c>
      <c r="G523" s="309" t="n">
        <v>1</v>
      </c>
    </row>
    <row r="524">
      <c r="A524" s="309" t="inlineStr">
        <is>
          <t>RL7-MLT-108-PL-01G</t>
        </is>
      </c>
      <c r="B524" s="309" t="inlineStr">
        <is>
          <t>DG7021</t>
        </is>
      </c>
      <c r="C524" s="309" t="inlineStr">
        <is>
          <t>Matched</t>
        </is>
      </c>
      <c r="D524" s="309" t="inlineStr">
        <is>
          <t>RL7-MLT-108-PL01G</t>
        </is>
      </c>
      <c r="E524" s="310" t="n">
        <v>0.99</v>
      </c>
      <c r="F524" s="309" t="inlineStr">
        <is>
          <t>High</t>
        </is>
      </c>
      <c r="G524" s="309" t="n">
        <v>1</v>
      </c>
    </row>
    <row r="525">
      <c r="A525" s="308" t="inlineStr">
        <is>
          <t>RL7-CKR-102-PBL-02</t>
        </is>
      </c>
      <c r="B525" s="308" t="inlineStr">
        <is>
          <t>DG7021</t>
        </is>
      </c>
      <c r="C525" s="308" t="inlineStr">
        <is>
          <t>Not found in PDF</t>
        </is>
      </c>
      <c r="D525" s="308" t="inlineStr">
        <is>
          <t>RL7-CKR-102-PBL02</t>
        </is>
      </c>
      <c r="E525" s="308" t="inlineStr"/>
      <c r="F525" s="308" t="inlineStr">
        <is>
          <t>Low</t>
        </is>
      </c>
      <c r="G525" s="308" t="n">
        <v>0</v>
      </c>
    </row>
    <row r="526">
      <c r="A526" s="309" t="inlineStr">
        <is>
          <t>RL7-CKR-102-PL-01R</t>
        </is>
      </c>
      <c r="B526" s="309" t="inlineStr">
        <is>
          <t>DG7021</t>
        </is>
      </c>
      <c r="C526" s="309" t="inlineStr">
        <is>
          <t>Matched</t>
        </is>
      </c>
      <c r="D526" s="309" t="inlineStr">
        <is>
          <t>RL7-CKR-102-PL01R</t>
        </is>
      </c>
      <c r="E526" s="310" t="n">
        <v>0.99</v>
      </c>
      <c r="F526" s="309" t="inlineStr">
        <is>
          <t>High</t>
        </is>
      </c>
      <c r="G526" s="309" t="n">
        <v>1</v>
      </c>
    </row>
    <row r="527">
      <c r="A527" s="309" t="inlineStr">
        <is>
          <t>RL7-CKR-102-PL-01Y</t>
        </is>
      </c>
      <c r="B527" s="309" t="inlineStr">
        <is>
          <t>DG7021</t>
        </is>
      </c>
      <c r="C527" s="309" t="inlineStr">
        <is>
          <t>Matched</t>
        </is>
      </c>
      <c r="D527" s="309" t="inlineStr">
        <is>
          <t>RL7-CKR-102-PL01Y</t>
        </is>
      </c>
      <c r="E527" s="310" t="n">
        <v>0.99</v>
      </c>
      <c r="F527" s="309" t="inlineStr">
        <is>
          <t>High</t>
        </is>
      </c>
      <c r="G527" s="309" t="n">
        <v>1</v>
      </c>
    </row>
    <row r="528">
      <c r="A528" s="309" t="inlineStr">
        <is>
          <t>RL7-CKR-102-PL-01G</t>
        </is>
      </c>
      <c r="B528" s="309" t="inlineStr">
        <is>
          <t>DG7021</t>
        </is>
      </c>
      <c r="C528" s="309" t="inlineStr">
        <is>
          <t>Matched</t>
        </is>
      </c>
      <c r="D528" s="309" t="inlineStr">
        <is>
          <t>RL7-CKR-102-PL01G</t>
        </is>
      </c>
      <c r="E528" s="310" t="n">
        <v>0.99</v>
      </c>
      <c r="F528" s="309" t="inlineStr">
        <is>
          <t>High</t>
        </is>
      </c>
      <c r="G528" s="309" t="n">
        <v>1</v>
      </c>
    </row>
    <row r="529">
      <c r="A529" s="308" t="inlineStr">
        <is>
          <t>RL7-CKR-102-PBL-02</t>
        </is>
      </c>
      <c r="B529" s="308" t="inlineStr">
        <is>
          <t>DG7021</t>
        </is>
      </c>
      <c r="C529" s="308" t="inlineStr">
        <is>
          <t>Not found in PDF</t>
        </is>
      </c>
      <c r="D529" s="308" t="inlineStr">
        <is>
          <t>RL7-CKR-102-PBL02</t>
        </is>
      </c>
      <c r="E529" s="308" t="inlineStr"/>
      <c r="F529" s="308" t="inlineStr">
        <is>
          <t>Low</t>
        </is>
      </c>
      <c r="G529" s="308" t="n">
        <v>0</v>
      </c>
    </row>
    <row r="530">
      <c r="A530" s="309" t="inlineStr">
        <is>
          <t>RL7-CKR-102-XY-22A</t>
        </is>
      </c>
      <c r="B530" s="309" t="inlineStr">
        <is>
          <t>DG7021</t>
        </is>
      </c>
      <c r="C530" s="309" t="inlineStr">
        <is>
          <t>Matched</t>
        </is>
      </c>
      <c r="D530" s="309" t="inlineStr">
        <is>
          <t>RL7-CKR-102-XY22A</t>
        </is>
      </c>
      <c r="E530" s="310" t="n">
        <v>0.99</v>
      </c>
      <c r="F530" s="309" t="inlineStr">
        <is>
          <t>High</t>
        </is>
      </c>
      <c r="G530" s="309" t="n">
        <v>1</v>
      </c>
    </row>
    <row r="531">
      <c r="A531" s="309" t="inlineStr">
        <is>
          <t>RL7-CKR-102-XY-22B</t>
        </is>
      </c>
      <c r="B531" s="309" t="inlineStr">
        <is>
          <t>DG7021</t>
        </is>
      </c>
      <c r="C531" s="309" t="inlineStr">
        <is>
          <t>Matched</t>
        </is>
      </c>
      <c r="D531" s="309" t="inlineStr">
        <is>
          <t>RL7-CKR-102-XY22B</t>
        </is>
      </c>
      <c r="E531" s="310" t="n">
        <v>0.99</v>
      </c>
      <c r="F531" s="309" t="inlineStr">
        <is>
          <t>High</t>
        </is>
      </c>
      <c r="G531" s="309" t="n">
        <v>1</v>
      </c>
    </row>
    <row r="532">
      <c r="A532" s="309" t="inlineStr">
        <is>
          <t>RL7-CKR-102-XY-20A</t>
        </is>
      </c>
      <c r="B532" s="309" t="inlineStr">
        <is>
          <t>DG7021</t>
        </is>
      </c>
      <c r="C532" s="309" t="inlineStr">
        <is>
          <t>Matched</t>
        </is>
      </c>
      <c r="D532" s="309" t="inlineStr">
        <is>
          <t>RL7-CKR-102-XY20A</t>
        </is>
      </c>
      <c r="E532" s="310" t="n">
        <v>0.99</v>
      </c>
      <c r="F532" s="309" t="inlineStr">
        <is>
          <t>High</t>
        </is>
      </c>
      <c r="G532" s="309" t="n">
        <v>1</v>
      </c>
    </row>
    <row r="533">
      <c r="A533" s="309" t="inlineStr">
        <is>
          <t>RL7-CKR-102-XY-20B</t>
        </is>
      </c>
      <c r="B533" s="309" t="inlineStr">
        <is>
          <t>DG7021</t>
        </is>
      </c>
      <c r="C533" s="309" t="inlineStr">
        <is>
          <t>Matched</t>
        </is>
      </c>
      <c r="D533" s="309" t="inlineStr">
        <is>
          <t>RL7-CKR-102-XY20B</t>
        </is>
      </c>
      <c r="E533" s="310" t="n">
        <v>0.99</v>
      </c>
      <c r="F533" s="309" t="inlineStr">
        <is>
          <t>High</t>
        </is>
      </c>
      <c r="G533" s="309" t="n">
        <v>1</v>
      </c>
    </row>
    <row r="534">
      <c r="A534" s="308" t="inlineStr">
        <is>
          <t>RL7-CKR-102-XY-18A</t>
        </is>
      </c>
      <c r="B534" s="308" t="inlineStr">
        <is>
          <t>DG7021</t>
        </is>
      </c>
      <c r="C534" s="308" t="inlineStr">
        <is>
          <t>Not found in PDF</t>
        </is>
      </c>
      <c r="D534" s="308" t="inlineStr">
        <is>
          <t>RL7-CKR-102-XY18A</t>
        </is>
      </c>
      <c r="E534" s="308" t="inlineStr"/>
      <c r="F534" s="308" t="inlineStr">
        <is>
          <t>Low</t>
        </is>
      </c>
      <c r="G534" s="308" t="n">
        <v>0</v>
      </c>
    </row>
    <row r="535">
      <c r="A535" s="308" t="inlineStr">
        <is>
          <t>RL7-CKR-102-XY-18B</t>
        </is>
      </c>
      <c r="B535" s="308" t="inlineStr">
        <is>
          <t>DG7021</t>
        </is>
      </c>
      <c r="C535" s="308" t="inlineStr">
        <is>
          <t>Not found in PDF</t>
        </is>
      </c>
      <c r="D535" s="308" t="inlineStr">
        <is>
          <t>RL7-CKR-102-XY18B</t>
        </is>
      </c>
      <c r="E535" s="308" t="inlineStr"/>
      <c r="F535" s="308" t="inlineStr">
        <is>
          <t>Low</t>
        </is>
      </c>
      <c r="G535" s="308" t="n">
        <v>0</v>
      </c>
    </row>
    <row r="536">
      <c r="A536" s="309" t="inlineStr">
        <is>
          <t>RL7-CKR-102-XY-19A</t>
        </is>
      </c>
      <c r="B536" s="309" t="inlineStr">
        <is>
          <t>DG7021</t>
        </is>
      </c>
      <c r="C536" s="309" t="inlineStr">
        <is>
          <t>Matched - multiple PDF occurrences</t>
        </is>
      </c>
      <c r="D536" s="309" t="inlineStr">
        <is>
          <t>RL7-CKR-102-XY19A</t>
        </is>
      </c>
      <c r="E536" s="310" t="n">
        <v>0.95</v>
      </c>
      <c r="F536" s="309" t="inlineStr">
        <is>
          <t>High</t>
        </is>
      </c>
      <c r="G536" s="309" t="n">
        <v>2</v>
      </c>
    </row>
    <row r="537">
      <c r="A537" s="309" t="inlineStr">
        <is>
          <t>RL7-CKR-102-XY-19B</t>
        </is>
      </c>
      <c r="B537" s="309" t="inlineStr">
        <is>
          <t>DG7021</t>
        </is>
      </c>
      <c r="C537" s="309" t="inlineStr">
        <is>
          <t>Matched - multiple PDF occurrences</t>
        </is>
      </c>
      <c r="D537" s="309" t="inlineStr">
        <is>
          <t>RL7-CKR-102-XY19B</t>
        </is>
      </c>
      <c r="E537" s="310" t="n">
        <v>0.95</v>
      </c>
      <c r="F537" s="309" t="inlineStr">
        <is>
          <t>High</t>
        </is>
      </c>
      <c r="G537" s="309" t="n">
        <v>2</v>
      </c>
    </row>
    <row r="538">
      <c r="A538" s="309" t="inlineStr">
        <is>
          <t>RL7-CKR-102-XY-24</t>
        </is>
      </c>
      <c r="B538" s="309" t="inlineStr">
        <is>
          <t>DG7021</t>
        </is>
      </c>
      <c r="C538" s="309" t="inlineStr">
        <is>
          <t>Matched</t>
        </is>
      </c>
      <c r="D538" s="309" t="inlineStr">
        <is>
          <t>RL7-CKR-102-XY24</t>
        </is>
      </c>
      <c r="E538" s="310" t="n">
        <v>0.99</v>
      </c>
      <c r="F538" s="309" t="inlineStr">
        <is>
          <t>High</t>
        </is>
      </c>
      <c r="G538" s="309" t="n">
        <v>1</v>
      </c>
    </row>
    <row r="539">
      <c r="A539" s="309" t="inlineStr">
        <is>
          <t>RL7-CKR-102-TIT-01</t>
        </is>
      </c>
      <c r="B539" s="309" t="inlineStr">
        <is>
          <t>DG7021</t>
        </is>
      </c>
      <c r="C539" s="309" t="inlineStr">
        <is>
          <t>Matched</t>
        </is>
      </c>
      <c r="D539" s="309" t="inlineStr">
        <is>
          <t>RL7-CKR-102-TIT01</t>
        </is>
      </c>
      <c r="E539" s="310" t="n">
        <v>0.99</v>
      </c>
      <c r="F539" s="309" t="inlineStr">
        <is>
          <t>High</t>
        </is>
      </c>
      <c r="G539" s="309" t="n">
        <v>1</v>
      </c>
    </row>
    <row r="540">
      <c r="A540" s="309" t="inlineStr">
        <is>
          <t>RL7-CKR-102-TIT-02</t>
        </is>
      </c>
      <c r="B540" s="309" t="inlineStr">
        <is>
          <t>DG7021</t>
        </is>
      </c>
      <c r="C540" s="309" t="inlineStr">
        <is>
          <t>Matched</t>
        </is>
      </c>
      <c r="D540" s="309" t="inlineStr">
        <is>
          <t>RL7-CKR-102-TIT02</t>
        </is>
      </c>
      <c r="E540" s="310" t="n">
        <v>0.99</v>
      </c>
      <c r="F540" s="309" t="inlineStr">
        <is>
          <t>High</t>
        </is>
      </c>
      <c r="G540" s="309" t="n">
        <v>1</v>
      </c>
    </row>
    <row r="541">
      <c r="A541" s="309" t="inlineStr">
        <is>
          <t>RL7-CKR-102-ZSO-25</t>
        </is>
      </c>
      <c r="B541" s="309" t="inlineStr">
        <is>
          <t>DG7021</t>
        </is>
      </c>
      <c r="C541" s="309" t="inlineStr">
        <is>
          <t>Matched</t>
        </is>
      </c>
      <c r="D541" s="309" t="inlineStr">
        <is>
          <t>RL7-CKR-102-ZSO25</t>
        </is>
      </c>
      <c r="E541" s="310" t="n">
        <v>0.99</v>
      </c>
      <c r="F541" s="309" t="inlineStr">
        <is>
          <t>High</t>
        </is>
      </c>
      <c r="G541" s="309" t="n">
        <v>1</v>
      </c>
    </row>
    <row r="542">
      <c r="A542" s="309" t="inlineStr">
        <is>
          <t>RL7-CKR-102-ZSC-25</t>
        </is>
      </c>
      <c r="B542" s="309" t="inlineStr">
        <is>
          <t>DG7021</t>
        </is>
      </c>
      <c r="C542" s="309" t="inlineStr">
        <is>
          <t>Matched</t>
        </is>
      </c>
      <c r="D542" s="309" t="inlineStr">
        <is>
          <t>RL7-CKR-102-ZSC25</t>
        </is>
      </c>
      <c r="E542" s="310" t="n">
        <v>0.99</v>
      </c>
      <c r="F542" s="309" t="inlineStr">
        <is>
          <t>High</t>
        </is>
      </c>
      <c r="G542" s="309" t="n">
        <v>1</v>
      </c>
    </row>
    <row r="543">
      <c r="A543" s="309" t="inlineStr">
        <is>
          <t>RL7-CKR-102-XV-25</t>
        </is>
      </c>
      <c r="B543" s="309" t="inlineStr">
        <is>
          <t>DG7021</t>
        </is>
      </c>
      <c r="C543" s="309" t="inlineStr">
        <is>
          <t>Matched</t>
        </is>
      </c>
      <c r="D543" s="309" t="inlineStr">
        <is>
          <t>RL7-CKR-102-XV25</t>
        </is>
      </c>
      <c r="E543" s="310" t="n">
        <v>0.99</v>
      </c>
      <c r="F543" s="309" t="inlineStr">
        <is>
          <t>High</t>
        </is>
      </c>
      <c r="G543" s="309" t="n">
        <v>1</v>
      </c>
    </row>
    <row r="544">
      <c r="A544" s="309" t="inlineStr">
        <is>
          <t>RL7-CKR-102-FVI-02</t>
        </is>
      </c>
      <c r="B544" s="309" t="inlineStr">
        <is>
          <t>DG7021</t>
        </is>
      </c>
      <c r="C544" s="309" t="inlineStr">
        <is>
          <t>Matched</t>
        </is>
      </c>
      <c r="D544" s="309" t="inlineStr">
        <is>
          <t>RL7-CKR-102-FVI02</t>
        </is>
      </c>
      <c r="E544" s="310" t="n">
        <v>0.99</v>
      </c>
      <c r="F544" s="309" t="inlineStr">
        <is>
          <t>High</t>
        </is>
      </c>
      <c r="G544" s="309" t="n">
        <v>1</v>
      </c>
    </row>
    <row r="545">
      <c r="A545" s="309" t="inlineStr">
        <is>
          <t>RL7-CKR-102-FIT-02</t>
        </is>
      </c>
      <c r="B545" s="309" t="inlineStr">
        <is>
          <t>DG7021</t>
        </is>
      </c>
      <c r="C545" s="309" t="inlineStr">
        <is>
          <t>Matched</t>
        </is>
      </c>
      <c r="D545" s="309" t="inlineStr">
        <is>
          <t>RL7-CKR-102-FIT02</t>
        </is>
      </c>
      <c r="E545" s="310" t="n">
        <v>0.99</v>
      </c>
      <c r="F545" s="309" t="inlineStr">
        <is>
          <t>High</t>
        </is>
      </c>
      <c r="G545" s="309" t="n">
        <v>1</v>
      </c>
    </row>
    <row r="546">
      <c r="A546" s="309" t="inlineStr">
        <is>
          <t>RL7-CKR-102-FCV-02</t>
        </is>
      </c>
      <c r="B546" s="309" t="inlineStr">
        <is>
          <t>DG7021</t>
        </is>
      </c>
      <c r="C546" s="309" t="inlineStr">
        <is>
          <t>Matched</t>
        </is>
      </c>
      <c r="D546" s="309" t="inlineStr">
        <is>
          <t>RL7-CKR-102-FCV02</t>
        </is>
      </c>
      <c r="E546" s="310" t="n">
        <v>0.99</v>
      </c>
      <c r="F546" s="309" t="inlineStr">
        <is>
          <t>High</t>
        </is>
      </c>
      <c r="G546" s="309" t="n">
        <v>1</v>
      </c>
    </row>
    <row r="547">
      <c r="A547" s="308" t="inlineStr">
        <is>
          <t>RL7-MLT-108.M1</t>
        </is>
      </c>
      <c r="B547" s="308" t="inlineStr">
        <is>
          <t>DG7021</t>
        </is>
      </c>
      <c r="C547" s="308" t="inlineStr">
        <is>
          <t>Skipped - unrecognized tag</t>
        </is>
      </c>
      <c r="D547" s="308" t="inlineStr"/>
      <c r="E547" s="308" t="inlineStr"/>
      <c r="F547" s="308" t="inlineStr">
        <is>
          <t>Low</t>
        </is>
      </c>
      <c r="G547" s="308" t="n">
        <v>0</v>
      </c>
    </row>
    <row r="548">
      <c r="A548" s="309" t="inlineStr">
        <is>
          <t>RL7-CKR-101-XV-02</t>
        </is>
      </c>
      <c r="B548" s="309" t="inlineStr">
        <is>
          <t>DG7022</t>
        </is>
      </c>
      <c r="C548" s="309" t="inlineStr">
        <is>
          <t>Matched</t>
        </is>
      </c>
      <c r="D548" s="309" t="inlineStr">
        <is>
          <t>RL7-CKR-101-XV02</t>
        </is>
      </c>
      <c r="E548" s="310" t="n">
        <v>0.99</v>
      </c>
      <c r="F548" s="309" t="inlineStr">
        <is>
          <t>High</t>
        </is>
      </c>
      <c r="G548" s="309" t="n">
        <v>1</v>
      </c>
    </row>
    <row r="549">
      <c r="A549" s="309" t="inlineStr">
        <is>
          <t>RL7-CKR-101-XV-10</t>
        </is>
      </c>
      <c r="B549" s="309" t="inlineStr">
        <is>
          <t>DG7022</t>
        </is>
      </c>
      <c r="C549" s="309" t="inlineStr">
        <is>
          <t>Matched</t>
        </is>
      </c>
      <c r="D549" s="309" t="inlineStr">
        <is>
          <t>RL7-CKR-101-XV10</t>
        </is>
      </c>
      <c r="E549" s="310" t="n">
        <v>0.99</v>
      </c>
      <c r="F549" s="309" t="inlineStr">
        <is>
          <t>High</t>
        </is>
      </c>
      <c r="G549" s="309" t="n">
        <v>1</v>
      </c>
    </row>
    <row r="550">
      <c r="A550" s="309" t="inlineStr">
        <is>
          <t>RL7-CKR-102-XV-02</t>
        </is>
      </c>
      <c r="B550" s="309" t="inlineStr">
        <is>
          <t>DG7022</t>
        </is>
      </c>
      <c r="C550" s="309" t="inlineStr">
        <is>
          <t>Matched</t>
        </is>
      </c>
      <c r="D550" s="309" t="inlineStr">
        <is>
          <t>RL7-CKR-102-XV02</t>
        </is>
      </c>
      <c r="E550" s="310" t="n">
        <v>0.99</v>
      </c>
      <c r="F550" s="309" t="inlineStr">
        <is>
          <t>High</t>
        </is>
      </c>
      <c r="G550" s="309" t="n">
        <v>1</v>
      </c>
    </row>
    <row r="551">
      <c r="A551" s="309" t="inlineStr">
        <is>
          <t>RL7-CKR-102-XV-10</t>
        </is>
      </c>
      <c r="B551" s="309" t="inlineStr">
        <is>
          <t>DG7022</t>
        </is>
      </c>
      <c r="C551" s="309" t="inlineStr">
        <is>
          <t>Matched</t>
        </is>
      </c>
      <c r="D551" s="309" t="inlineStr">
        <is>
          <t>RL7-CKR-102-XV10</t>
        </is>
      </c>
      <c r="E551" s="310" t="n">
        <v>0.99</v>
      </c>
      <c r="F551" s="309" t="inlineStr">
        <is>
          <t>High</t>
        </is>
      </c>
      <c r="G551" s="309" t="n">
        <v>1</v>
      </c>
    </row>
    <row r="552">
      <c r="A552" s="309" t="inlineStr">
        <is>
          <t>RL7-PMP-104-ZSO-01</t>
        </is>
      </c>
      <c r="B552" s="309" t="inlineStr">
        <is>
          <t>DG7023</t>
        </is>
      </c>
      <c r="C552" s="309" t="inlineStr">
        <is>
          <t>Matched</t>
        </is>
      </c>
      <c r="D552" s="309" t="inlineStr">
        <is>
          <t>RL7-PMP-104-ZSO01</t>
        </is>
      </c>
      <c r="E552" s="310" t="n">
        <v>0.99</v>
      </c>
      <c r="F552" s="309" t="inlineStr">
        <is>
          <t>High</t>
        </is>
      </c>
      <c r="G552" s="309" t="n">
        <v>1</v>
      </c>
    </row>
    <row r="553">
      <c r="A553" s="309" t="inlineStr">
        <is>
          <t>RL7-PMP-104-ZSC-01</t>
        </is>
      </c>
      <c r="B553" s="309" t="inlineStr">
        <is>
          <t>DG7023</t>
        </is>
      </c>
      <c r="C553" s="309" t="inlineStr">
        <is>
          <t>Matched</t>
        </is>
      </c>
      <c r="D553" s="309" t="inlineStr">
        <is>
          <t>RL7-PMP-104-ZSC01</t>
        </is>
      </c>
      <c r="E553" s="310" t="n">
        <v>0.99</v>
      </c>
      <c r="F553" s="309" t="inlineStr">
        <is>
          <t>High</t>
        </is>
      </c>
      <c r="G553" s="309" t="n">
        <v>1</v>
      </c>
    </row>
    <row r="554">
      <c r="A554" s="309" t="inlineStr">
        <is>
          <t>RL7-MDT-102-ZSO-02</t>
        </is>
      </c>
      <c r="B554" s="309" t="inlineStr">
        <is>
          <t>DG7023</t>
        </is>
      </c>
      <c r="C554" s="309" t="inlineStr">
        <is>
          <t>Matched</t>
        </is>
      </c>
      <c r="D554" s="309" t="inlineStr">
        <is>
          <t>RL7-MDT-102-ZSO02</t>
        </is>
      </c>
      <c r="E554" s="310" t="n">
        <v>0.99</v>
      </c>
      <c r="F554" s="309" t="inlineStr">
        <is>
          <t>High</t>
        </is>
      </c>
      <c r="G554" s="309" t="n">
        <v>1</v>
      </c>
    </row>
    <row r="555">
      <c r="A555" s="309" t="inlineStr">
        <is>
          <t>RL7-MDT-102-ZSC-02</t>
        </is>
      </c>
      <c r="B555" s="309" t="inlineStr">
        <is>
          <t>DG7023</t>
        </is>
      </c>
      <c r="C555" s="309" t="inlineStr">
        <is>
          <t>Matched</t>
        </is>
      </c>
      <c r="D555" s="309" t="inlineStr">
        <is>
          <t>RL7-MDT-102-ZSC02</t>
        </is>
      </c>
      <c r="E555" s="310" t="n">
        <v>0.99</v>
      </c>
      <c r="F555" s="309" t="inlineStr">
        <is>
          <t>High</t>
        </is>
      </c>
      <c r="G555" s="309" t="n">
        <v>1</v>
      </c>
    </row>
    <row r="556">
      <c r="A556" s="309" t="inlineStr">
        <is>
          <t>RL7-PMP-105-ZSO-01</t>
        </is>
      </c>
      <c r="B556" s="309" t="inlineStr">
        <is>
          <t>DG7023</t>
        </is>
      </c>
      <c r="C556" s="309" t="inlineStr">
        <is>
          <t>Matched</t>
        </is>
      </c>
      <c r="D556" s="309" t="inlineStr">
        <is>
          <t>RL7-PMP-105-ZSO01</t>
        </is>
      </c>
      <c r="E556" s="310" t="n">
        <v>0.99</v>
      </c>
      <c r="F556" s="309" t="inlineStr">
        <is>
          <t>High</t>
        </is>
      </c>
      <c r="G556" s="309" t="n">
        <v>1</v>
      </c>
    </row>
    <row r="557">
      <c r="A557" s="309" t="inlineStr">
        <is>
          <t>RL7-PMP-105-ZSC-01</t>
        </is>
      </c>
      <c r="B557" s="309" t="inlineStr">
        <is>
          <t>DG7023</t>
        </is>
      </c>
      <c r="C557" s="309" t="inlineStr">
        <is>
          <t>Matched</t>
        </is>
      </c>
      <c r="D557" s="309" t="inlineStr">
        <is>
          <t>RL7-PMP-105-ZSC01</t>
        </is>
      </c>
      <c r="E557" s="310" t="n">
        <v>0.99</v>
      </c>
      <c r="F557" s="309" t="inlineStr">
        <is>
          <t>High</t>
        </is>
      </c>
      <c r="G557" s="309" t="n">
        <v>1</v>
      </c>
    </row>
    <row r="558">
      <c r="A558" s="309" t="inlineStr">
        <is>
          <t>RL7-PMP-104-XV-01</t>
        </is>
      </c>
      <c r="B558" s="309" t="inlineStr">
        <is>
          <t>DG7023</t>
        </is>
      </c>
      <c r="C558" s="309" t="inlineStr">
        <is>
          <t>Matched</t>
        </is>
      </c>
      <c r="D558" s="309" t="inlineStr">
        <is>
          <t>RL7-PMP-104-XV01</t>
        </is>
      </c>
      <c r="E558" s="310" t="n">
        <v>0.99</v>
      </c>
      <c r="F558" s="309" t="inlineStr">
        <is>
          <t>High</t>
        </is>
      </c>
      <c r="G558" s="309" t="n">
        <v>1</v>
      </c>
    </row>
    <row r="559">
      <c r="A559" s="309" t="inlineStr">
        <is>
          <t>RL7-PMP-105-XV-01</t>
        </is>
      </c>
      <c r="B559" s="309" t="inlineStr">
        <is>
          <t>DG7023</t>
        </is>
      </c>
      <c r="C559" s="309" t="inlineStr">
        <is>
          <t>Matched</t>
        </is>
      </c>
      <c r="D559" s="309" t="inlineStr">
        <is>
          <t>RL7-PMP-105-XV01</t>
        </is>
      </c>
      <c r="E559" s="310" t="n">
        <v>0.99</v>
      </c>
      <c r="F559" s="309" t="inlineStr">
        <is>
          <t>High</t>
        </is>
      </c>
      <c r="G559" s="309" t="n">
        <v>1</v>
      </c>
    </row>
    <row r="560">
      <c r="A560" s="309" t="inlineStr">
        <is>
          <t>RL7-AGC-201-ZSS-01</t>
        </is>
      </c>
      <c r="B560" s="309" t="inlineStr">
        <is>
          <t>DG7030</t>
        </is>
      </c>
      <c r="C560" s="309" t="inlineStr">
        <is>
          <t>Matched</t>
        </is>
      </c>
      <c r="D560" s="309" t="inlineStr">
        <is>
          <t>RL7-AGC-201-ZSS01</t>
        </is>
      </c>
      <c r="E560" s="310" t="n">
        <v>0.99</v>
      </c>
      <c r="F560" s="309" t="inlineStr">
        <is>
          <t>High</t>
        </is>
      </c>
      <c r="G560" s="309" t="n">
        <v>1</v>
      </c>
    </row>
    <row r="561">
      <c r="A561" s="309" t="inlineStr">
        <is>
          <t>RL7-AGC-201-ZSS-01</t>
        </is>
      </c>
      <c r="B561" s="309" t="inlineStr">
        <is>
          <t>DG7030</t>
        </is>
      </c>
      <c r="C561" s="309" t="inlineStr">
        <is>
          <t>Matched</t>
        </is>
      </c>
      <c r="D561" s="309" t="inlineStr">
        <is>
          <t>RL7-AGC-201-ZSS01</t>
        </is>
      </c>
      <c r="E561" s="310" t="n">
        <v>0.99</v>
      </c>
      <c r="F561" s="309" t="inlineStr">
        <is>
          <t>High</t>
        </is>
      </c>
      <c r="G561" s="309" t="n">
        <v>1</v>
      </c>
    </row>
    <row r="562">
      <c r="A562" s="309" t="inlineStr">
        <is>
          <t>RL7-AGC-201-ZSS-03</t>
        </is>
      </c>
      <c r="B562" s="309" t="inlineStr">
        <is>
          <t>DG7030</t>
        </is>
      </c>
      <c r="C562" s="309" t="inlineStr">
        <is>
          <t>Matched</t>
        </is>
      </c>
      <c r="D562" s="309" t="inlineStr">
        <is>
          <t>RL7-AGC-201-ZSS03</t>
        </is>
      </c>
      <c r="E562" s="310" t="n">
        <v>0.99</v>
      </c>
      <c r="F562" s="309" t="inlineStr">
        <is>
          <t>High</t>
        </is>
      </c>
      <c r="G562" s="309" t="n">
        <v>1</v>
      </c>
    </row>
    <row r="563">
      <c r="A563" s="309" t="inlineStr">
        <is>
          <t>RL7-AGC-201-ZSS-03</t>
        </is>
      </c>
      <c r="B563" s="309" t="inlineStr">
        <is>
          <t>DG7030</t>
        </is>
      </c>
      <c r="C563" s="309" t="inlineStr">
        <is>
          <t>Matched</t>
        </is>
      </c>
      <c r="D563" s="309" t="inlineStr">
        <is>
          <t>RL7-AGC-201-ZSS03</t>
        </is>
      </c>
      <c r="E563" s="310" t="n">
        <v>0.99</v>
      </c>
      <c r="F563" s="309" t="inlineStr">
        <is>
          <t>High</t>
        </is>
      </c>
      <c r="G563" s="309" t="n">
        <v>1</v>
      </c>
    </row>
    <row r="564">
      <c r="A564" s="309" t="inlineStr">
        <is>
          <t>RL7-AGC-201-PB-01</t>
        </is>
      </c>
      <c r="B564" s="309" t="inlineStr">
        <is>
          <t>DG7030</t>
        </is>
      </c>
      <c r="C564" s="309" t="inlineStr">
        <is>
          <t>Matched</t>
        </is>
      </c>
      <c r="D564" s="309" t="inlineStr">
        <is>
          <t>RL7-AGC-201-PB01</t>
        </is>
      </c>
      <c r="E564" s="310" t="n">
        <v>0.99</v>
      </c>
      <c r="F564" s="309" t="inlineStr">
        <is>
          <t>High</t>
        </is>
      </c>
      <c r="G564" s="309" t="n">
        <v>1</v>
      </c>
    </row>
    <row r="565">
      <c r="A565" s="309" t="inlineStr">
        <is>
          <t>RL7-AGC-201-PB-01</t>
        </is>
      </c>
      <c r="B565" s="309" t="inlineStr">
        <is>
          <t>DG7030</t>
        </is>
      </c>
      <c r="C565" s="309" t="inlineStr">
        <is>
          <t>Matched</t>
        </is>
      </c>
      <c r="D565" s="309" t="inlineStr">
        <is>
          <t>RL7-AGC-201-PB01</t>
        </is>
      </c>
      <c r="E565" s="310" t="n">
        <v>0.99</v>
      </c>
      <c r="F565" s="309" t="inlineStr">
        <is>
          <t>High</t>
        </is>
      </c>
      <c r="G565" s="309" t="n">
        <v>1</v>
      </c>
    </row>
    <row r="566">
      <c r="A566" s="309" t="inlineStr">
        <is>
          <t>RL7-AGC-201-ZSC-04A</t>
        </is>
      </c>
      <c r="B566" s="309" t="inlineStr">
        <is>
          <t>DG7030</t>
        </is>
      </c>
      <c r="C566" s="309" t="inlineStr">
        <is>
          <t>Matched</t>
        </is>
      </c>
      <c r="D566" s="309" t="inlineStr">
        <is>
          <t>RL7-AGC-201-ZSC04A</t>
        </is>
      </c>
      <c r="E566" s="310" t="n">
        <v>0.99</v>
      </c>
      <c r="F566" s="309" t="inlineStr">
        <is>
          <t>High</t>
        </is>
      </c>
      <c r="G566" s="309" t="n">
        <v>1</v>
      </c>
    </row>
    <row r="567">
      <c r="A567" s="309" t="inlineStr">
        <is>
          <t>RL7-AGC-201-ZSC-04B</t>
        </is>
      </c>
      <c r="B567" s="309" t="inlineStr">
        <is>
          <t>DG7030</t>
        </is>
      </c>
      <c r="C567" s="309" t="inlineStr">
        <is>
          <t>Matched</t>
        </is>
      </c>
      <c r="D567" s="309" t="inlineStr">
        <is>
          <t>RL7-AGC-201-ZSC04B</t>
        </is>
      </c>
      <c r="E567" s="310" t="n">
        <v>0.99</v>
      </c>
      <c r="F567" s="309" t="inlineStr">
        <is>
          <t>High</t>
        </is>
      </c>
      <c r="G567" s="309" t="n">
        <v>1</v>
      </c>
    </row>
    <row r="568">
      <c r="A568" s="309" t="inlineStr">
        <is>
          <t>RL7-AGC-201-XYS-04A</t>
        </is>
      </c>
      <c r="B568" s="309" t="inlineStr">
        <is>
          <t>DG7030</t>
        </is>
      </c>
      <c r="C568" s="309" t="inlineStr">
        <is>
          <t>Matched</t>
        </is>
      </c>
      <c r="D568" s="309" t="inlineStr">
        <is>
          <t>RL7-AGC-201-XYS04A</t>
        </is>
      </c>
      <c r="E568" s="310" t="n">
        <v>0.99</v>
      </c>
      <c r="F568" s="309" t="inlineStr">
        <is>
          <t>High</t>
        </is>
      </c>
      <c r="G568" s="309" t="n">
        <v>1</v>
      </c>
    </row>
    <row r="569">
      <c r="A569" s="309" t="inlineStr">
        <is>
          <t>RL7-AGC-201-XYS-04B</t>
        </is>
      </c>
      <c r="B569" s="309" t="inlineStr">
        <is>
          <t>DG7030</t>
        </is>
      </c>
      <c r="C569" s="309" t="inlineStr">
        <is>
          <t>Matched</t>
        </is>
      </c>
      <c r="D569" s="309" t="inlineStr">
        <is>
          <t>RL7-AGC-201-XYS04B</t>
        </is>
      </c>
      <c r="E569" s="310" t="n">
        <v>0.99</v>
      </c>
      <c r="F569" s="309" t="inlineStr">
        <is>
          <t>High</t>
        </is>
      </c>
      <c r="G569" s="309" t="n">
        <v>1</v>
      </c>
    </row>
    <row r="570">
      <c r="A570" s="309" t="inlineStr">
        <is>
          <t>RL7-AGC-201-ZSC-01</t>
        </is>
      </c>
      <c r="B570" s="309" t="inlineStr">
        <is>
          <t>DG7030</t>
        </is>
      </c>
      <c r="C570" s="309" t="inlineStr">
        <is>
          <t>Matched</t>
        </is>
      </c>
      <c r="D570" s="309" t="inlineStr">
        <is>
          <t>RL7-AGC-201-ZSC01</t>
        </is>
      </c>
      <c r="E570" s="310" t="n">
        <v>0.99</v>
      </c>
      <c r="F570" s="309" t="inlineStr">
        <is>
          <t>High</t>
        </is>
      </c>
      <c r="G570" s="309" t="n">
        <v>1</v>
      </c>
    </row>
    <row r="571">
      <c r="A571" s="309" t="inlineStr">
        <is>
          <t>RL7-AGC-201-ZSO-01</t>
        </is>
      </c>
      <c r="B571" s="309" t="inlineStr">
        <is>
          <t>DG7030</t>
        </is>
      </c>
      <c r="C571" s="309" t="inlineStr">
        <is>
          <t>Matched</t>
        </is>
      </c>
      <c r="D571" s="309" t="inlineStr">
        <is>
          <t>RL7-AGC-201-ZSO01</t>
        </is>
      </c>
      <c r="E571" s="310" t="n">
        <v>0.99</v>
      </c>
      <c r="F571" s="309" t="inlineStr">
        <is>
          <t>High</t>
        </is>
      </c>
      <c r="G571" s="309" t="n">
        <v>1</v>
      </c>
    </row>
    <row r="572">
      <c r="A572" s="309" t="inlineStr">
        <is>
          <t>RL7-AGC-201-HS-01A</t>
        </is>
      </c>
      <c r="B572" s="309" t="inlineStr">
        <is>
          <t>DG7030</t>
        </is>
      </c>
      <c r="C572" s="309" t="inlineStr">
        <is>
          <t>Matched</t>
        </is>
      </c>
      <c r="D572" s="309" t="inlineStr">
        <is>
          <t>RL7-AGC-201-HS01A</t>
        </is>
      </c>
      <c r="E572" s="310" t="n">
        <v>0.99</v>
      </c>
      <c r="F572" s="309" t="inlineStr">
        <is>
          <t>High</t>
        </is>
      </c>
      <c r="G572" s="309" t="n">
        <v>1</v>
      </c>
    </row>
    <row r="573">
      <c r="A573" s="309" t="inlineStr">
        <is>
          <t>RL7-AGC-201-HS-01B</t>
        </is>
      </c>
      <c r="B573" s="309" t="inlineStr">
        <is>
          <t>DG7030</t>
        </is>
      </c>
      <c r="C573" s="309" t="inlineStr">
        <is>
          <t>Matched</t>
        </is>
      </c>
      <c r="D573" s="309" t="inlineStr">
        <is>
          <t>RL7-AGC-201-HS01B</t>
        </is>
      </c>
      <c r="E573" s="310" t="n">
        <v>0.99</v>
      </c>
      <c r="F573" s="309" t="inlineStr">
        <is>
          <t>High</t>
        </is>
      </c>
      <c r="G573" s="309" t="n">
        <v>1</v>
      </c>
    </row>
    <row r="574">
      <c r="A574" s="309" t="inlineStr">
        <is>
          <t>RL7-AGC-201-PB-02</t>
        </is>
      </c>
      <c r="B574" s="309" t="inlineStr">
        <is>
          <t>DG7030</t>
        </is>
      </c>
      <c r="C574" s="309" t="inlineStr">
        <is>
          <t>Matched</t>
        </is>
      </c>
      <c r="D574" s="309" t="inlineStr">
        <is>
          <t>RL7-AGC-201-PB02</t>
        </is>
      </c>
      <c r="E574" s="310" t="n">
        <v>0.99</v>
      </c>
      <c r="F574" s="309" t="inlineStr">
        <is>
          <t>High</t>
        </is>
      </c>
      <c r="G574" s="309" t="n">
        <v>1</v>
      </c>
    </row>
    <row r="575">
      <c r="A575" s="309" t="inlineStr">
        <is>
          <t>RL7-AGC-201-ZSO-08</t>
        </is>
      </c>
      <c r="B575" s="309" t="inlineStr">
        <is>
          <t>DG7030</t>
        </is>
      </c>
      <c r="C575" s="309" t="inlineStr">
        <is>
          <t>Matched</t>
        </is>
      </c>
      <c r="D575" s="309" t="inlineStr">
        <is>
          <t>RL7-AGC-201-ZSO08</t>
        </is>
      </c>
      <c r="E575" s="310" t="n">
        <v>0.99</v>
      </c>
      <c r="F575" s="309" t="inlineStr">
        <is>
          <t>High</t>
        </is>
      </c>
      <c r="G575" s="309" t="n">
        <v>1</v>
      </c>
    </row>
    <row r="576">
      <c r="A576" s="309" t="inlineStr">
        <is>
          <t>RL7-AGC-201-ZSC-08</t>
        </is>
      </c>
      <c r="B576" s="309" t="inlineStr">
        <is>
          <t>DG7030</t>
        </is>
      </c>
      <c r="C576" s="309" t="inlineStr">
        <is>
          <t>Matched</t>
        </is>
      </c>
      <c r="D576" s="309" t="inlineStr">
        <is>
          <t>RL7-AGC-201-ZSC08</t>
        </is>
      </c>
      <c r="E576" s="310" t="n">
        <v>0.99</v>
      </c>
      <c r="F576" s="309" t="inlineStr">
        <is>
          <t>High</t>
        </is>
      </c>
      <c r="G576" s="309" t="n">
        <v>1</v>
      </c>
    </row>
    <row r="577">
      <c r="A577" s="309" t="inlineStr">
        <is>
          <t>RL7-AGC-201-ZSO-09</t>
        </is>
      </c>
      <c r="B577" s="309" t="inlineStr">
        <is>
          <t>DG7030</t>
        </is>
      </c>
      <c r="C577" s="309" t="inlineStr">
        <is>
          <t>Matched</t>
        </is>
      </c>
      <c r="D577" s="309" t="inlineStr">
        <is>
          <t>RL7-AGC-201-ZSO09</t>
        </is>
      </c>
      <c r="E577" s="310" t="n">
        <v>0.99</v>
      </c>
      <c r="F577" s="309" t="inlineStr">
        <is>
          <t>High</t>
        </is>
      </c>
      <c r="G577" s="309" t="n">
        <v>1</v>
      </c>
    </row>
    <row r="578">
      <c r="A578" s="309" t="inlineStr">
        <is>
          <t>RL7-AGC-201-ZSC-09</t>
        </is>
      </c>
      <c r="B578" s="309" t="inlineStr">
        <is>
          <t>DG7030</t>
        </is>
      </c>
      <c r="C578" s="309" t="inlineStr">
        <is>
          <t>Matched</t>
        </is>
      </c>
      <c r="D578" s="309" t="inlineStr">
        <is>
          <t>RL7-AGC-201-ZSC09</t>
        </is>
      </c>
      <c r="E578" s="310" t="n">
        <v>0.99</v>
      </c>
      <c r="F578" s="309" t="inlineStr">
        <is>
          <t>High</t>
        </is>
      </c>
      <c r="G578" s="309" t="n">
        <v>1</v>
      </c>
    </row>
    <row r="579">
      <c r="A579" s="309" t="inlineStr">
        <is>
          <t>RL7-AGC-201-ZSO-10</t>
        </is>
      </c>
      <c r="B579" s="309" t="inlineStr">
        <is>
          <t>DG7030</t>
        </is>
      </c>
      <c r="C579" s="309" t="inlineStr">
        <is>
          <t>Matched</t>
        </is>
      </c>
      <c r="D579" s="309" t="inlineStr">
        <is>
          <t>RL7-AGC-201-ZSO10</t>
        </is>
      </c>
      <c r="E579" s="310" t="n">
        <v>0.99</v>
      </c>
      <c r="F579" s="309" t="inlineStr">
        <is>
          <t>High</t>
        </is>
      </c>
      <c r="G579" s="309" t="n">
        <v>1</v>
      </c>
    </row>
    <row r="580">
      <c r="A580" s="309" t="inlineStr">
        <is>
          <t>RL7-AGC-201-ZSC-10</t>
        </is>
      </c>
      <c r="B580" s="309" t="inlineStr">
        <is>
          <t>DG7030</t>
        </is>
      </c>
      <c r="C580" s="309" t="inlineStr">
        <is>
          <t>Matched</t>
        </is>
      </c>
      <c r="D580" s="309" t="inlineStr">
        <is>
          <t>RL7-AGC-201-ZSC10</t>
        </is>
      </c>
      <c r="E580" s="310" t="n">
        <v>0.99</v>
      </c>
      <c r="F580" s="309" t="inlineStr">
        <is>
          <t>High</t>
        </is>
      </c>
      <c r="G580" s="309" t="n">
        <v>1</v>
      </c>
    </row>
    <row r="581">
      <c r="A581" s="309" t="inlineStr">
        <is>
          <t>RL7-AGC-201-ZSO-11</t>
        </is>
      </c>
      <c r="B581" s="309" t="inlineStr">
        <is>
          <t>DG7030</t>
        </is>
      </c>
      <c r="C581" s="309" t="inlineStr">
        <is>
          <t>Matched</t>
        </is>
      </c>
      <c r="D581" s="309" t="inlineStr">
        <is>
          <t>RL7-AGC-201-ZSO11</t>
        </is>
      </c>
      <c r="E581" s="310" t="n">
        <v>0.99</v>
      </c>
      <c r="F581" s="309" t="inlineStr">
        <is>
          <t>High</t>
        </is>
      </c>
      <c r="G581" s="309" t="n">
        <v>1</v>
      </c>
    </row>
    <row r="582">
      <c r="A582" s="309" t="inlineStr">
        <is>
          <t>RL7-AGC-201-ZSC-11</t>
        </is>
      </c>
      <c r="B582" s="309" t="inlineStr">
        <is>
          <t>DG7030</t>
        </is>
      </c>
      <c r="C582" s="309" t="inlineStr">
        <is>
          <t>Matched</t>
        </is>
      </c>
      <c r="D582" s="309" t="inlineStr">
        <is>
          <t>RL7-AGC-201-ZSC11</t>
        </is>
      </c>
      <c r="E582" s="310" t="n">
        <v>0.99</v>
      </c>
      <c r="F582" s="309" t="inlineStr">
        <is>
          <t>High</t>
        </is>
      </c>
      <c r="G582" s="309" t="n">
        <v>1</v>
      </c>
    </row>
    <row r="583">
      <c r="A583" s="309" t="inlineStr">
        <is>
          <t>RL7-AGC-201-ZSO-25</t>
        </is>
      </c>
      <c r="B583" s="309" t="inlineStr">
        <is>
          <t>DG7030</t>
        </is>
      </c>
      <c r="C583" s="309" t="inlineStr">
        <is>
          <t>Matched</t>
        </is>
      </c>
      <c r="D583" s="309" t="inlineStr">
        <is>
          <t>RL7-AGC-201-ZSO25</t>
        </is>
      </c>
      <c r="E583" s="310" t="n">
        <v>0.99</v>
      </c>
      <c r="F583" s="309" t="inlineStr">
        <is>
          <t>High</t>
        </is>
      </c>
      <c r="G583" s="309" t="n">
        <v>1</v>
      </c>
    </row>
    <row r="584">
      <c r="A584" s="309" t="inlineStr">
        <is>
          <t>RL7-AGC-201-ZSC-25</t>
        </is>
      </c>
      <c r="B584" s="309" t="inlineStr">
        <is>
          <t>DG7030</t>
        </is>
      </c>
      <c r="C584" s="309" t="inlineStr">
        <is>
          <t>Matched</t>
        </is>
      </c>
      <c r="D584" s="309" t="inlineStr">
        <is>
          <t>RL7-AGC-201-ZSC25</t>
        </is>
      </c>
      <c r="E584" s="310" t="n">
        <v>0.99</v>
      </c>
      <c r="F584" s="309" t="inlineStr">
        <is>
          <t>High</t>
        </is>
      </c>
      <c r="G584" s="309" t="n">
        <v>1</v>
      </c>
    </row>
    <row r="585">
      <c r="A585" s="308" t="inlineStr">
        <is>
          <t>RL7-AGC-201-PBL-01</t>
        </is>
      </c>
      <c r="B585" s="308" t="inlineStr">
        <is>
          <t>DG7030</t>
        </is>
      </c>
      <c r="C585" s="308" t="inlineStr">
        <is>
          <t>Not found in PDF</t>
        </is>
      </c>
      <c r="D585" s="308" t="inlineStr">
        <is>
          <t>RL7-AGC-201-PBL01</t>
        </is>
      </c>
      <c r="E585" s="308" t="inlineStr"/>
      <c r="F585" s="308" t="inlineStr">
        <is>
          <t>Low</t>
        </is>
      </c>
      <c r="G585" s="308" t="n">
        <v>0</v>
      </c>
    </row>
    <row r="586">
      <c r="A586" s="309" t="inlineStr">
        <is>
          <t>RL7-AGC-201-XY-02A</t>
        </is>
      </c>
      <c r="B586" s="309" t="inlineStr">
        <is>
          <t>DG7030</t>
        </is>
      </c>
      <c r="C586" s="309" t="inlineStr">
        <is>
          <t>Matched</t>
        </is>
      </c>
      <c r="D586" s="309" t="inlineStr">
        <is>
          <t>RL7-AGC-201-XY02A</t>
        </is>
      </c>
      <c r="E586" s="310" t="n">
        <v>0.99</v>
      </c>
      <c r="F586" s="309" t="inlineStr">
        <is>
          <t>High</t>
        </is>
      </c>
      <c r="G586" s="309" t="n">
        <v>1</v>
      </c>
    </row>
    <row r="587">
      <c r="A587" s="309" t="inlineStr">
        <is>
          <t>RL7-AGC-201-XY-02B</t>
        </is>
      </c>
      <c r="B587" s="309" t="inlineStr">
        <is>
          <t>DG7030</t>
        </is>
      </c>
      <c r="C587" s="309" t="inlineStr">
        <is>
          <t>Matched</t>
        </is>
      </c>
      <c r="D587" s="309" t="inlineStr">
        <is>
          <t>RL7-AGC-201-XY02B</t>
        </is>
      </c>
      <c r="E587" s="310" t="n">
        <v>0.99</v>
      </c>
      <c r="F587" s="309" t="inlineStr">
        <is>
          <t>High</t>
        </is>
      </c>
      <c r="G587" s="309" t="n">
        <v>1</v>
      </c>
    </row>
    <row r="588">
      <c r="A588" s="309" t="inlineStr">
        <is>
          <t>RL7-AGC-201-XV-08</t>
        </is>
      </c>
      <c r="B588" s="309" t="inlineStr">
        <is>
          <t>DG7030</t>
        </is>
      </c>
      <c r="C588" s="309" t="inlineStr">
        <is>
          <t>Matched</t>
        </is>
      </c>
      <c r="D588" s="309" t="inlineStr">
        <is>
          <t>RL7-AGC-201-XV08</t>
        </is>
      </c>
      <c r="E588" s="310" t="n">
        <v>0.99</v>
      </c>
      <c r="F588" s="309" t="inlineStr">
        <is>
          <t>High</t>
        </is>
      </c>
      <c r="G588" s="309" t="n">
        <v>1</v>
      </c>
    </row>
    <row r="589">
      <c r="A589" s="309" t="inlineStr">
        <is>
          <t>RL7-AGC-201-XV-09</t>
        </is>
      </c>
      <c r="B589" s="309" t="inlineStr">
        <is>
          <t>DG7030</t>
        </is>
      </c>
      <c r="C589" s="309" t="inlineStr">
        <is>
          <t>Matched</t>
        </is>
      </c>
      <c r="D589" s="309" t="inlineStr">
        <is>
          <t>RL7-AGC-201-XV09</t>
        </is>
      </c>
      <c r="E589" s="310" t="n">
        <v>0.99</v>
      </c>
      <c r="F589" s="309" t="inlineStr">
        <is>
          <t>High</t>
        </is>
      </c>
      <c r="G589" s="309" t="n">
        <v>1</v>
      </c>
    </row>
    <row r="590">
      <c r="A590" s="309" t="inlineStr">
        <is>
          <t>RL7-AGC-201-XV-10</t>
        </is>
      </c>
      <c r="B590" s="309" t="inlineStr">
        <is>
          <t>DG7030</t>
        </is>
      </c>
      <c r="C590" s="309" t="inlineStr">
        <is>
          <t>Matched</t>
        </is>
      </c>
      <c r="D590" s="309" t="inlineStr">
        <is>
          <t>RL7-AGC-201-XV10</t>
        </is>
      </c>
      <c r="E590" s="310" t="n">
        <v>0.99</v>
      </c>
      <c r="F590" s="309" t="inlineStr">
        <is>
          <t>High</t>
        </is>
      </c>
      <c r="G590" s="309" t="n">
        <v>1</v>
      </c>
    </row>
    <row r="591">
      <c r="A591" s="309" t="inlineStr">
        <is>
          <t>RL7-AGC-201-XV-11</t>
        </is>
      </c>
      <c r="B591" s="309" t="inlineStr">
        <is>
          <t>DG7030</t>
        </is>
      </c>
      <c r="C591" s="309" t="inlineStr">
        <is>
          <t>Matched</t>
        </is>
      </c>
      <c r="D591" s="309" t="inlineStr">
        <is>
          <t>RL7-AGC-201-XV11</t>
        </is>
      </c>
      <c r="E591" s="310" t="n">
        <v>0.99</v>
      </c>
      <c r="F591" s="309" t="inlineStr">
        <is>
          <t>High</t>
        </is>
      </c>
      <c r="G591" s="309" t="n">
        <v>1</v>
      </c>
    </row>
    <row r="592">
      <c r="A592" s="309" t="inlineStr">
        <is>
          <t>RL7-AGC-201-XV-25</t>
        </is>
      </c>
      <c r="B592" s="309" t="inlineStr">
        <is>
          <t>DG7030</t>
        </is>
      </c>
      <c r="C592" s="309" t="inlineStr">
        <is>
          <t>Matched</t>
        </is>
      </c>
      <c r="D592" s="309" t="inlineStr">
        <is>
          <t>RL7-AGC-201-XV25</t>
        </is>
      </c>
      <c r="E592" s="310" t="n">
        <v>0.99</v>
      </c>
      <c r="F592" s="309" t="inlineStr">
        <is>
          <t>High</t>
        </is>
      </c>
      <c r="G592" s="309" t="n">
        <v>1</v>
      </c>
    </row>
    <row r="593">
      <c r="A593" s="309" t="inlineStr">
        <is>
          <t>RL7-AGC-201-AH-01</t>
        </is>
      </c>
      <c r="B593" s="309" t="inlineStr">
        <is>
          <t>DG7030</t>
        </is>
      </c>
      <c r="C593" s="309" t="inlineStr">
        <is>
          <t>Matched</t>
        </is>
      </c>
      <c r="D593" s="309" t="inlineStr">
        <is>
          <t>RL7-AGC-201-AH01</t>
        </is>
      </c>
      <c r="E593" s="310" t="n">
        <v>0.99</v>
      </c>
      <c r="F593" s="309" t="inlineStr">
        <is>
          <t>High</t>
        </is>
      </c>
      <c r="G593" s="309" t="n">
        <v>1</v>
      </c>
    </row>
    <row r="594">
      <c r="A594" s="309" t="inlineStr">
        <is>
          <t>RL7-AGC-201-PL-01R</t>
        </is>
      </c>
      <c r="B594" s="309" t="inlineStr">
        <is>
          <t>DG7030</t>
        </is>
      </c>
      <c r="C594" s="309" t="inlineStr">
        <is>
          <t>Matched</t>
        </is>
      </c>
      <c r="D594" s="309" t="inlineStr">
        <is>
          <t>RL7-AGC-201-PL01R</t>
        </is>
      </c>
      <c r="E594" s="310" t="n">
        <v>0.99</v>
      </c>
      <c r="F594" s="309" t="inlineStr">
        <is>
          <t>High</t>
        </is>
      </c>
      <c r="G594" s="309" t="n">
        <v>1</v>
      </c>
    </row>
    <row r="595">
      <c r="A595" s="309" t="inlineStr">
        <is>
          <t>RL7-AGC-201-PL-01Y</t>
        </is>
      </c>
      <c r="B595" s="309" t="inlineStr">
        <is>
          <t>DG7030</t>
        </is>
      </c>
      <c r="C595" s="309" t="inlineStr">
        <is>
          <t>Matched</t>
        </is>
      </c>
      <c r="D595" s="309" t="inlineStr">
        <is>
          <t>RL7-AGC-201-PL01Y</t>
        </is>
      </c>
      <c r="E595" s="310" t="n">
        <v>0.99</v>
      </c>
      <c r="F595" s="309" t="inlineStr">
        <is>
          <t>High</t>
        </is>
      </c>
      <c r="G595" s="309" t="n">
        <v>1</v>
      </c>
    </row>
    <row r="596">
      <c r="A596" s="309" t="inlineStr">
        <is>
          <t>RL7-AGC-201-PL-01G</t>
        </is>
      </c>
      <c r="B596" s="309" t="inlineStr">
        <is>
          <t>DG7030</t>
        </is>
      </c>
      <c r="C596" s="309" t="inlineStr">
        <is>
          <t>Matched</t>
        </is>
      </c>
      <c r="D596" s="309" t="inlineStr">
        <is>
          <t>RL7-AGC-201-PL01G</t>
        </is>
      </c>
      <c r="E596" s="310" t="n">
        <v>0.99</v>
      </c>
      <c r="F596" s="309" t="inlineStr">
        <is>
          <t>High</t>
        </is>
      </c>
      <c r="G596" s="309" t="n">
        <v>1</v>
      </c>
    </row>
    <row r="597">
      <c r="A597" s="309" t="inlineStr">
        <is>
          <t>RL7-AGC-201-FIT-02</t>
        </is>
      </c>
      <c r="B597" s="309" t="inlineStr">
        <is>
          <t>DG7030</t>
        </is>
      </c>
      <c r="C597" s="309" t="inlineStr">
        <is>
          <t>Matched</t>
        </is>
      </c>
      <c r="D597" s="309" t="inlineStr">
        <is>
          <t>RL7-AGC-201-FIT02</t>
        </is>
      </c>
      <c r="E597" s="310" t="n">
        <v>0.99</v>
      </c>
      <c r="F597" s="309" t="inlineStr">
        <is>
          <t>High</t>
        </is>
      </c>
      <c r="G597" s="309" t="n">
        <v>1</v>
      </c>
    </row>
    <row r="598">
      <c r="A598" s="309" t="inlineStr">
        <is>
          <t>RL7-AGC-201-FVI-02</t>
        </is>
      </c>
      <c r="B598" s="309" t="inlineStr">
        <is>
          <t>DG7030</t>
        </is>
      </c>
      <c r="C598" s="309" t="inlineStr">
        <is>
          <t>Matched</t>
        </is>
      </c>
      <c r="D598" s="309" t="inlineStr">
        <is>
          <t>RL7-AGC-201-FVI02</t>
        </is>
      </c>
      <c r="E598" s="310" t="n">
        <v>0.99</v>
      </c>
      <c r="F598" s="309" t="inlineStr">
        <is>
          <t>High</t>
        </is>
      </c>
      <c r="G598" s="309" t="n">
        <v>1</v>
      </c>
    </row>
    <row r="599">
      <c r="A599" s="309" t="inlineStr">
        <is>
          <t>RL7-AGC-201-TIT-01</t>
        </is>
      </c>
      <c r="B599" s="309" t="inlineStr">
        <is>
          <t>DG7030</t>
        </is>
      </c>
      <c r="C599" s="309" t="inlineStr">
        <is>
          <t>Matched</t>
        </is>
      </c>
      <c r="D599" s="309" t="inlineStr">
        <is>
          <t>RL7-AGC-201-TIT01</t>
        </is>
      </c>
      <c r="E599" s="310" t="n">
        <v>0.99</v>
      </c>
      <c r="F599" s="309" t="inlineStr">
        <is>
          <t>High</t>
        </is>
      </c>
      <c r="G599" s="309" t="n">
        <v>1</v>
      </c>
    </row>
    <row r="600">
      <c r="A600" s="309" t="inlineStr">
        <is>
          <t>RL7-AGC-201-TIT-02</t>
        </is>
      </c>
      <c r="B600" s="309" t="inlineStr">
        <is>
          <t>DG7030</t>
        </is>
      </c>
      <c r="C600" s="309" t="inlineStr">
        <is>
          <t>Matched</t>
        </is>
      </c>
      <c r="D600" s="309" t="inlineStr">
        <is>
          <t>RL7-AGC-201-TIT02</t>
        </is>
      </c>
      <c r="E600" s="310" t="n">
        <v>0.99</v>
      </c>
      <c r="F600" s="309" t="inlineStr">
        <is>
          <t>High</t>
        </is>
      </c>
      <c r="G600" s="309" t="n">
        <v>1</v>
      </c>
    </row>
    <row r="601">
      <c r="A601" s="309" t="inlineStr">
        <is>
          <t>RL7-AGC-201-FCV-02</t>
        </is>
      </c>
      <c r="B601" s="309" t="inlineStr">
        <is>
          <t>DG7030</t>
        </is>
      </c>
      <c r="C601" s="309" t="inlineStr">
        <is>
          <t>Matched</t>
        </is>
      </c>
      <c r="D601" s="309" t="inlineStr">
        <is>
          <t>RL7-AGC-201-FCV02</t>
        </is>
      </c>
      <c r="E601" s="310" t="n">
        <v>0.99</v>
      </c>
      <c r="F601" s="309" t="inlineStr">
        <is>
          <t>High</t>
        </is>
      </c>
      <c r="G601" s="309" t="n">
        <v>1</v>
      </c>
    </row>
    <row r="602">
      <c r="A602" s="308" t="inlineStr">
        <is>
          <t>RL7-PMP-208-FVl-01</t>
        </is>
      </c>
      <c r="B602" s="308" t="inlineStr">
        <is>
          <t>DG7030</t>
        </is>
      </c>
      <c r="C602" s="308" t="inlineStr">
        <is>
          <t>Not found in PDF</t>
        </is>
      </c>
      <c r="D602" s="308" t="inlineStr">
        <is>
          <t>RL7-PMP-208-FVL01</t>
        </is>
      </c>
      <c r="E602" s="308" t="inlineStr"/>
      <c r="F602" s="308" t="inlineStr">
        <is>
          <t>Low</t>
        </is>
      </c>
      <c r="G602" s="308" t="n">
        <v>0</v>
      </c>
    </row>
    <row r="603">
      <c r="A603" s="309" t="inlineStr">
        <is>
          <t>RL7-PMP-208-FCV-01</t>
        </is>
      </c>
      <c r="B603" s="309" t="inlineStr">
        <is>
          <t>DG7030</t>
        </is>
      </c>
      <c r="C603" s="309" t="inlineStr">
        <is>
          <t>Matched</t>
        </is>
      </c>
      <c r="D603" s="309" t="inlineStr">
        <is>
          <t>RL7-PMP-208-FCV01</t>
        </is>
      </c>
      <c r="E603" s="310" t="n">
        <v>0.99</v>
      </c>
      <c r="F603" s="309" t="inlineStr">
        <is>
          <t>High</t>
        </is>
      </c>
      <c r="G603" s="309" t="n">
        <v>1</v>
      </c>
    </row>
    <row r="604">
      <c r="A604" s="309" t="inlineStr">
        <is>
          <t>RL7-CNV-204-PB-01</t>
        </is>
      </c>
      <c r="B604" s="309" t="inlineStr">
        <is>
          <t>DG7032</t>
        </is>
      </c>
      <c r="C604" s="309" t="inlineStr">
        <is>
          <t>Matched</t>
        </is>
      </c>
      <c r="D604" s="309" t="inlineStr">
        <is>
          <t>RL7-CNV-204-PB01</t>
        </is>
      </c>
      <c r="E604" s="310" t="n">
        <v>0.99</v>
      </c>
      <c r="F604" s="309" t="inlineStr">
        <is>
          <t>High</t>
        </is>
      </c>
      <c r="G604" s="309" t="n">
        <v>1</v>
      </c>
    </row>
    <row r="605">
      <c r="A605" s="309" t="inlineStr">
        <is>
          <t>RL7-CNV-204-PB-01</t>
        </is>
      </c>
      <c r="B605" s="309" t="inlineStr">
        <is>
          <t>DG7032</t>
        </is>
      </c>
      <c r="C605" s="309" t="inlineStr">
        <is>
          <t>Matched</t>
        </is>
      </c>
      <c r="D605" s="309" t="inlineStr">
        <is>
          <t>RL7-CNV-204-PB01</t>
        </is>
      </c>
      <c r="E605" s="310" t="n">
        <v>0.99</v>
      </c>
      <c r="F605" s="309" t="inlineStr">
        <is>
          <t>High</t>
        </is>
      </c>
      <c r="G605" s="309" t="n">
        <v>1</v>
      </c>
    </row>
    <row r="606">
      <c r="A606" s="309" t="inlineStr">
        <is>
          <t>RL7-CNV-204-ZEC-01</t>
        </is>
      </c>
      <c r="B606" s="309" t="inlineStr">
        <is>
          <t>DG7032</t>
        </is>
      </c>
      <c r="C606" s="309" t="inlineStr">
        <is>
          <t>Matched - multiple PDF occurrences</t>
        </is>
      </c>
      <c r="D606" s="309" t="inlineStr">
        <is>
          <t>RL7-CNV-204-ZEC01</t>
        </is>
      </c>
      <c r="E606" s="310" t="n">
        <v>0.95</v>
      </c>
      <c r="F606" s="309" t="inlineStr">
        <is>
          <t>High</t>
        </is>
      </c>
      <c r="G606" s="309" t="n">
        <v>2</v>
      </c>
    </row>
    <row r="607">
      <c r="A607" s="309" t="inlineStr">
        <is>
          <t>RL7-CNV-204-ZEC-02</t>
        </is>
      </c>
      <c r="B607" s="309" t="inlineStr">
        <is>
          <t>DG7032</t>
        </is>
      </c>
      <c r="C607" s="309" t="inlineStr">
        <is>
          <t>Matched - multiple PDF occurrences</t>
        </is>
      </c>
      <c r="D607" s="309" t="inlineStr">
        <is>
          <t>RL7-CNV-204-ZEC02</t>
        </is>
      </c>
      <c r="E607" s="310" t="n">
        <v>0.95</v>
      </c>
      <c r="F607" s="309" t="inlineStr">
        <is>
          <t>High</t>
        </is>
      </c>
      <c r="G607" s="309" t="n">
        <v>2</v>
      </c>
    </row>
    <row r="608">
      <c r="A608" s="308" t="inlineStr">
        <is>
          <t>RL7-CNV-204-PSL-01</t>
        </is>
      </c>
      <c r="B608" s="308" t="inlineStr">
        <is>
          <t>DG7032</t>
        </is>
      </c>
      <c r="C608" s="308" t="inlineStr">
        <is>
          <t>Not found in PDF</t>
        </is>
      </c>
      <c r="D608" s="308" t="inlineStr">
        <is>
          <t>RL7-CNV-204-PSL01</t>
        </is>
      </c>
      <c r="E608" s="308" t="inlineStr"/>
      <c r="F608" s="308" t="inlineStr">
        <is>
          <t>Low</t>
        </is>
      </c>
      <c r="G608" s="308" t="n">
        <v>0</v>
      </c>
    </row>
    <row r="609">
      <c r="A609" s="309" t="inlineStr">
        <is>
          <t>RL7-CNV-204-PB-03</t>
        </is>
      </c>
      <c r="B609" s="309" t="inlineStr">
        <is>
          <t>DG7032</t>
        </is>
      </c>
      <c r="C609" s="309" t="inlineStr">
        <is>
          <t>Matched</t>
        </is>
      </c>
      <c r="D609" s="309" t="inlineStr">
        <is>
          <t>RL7-CNV-204-PB03</t>
        </is>
      </c>
      <c r="E609" s="310" t="n">
        <v>0.99</v>
      </c>
      <c r="F609" s="309" t="inlineStr">
        <is>
          <t>High</t>
        </is>
      </c>
      <c r="G609" s="309" t="n">
        <v>1</v>
      </c>
    </row>
    <row r="610">
      <c r="A610" s="309" t="inlineStr">
        <is>
          <t>RL7-CNV-204-XY-01</t>
        </is>
      </c>
      <c r="B610" s="309" t="inlineStr">
        <is>
          <t>DG7032</t>
        </is>
      </c>
      <c r="C610" s="309" t="inlineStr">
        <is>
          <t>Matched</t>
        </is>
      </c>
      <c r="D610" s="309" t="inlineStr">
        <is>
          <t>RL7-CNV-204-XY01</t>
        </is>
      </c>
      <c r="E610" s="310" t="n">
        <v>0.99</v>
      </c>
      <c r="F610" s="309" t="inlineStr">
        <is>
          <t>High</t>
        </is>
      </c>
      <c r="G610" s="309" t="n">
        <v>1</v>
      </c>
    </row>
    <row r="611">
      <c r="A611" s="309" t="inlineStr">
        <is>
          <t>RL7-CNV-204-XY-02</t>
        </is>
      </c>
      <c r="B611" s="309" t="inlineStr">
        <is>
          <t>DG7032</t>
        </is>
      </c>
      <c r="C611" s="309" t="inlineStr">
        <is>
          <t>Matched</t>
        </is>
      </c>
      <c r="D611" s="309" t="inlineStr">
        <is>
          <t>RL7-CNV-204-XY02</t>
        </is>
      </c>
      <c r="E611" s="310" t="n">
        <v>0.99</v>
      </c>
      <c r="F611" s="309" t="inlineStr">
        <is>
          <t>High</t>
        </is>
      </c>
      <c r="G611" s="309" t="n">
        <v>1</v>
      </c>
    </row>
    <row r="612">
      <c r="A612" s="309" t="inlineStr">
        <is>
          <t>RL7-CNV-204-XY-03</t>
        </is>
      </c>
      <c r="B612" s="309" t="inlineStr">
        <is>
          <t>DG7032</t>
        </is>
      </c>
      <c r="C612" s="309" t="inlineStr">
        <is>
          <t>Matched</t>
        </is>
      </c>
      <c r="D612" s="309" t="inlineStr">
        <is>
          <t>RL7-CNV-204-XY03</t>
        </is>
      </c>
      <c r="E612" s="310" t="n">
        <v>0.99</v>
      </c>
      <c r="F612" s="309" t="inlineStr">
        <is>
          <t>High</t>
        </is>
      </c>
      <c r="G612" s="309" t="n">
        <v>1</v>
      </c>
    </row>
    <row r="613">
      <c r="A613" s="309" t="inlineStr">
        <is>
          <t>RL7-CNV-204-XY-04</t>
        </is>
      </c>
      <c r="B613" s="309" t="inlineStr">
        <is>
          <t>DG7032</t>
        </is>
      </c>
      <c r="C613" s="309" t="inlineStr">
        <is>
          <t>Matched</t>
        </is>
      </c>
      <c r="D613" s="309" t="inlineStr">
        <is>
          <t>RL7-CNV-204-XY04</t>
        </is>
      </c>
      <c r="E613" s="310" t="n">
        <v>0.99</v>
      </c>
      <c r="F613" s="309" t="inlineStr">
        <is>
          <t>High</t>
        </is>
      </c>
      <c r="G613" s="309" t="n">
        <v>1</v>
      </c>
    </row>
    <row r="614">
      <c r="A614" s="308" t="inlineStr">
        <is>
          <t>RL7-CNV-204-PBL-01</t>
        </is>
      </c>
      <c r="B614" s="308" t="inlineStr">
        <is>
          <t>DG7032</t>
        </is>
      </c>
      <c r="C614" s="308" t="inlineStr">
        <is>
          <t>Not found in PDF</t>
        </is>
      </c>
      <c r="D614" s="308" t="inlineStr">
        <is>
          <t>RL7-CNV-204-PBL01</t>
        </is>
      </c>
      <c r="E614" s="308" t="inlineStr"/>
      <c r="F614" s="308" t="inlineStr">
        <is>
          <t>Low</t>
        </is>
      </c>
      <c r="G614" s="308" t="n">
        <v>0</v>
      </c>
    </row>
    <row r="615">
      <c r="A615" s="309" t="inlineStr">
        <is>
          <t>RL7-CNV-204-PB-02</t>
        </is>
      </c>
      <c r="B615" s="309" t="inlineStr">
        <is>
          <t>DG7032</t>
        </is>
      </c>
      <c r="C615" s="309" t="inlineStr">
        <is>
          <t>Matched</t>
        </is>
      </c>
      <c r="D615" s="309" t="inlineStr">
        <is>
          <t>RL7-CNV-204-PB02</t>
        </is>
      </c>
      <c r="E615" s="310" t="n">
        <v>0.99</v>
      </c>
      <c r="F615" s="309" t="inlineStr">
        <is>
          <t>High</t>
        </is>
      </c>
      <c r="G615" s="309" t="n">
        <v>1</v>
      </c>
    </row>
    <row r="616">
      <c r="A616" s="309" t="inlineStr">
        <is>
          <t>RL7-CHR-201-PB-01</t>
        </is>
      </c>
      <c r="B616" s="309" t="inlineStr">
        <is>
          <t>DG7033</t>
        </is>
      </c>
      <c r="C616" s="309" t="inlineStr">
        <is>
          <t>Matched</t>
        </is>
      </c>
      <c r="D616" s="309" t="inlineStr">
        <is>
          <t>RL7-CHR-201-PB01</t>
        </is>
      </c>
      <c r="E616" s="310" t="n">
        <v>0.99</v>
      </c>
      <c r="F616" s="309" t="inlineStr">
        <is>
          <t>High</t>
        </is>
      </c>
      <c r="G616" s="309" t="n">
        <v>1</v>
      </c>
    </row>
    <row r="617">
      <c r="A617" s="309" t="inlineStr">
        <is>
          <t>RL7-CHR-201-PB-01</t>
        </is>
      </c>
      <c r="B617" s="309" t="inlineStr">
        <is>
          <t>DG7033</t>
        </is>
      </c>
      <c r="C617" s="309" t="inlineStr">
        <is>
          <t>Matched</t>
        </is>
      </c>
      <c r="D617" s="309" t="inlineStr">
        <is>
          <t>RL7-CHR-201-PB01</t>
        </is>
      </c>
      <c r="E617" s="310" t="n">
        <v>0.99</v>
      </c>
      <c r="F617" s="309" t="inlineStr">
        <is>
          <t>High</t>
        </is>
      </c>
      <c r="G617" s="309" t="n">
        <v>1</v>
      </c>
    </row>
    <row r="618">
      <c r="A618" s="309" t="inlineStr">
        <is>
          <t>RL7-CHR-201-PB-02</t>
        </is>
      </c>
      <c r="B618" s="309" t="inlineStr">
        <is>
          <t>DG7033</t>
        </is>
      </c>
      <c r="C618" s="309" t="inlineStr">
        <is>
          <t>Matched</t>
        </is>
      </c>
      <c r="D618" s="309" t="inlineStr">
        <is>
          <t>RL7-CHR-201-PB02</t>
        </is>
      </c>
      <c r="E618" s="310" t="n">
        <v>0.99</v>
      </c>
      <c r="F618" s="309" t="inlineStr">
        <is>
          <t>High</t>
        </is>
      </c>
      <c r="G618" s="309" t="n">
        <v>1</v>
      </c>
    </row>
    <row r="619">
      <c r="A619" s="309" t="inlineStr">
        <is>
          <t>RL7-CHR-201-PB-02</t>
        </is>
      </c>
      <c r="B619" s="309" t="inlineStr">
        <is>
          <t>DG7033</t>
        </is>
      </c>
      <c r="C619" s="309" t="inlineStr">
        <is>
          <t>Matched</t>
        </is>
      </c>
      <c r="D619" s="309" t="inlineStr">
        <is>
          <t>RL7-CHR-201-PB02</t>
        </is>
      </c>
      <c r="E619" s="310" t="n">
        <v>0.99</v>
      </c>
      <c r="F619" s="309" t="inlineStr">
        <is>
          <t>High</t>
        </is>
      </c>
      <c r="G619" s="309" t="n">
        <v>1</v>
      </c>
    </row>
    <row r="620">
      <c r="A620" s="309" t="inlineStr">
        <is>
          <t>RL7-CHR-201-ZSC-01L</t>
        </is>
      </c>
      <c r="B620" s="309" t="inlineStr">
        <is>
          <t>DG7033</t>
        </is>
      </c>
      <c r="C620" s="309" t="inlineStr">
        <is>
          <t>Matched</t>
        </is>
      </c>
      <c r="D620" s="309" t="inlineStr">
        <is>
          <t>RL7-CHR-201-ZSC01L</t>
        </is>
      </c>
      <c r="E620" s="310" t="n">
        <v>0.99</v>
      </c>
      <c r="F620" s="309" t="inlineStr">
        <is>
          <t>High</t>
        </is>
      </c>
      <c r="G620" s="309" t="n">
        <v>1</v>
      </c>
    </row>
    <row r="621">
      <c r="A621" s="309" t="inlineStr">
        <is>
          <t>RL7-CHR-201-ZSC-02L</t>
        </is>
      </c>
      <c r="B621" s="309" t="inlineStr">
        <is>
          <t>DG7033</t>
        </is>
      </c>
      <c r="C621" s="309" t="inlineStr">
        <is>
          <t>Matched</t>
        </is>
      </c>
      <c r="D621" s="309" t="inlineStr">
        <is>
          <t>RL7-CHR-201-ZSC02L</t>
        </is>
      </c>
      <c r="E621" s="310" t="n">
        <v>0.99</v>
      </c>
      <c r="F621" s="309" t="inlineStr">
        <is>
          <t>High</t>
        </is>
      </c>
      <c r="G621" s="309" t="n">
        <v>1</v>
      </c>
    </row>
    <row r="622">
      <c r="A622" s="309" t="inlineStr">
        <is>
          <t>RL7-CHR-201-ZSC-03L</t>
        </is>
      </c>
      <c r="B622" s="309" t="inlineStr">
        <is>
          <t>DG7033</t>
        </is>
      </c>
      <c r="C622" s="309" t="inlineStr">
        <is>
          <t>Matched</t>
        </is>
      </c>
      <c r="D622" s="309" t="inlineStr">
        <is>
          <t>RL7-CHR-201-ZSC03L</t>
        </is>
      </c>
      <c r="E622" s="310" t="n">
        <v>0.99</v>
      </c>
      <c r="F622" s="309" t="inlineStr">
        <is>
          <t>High</t>
        </is>
      </c>
      <c r="G622" s="309" t="n">
        <v>1</v>
      </c>
    </row>
    <row r="623">
      <c r="A623" s="309" t="inlineStr">
        <is>
          <t>RL7-CHR-201-ZSC-01R</t>
        </is>
      </c>
      <c r="B623" s="309" t="inlineStr">
        <is>
          <t>DG7033</t>
        </is>
      </c>
      <c r="C623" s="309" t="inlineStr">
        <is>
          <t>Matched</t>
        </is>
      </c>
      <c r="D623" s="309" t="inlineStr">
        <is>
          <t>RL7-CHR-201-ZSC01R</t>
        </is>
      </c>
      <c r="E623" s="310" t="n">
        <v>0.99</v>
      </c>
      <c r="F623" s="309" t="inlineStr">
        <is>
          <t>High</t>
        </is>
      </c>
      <c r="G623" s="309" t="n">
        <v>1</v>
      </c>
    </row>
    <row r="624">
      <c r="A624" s="309" t="inlineStr">
        <is>
          <t>RL7-CHR-201-ZSC-02R</t>
        </is>
      </c>
      <c r="B624" s="309" t="inlineStr">
        <is>
          <t>DG7033</t>
        </is>
      </c>
      <c r="C624" s="309" t="inlineStr">
        <is>
          <t>Matched</t>
        </is>
      </c>
      <c r="D624" s="309" t="inlineStr">
        <is>
          <t>RL7-CHR-201-ZSC02R</t>
        </is>
      </c>
      <c r="E624" s="310" t="n">
        <v>0.99</v>
      </c>
      <c r="F624" s="309" t="inlineStr">
        <is>
          <t>High</t>
        </is>
      </c>
      <c r="G624" s="309" t="n">
        <v>1</v>
      </c>
    </row>
    <row r="625">
      <c r="A625" s="309" t="inlineStr">
        <is>
          <t>RL7-CHR-201-ZSC-03R</t>
        </is>
      </c>
      <c r="B625" s="309" t="inlineStr">
        <is>
          <t>DG7033</t>
        </is>
      </c>
      <c r="C625" s="309" t="inlineStr">
        <is>
          <t>Matched</t>
        </is>
      </c>
      <c r="D625" s="309" t="inlineStr">
        <is>
          <t>RL7-CHR-201-ZSC03R</t>
        </is>
      </c>
      <c r="E625" s="310" t="n">
        <v>0.99</v>
      </c>
      <c r="F625" s="309" t="inlineStr">
        <is>
          <t>High</t>
        </is>
      </c>
      <c r="G625" s="309" t="n">
        <v>1</v>
      </c>
    </row>
    <row r="626">
      <c r="A626" s="309" t="inlineStr">
        <is>
          <t>RL7-PMP-208-ZSO-01</t>
        </is>
      </c>
      <c r="B626" s="309" t="inlineStr">
        <is>
          <t>DG7033</t>
        </is>
      </c>
      <c r="C626" s="309" t="inlineStr">
        <is>
          <t>Matched</t>
        </is>
      </c>
      <c r="D626" s="309" t="inlineStr">
        <is>
          <t>RL7-PMP-208-ZSO01</t>
        </is>
      </c>
      <c r="E626" s="310" t="n">
        <v>0.99</v>
      </c>
      <c r="F626" s="309" t="inlineStr">
        <is>
          <t>High</t>
        </is>
      </c>
      <c r="G626" s="309" t="n">
        <v>1</v>
      </c>
    </row>
    <row r="627">
      <c r="A627" s="309" t="inlineStr">
        <is>
          <t>RL7-PMP-208-ZSC-01</t>
        </is>
      </c>
      <c r="B627" s="309" t="inlineStr">
        <is>
          <t>DG7033</t>
        </is>
      </c>
      <c r="C627" s="309" t="inlineStr">
        <is>
          <t>Matched</t>
        </is>
      </c>
      <c r="D627" s="309" t="inlineStr">
        <is>
          <t>RL7-PMP-208-ZSC01</t>
        </is>
      </c>
      <c r="E627" s="310" t="n">
        <v>0.99</v>
      </c>
      <c r="F627" s="309" t="inlineStr">
        <is>
          <t>High</t>
        </is>
      </c>
      <c r="G627" s="309" t="n">
        <v>1</v>
      </c>
    </row>
    <row r="628">
      <c r="A628" s="309" t="inlineStr">
        <is>
          <t>RL7-FTR-205-ZSO-01</t>
        </is>
      </c>
      <c r="B628" s="309" t="inlineStr">
        <is>
          <t>DG7033</t>
        </is>
      </c>
      <c r="C628" s="309" t="inlineStr">
        <is>
          <t>Matched</t>
        </is>
      </c>
      <c r="D628" s="309" t="inlineStr">
        <is>
          <t>RL7-FTR-205-ZSO01</t>
        </is>
      </c>
      <c r="E628" s="310" t="n">
        <v>0.99</v>
      </c>
      <c r="F628" s="309" t="inlineStr">
        <is>
          <t>High</t>
        </is>
      </c>
      <c r="G628" s="309" t="n">
        <v>1</v>
      </c>
    </row>
    <row r="629">
      <c r="A629" s="309" t="inlineStr">
        <is>
          <t>RL7-FTR-205-ZSC-01</t>
        </is>
      </c>
      <c r="B629" s="309" t="inlineStr">
        <is>
          <t>DG7033</t>
        </is>
      </c>
      <c r="C629" s="309" t="inlineStr">
        <is>
          <t>Matched</t>
        </is>
      </c>
      <c r="D629" s="309" t="inlineStr">
        <is>
          <t>RL7-FTR-205-ZSC01</t>
        </is>
      </c>
      <c r="E629" s="310" t="n">
        <v>0.99</v>
      </c>
      <c r="F629" s="309" t="inlineStr">
        <is>
          <t>High</t>
        </is>
      </c>
      <c r="G629" s="309" t="n">
        <v>1</v>
      </c>
    </row>
    <row r="630">
      <c r="A630" s="309" t="inlineStr">
        <is>
          <t>RL7-CHR-201-PL-01R</t>
        </is>
      </c>
      <c r="B630" s="309" t="inlineStr">
        <is>
          <t>DG7033</t>
        </is>
      </c>
      <c r="C630" s="309" t="inlineStr">
        <is>
          <t>Matched</t>
        </is>
      </c>
      <c r="D630" s="309" t="inlineStr">
        <is>
          <t>RL7-CHR-201-PL01R</t>
        </is>
      </c>
      <c r="E630" s="310" t="n">
        <v>0.99</v>
      </c>
      <c r="F630" s="309" t="inlineStr">
        <is>
          <t>High</t>
        </is>
      </c>
      <c r="G630" s="309" t="n">
        <v>1</v>
      </c>
    </row>
    <row r="631">
      <c r="A631" s="309" t="inlineStr">
        <is>
          <t>RL7-CHR-201-PL-01Y</t>
        </is>
      </c>
      <c r="B631" s="309" t="inlineStr">
        <is>
          <t>DG7033</t>
        </is>
      </c>
      <c r="C631" s="309" t="inlineStr">
        <is>
          <t>Matched</t>
        </is>
      </c>
      <c r="D631" s="309" t="inlineStr">
        <is>
          <t>RL7-CHR-201-PL01Y</t>
        </is>
      </c>
      <c r="E631" s="310" t="n">
        <v>0.99</v>
      </c>
      <c r="F631" s="309" t="inlineStr">
        <is>
          <t>High</t>
        </is>
      </c>
      <c r="G631" s="309" t="n">
        <v>1</v>
      </c>
    </row>
    <row r="632">
      <c r="A632" s="309" t="inlineStr">
        <is>
          <t>RL7-CHR-201-PL-01G</t>
        </is>
      </c>
      <c r="B632" s="309" t="inlineStr">
        <is>
          <t>DG7033</t>
        </is>
      </c>
      <c r="C632" s="309" t="inlineStr">
        <is>
          <t>Matched</t>
        </is>
      </c>
      <c r="D632" s="309" t="inlineStr">
        <is>
          <t>RL7-CHR-201-PL01G</t>
        </is>
      </c>
      <c r="E632" s="310" t="n">
        <v>0.99</v>
      </c>
      <c r="F632" s="309" t="inlineStr">
        <is>
          <t>High</t>
        </is>
      </c>
      <c r="G632" s="309" t="n">
        <v>1</v>
      </c>
    </row>
    <row r="633">
      <c r="A633" s="309" t="inlineStr">
        <is>
          <t>RL7-FTR-205-XV-01</t>
        </is>
      </c>
      <c r="B633" s="309" t="inlineStr">
        <is>
          <t>DG7033</t>
        </is>
      </c>
      <c r="C633" s="309" t="inlineStr">
        <is>
          <t>Matched</t>
        </is>
      </c>
      <c r="D633" s="309" t="inlineStr">
        <is>
          <t>RL7-FTR-205-XV01</t>
        </is>
      </c>
      <c r="E633" s="310" t="n">
        <v>0.99</v>
      </c>
      <c r="F633" s="309" t="inlineStr">
        <is>
          <t>High</t>
        </is>
      </c>
      <c r="G633" s="309" t="n">
        <v>1</v>
      </c>
    </row>
    <row r="634">
      <c r="A634" s="309" t="inlineStr">
        <is>
          <t>RL7-PMP-210-XC-01</t>
        </is>
      </c>
      <c r="B634" s="309" t="inlineStr">
        <is>
          <t>DG7033</t>
        </is>
      </c>
      <c r="C634" s="309" t="inlineStr">
        <is>
          <t>Matched</t>
        </is>
      </c>
      <c r="D634" s="309" t="inlineStr">
        <is>
          <t>RL7-PMP-210-XC01</t>
        </is>
      </c>
      <c r="E634" s="310" t="n">
        <v>0.99</v>
      </c>
      <c r="F634" s="309" t="inlineStr">
        <is>
          <t>High</t>
        </is>
      </c>
      <c r="G634" s="309" t="n">
        <v>1</v>
      </c>
    </row>
    <row r="635">
      <c r="A635" s="309" t="inlineStr">
        <is>
          <t>RL7-PMP-209-XC-01</t>
        </is>
      </c>
      <c r="B635" s="309" t="inlineStr">
        <is>
          <t>DG7033</t>
        </is>
      </c>
      <c r="C635" s="309" t="inlineStr">
        <is>
          <t>Matched</t>
        </is>
      </c>
      <c r="D635" s="309" t="inlineStr">
        <is>
          <t>RL7-PMP-209-XC01</t>
        </is>
      </c>
      <c r="E635" s="310" t="n">
        <v>0.99</v>
      </c>
      <c r="F635" s="309" t="inlineStr">
        <is>
          <t>High</t>
        </is>
      </c>
      <c r="G635" s="309" t="n">
        <v>1</v>
      </c>
    </row>
    <row r="636">
      <c r="A636" s="308" t="inlineStr">
        <is>
          <t>RL7-CHR-201-PBL-01</t>
        </is>
      </c>
      <c r="B636" s="308" t="inlineStr">
        <is>
          <t>DG7033</t>
        </is>
      </c>
      <c r="C636" s="308" t="inlineStr">
        <is>
          <t>Not found in PDF</t>
        </is>
      </c>
      <c r="D636" s="308" t="inlineStr">
        <is>
          <t>RL7-CHR-201-PBL01</t>
        </is>
      </c>
      <c r="E636" s="308" t="inlineStr"/>
      <c r="F636" s="308" t="inlineStr">
        <is>
          <t>Low</t>
        </is>
      </c>
      <c r="G636" s="308" t="n">
        <v>0</v>
      </c>
    </row>
    <row r="637">
      <c r="A637" s="308" t="inlineStr">
        <is>
          <t>RL7-CHR-201-PBL-02</t>
        </is>
      </c>
      <c r="B637" s="308" t="inlineStr">
        <is>
          <t>DG7033</t>
        </is>
      </c>
      <c r="C637" s="308" t="inlineStr">
        <is>
          <t>Not found in PDF</t>
        </is>
      </c>
      <c r="D637" s="308" t="inlineStr">
        <is>
          <t>RL7-CHR-201-PBL02</t>
        </is>
      </c>
      <c r="E637" s="308" t="inlineStr"/>
      <c r="F637" s="308" t="inlineStr">
        <is>
          <t>Low</t>
        </is>
      </c>
      <c r="G637" s="308" t="n">
        <v>0</v>
      </c>
    </row>
    <row r="638">
      <c r="A638" s="309" t="inlineStr">
        <is>
          <t>RL7-PMP-208-XV-01</t>
        </is>
      </c>
      <c r="B638" s="309" t="inlineStr">
        <is>
          <t>DG7033</t>
        </is>
      </c>
      <c r="C638" s="309" t="inlineStr">
        <is>
          <t>Matched</t>
        </is>
      </c>
      <c r="D638" s="309" t="inlineStr">
        <is>
          <t>RL7-PMP-208-XV01</t>
        </is>
      </c>
      <c r="E638" s="310" t="n">
        <v>0.99</v>
      </c>
      <c r="F638" s="309" t="inlineStr">
        <is>
          <t>High</t>
        </is>
      </c>
      <c r="G638" s="309" t="n">
        <v>1</v>
      </c>
    </row>
    <row r="639">
      <c r="A639" s="309" t="inlineStr">
        <is>
          <t>RL7-CHR-201-PIT-01</t>
        </is>
      </c>
      <c r="B639" s="309" t="inlineStr">
        <is>
          <t>DG7033</t>
        </is>
      </c>
      <c r="C639" s="309" t="inlineStr">
        <is>
          <t>Matched</t>
        </is>
      </c>
      <c r="D639" s="309" t="inlineStr">
        <is>
          <t>RL7-CHR-201-PIT01</t>
        </is>
      </c>
      <c r="E639" s="310" t="n">
        <v>0.99</v>
      </c>
      <c r="F639" s="309" t="inlineStr">
        <is>
          <t>High</t>
        </is>
      </c>
      <c r="G639" s="309" t="n">
        <v>1</v>
      </c>
    </row>
    <row r="640">
      <c r="A640" s="309" t="inlineStr">
        <is>
          <t>RL7-CHR-201-TIT-01</t>
        </is>
      </c>
      <c r="B640" s="309" t="inlineStr">
        <is>
          <t>DG7033</t>
        </is>
      </c>
      <c r="C640" s="309" t="inlineStr">
        <is>
          <t>Matched</t>
        </is>
      </c>
      <c r="D640" s="309" t="inlineStr">
        <is>
          <t>RL7-CHR-201-TIT01</t>
        </is>
      </c>
      <c r="E640" s="310" t="n">
        <v>0.99</v>
      </c>
      <c r="F640" s="309" t="inlineStr">
        <is>
          <t>High</t>
        </is>
      </c>
      <c r="G640" s="309" t="n">
        <v>1</v>
      </c>
    </row>
    <row r="641">
      <c r="A641" s="309" t="inlineStr">
        <is>
          <t>RL7-PMP-203-PIT-01</t>
        </is>
      </c>
      <c r="B641" s="309" t="inlineStr">
        <is>
          <t>DG7033</t>
        </is>
      </c>
      <c r="C641" s="309" t="inlineStr">
        <is>
          <t>Matched</t>
        </is>
      </c>
      <c r="D641" s="309" t="inlineStr">
        <is>
          <t>RL7-PMP-203-PIT01</t>
        </is>
      </c>
      <c r="E641" s="310" t="n">
        <v>0.99</v>
      </c>
      <c r="F641" s="309" t="inlineStr">
        <is>
          <t>High</t>
        </is>
      </c>
      <c r="G641" s="309" t="n">
        <v>1</v>
      </c>
    </row>
    <row r="642">
      <c r="A642" s="309" t="inlineStr">
        <is>
          <t>RL7-PMP-204-PIT-01</t>
        </is>
      </c>
      <c r="B642" s="309" t="inlineStr">
        <is>
          <t>DG7033</t>
        </is>
      </c>
      <c r="C642" s="309" t="inlineStr">
        <is>
          <t>Matched</t>
        </is>
      </c>
      <c r="D642" s="309" t="inlineStr">
        <is>
          <t>RL7-PMP-204-PIT01</t>
        </is>
      </c>
      <c r="E642" s="310" t="n">
        <v>0.99</v>
      </c>
      <c r="F642" s="309" t="inlineStr">
        <is>
          <t>High</t>
        </is>
      </c>
      <c r="G642" s="309" t="n">
        <v>1</v>
      </c>
    </row>
    <row r="643">
      <c r="A643" s="309" t="inlineStr">
        <is>
          <t>RL7-CHR-201-PIT-02</t>
        </is>
      </c>
      <c r="B643" s="309" t="inlineStr">
        <is>
          <t>DG7033</t>
        </is>
      </c>
      <c r="C643" s="309" t="inlineStr">
        <is>
          <t>Matched</t>
        </is>
      </c>
      <c r="D643" s="309" t="inlineStr">
        <is>
          <t>RL7-CHR-201-PIT02</t>
        </is>
      </c>
      <c r="E643" s="310" t="n">
        <v>0.99</v>
      </c>
      <c r="F643" s="309" t="inlineStr">
        <is>
          <t>High</t>
        </is>
      </c>
      <c r="G643" s="309" t="n">
        <v>1</v>
      </c>
    </row>
    <row r="644">
      <c r="A644" s="309" t="inlineStr">
        <is>
          <t>RL7-CHR-201-TIT-02</t>
        </is>
      </c>
      <c r="B644" s="309" t="inlineStr">
        <is>
          <t>DG7033</t>
        </is>
      </c>
      <c r="C644" s="309" t="inlineStr">
        <is>
          <t>Matched</t>
        </is>
      </c>
      <c r="D644" s="309" t="inlineStr">
        <is>
          <t>RL7-CHR-201-TIT02</t>
        </is>
      </c>
      <c r="E644" s="310" t="n">
        <v>0.99</v>
      </c>
      <c r="F644" s="309" t="inlineStr">
        <is>
          <t>High</t>
        </is>
      </c>
      <c r="G644" s="309" t="n">
        <v>1</v>
      </c>
    </row>
    <row r="645">
      <c r="A645" s="309" t="inlineStr">
        <is>
          <t>RL7-PMP-203-TIT-01</t>
        </is>
      </c>
      <c r="B645" s="309" t="inlineStr">
        <is>
          <t>DG7033</t>
        </is>
      </c>
      <c r="C645" s="309" t="inlineStr">
        <is>
          <t>Matched</t>
        </is>
      </c>
      <c r="D645" s="309" t="inlineStr">
        <is>
          <t>RL7-PMP-203-TIT01</t>
        </is>
      </c>
      <c r="E645" s="310" t="n">
        <v>0.99</v>
      </c>
      <c r="F645" s="309" t="inlineStr">
        <is>
          <t>High</t>
        </is>
      </c>
      <c r="G645" s="309" t="n">
        <v>1</v>
      </c>
    </row>
    <row r="646">
      <c r="A646" s="309" t="inlineStr">
        <is>
          <t>RL7-PMP-208-PIT-01</t>
        </is>
      </c>
      <c r="B646" s="309" t="inlineStr">
        <is>
          <t>DG7033</t>
        </is>
      </c>
      <c r="C646" s="309" t="inlineStr">
        <is>
          <t>Matched</t>
        </is>
      </c>
      <c r="D646" s="309" t="inlineStr">
        <is>
          <t>RL7-PMP-208-PIT01</t>
        </is>
      </c>
      <c r="E646" s="310" t="n">
        <v>0.99</v>
      </c>
      <c r="F646" s="309" t="inlineStr">
        <is>
          <t>High</t>
        </is>
      </c>
      <c r="G646" s="309" t="n">
        <v>1</v>
      </c>
    </row>
    <row r="647">
      <c r="A647" s="309" t="inlineStr">
        <is>
          <t>RL7-PMP-208-TIT-01</t>
        </is>
      </c>
      <c r="B647" s="309" t="inlineStr">
        <is>
          <t>DG7033</t>
        </is>
      </c>
      <c r="C647" s="309" t="inlineStr">
        <is>
          <t>Matched</t>
        </is>
      </c>
      <c r="D647" s="309" t="inlineStr">
        <is>
          <t>RL7-PMP-208-TIT01</t>
        </is>
      </c>
      <c r="E647" s="310" t="n">
        <v>0.99</v>
      </c>
      <c r="F647" s="309" t="inlineStr">
        <is>
          <t>High</t>
        </is>
      </c>
      <c r="G647" s="309" t="n">
        <v>1</v>
      </c>
    </row>
    <row r="648">
      <c r="A648" s="309" t="inlineStr">
        <is>
          <t>RL7-FTR-205-PT-01</t>
        </is>
      </c>
      <c r="B648" s="309" t="inlineStr">
        <is>
          <t>DG7033</t>
        </is>
      </c>
      <c r="C648" s="309" t="inlineStr">
        <is>
          <t>Matched</t>
        </is>
      </c>
      <c r="D648" s="309" t="inlineStr">
        <is>
          <t>RL7-FTR-205-PT01</t>
        </is>
      </c>
      <c r="E648" s="310" t="n">
        <v>0.99</v>
      </c>
      <c r="F648" s="309" t="inlineStr">
        <is>
          <t>High</t>
        </is>
      </c>
      <c r="G648" s="309" t="n">
        <v>1</v>
      </c>
    </row>
    <row r="649">
      <c r="A649" s="309" t="inlineStr">
        <is>
          <t>RL7-FTR-205-PT-02</t>
        </is>
      </c>
      <c r="B649" s="309" t="inlineStr">
        <is>
          <t>DG7033</t>
        </is>
      </c>
      <c r="C649" s="309" t="inlineStr">
        <is>
          <t>Matched</t>
        </is>
      </c>
      <c r="D649" s="309" t="inlineStr">
        <is>
          <t>RL7-FTR-205-PT02</t>
        </is>
      </c>
      <c r="E649" s="310" t="n">
        <v>0.99</v>
      </c>
      <c r="F649" s="309" t="inlineStr">
        <is>
          <t>High</t>
        </is>
      </c>
      <c r="G649" s="309" t="n">
        <v>1</v>
      </c>
    </row>
    <row r="650">
      <c r="A650" s="309" t="inlineStr">
        <is>
          <t>RL7-PMP-203-FIT-01</t>
        </is>
      </c>
      <c r="B650" s="309" t="inlineStr">
        <is>
          <t>DG7033</t>
        </is>
      </c>
      <c r="C650" s="309" t="inlineStr">
        <is>
          <t>Matched</t>
        </is>
      </c>
      <c r="D650" s="309" t="inlineStr">
        <is>
          <t>RL7-PMP-203-FIT01</t>
        </is>
      </c>
      <c r="E650" s="310" t="n">
        <v>0.99</v>
      </c>
      <c r="F650" s="309" t="inlineStr">
        <is>
          <t>High</t>
        </is>
      </c>
      <c r="G650" s="309" t="n">
        <v>1</v>
      </c>
    </row>
    <row r="651">
      <c r="A651" s="309" t="inlineStr">
        <is>
          <t>RL7-PMP-204-FIT-01</t>
        </is>
      </c>
      <c r="B651" s="309" t="inlineStr">
        <is>
          <t>DG7033</t>
        </is>
      </c>
      <c r="C651" s="309" t="inlineStr">
        <is>
          <t>Matched</t>
        </is>
      </c>
      <c r="D651" s="309" t="inlineStr">
        <is>
          <t>RL7-PMP-204-FIT01</t>
        </is>
      </c>
      <c r="E651" s="310" t="n">
        <v>0.99</v>
      </c>
      <c r="F651" s="309" t="inlineStr">
        <is>
          <t>High</t>
        </is>
      </c>
      <c r="G651" s="309" t="n">
        <v>1</v>
      </c>
    </row>
    <row r="652">
      <c r="A652" s="309" t="inlineStr">
        <is>
          <t>RL7-PMP-208-FIT-01</t>
        </is>
      </c>
      <c r="B652" s="309" t="inlineStr">
        <is>
          <t>DG7033</t>
        </is>
      </c>
      <c r="C652" s="309" t="inlineStr">
        <is>
          <t>Matched</t>
        </is>
      </c>
      <c r="D652" s="309" t="inlineStr">
        <is>
          <t>RL7-PMP-208-FIT01</t>
        </is>
      </c>
      <c r="E652" s="310" t="n">
        <v>0.99</v>
      </c>
      <c r="F652" s="309" t="inlineStr">
        <is>
          <t>High</t>
        </is>
      </c>
      <c r="G652" s="309" t="n">
        <v>1</v>
      </c>
    </row>
    <row r="653">
      <c r="A653" s="309" t="inlineStr">
        <is>
          <t>RL7-CHR-201-PB-03</t>
        </is>
      </c>
      <c r="B653" s="309" t="inlineStr">
        <is>
          <t>DG7033</t>
        </is>
      </c>
      <c r="C653" s="309" t="inlineStr">
        <is>
          <t>Matched</t>
        </is>
      </c>
      <c r="D653" s="309" t="inlineStr">
        <is>
          <t>RL7-CHR-201-PB03</t>
        </is>
      </c>
      <c r="E653" s="310" t="n">
        <v>0.99</v>
      </c>
      <c r="F653" s="309" t="inlineStr">
        <is>
          <t>High</t>
        </is>
      </c>
      <c r="G653" s="309" t="n">
        <v>1</v>
      </c>
    </row>
    <row r="654">
      <c r="A654" s="309" t="inlineStr">
        <is>
          <t>RL7-CHR-201-PB-03</t>
        </is>
      </c>
      <c r="B654" s="309" t="inlineStr">
        <is>
          <t>DG7033</t>
        </is>
      </c>
      <c r="C654" s="309" t="inlineStr">
        <is>
          <t>Matched</t>
        </is>
      </c>
      <c r="D654" s="309" t="inlineStr">
        <is>
          <t>RL7-CHR-201-PB03</t>
        </is>
      </c>
      <c r="E654" s="310" t="n">
        <v>0.99</v>
      </c>
      <c r="F654" s="309" t="inlineStr">
        <is>
          <t>High</t>
        </is>
      </c>
      <c r="G654" s="309" t="n">
        <v>1</v>
      </c>
    </row>
    <row r="655">
      <c r="A655" s="309" t="inlineStr">
        <is>
          <t>RL7-CHR-201-PB-04</t>
        </is>
      </c>
      <c r="B655" s="309" t="inlineStr">
        <is>
          <t>DG7033</t>
        </is>
      </c>
      <c r="C655" s="309" t="inlineStr">
        <is>
          <t>Matched</t>
        </is>
      </c>
      <c r="D655" s="309" t="inlineStr">
        <is>
          <t>RL7-CHR-201-PB04</t>
        </is>
      </c>
      <c r="E655" s="310" t="n">
        <v>0.99</v>
      </c>
      <c r="F655" s="309" t="inlineStr">
        <is>
          <t>High</t>
        </is>
      </c>
      <c r="G655" s="309" t="n">
        <v>1</v>
      </c>
    </row>
    <row r="656">
      <c r="A656" s="309" t="inlineStr">
        <is>
          <t>RL7-CHR-201-PB-04</t>
        </is>
      </c>
      <c r="B656" s="309" t="inlineStr">
        <is>
          <t>DG7033</t>
        </is>
      </c>
      <c r="C656" s="309" t="inlineStr">
        <is>
          <t>Matched</t>
        </is>
      </c>
      <c r="D656" s="309" t="inlineStr">
        <is>
          <t>RL7-CHR-201-PB04</t>
        </is>
      </c>
      <c r="E656" s="310" t="n">
        <v>0.99</v>
      </c>
      <c r="F656" s="309" t="inlineStr">
        <is>
          <t>High</t>
        </is>
      </c>
      <c r="G656" s="309" t="n">
        <v>1</v>
      </c>
    </row>
    <row r="657">
      <c r="A657" s="309" t="inlineStr">
        <is>
          <t>RL7-CHR-201-PB-05</t>
        </is>
      </c>
      <c r="B657" s="309" t="inlineStr">
        <is>
          <t>DG7033</t>
        </is>
      </c>
      <c r="C657" s="309" t="inlineStr">
        <is>
          <t>Matched</t>
        </is>
      </c>
      <c r="D657" s="309" t="inlineStr">
        <is>
          <t>RL7-CHR-201-PB05</t>
        </is>
      </c>
      <c r="E657" s="310" t="n">
        <v>0.99</v>
      </c>
      <c r="F657" s="309" t="inlineStr">
        <is>
          <t>High</t>
        </is>
      </c>
      <c r="G657" s="309" t="n">
        <v>1</v>
      </c>
    </row>
    <row r="658">
      <c r="A658" s="309" t="inlineStr">
        <is>
          <t>RL7-CHR-201-PB-05</t>
        </is>
      </c>
      <c r="B658" s="309" t="inlineStr">
        <is>
          <t>DG7033</t>
        </is>
      </c>
      <c r="C658" s="309" t="inlineStr">
        <is>
          <t>Matched</t>
        </is>
      </c>
      <c r="D658" s="309" t="inlineStr">
        <is>
          <t>RL7-CHR-201-PB05</t>
        </is>
      </c>
      <c r="E658" s="310" t="n">
        <v>0.99</v>
      </c>
      <c r="F658" s="309" t="inlineStr">
        <is>
          <t>High</t>
        </is>
      </c>
      <c r="G658" s="309" t="n">
        <v>1</v>
      </c>
    </row>
    <row r="659">
      <c r="A659" s="309" t="inlineStr">
        <is>
          <t>RL7-CHR-201-ZSC-04L</t>
        </is>
      </c>
      <c r="B659" s="309" t="inlineStr">
        <is>
          <t>DG7033</t>
        </is>
      </c>
      <c r="C659" s="309" t="inlineStr">
        <is>
          <t>Matched</t>
        </is>
      </c>
      <c r="D659" s="309" t="inlineStr">
        <is>
          <t>RL7-CHR-201-ZSC04L</t>
        </is>
      </c>
      <c r="E659" s="310" t="n">
        <v>0.99</v>
      </c>
      <c r="F659" s="309" t="inlineStr">
        <is>
          <t>High</t>
        </is>
      </c>
      <c r="G659" s="309" t="n">
        <v>1</v>
      </c>
    </row>
    <row r="660">
      <c r="A660" s="309" t="inlineStr">
        <is>
          <t>RL7-FTR-207-ZSO-01</t>
        </is>
      </c>
      <c r="B660" s="309" t="inlineStr">
        <is>
          <t>DG7033</t>
        </is>
      </c>
      <c r="C660" s="309" t="inlineStr">
        <is>
          <t>Matched</t>
        </is>
      </c>
      <c r="D660" s="309" t="inlineStr">
        <is>
          <t>RL7-FTR-207-ZSO01</t>
        </is>
      </c>
      <c r="E660" s="310" t="n">
        <v>0.99</v>
      </c>
      <c r="F660" s="309" t="inlineStr">
        <is>
          <t>High</t>
        </is>
      </c>
      <c r="G660" s="309" t="n">
        <v>1</v>
      </c>
    </row>
    <row r="661">
      <c r="A661" s="309" t="inlineStr">
        <is>
          <t>RL7-FTR-207-ZSC-01</t>
        </is>
      </c>
      <c r="B661" s="309" t="inlineStr">
        <is>
          <t>DG7033</t>
        </is>
      </c>
      <c r="C661" s="309" t="inlineStr">
        <is>
          <t>Matched</t>
        </is>
      </c>
      <c r="D661" s="309" t="inlineStr">
        <is>
          <t>RL7-FTR-207-ZSC01</t>
        </is>
      </c>
      <c r="E661" s="310" t="n">
        <v>0.99</v>
      </c>
      <c r="F661" s="309" t="inlineStr">
        <is>
          <t>High</t>
        </is>
      </c>
      <c r="G661" s="309" t="n">
        <v>1</v>
      </c>
    </row>
    <row r="662">
      <c r="A662" s="309" t="inlineStr">
        <is>
          <t>RL7-CHR-201-ZSC-04R</t>
        </is>
      </c>
      <c r="B662" s="309" t="inlineStr">
        <is>
          <t>DG7033</t>
        </is>
      </c>
      <c r="C662" s="309" t="inlineStr">
        <is>
          <t>Matched</t>
        </is>
      </c>
      <c r="D662" s="309" t="inlineStr">
        <is>
          <t>RL7-CHR-201-ZSC04R</t>
        </is>
      </c>
      <c r="E662" s="310" t="n">
        <v>0.99</v>
      </c>
      <c r="F662" s="309" t="inlineStr">
        <is>
          <t>High</t>
        </is>
      </c>
      <c r="G662" s="309" t="n">
        <v>1</v>
      </c>
    </row>
    <row r="663">
      <c r="A663" s="308" t="inlineStr">
        <is>
          <t>RL7-FTR-207-XV-01</t>
        </is>
      </c>
      <c r="B663" s="308" t="inlineStr">
        <is>
          <t>DG7033</t>
        </is>
      </c>
      <c r="C663" s="308" t="inlineStr">
        <is>
          <t>Matched</t>
        </is>
      </c>
      <c r="D663" s="308" t="inlineStr">
        <is>
          <t>RL7-FTR-207-XV01</t>
        </is>
      </c>
      <c r="E663" s="311" t="n">
        <v>0.7600000000000001</v>
      </c>
      <c r="F663" s="308" t="inlineStr">
        <is>
          <t>Medium</t>
        </is>
      </c>
      <c r="G663" s="308" t="n">
        <v>1</v>
      </c>
    </row>
    <row r="664">
      <c r="A664" s="308" t="inlineStr">
        <is>
          <t>RL7-CHR-201-PBL-03</t>
        </is>
      </c>
      <c r="B664" s="308" t="inlineStr">
        <is>
          <t>DG7033</t>
        </is>
      </c>
      <c r="C664" s="308" t="inlineStr">
        <is>
          <t>Not found in PDF</t>
        </is>
      </c>
      <c r="D664" s="308" t="inlineStr">
        <is>
          <t>RL7-CHR-201-PBL03</t>
        </is>
      </c>
      <c r="E664" s="308" t="inlineStr"/>
      <c r="F664" s="308" t="inlineStr">
        <is>
          <t>Low</t>
        </is>
      </c>
      <c r="G664" s="308" t="n">
        <v>0</v>
      </c>
    </row>
    <row r="665">
      <c r="A665" s="308" t="inlineStr">
        <is>
          <t>RL7-CHR-201-PBL-04</t>
        </is>
      </c>
      <c r="B665" s="308" t="inlineStr">
        <is>
          <t>DG7033</t>
        </is>
      </c>
      <c r="C665" s="308" t="inlineStr">
        <is>
          <t>Not found in PDF</t>
        </is>
      </c>
      <c r="D665" s="308" t="inlineStr">
        <is>
          <t>RL7-CHR-201-PBL04</t>
        </is>
      </c>
      <c r="E665" s="308" t="inlineStr"/>
      <c r="F665" s="308" t="inlineStr">
        <is>
          <t>Low</t>
        </is>
      </c>
      <c r="G665" s="308" t="n">
        <v>0</v>
      </c>
    </row>
    <row r="666">
      <c r="A666" s="308" t="inlineStr">
        <is>
          <t>RL7-CHR-201-PBL-05</t>
        </is>
      </c>
      <c r="B666" s="308" t="inlineStr">
        <is>
          <t>DG7033</t>
        </is>
      </c>
      <c r="C666" s="308" t="inlineStr">
        <is>
          <t>Not found in PDF</t>
        </is>
      </c>
      <c r="D666" s="308" t="inlineStr">
        <is>
          <t>RL7-CHR-201-PBL05</t>
        </is>
      </c>
      <c r="E666" s="308" t="inlineStr"/>
      <c r="F666" s="308" t="inlineStr">
        <is>
          <t>Low</t>
        </is>
      </c>
      <c r="G666" s="308" t="n">
        <v>0</v>
      </c>
    </row>
    <row r="667">
      <c r="A667" s="309" t="inlineStr">
        <is>
          <t>RL7-PMP-205-TIT-01</t>
        </is>
      </c>
      <c r="B667" s="309" t="inlineStr">
        <is>
          <t>DG7033</t>
        </is>
      </c>
      <c r="C667" s="309" t="inlineStr">
        <is>
          <t>Matched</t>
        </is>
      </c>
      <c r="D667" s="309" t="inlineStr">
        <is>
          <t>RL7-PMP-205-TIT01</t>
        </is>
      </c>
      <c r="E667" s="310" t="n">
        <v>0.99</v>
      </c>
      <c r="F667" s="309" t="inlineStr">
        <is>
          <t>High</t>
        </is>
      </c>
      <c r="G667" s="309" t="n">
        <v>1</v>
      </c>
    </row>
    <row r="668">
      <c r="A668" s="309" t="inlineStr">
        <is>
          <t>RL7-PMP-205-PIT-01</t>
        </is>
      </c>
      <c r="B668" s="309" t="inlineStr">
        <is>
          <t>DG7033</t>
        </is>
      </c>
      <c r="C668" s="309" t="inlineStr">
        <is>
          <t>Matched</t>
        </is>
      </c>
      <c r="D668" s="309" t="inlineStr">
        <is>
          <t>RL7-PMP-205-PIT01</t>
        </is>
      </c>
      <c r="E668" s="310" t="n">
        <v>0.99</v>
      </c>
      <c r="F668" s="309" t="inlineStr">
        <is>
          <t>High</t>
        </is>
      </c>
      <c r="G668" s="309" t="n">
        <v>1</v>
      </c>
    </row>
    <row r="669">
      <c r="A669" s="309" t="inlineStr">
        <is>
          <t>RL7-PMP-206-PIT-01</t>
        </is>
      </c>
      <c r="B669" s="309" t="inlineStr">
        <is>
          <t>DG7033</t>
        </is>
      </c>
      <c r="C669" s="309" t="inlineStr">
        <is>
          <t>Matched</t>
        </is>
      </c>
      <c r="D669" s="309" t="inlineStr">
        <is>
          <t>RL7-PMP-206-PIT01</t>
        </is>
      </c>
      <c r="E669" s="310" t="n">
        <v>0.99</v>
      </c>
      <c r="F669" s="309" t="inlineStr">
        <is>
          <t>High</t>
        </is>
      </c>
      <c r="G669" s="309" t="n">
        <v>1</v>
      </c>
    </row>
    <row r="670">
      <c r="A670" s="309" t="inlineStr">
        <is>
          <t>RL7-PMP-206-TIT-01</t>
        </is>
      </c>
      <c r="B670" s="309" t="inlineStr">
        <is>
          <t>DG7033</t>
        </is>
      </c>
      <c r="C670" s="309" t="inlineStr">
        <is>
          <t>Matched</t>
        </is>
      </c>
      <c r="D670" s="309" t="inlineStr">
        <is>
          <t>RL7-PMP-206-TIT01</t>
        </is>
      </c>
      <c r="E670" s="310" t="n">
        <v>0.99</v>
      </c>
      <c r="F670" s="309" t="inlineStr">
        <is>
          <t>High</t>
        </is>
      </c>
      <c r="G670" s="309" t="n">
        <v>1</v>
      </c>
    </row>
    <row r="671">
      <c r="A671" s="309" t="inlineStr">
        <is>
          <t>RL7-PMP-207-PIT-01</t>
        </is>
      </c>
      <c r="B671" s="309" t="inlineStr">
        <is>
          <t>DG7033</t>
        </is>
      </c>
      <c r="C671" s="309" t="inlineStr">
        <is>
          <t>Matched</t>
        </is>
      </c>
      <c r="D671" s="309" t="inlineStr">
        <is>
          <t>RL7-PMP-207-PIT01</t>
        </is>
      </c>
      <c r="E671" s="310" t="n">
        <v>0.99</v>
      </c>
      <c r="F671" s="309" t="inlineStr">
        <is>
          <t>High</t>
        </is>
      </c>
      <c r="G671" s="309" t="n">
        <v>1</v>
      </c>
    </row>
    <row r="672">
      <c r="A672" s="309" t="inlineStr">
        <is>
          <t>RL7-FTR-207-PT-01</t>
        </is>
      </c>
      <c r="B672" s="309" t="inlineStr">
        <is>
          <t>DG7033</t>
        </is>
      </c>
      <c r="C672" s="309" t="inlineStr">
        <is>
          <t>Matched</t>
        </is>
      </c>
      <c r="D672" s="309" t="inlineStr">
        <is>
          <t>RL7-FTR-207-PT01</t>
        </is>
      </c>
      <c r="E672" s="310" t="n">
        <v>0.99</v>
      </c>
      <c r="F672" s="309" t="inlineStr">
        <is>
          <t>High</t>
        </is>
      </c>
      <c r="G672" s="309" t="n">
        <v>1</v>
      </c>
    </row>
    <row r="673">
      <c r="A673" s="309" t="inlineStr">
        <is>
          <t>RL7-FTR-207-PT-02</t>
        </is>
      </c>
      <c r="B673" s="309" t="inlineStr">
        <is>
          <t>DG7033</t>
        </is>
      </c>
      <c r="C673" s="309" t="inlineStr">
        <is>
          <t>Matched</t>
        </is>
      </c>
      <c r="D673" s="309" t="inlineStr">
        <is>
          <t>RL7-FTR-207-PT02</t>
        </is>
      </c>
      <c r="E673" s="310" t="n">
        <v>0.99</v>
      </c>
      <c r="F673" s="309" t="inlineStr">
        <is>
          <t>High</t>
        </is>
      </c>
      <c r="G673" s="309" t="n">
        <v>1</v>
      </c>
    </row>
    <row r="674">
      <c r="A674" s="309" t="inlineStr">
        <is>
          <t>RL7-CHR-201-TIT-03</t>
        </is>
      </c>
      <c r="B674" s="309" t="inlineStr">
        <is>
          <t>DG7033</t>
        </is>
      </c>
      <c r="C674" s="309" t="inlineStr">
        <is>
          <t>Matched</t>
        </is>
      </c>
      <c r="D674" s="309" t="inlineStr">
        <is>
          <t>RL7-CHR-201-TIT03</t>
        </is>
      </c>
      <c r="E674" s="310" t="n">
        <v>0.99</v>
      </c>
      <c r="F674" s="309" t="inlineStr">
        <is>
          <t>High</t>
        </is>
      </c>
      <c r="G674" s="309" t="n">
        <v>1</v>
      </c>
    </row>
    <row r="675">
      <c r="A675" s="309" t="inlineStr">
        <is>
          <t>RL7-PMP-205-FIT-01</t>
        </is>
      </c>
      <c r="B675" s="309" t="inlineStr">
        <is>
          <t>DG7033</t>
        </is>
      </c>
      <c r="C675" s="309" t="inlineStr">
        <is>
          <t>Matched</t>
        </is>
      </c>
      <c r="D675" s="309" t="inlineStr">
        <is>
          <t>RL7-PMP-205-FIT01</t>
        </is>
      </c>
      <c r="E675" s="310" t="n">
        <v>0.99</v>
      </c>
      <c r="F675" s="309" t="inlineStr">
        <is>
          <t>High</t>
        </is>
      </c>
      <c r="G675" s="309" t="n">
        <v>1</v>
      </c>
    </row>
    <row r="676">
      <c r="A676" s="309" t="inlineStr">
        <is>
          <t>RL7-PMP-206-FIT-01</t>
        </is>
      </c>
      <c r="B676" s="309" t="inlineStr">
        <is>
          <t>DG7033</t>
        </is>
      </c>
      <c r="C676" s="309" t="inlineStr">
        <is>
          <t>Matched</t>
        </is>
      </c>
      <c r="D676" s="309" t="inlineStr">
        <is>
          <t>RL7-PMP-206-FIT01</t>
        </is>
      </c>
      <c r="E676" s="310" t="n">
        <v>0.99</v>
      </c>
      <c r="F676" s="309" t="inlineStr">
        <is>
          <t>High</t>
        </is>
      </c>
      <c r="G676" s="309" t="n">
        <v>1</v>
      </c>
    </row>
    <row r="677">
      <c r="A677" s="309" t="inlineStr">
        <is>
          <t>RL7-PMP-207-FIT-01</t>
        </is>
      </c>
      <c r="B677" s="309" t="inlineStr">
        <is>
          <t>DG7033</t>
        </is>
      </c>
      <c r="C677" s="309" t="inlineStr">
        <is>
          <t>Matched</t>
        </is>
      </c>
      <c r="D677" s="309" t="inlineStr">
        <is>
          <t>RL7-PMP-207-FIT01</t>
        </is>
      </c>
      <c r="E677" s="310" t="n">
        <v>0.99</v>
      </c>
      <c r="F677" s="309" t="inlineStr">
        <is>
          <t>High</t>
        </is>
      </c>
      <c r="G677" s="309" t="n">
        <v>1</v>
      </c>
    </row>
    <row r="678">
      <c r="A678" s="309" t="inlineStr">
        <is>
          <t>RL7-CHR-201-ZSO-03</t>
        </is>
      </c>
      <c r="B678" s="309" t="inlineStr">
        <is>
          <t>DG7033</t>
        </is>
      </c>
      <c r="C678" s="309" t="inlineStr">
        <is>
          <t>Matched</t>
        </is>
      </c>
      <c r="D678" s="309" t="inlineStr">
        <is>
          <t>RL7-CHR-201-ZSO03</t>
        </is>
      </c>
      <c r="E678" s="310" t="n">
        <v>0.99</v>
      </c>
      <c r="F678" s="309" t="inlineStr">
        <is>
          <t>High</t>
        </is>
      </c>
      <c r="G678" s="309" t="n">
        <v>1</v>
      </c>
    </row>
    <row r="679">
      <c r="A679" s="309" t="inlineStr">
        <is>
          <t>RL7-CHR-201-ZSC-03</t>
        </is>
      </c>
      <c r="B679" s="309" t="inlineStr">
        <is>
          <t>DG7033</t>
        </is>
      </c>
      <c r="C679" s="309" t="inlineStr">
        <is>
          <t>Matched</t>
        </is>
      </c>
      <c r="D679" s="309" t="inlineStr">
        <is>
          <t>RL7-CHR-201-ZSC03</t>
        </is>
      </c>
      <c r="E679" s="310" t="n">
        <v>0.99</v>
      </c>
      <c r="F679" s="309" t="inlineStr">
        <is>
          <t>High</t>
        </is>
      </c>
      <c r="G679" s="309" t="n">
        <v>1</v>
      </c>
    </row>
    <row r="680">
      <c r="A680" s="309" t="inlineStr">
        <is>
          <t>RL7-CHR-201-ZSO-04</t>
        </is>
      </c>
      <c r="B680" s="309" t="inlineStr">
        <is>
          <t>DG7033</t>
        </is>
      </c>
      <c r="C680" s="309" t="inlineStr">
        <is>
          <t>Matched</t>
        </is>
      </c>
      <c r="D680" s="309" t="inlineStr">
        <is>
          <t>RL7-CHR-201-ZSO04</t>
        </is>
      </c>
      <c r="E680" s="310" t="n">
        <v>0.99</v>
      </c>
      <c r="F680" s="309" t="inlineStr">
        <is>
          <t>High</t>
        </is>
      </c>
      <c r="G680" s="309" t="n">
        <v>1</v>
      </c>
    </row>
    <row r="681">
      <c r="A681" s="309" t="inlineStr">
        <is>
          <t>RL7-CHR-201-ZSC-04</t>
        </is>
      </c>
      <c r="B681" s="309" t="inlineStr">
        <is>
          <t>DG7033</t>
        </is>
      </c>
      <c r="C681" s="309" t="inlineStr">
        <is>
          <t>Matched</t>
        </is>
      </c>
      <c r="D681" s="309" t="inlineStr">
        <is>
          <t>RL7-CHR-201-ZSC04</t>
        </is>
      </c>
      <c r="E681" s="310" t="n">
        <v>0.99</v>
      </c>
      <c r="F681" s="309" t="inlineStr">
        <is>
          <t>High</t>
        </is>
      </c>
      <c r="G681" s="309" t="n">
        <v>1</v>
      </c>
    </row>
    <row r="682">
      <c r="A682" s="309" t="inlineStr">
        <is>
          <t>RL7-CHR-201-XV-03</t>
        </is>
      </c>
      <c r="B682" s="309" t="inlineStr">
        <is>
          <t>DG7033</t>
        </is>
      </c>
      <c r="C682" s="309" t="inlineStr">
        <is>
          <t>Matched</t>
        </is>
      </c>
      <c r="D682" s="309" t="inlineStr">
        <is>
          <t>RL7-CHR-201-XV03</t>
        </is>
      </c>
      <c r="E682" s="310" t="n">
        <v>0.99</v>
      </c>
      <c r="F682" s="309" t="inlineStr">
        <is>
          <t>High</t>
        </is>
      </c>
      <c r="G682" s="309" t="n">
        <v>1</v>
      </c>
    </row>
    <row r="683">
      <c r="A683" s="309" t="inlineStr">
        <is>
          <t>RL7-CHR-201-XV-04</t>
        </is>
      </c>
      <c r="B683" s="309" t="inlineStr">
        <is>
          <t>DG7033</t>
        </is>
      </c>
      <c r="C683" s="309" t="inlineStr">
        <is>
          <t>Matched</t>
        </is>
      </c>
      <c r="D683" s="309" t="inlineStr">
        <is>
          <t>RL7-CHR-201-XV04</t>
        </is>
      </c>
      <c r="E683" s="310" t="n">
        <v>0.99</v>
      </c>
      <c r="F683" s="309" t="inlineStr">
        <is>
          <t>High</t>
        </is>
      </c>
      <c r="G683" s="309" t="n">
        <v>1</v>
      </c>
    </row>
    <row r="684">
      <c r="A684" s="309" t="inlineStr">
        <is>
          <t>RL7-CHR-201-FVI-01</t>
        </is>
      </c>
      <c r="B684" s="309" t="inlineStr">
        <is>
          <t>DG7033</t>
        </is>
      </c>
      <c r="C684" s="309" t="inlineStr">
        <is>
          <t>Matched</t>
        </is>
      </c>
      <c r="D684" s="309" t="inlineStr">
        <is>
          <t>RL7-CHR-201-FVI01</t>
        </is>
      </c>
      <c r="E684" s="310" t="n">
        <v>0.99</v>
      </c>
      <c r="F684" s="309" t="inlineStr">
        <is>
          <t>High</t>
        </is>
      </c>
      <c r="G684" s="309" t="n">
        <v>1</v>
      </c>
    </row>
    <row r="685">
      <c r="A685" s="309" t="inlineStr">
        <is>
          <t>RL7-CHR-201-FVI-02</t>
        </is>
      </c>
      <c r="B685" s="309" t="inlineStr">
        <is>
          <t>DG7033</t>
        </is>
      </c>
      <c r="C685" s="309" t="inlineStr">
        <is>
          <t>Matched</t>
        </is>
      </c>
      <c r="D685" s="309" t="inlineStr">
        <is>
          <t>RL7-CHR-201-FVI02</t>
        </is>
      </c>
      <c r="E685" s="310" t="n">
        <v>0.99</v>
      </c>
      <c r="F685" s="309" t="inlineStr">
        <is>
          <t>High</t>
        </is>
      </c>
      <c r="G685" s="309" t="n">
        <v>1</v>
      </c>
    </row>
    <row r="686">
      <c r="A686" s="309" t="inlineStr">
        <is>
          <t>RL7-CHR-201-FCV-01</t>
        </is>
      </c>
      <c r="B686" s="309" t="inlineStr">
        <is>
          <t>DG7033</t>
        </is>
      </c>
      <c r="C686" s="309" t="inlineStr">
        <is>
          <t>Matched</t>
        </is>
      </c>
      <c r="D686" s="309" t="inlineStr">
        <is>
          <t>RL7-CHR-201-FCV01</t>
        </is>
      </c>
      <c r="E686" s="310" t="n">
        <v>0.99</v>
      </c>
      <c r="F686" s="309" t="inlineStr">
        <is>
          <t>High</t>
        </is>
      </c>
      <c r="G686" s="309" t="n">
        <v>1</v>
      </c>
    </row>
    <row r="687">
      <c r="A687" s="309" t="inlineStr">
        <is>
          <t>RL7-CHR-201-FCV-02</t>
        </is>
      </c>
      <c r="B687" s="309" t="inlineStr">
        <is>
          <t>DG7033</t>
        </is>
      </c>
      <c r="C687" s="309" t="inlineStr">
        <is>
          <t>Matched</t>
        </is>
      </c>
      <c r="D687" s="309" t="inlineStr">
        <is>
          <t>RL7-CHR-201-FCV02</t>
        </is>
      </c>
      <c r="E687" s="310" t="n">
        <v>0.99</v>
      </c>
      <c r="F687" s="309" t="inlineStr">
        <is>
          <t>High</t>
        </is>
      </c>
      <c r="G687" s="309" t="n">
        <v>1</v>
      </c>
    </row>
    <row r="688">
      <c r="A688" s="309" t="inlineStr">
        <is>
          <t>RL7-CNV-205-PB-01</t>
        </is>
      </c>
      <c r="B688" s="309" t="inlineStr">
        <is>
          <t>DG7034</t>
        </is>
      </c>
      <c r="C688" s="309" t="inlineStr">
        <is>
          <t>Matched</t>
        </is>
      </c>
      <c r="D688" s="309" t="inlineStr">
        <is>
          <t>RL7-CNV-205-PB01</t>
        </is>
      </c>
      <c r="E688" s="310" t="n">
        <v>0.99</v>
      </c>
      <c r="F688" s="309" t="inlineStr">
        <is>
          <t>High</t>
        </is>
      </c>
      <c r="G688" s="309" t="n">
        <v>1</v>
      </c>
    </row>
    <row r="689">
      <c r="A689" s="309" t="inlineStr">
        <is>
          <t>RL7-CNV-205-PB-01</t>
        </is>
      </c>
      <c r="B689" s="309" t="inlineStr">
        <is>
          <t>DG7034</t>
        </is>
      </c>
      <c r="C689" s="309" t="inlineStr">
        <is>
          <t>Matched</t>
        </is>
      </c>
      <c r="D689" s="309" t="inlineStr">
        <is>
          <t>RL7-CNV-205-PB01</t>
        </is>
      </c>
      <c r="E689" s="310" t="n">
        <v>0.99</v>
      </c>
      <c r="F689" s="309" t="inlineStr">
        <is>
          <t>High</t>
        </is>
      </c>
      <c r="G689" s="309" t="n">
        <v>1</v>
      </c>
    </row>
    <row r="690">
      <c r="A690" s="309" t="inlineStr">
        <is>
          <t>RL7-CNV-205-ZEC-01</t>
        </is>
      </c>
      <c r="B690" s="309" t="inlineStr">
        <is>
          <t>DG7034</t>
        </is>
      </c>
      <c r="C690" s="309" t="inlineStr">
        <is>
          <t>Matched - multiple PDF occurrences</t>
        </is>
      </c>
      <c r="D690" s="309" t="inlineStr">
        <is>
          <t>RL7-CNV-205-ZEC01</t>
        </is>
      </c>
      <c r="E690" s="310" t="n">
        <v>0.95</v>
      </c>
      <c r="F690" s="309" t="inlineStr">
        <is>
          <t>High</t>
        </is>
      </c>
      <c r="G690" s="309" t="n">
        <v>2</v>
      </c>
    </row>
    <row r="691">
      <c r="A691" s="309" t="inlineStr">
        <is>
          <t>RL7-CNV-205-ZEC-02</t>
        </is>
      </c>
      <c r="B691" s="309" t="inlineStr">
        <is>
          <t>DG7034</t>
        </is>
      </c>
      <c r="C691" s="309" t="inlineStr">
        <is>
          <t>Matched - multiple PDF occurrences</t>
        </is>
      </c>
      <c r="D691" s="309" t="inlineStr">
        <is>
          <t>RL7-CNV-205-ZEC02</t>
        </is>
      </c>
      <c r="E691" s="310" t="n">
        <v>0.95</v>
      </c>
      <c r="F691" s="309" t="inlineStr">
        <is>
          <t>High</t>
        </is>
      </c>
      <c r="G691" s="309" t="n">
        <v>2</v>
      </c>
    </row>
    <row r="692">
      <c r="A692" s="309" t="inlineStr">
        <is>
          <t>RL7-CNV-205-XY-01</t>
        </is>
      </c>
      <c r="B692" s="309" t="inlineStr">
        <is>
          <t>DG7034</t>
        </is>
      </c>
      <c r="C692" s="309" t="inlineStr">
        <is>
          <t>Matched</t>
        </is>
      </c>
      <c r="D692" s="309" t="inlineStr">
        <is>
          <t>RL7-CNV-205-XY01</t>
        </is>
      </c>
      <c r="E692" s="310" t="n">
        <v>0.99</v>
      </c>
      <c r="F692" s="309" t="inlineStr">
        <is>
          <t>High</t>
        </is>
      </c>
      <c r="G692" s="309" t="n">
        <v>1</v>
      </c>
    </row>
    <row r="693">
      <c r="A693" s="309" t="inlineStr">
        <is>
          <t>RL7-CNV-205-XY-02</t>
        </is>
      </c>
      <c r="B693" s="309" t="inlineStr">
        <is>
          <t>DG7034</t>
        </is>
      </c>
      <c r="C693" s="309" t="inlineStr">
        <is>
          <t>Matched</t>
        </is>
      </c>
      <c r="D693" s="309" t="inlineStr">
        <is>
          <t>RL7-CNV-205-XY02</t>
        </is>
      </c>
      <c r="E693" s="310" t="n">
        <v>0.99</v>
      </c>
      <c r="F693" s="309" t="inlineStr">
        <is>
          <t>High</t>
        </is>
      </c>
      <c r="G693" s="309" t="n">
        <v>1</v>
      </c>
    </row>
    <row r="694">
      <c r="A694" s="309" t="inlineStr">
        <is>
          <t>RL7-CNV-401-ZSO-01</t>
        </is>
      </c>
      <c r="B694" s="309" t="inlineStr">
        <is>
          <t>DG7034</t>
        </is>
      </c>
      <c r="C694" s="309" t="inlineStr">
        <is>
          <t>Matched</t>
        </is>
      </c>
      <c r="D694" s="309" t="inlineStr">
        <is>
          <t>RL7-CNV-401-ZSO01</t>
        </is>
      </c>
      <c r="E694" s="310" t="n">
        <v>0.99</v>
      </c>
      <c r="F694" s="309" t="inlineStr">
        <is>
          <t>High</t>
        </is>
      </c>
      <c r="G694" s="309" t="n">
        <v>1</v>
      </c>
    </row>
    <row r="695">
      <c r="A695" s="309" t="inlineStr">
        <is>
          <t>RL7-CNV-401-ZSC-01</t>
        </is>
      </c>
      <c r="B695" s="309" t="inlineStr">
        <is>
          <t>DG7034</t>
        </is>
      </c>
      <c r="C695" s="309" t="inlineStr">
        <is>
          <t>Matched</t>
        </is>
      </c>
      <c r="D695" s="309" t="inlineStr">
        <is>
          <t>RL7-CNV-401-ZSC01</t>
        </is>
      </c>
      <c r="E695" s="310" t="n">
        <v>0.99</v>
      </c>
      <c r="F695" s="309" t="inlineStr">
        <is>
          <t>High</t>
        </is>
      </c>
      <c r="G695" s="309" t="n">
        <v>1</v>
      </c>
    </row>
    <row r="696">
      <c r="A696" s="309" t="inlineStr">
        <is>
          <t>RL7-CNV-401-ZSO-02</t>
        </is>
      </c>
      <c r="B696" s="309" t="inlineStr">
        <is>
          <t>DG7034</t>
        </is>
      </c>
      <c r="C696" s="309" t="inlineStr">
        <is>
          <t>Matched</t>
        </is>
      </c>
      <c r="D696" s="309" t="inlineStr">
        <is>
          <t>RL7-CNV-401-ZSO02</t>
        </is>
      </c>
      <c r="E696" s="310" t="n">
        <v>0.99</v>
      </c>
      <c r="F696" s="309" t="inlineStr">
        <is>
          <t>High</t>
        </is>
      </c>
      <c r="G696" s="309" t="n">
        <v>1</v>
      </c>
    </row>
    <row r="697">
      <c r="A697" s="309" t="inlineStr">
        <is>
          <t>RL7-CNV-401-ZSC-02</t>
        </is>
      </c>
      <c r="B697" s="309" t="inlineStr">
        <is>
          <t>DG7034</t>
        </is>
      </c>
      <c r="C697" s="309" t="inlineStr">
        <is>
          <t>Matched</t>
        </is>
      </c>
      <c r="D697" s="309" t="inlineStr">
        <is>
          <t>RL7-CNV-401-ZSC02</t>
        </is>
      </c>
      <c r="E697" s="310" t="n">
        <v>0.99</v>
      </c>
      <c r="F697" s="309" t="inlineStr">
        <is>
          <t>High</t>
        </is>
      </c>
      <c r="G697" s="309" t="n">
        <v>1</v>
      </c>
    </row>
    <row r="698">
      <c r="A698" s="309" t="inlineStr">
        <is>
          <t>RL7-CNV-401-PB-01</t>
        </is>
      </c>
      <c r="B698" s="309" t="inlineStr">
        <is>
          <t>DG7034</t>
        </is>
      </c>
      <c r="C698" s="309" t="inlineStr">
        <is>
          <t>Matched</t>
        </is>
      </c>
      <c r="D698" s="309" t="inlineStr">
        <is>
          <t>RL7-CNV-401-PB01</t>
        </is>
      </c>
      <c r="E698" s="310" t="n">
        <v>0.99</v>
      </c>
      <c r="F698" s="309" t="inlineStr">
        <is>
          <t>High</t>
        </is>
      </c>
      <c r="G698" s="309" t="n">
        <v>1</v>
      </c>
    </row>
    <row r="699">
      <c r="A699" s="309" t="inlineStr">
        <is>
          <t>RL7-CNV-401-XY-01</t>
        </is>
      </c>
      <c r="B699" s="309" t="inlineStr">
        <is>
          <t>DG7034</t>
        </is>
      </c>
      <c r="C699" s="309" t="inlineStr">
        <is>
          <t>Matched</t>
        </is>
      </c>
      <c r="D699" s="309" t="inlineStr">
        <is>
          <t>RL7-CNV-401-XY01</t>
        </is>
      </c>
      <c r="E699" s="310" t="n">
        <v>0.99</v>
      </c>
      <c r="F699" s="309" t="inlineStr">
        <is>
          <t>High</t>
        </is>
      </c>
      <c r="G699" s="309" t="n">
        <v>1</v>
      </c>
    </row>
    <row r="700">
      <c r="A700" s="309" t="inlineStr">
        <is>
          <t>RL7-CNV-404-ZSO-01</t>
        </is>
      </c>
      <c r="B700" s="309" t="inlineStr">
        <is>
          <t>DG7040</t>
        </is>
      </c>
      <c r="C700" s="309" t="inlineStr">
        <is>
          <t>Matched</t>
        </is>
      </c>
      <c r="D700" s="309" t="inlineStr">
        <is>
          <t>RL7-CNV-404-ZSO01</t>
        </is>
      </c>
      <c r="E700" s="310" t="n">
        <v>0.99</v>
      </c>
      <c r="F700" s="309" t="inlineStr">
        <is>
          <t>High</t>
        </is>
      </c>
      <c r="G700" s="309" t="n">
        <v>1</v>
      </c>
    </row>
    <row r="701">
      <c r="A701" s="309" t="inlineStr">
        <is>
          <t>RL7-CNV-404-ZSC-01</t>
        </is>
      </c>
      <c r="B701" s="309" t="inlineStr">
        <is>
          <t>DG7040</t>
        </is>
      </c>
      <c r="C701" s="309" t="inlineStr">
        <is>
          <t>Matched</t>
        </is>
      </c>
      <c r="D701" s="309" t="inlineStr">
        <is>
          <t>RL7-CNV-404-ZSC01</t>
        </is>
      </c>
      <c r="E701" s="310" t="n">
        <v>0.99</v>
      </c>
      <c r="F701" s="309" t="inlineStr">
        <is>
          <t>High</t>
        </is>
      </c>
      <c r="G701" s="309" t="n">
        <v>1</v>
      </c>
    </row>
    <row r="702">
      <c r="A702" s="309" t="inlineStr">
        <is>
          <t>RL7-CNV-404-ZSO-02</t>
        </is>
      </c>
      <c r="B702" s="309" t="inlineStr">
        <is>
          <t>DG7040</t>
        </is>
      </c>
      <c r="C702" s="309" t="inlineStr">
        <is>
          <t>Matched</t>
        </is>
      </c>
      <c r="D702" s="309" t="inlineStr">
        <is>
          <t>RL7-CNV-404-ZSO02</t>
        </is>
      </c>
      <c r="E702" s="310" t="n">
        <v>0.99</v>
      </c>
      <c r="F702" s="309" t="inlineStr">
        <is>
          <t>High</t>
        </is>
      </c>
      <c r="G702" s="309" t="n">
        <v>1</v>
      </c>
    </row>
    <row r="703">
      <c r="A703" s="309" t="inlineStr">
        <is>
          <t>RL7-CNV-404-ZSC-02</t>
        </is>
      </c>
      <c r="B703" s="309" t="inlineStr">
        <is>
          <t>DG7040</t>
        </is>
      </c>
      <c r="C703" s="309" t="inlineStr">
        <is>
          <t>Matched</t>
        </is>
      </c>
      <c r="D703" s="309" t="inlineStr">
        <is>
          <t>RL7-CNV-404-ZSC02</t>
        </is>
      </c>
      <c r="E703" s="310" t="n">
        <v>0.99</v>
      </c>
      <c r="F703" s="309" t="inlineStr">
        <is>
          <t>High</t>
        </is>
      </c>
      <c r="G703" s="309" t="n">
        <v>1</v>
      </c>
    </row>
    <row r="704">
      <c r="A704" s="309" t="inlineStr">
        <is>
          <t>RL7-CNV-404-XY-01</t>
        </is>
      </c>
      <c r="B704" s="309" t="inlineStr">
        <is>
          <t>DG7040</t>
        </is>
      </c>
      <c r="C704" s="309" t="inlineStr">
        <is>
          <t>Matched</t>
        </is>
      </c>
      <c r="D704" s="309" t="inlineStr">
        <is>
          <t>RL7-CNV-404-XY01</t>
        </is>
      </c>
      <c r="E704" s="310" t="n">
        <v>0.99</v>
      </c>
      <c r="F704" s="309" t="inlineStr">
        <is>
          <t>High</t>
        </is>
      </c>
      <c r="G704" s="309" t="n">
        <v>1</v>
      </c>
    </row>
    <row r="705">
      <c r="A705" s="308" t="inlineStr">
        <is>
          <t>RL7-SKD-201-ZSO-14</t>
        </is>
      </c>
      <c r="B705" s="308" t="inlineStr">
        <is>
          <t>DG7602</t>
        </is>
      </c>
      <c r="C705" s="308" t="inlineStr">
        <is>
          <t>Not found in PDF</t>
        </is>
      </c>
      <c r="D705" s="308" t="inlineStr">
        <is>
          <t>RL7-SKD-201-ZSO14</t>
        </is>
      </c>
      <c r="E705" s="308" t="inlineStr"/>
      <c r="F705" s="308" t="inlineStr">
        <is>
          <t>Low</t>
        </is>
      </c>
      <c r="G705" s="308" t="n">
        <v>0</v>
      </c>
    </row>
    <row r="706">
      <c r="A706" s="308" t="inlineStr">
        <is>
          <t>RL7-SKD-201-ZSC-14</t>
        </is>
      </c>
      <c r="B706" s="308" t="inlineStr">
        <is>
          <t>DG7602</t>
        </is>
      </c>
      <c r="C706" s="308" t="inlineStr">
        <is>
          <t>Not found in PDF</t>
        </is>
      </c>
      <c r="D706" s="308" t="inlineStr">
        <is>
          <t>RL7-SKD-201-ZSC14</t>
        </is>
      </c>
      <c r="E706" s="308" t="inlineStr"/>
      <c r="F706" s="308" t="inlineStr">
        <is>
          <t>Low</t>
        </is>
      </c>
      <c r="G706" s="308" t="n">
        <v>0</v>
      </c>
    </row>
    <row r="707">
      <c r="A707" s="308" t="inlineStr">
        <is>
          <t>RL7-SKD-201-ZSO-02</t>
        </is>
      </c>
      <c r="B707" s="308" t="inlineStr">
        <is>
          <t>DG7602</t>
        </is>
      </c>
      <c r="C707" s="308" t="inlineStr">
        <is>
          <t>Matched - block fallback</t>
        </is>
      </c>
      <c r="D707" s="308" t="inlineStr">
        <is>
          <t>RL7-SKD-201-ZSO02</t>
        </is>
      </c>
      <c r="E707" s="311" t="n">
        <v>0.8100000000000001</v>
      </c>
      <c r="F707" s="308" t="inlineStr">
        <is>
          <t>Medium</t>
        </is>
      </c>
      <c r="G707" s="308" t="n">
        <v>1</v>
      </c>
    </row>
    <row r="708">
      <c r="A708" s="308" t="inlineStr">
        <is>
          <t>RL7-SKD-201-ZSC-02</t>
        </is>
      </c>
      <c r="B708" s="308" t="inlineStr">
        <is>
          <t>DG7602</t>
        </is>
      </c>
      <c r="C708" s="308" t="inlineStr">
        <is>
          <t>Matched - block fallback</t>
        </is>
      </c>
      <c r="D708" s="308" t="inlineStr">
        <is>
          <t>RL7-SKD-201-ZSC02</t>
        </is>
      </c>
      <c r="E708" s="311" t="n">
        <v>0.8100000000000001</v>
      </c>
      <c r="F708" s="308" t="inlineStr">
        <is>
          <t>Medium</t>
        </is>
      </c>
      <c r="G708" s="308" t="n">
        <v>1</v>
      </c>
    </row>
    <row r="709">
      <c r="A709" s="308" t="inlineStr">
        <is>
          <t>RL7-SKD-201-ZSO-03</t>
        </is>
      </c>
      <c r="B709" s="308" t="inlineStr">
        <is>
          <t>DG7602</t>
        </is>
      </c>
      <c r="C709" s="308" t="inlineStr">
        <is>
          <t>Not found in PDF</t>
        </is>
      </c>
      <c r="D709" s="308" t="inlineStr">
        <is>
          <t>RL7-SKD-201-ZSO03</t>
        </is>
      </c>
      <c r="E709" s="308" t="inlineStr"/>
      <c r="F709" s="308" t="inlineStr">
        <is>
          <t>Low</t>
        </is>
      </c>
      <c r="G709" s="308" t="n">
        <v>0</v>
      </c>
    </row>
    <row r="710">
      <c r="A710" s="308" t="inlineStr">
        <is>
          <t>RL7-SKD-201-ZSC-03</t>
        </is>
      </c>
      <c r="B710" s="308" t="inlineStr">
        <is>
          <t>DG7602</t>
        </is>
      </c>
      <c r="C710" s="308" t="inlineStr">
        <is>
          <t>Not found in PDF</t>
        </is>
      </c>
      <c r="D710" s="308" t="inlineStr">
        <is>
          <t>RL7-SKD-201-ZSC03</t>
        </is>
      </c>
      <c r="E710" s="308" t="inlineStr"/>
      <c r="F710" s="308" t="inlineStr">
        <is>
          <t>Low</t>
        </is>
      </c>
      <c r="G710" s="308" t="n">
        <v>0</v>
      </c>
    </row>
    <row r="711">
      <c r="A711" s="308" t="inlineStr">
        <is>
          <t>RL7-SKD-201-ZSO-04</t>
        </is>
      </c>
      <c r="B711" s="308" t="inlineStr">
        <is>
          <t>DG7602</t>
        </is>
      </c>
      <c r="C711" s="308" t="inlineStr">
        <is>
          <t>Not found in PDF</t>
        </is>
      </c>
      <c r="D711" s="308" t="inlineStr">
        <is>
          <t>RL7-SKD-201-ZSO04</t>
        </is>
      </c>
      <c r="E711" s="308" t="inlineStr"/>
      <c r="F711" s="308" t="inlineStr">
        <is>
          <t>Low</t>
        </is>
      </c>
      <c r="G711" s="308" t="n">
        <v>0</v>
      </c>
    </row>
    <row r="712">
      <c r="A712" s="308" t="inlineStr">
        <is>
          <t>RL7-SKD-201-ZSC-04</t>
        </is>
      </c>
      <c r="B712" s="308" t="inlineStr">
        <is>
          <t>DG7602</t>
        </is>
      </c>
      <c r="C712" s="308" t="inlineStr">
        <is>
          <t>Not found in PDF</t>
        </is>
      </c>
      <c r="D712" s="308" t="inlineStr">
        <is>
          <t>RL7-SKD-201-ZSC04</t>
        </is>
      </c>
      <c r="E712" s="308" t="inlineStr"/>
      <c r="F712" s="308" t="inlineStr">
        <is>
          <t>Low</t>
        </is>
      </c>
      <c r="G712" s="308" t="n">
        <v>0</v>
      </c>
    </row>
    <row r="713">
      <c r="A713" s="308" t="inlineStr">
        <is>
          <t>RL7-SKD-201-ZSO-05</t>
        </is>
      </c>
      <c r="B713" s="308" t="inlineStr">
        <is>
          <t>DG7602</t>
        </is>
      </c>
      <c r="C713" s="308" t="inlineStr">
        <is>
          <t>Not found in PDF</t>
        </is>
      </c>
      <c r="D713" s="308" t="inlineStr">
        <is>
          <t>RL7-SKD-201-ZSO05</t>
        </is>
      </c>
      <c r="E713" s="308" t="inlineStr"/>
      <c r="F713" s="308" t="inlineStr">
        <is>
          <t>Low</t>
        </is>
      </c>
      <c r="G713" s="308" t="n">
        <v>0</v>
      </c>
    </row>
    <row r="714">
      <c r="A714" s="308" t="inlineStr">
        <is>
          <t>RL7-SKD-201-ZSC-05</t>
        </is>
      </c>
      <c r="B714" s="308" t="inlineStr">
        <is>
          <t>DG7602</t>
        </is>
      </c>
      <c r="C714" s="308" t="inlineStr">
        <is>
          <t>Not found in PDF</t>
        </is>
      </c>
      <c r="D714" s="308" t="inlineStr">
        <is>
          <t>RL7-SKD-201-ZSC05</t>
        </is>
      </c>
      <c r="E714" s="308" t="inlineStr"/>
      <c r="F714" s="308" t="inlineStr">
        <is>
          <t>Low</t>
        </is>
      </c>
      <c r="G714" s="308" t="n">
        <v>0</v>
      </c>
    </row>
    <row r="715">
      <c r="A715" s="308" t="inlineStr">
        <is>
          <t>RL7-SKD-201-ZSO-06</t>
        </is>
      </c>
      <c r="B715" s="308" t="inlineStr">
        <is>
          <t>DG7602</t>
        </is>
      </c>
      <c r="C715" s="308" t="inlineStr">
        <is>
          <t>Not found in PDF</t>
        </is>
      </c>
      <c r="D715" s="308" t="inlineStr">
        <is>
          <t>RL7-SKD-201-ZSO06</t>
        </is>
      </c>
      <c r="E715" s="308" t="inlineStr"/>
      <c r="F715" s="308" t="inlineStr">
        <is>
          <t>Low</t>
        </is>
      </c>
      <c r="G715" s="308" t="n">
        <v>0</v>
      </c>
    </row>
    <row r="716">
      <c r="A716" s="308" t="inlineStr">
        <is>
          <t>RL7-SKD-201-ZSC-06</t>
        </is>
      </c>
      <c r="B716" s="308" t="inlineStr">
        <is>
          <t>DG7602</t>
        </is>
      </c>
      <c r="C716" s="308" t="inlineStr">
        <is>
          <t>Not found in PDF</t>
        </is>
      </c>
      <c r="D716" s="308" t="inlineStr">
        <is>
          <t>RL7-SKD-201-ZSC06</t>
        </is>
      </c>
      <c r="E716" s="308" t="inlineStr"/>
      <c r="F716" s="308" t="inlineStr">
        <is>
          <t>Low</t>
        </is>
      </c>
      <c r="G716" s="308" t="n">
        <v>0</v>
      </c>
    </row>
    <row r="717">
      <c r="A717" s="308" t="inlineStr">
        <is>
          <t>RL7-SKD-201-ZSO-07</t>
        </is>
      </c>
      <c r="B717" s="308" t="inlineStr">
        <is>
          <t>DG7602</t>
        </is>
      </c>
      <c r="C717" s="308" t="inlineStr">
        <is>
          <t>Not found in PDF</t>
        </is>
      </c>
      <c r="D717" s="308" t="inlineStr">
        <is>
          <t>RL7-SKD-201-ZSO07</t>
        </is>
      </c>
      <c r="E717" s="308" t="inlineStr"/>
      <c r="F717" s="308" t="inlineStr">
        <is>
          <t>Low</t>
        </is>
      </c>
      <c r="G717" s="308" t="n">
        <v>0</v>
      </c>
    </row>
    <row r="718">
      <c r="A718" s="308" t="inlineStr">
        <is>
          <t>RL7-SKD-201-ZSC-07</t>
        </is>
      </c>
      <c r="B718" s="308" t="inlineStr">
        <is>
          <t>DG7602</t>
        </is>
      </c>
      <c r="C718" s="308" t="inlineStr">
        <is>
          <t>Not found in PDF</t>
        </is>
      </c>
      <c r="D718" s="308" t="inlineStr">
        <is>
          <t>RL7-SKD-201-ZSC07</t>
        </is>
      </c>
      <c r="E718" s="308" t="inlineStr"/>
      <c r="F718" s="308" t="inlineStr">
        <is>
          <t>Low</t>
        </is>
      </c>
      <c r="G718" s="308" t="n">
        <v>0</v>
      </c>
    </row>
    <row r="719">
      <c r="A719" s="308" t="inlineStr">
        <is>
          <t>RL7-SKD-201-ZSO-08</t>
        </is>
      </c>
      <c r="B719" s="308" t="inlineStr">
        <is>
          <t>DG7602</t>
        </is>
      </c>
      <c r="C719" s="308" t="inlineStr">
        <is>
          <t>Not found in PDF</t>
        </is>
      </c>
      <c r="D719" s="308" t="inlineStr">
        <is>
          <t>RL7-SKD-201-ZSO08</t>
        </is>
      </c>
      <c r="E719" s="308" t="inlineStr"/>
      <c r="F719" s="308" t="inlineStr">
        <is>
          <t>Low</t>
        </is>
      </c>
      <c r="G719" s="308" t="n">
        <v>0</v>
      </c>
    </row>
    <row r="720">
      <c r="A720" s="308" t="inlineStr">
        <is>
          <t>RL7-SKD-201-ZSC-08</t>
        </is>
      </c>
      <c r="B720" s="308" t="inlineStr">
        <is>
          <t>DG7602</t>
        </is>
      </c>
      <c r="C720" s="308" t="inlineStr">
        <is>
          <t>Not found in PDF</t>
        </is>
      </c>
      <c r="D720" s="308" t="inlineStr">
        <is>
          <t>RL7-SKD-201-ZSC08</t>
        </is>
      </c>
      <c r="E720" s="308" t="inlineStr"/>
      <c r="F720" s="308" t="inlineStr">
        <is>
          <t>Low</t>
        </is>
      </c>
      <c r="G720" s="308" t="n">
        <v>0</v>
      </c>
    </row>
    <row r="721">
      <c r="A721" s="308" t="inlineStr">
        <is>
          <t>RL7-SKD-201-ZSO-09</t>
        </is>
      </c>
      <c r="B721" s="308" t="inlineStr">
        <is>
          <t>DG7602</t>
        </is>
      </c>
      <c r="C721" s="308" t="inlineStr">
        <is>
          <t>Not found in PDF</t>
        </is>
      </c>
      <c r="D721" s="308" t="inlineStr">
        <is>
          <t>RL7-SKD-201-ZSO09</t>
        </is>
      </c>
      <c r="E721" s="308" t="inlineStr"/>
      <c r="F721" s="308" t="inlineStr">
        <is>
          <t>Low</t>
        </is>
      </c>
      <c r="G721" s="308" t="n">
        <v>0</v>
      </c>
    </row>
    <row r="722">
      <c r="A722" s="308" t="inlineStr">
        <is>
          <t>RL7-SKD-201-ZSC-09</t>
        </is>
      </c>
      <c r="B722" s="308" t="inlineStr">
        <is>
          <t>DG7602</t>
        </is>
      </c>
      <c r="C722" s="308" t="inlineStr">
        <is>
          <t>Not found in PDF</t>
        </is>
      </c>
      <c r="D722" s="308" t="inlineStr">
        <is>
          <t>RL7-SKD-201-ZSC09</t>
        </is>
      </c>
      <c r="E722" s="308" t="inlineStr"/>
      <c r="F722" s="308" t="inlineStr">
        <is>
          <t>Low</t>
        </is>
      </c>
      <c r="G722" s="308" t="n">
        <v>0</v>
      </c>
    </row>
    <row r="723">
      <c r="A723" s="308" t="inlineStr">
        <is>
          <t>RL7-SKD-201-ZSO-10</t>
        </is>
      </c>
      <c r="B723" s="308" t="inlineStr">
        <is>
          <t>DG7602</t>
        </is>
      </c>
      <c r="C723" s="308" t="inlineStr">
        <is>
          <t>Not found in PDF</t>
        </is>
      </c>
      <c r="D723" s="308" t="inlineStr">
        <is>
          <t>RL7-SKD-201-ZSO10</t>
        </is>
      </c>
      <c r="E723" s="308" t="inlineStr"/>
      <c r="F723" s="308" t="inlineStr">
        <is>
          <t>Low</t>
        </is>
      </c>
      <c r="G723" s="308" t="n">
        <v>0</v>
      </c>
    </row>
    <row r="724">
      <c r="A724" s="308" t="inlineStr">
        <is>
          <t>RL7-SKD-201-ZSC-10</t>
        </is>
      </c>
      <c r="B724" s="308" t="inlineStr">
        <is>
          <t>DG7602</t>
        </is>
      </c>
      <c r="C724" s="308" t="inlineStr">
        <is>
          <t>Not found in PDF</t>
        </is>
      </c>
      <c r="D724" s="308" t="inlineStr">
        <is>
          <t>RL7-SKD-201-ZSC10</t>
        </is>
      </c>
      <c r="E724" s="308" t="inlineStr"/>
      <c r="F724" s="308" t="inlineStr">
        <is>
          <t>Low</t>
        </is>
      </c>
      <c r="G724" s="308" t="n">
        <v>0</v>
      </c>
    </row>
    <row r="725">
      <c r="A725" s="308" t="inlineStr">
        <is>
          <t>RL7-SKD-201-ZSO-11</t>
        </is>
      </c>
      <c r="B725" s="308" t="inlineStr">
        <is>
          <t>DG7602</t>
        </is>
      </c>
      <c r="C725" s="308" t="inlineStr">
        <is>
          <t>Not found in PDF</t>
        </is>
      </c>
      <c r="D725" s="308" t="inlineStr">
        <is>
          <t>RL7-SKD-201-ZSO11</t>
        </is>
      </c>
      <c r="E725" s="308" t="inlineStr"/>
      <c r="F725" s="308" t="inlineStr">
        <is>
          <t>Low</t>
        </is>
      </c>
      <c r="G725" s="308" t="n">
        <v>0</v>
      </c>
    </row>
    <row r="726">
      <c r="A726" s="308" t="inlineStr">
        <is>
          <t>RL7-SKD-201-ZSC-11</t>
        </is>
      </c>
      <c r="B726" s="308" t="inlineStr">
        <is>
          <t>DG7602</t>
        </is>
      </c>
      <c r="C726" s="308" t="inlineStr">
        <is>
          <t>Not found in PDF</t>
        </is>
      </c>
      <c r="D726" s="308" t="inlineStr">
        <is>
          <t>RL7-SKD-201-ZSC11</t>
        </is>
      </c>
      <c r="E726" s="308" t="inlineStr"/>
      <c r="F726" s="308" t="inlineStr">
        <is>
          <t>Low</t>
        </is>
      </c>
      <c r="G726" s="308" t="n">
        <v>0</v>
      </c>
    </row>
    <row r="727">
      <c r="A727" s="308" t="inlineStr">
        <is>
          <t>RL7-SKD-201-ZSO-12</t>
        </is>
      </c>
      <c r="B727" s="308" t="inlineStr">
        <is>
          <t>DG7602</t>
        </is>
      </c>
      <c r="C727" s="308" t="inlineStr">
        <is>
          <t>Not found in PDF</t>
        </is>
      </c>
      <c r="D727" s="308" t="inlineStr">
        <is>
          <t>RL7-SKD-201-ZSO12</t>
        </is>
      </c>
      <c r="E727" s="308" t="inlineStr"/>
      <c r="F727" s="308" t="inlineStr">
        <is>
          <t>Low</t>
        </is>
      </c>
      <c r="G727" s="308" t="n">
        <v>0</v>
      </c>
    </row>
    <row r="728">
      <c r="A728" s="308" t="inlineStr">
        <is>
          <t>RL7-SKD-201-ZSC-12</t>
        </is>
      </c>
      <c r="B728" s="308" t="inlineStr">
        <is>
          <t>DG7602</t>
        </is>
      </c>
      <c r="C728" s="308" t="inlineStr">
        <is>
          <t>Not found in PDF</t>
        </is>
      </c>
      <c r="D728" s="308" t="inlineStr">
        <is>
          <t>RL7-SKD-201-ZSC12</t>
        </is>
      </c>
      <c r="E728" s="308" t="inlineStr"/>
      <c r="F728" s="308" t="inlineStr">
        <is>
          <t>Low</t>
        </is>
      </c>
      <c r="G728" s="308" t="n">
        <v>0</v>
      </c>
    </row>
    <row r="729">
      <c r="A729" s="308" t="inlineStr">
        <is>
          <t>RL7-SKD-201-ZSO-13</t>
        </is>
      </c>
      <c r="B729" s="308" t="inlineStr">
        <is>
          <t>DG7602</t>
        </is>
      </c>
      <c r="C729" s="308" t="inlineStr">
        <is>
          <t>Not found in PDF</t>
        </is>
      </c>
      <c r="D729" s="308" t="inlineStr">
        <is>
          <t>RL7-SKD-201-ZSO13</t>
        </is>
      </c>
      <c r="E729" s="308" t="inlineStr"/>
      <c r="F729" s="308" t="inlineStr">
        <is>
          <t>Low</t>
        </is>
      </c>
      <c r="G729" s="308" t="n">
        <v>0</v>
      </c>
    </row>
    <row r="730">
      <c r="A730" s="308" t="inlineStr">
        <is>
          <t>RL7-SKD-201-ZSC-13</t>
        </is>
      </c>
      <c r="B730" s="308" t="inlineStr">
        <is>
          <t>DG7602</t>
        </is>
      </c>
      <c r="C730" s="308" t="inlineStr">
        <is>
          <t>Not found in PDF</t>
        </is>
      </c>
      <c r="D730" s="308" t="inlineStr">
        <is>
          <t>RL7-SKD-201-ZSC13</t>
        </is>
      </c>
      <c r="E730" s="308" t="inlineStr"/>
      <c r="F730" s="308" t="inlineStr">
        <is>
          <t>Low</t>
        </is>
      </c>
      <c r="G730" s="308" t="n">
        <v>0</v>
      </c>
    </row>
    <row r="731">
      <c r="A731" s="308" t="inlineStr">
        <is>
          <t>RL7-SKD-201-ZSO-15</t>
        </is>
      </c>
      <c r="B731" s="308" t="inlineStr">
        <is>
          <t>DG7602</t>
        </is>
      </c>
      <c r="C731" s="308" t="inlineStr">
        <is>
          <t>Not found in PDF</t>
        </is>
      </c>
      <c r="D731" s="308" t="inlineStr">
        <is>
          <t>RL7-SKD-201-ZSO15</t>
        </is>
      </c>
      <c r="E731" s="308" t="inlineStr"/>
      <c r="F731" s="308" t="inlineStr">
        <is>
          <t>Low</t>
        </is>
      </c>
      <c r="G731" s="308" t="n">
        <v>0</v>
      </c>
    </row>
    <row r="732">
      <c r="A732" s="308" t="inlineStr">
        <is>
          <t>RL7-SKD-201-ZSC-15</t>
        </is>
      </c>
      <c r="B732" s="308" t="inlineStr">
        <is>
          <t>DG7602</t>
        </is>
      </c>
      <c r="C732" s="308" t="inlineStr">
        <is>
          <t>Not found in PDF</t>
        </is>
      </c>
      <c r="D732" s="308" t="inlineStr">
        <is>
          <t>RL7-SKD-201-ZSC15</t>
        </is>
      </c>
      <c r="E732" s="308" t="inlineStr"/>
      <c r="F732" s="308" t="inlineStr">
        <is>
          <t>Low</t>
        </is>
      </c>
      <c r="G732" s="308" t="n">
        <v>0</v>
      </c>
    </row>
    <row r="733">
      <c r="A733" s="308" t="inlineStr">
        <is>
          <t>RL7-SKD-201-XY-05</t>
        </is>
      </c>
      <c r="B733" s="308" t="inlineStr">
        <is>
          <t>DG7602</t>
        </is>
      </c>
      <c r="C733" s="308" t="inlineStr">
        <is>
          <t>Not found in PDF</t>
        </is>
      </c>
      <c r="D733" s="308" t="inlineStr">
        <is>
          <t>RL7-SKD-201-XY05</t>
        </is>
      </c>
      <c r="E733" s="308" t="inlineStr"/>
      <c r="F733" s="308" t="inlineStr">
        <is>
          <t>Low</t>
        </is>
      </c>
      <c r="G733" s="308" t="n">
        <v>0</v>
      </c>
    </row>
    <row r="734">
      <c r="A734" s="308" t="inlineStr">
        <is>
          <t>RL7-SKD-201-XY-06</t>
        </is>
      </c>
      <c r="B734" s="308" t="inlineStr">
        <is>
          <t>DG7602</t>
        </is>
      </c>
      <c r="C734" s="308" t="inlineStr">
        <is>
          <t>Not found in PDF</t>
        </is>
      </c>
      <c r="D734" s="308" t="inlineStr">
        <is>
          <t>RL7-SKD-201-XY06</t>
        </is>
      </c>
      <c r="E734" s="308" t="inlineStr"/>
      <c r="F734" s="308" t="inlineStr">
        <is>
          <t>Low</t>
        </is>
      </c>
      <c r="G734" s="308" t="n">
        <v>0</v>
      </c>
    </row>
    <row r="735">
      <c r="A735" s="308" t="inlineStr">
        <is>
          <t>RL7-SKD-201-XY-07</t>
        </is>
      </c>
      <c r="B735" s="308" t="inlineStr">
        <is>
          <t>DG7602</t>
        </is>
      </c>
      <c r="C735" s="308" t="inlineStr">
        <is>
          <t>Not found in PDF</t>
        </is>
      </c>
      <c r="D735" s="308" t="inlineStr">
        <is>
          <t>RL7-SKD-201-XY07</t>
        </is>
      </c>
      <c r="E735" s="308" t="inlineStr"/>
      <c r="F735" s="308" t="inlineStr">
        <is>
          <t>Low</t>
        </is>
      </c>
      <c r="G735" s="308" t="n">
        <v>0</v>
      </c>
    </row>
    <row r="736">
      <c r="A736" s="308" t="inlineStr">
        <is>
          <t>RL7-SKD-201-XY-08</t>
        </is>
      </c>
      <c r="B736" s="308" t="inlineStr">
        <is>
          <t>DG7602</t>
        </is>
      </c>
      <c r="C736" s="308" t="inlineStr">
        <is>
          <t>Not found in PDF</t>
        </is>
      </c>
      <c r="D736" s="308" t="inlineStr">
        <is>
          <t>RL7-SKD-201-XY08</t>
        </is>
      </c>
      <c r="E736" s="308" t="inlineStr"/>
      <c r="F736" s="308" t="inlineStr">
        <is>
          <t>Low</t>
        </is>
      </c>
      <c r="G736" s="308" t="n">
        <v>0</v>
      </c>
    </row>
    <row r="737">
      <c r="A737" s="308" t="inlineStr">
        <is>
          <t>RL7-SKD-201-XY-09</t>
        </is>
      </c>
      <c r="B737" s="308" t="inlineStr">
        <is>
          <t>DG7602</t>
        </is>
      </c>
      <c r="C737" s="308" t="inlineStr">
        <is>
          <t>Not found in PDF</t>
        </is>
      </c>
      <c r="D737" s="308" t="inlineStr">
        <is>
          <t>RL7-SKD-201-XY09</t>
        </is>
      </c>
      <c r="E737" s="308" t="inlineStr"/>
      <c r="F737" s="308" t="inlineStr">
        <is>
          <t>Low</t>
        </is>
      </c>
      <c r="G737" s="308" t="n">
        <v>0</v>
      </c>
    </row>
    <row r="738">
      <c r="A738" s="308" t="inlineStr">
        <is>
          <t>RL7-SKD-201-XY-10</t>
        </is>
      </c>
      <c r="B738" s="308" t="inlineStr">
        <is>
          <t>DG7602</t>
        </is>
      </c>
      <c r="C738" s="308" t="inlineStr">
        <is>
          <t>Not found in PDF</t>
        </is>
      </c>
      <c r="D738" s="308" t="inlineStr">
        <is>
          <t>RL7-SKD-201-XY10</t>
        </is>
      </c>
      <c r="E738" s="308" t="inlineStr"/>
      <c r="F738" s="308" t="inlineStr">
        <is>
          <t>Low</t>
        </is>
      </c>
      <c r="G738" s="308" t="n">
        <v>0</v>
      </c>
    </row>
    <row r="739">
      <c r="A739" s="308" t="inlineStr">
        <is>
          <t>RL7-SKD-201-XY-11</t>
        </is>
      </c>
      <c r="B739" s="308" t="inlineStr">
        <is>
          <t>DG7602</t>
        </is>
      </c>
      <c r="C739" s="308" t="inlineStr">
        <is>
          <t>Not found in PDF</t>
        </is>
      </c>
      <c r="D739" s="308" t="inlineStr">
        <is>
          <t>RL7-SKD-201-XY11</t>
        </is>
      </c>
      <c r="E739" s="308" t="inlineStr"/>
      <c r="F739" s="308" t="inlineStr">
        <is>
          <t>Low</t>
        </is>
      </c>
      <c r="G739" s="308" t="n">
        <v>0</v>
      </c>
    </row>
    <row r="740">
      <c r="A740" s="309" t="inlineStr">
        <is>
          <t>RL7-SKD-201-XV-02</t>
        </is>
      </c>
      <c r="B740" s="309" t="inlineStr">
        <is>
          <t>DG7602</t>
        </is>
      </c>
      <c r="C740" s="309" t="inlineStr">
        <is>
          <t>Matched</t>
        </is>
      </c>
      <c r="D740" s="309" t="inlineStr">
        <is>
          <t>RL7-SKD-201-XV02</t>
        </is>
      </c>
      <c r="E740" s="310" t="n">
        <v>0.99</v>
      </c>
      <c r="F740" s="309" t="inlineStr">
        <is>
          <t>High</t>
        </is>
      </c>
      <c r="G740" s="309" t="n">
        <v>1</v>
      </c>
    </row>
    <row r="741">
      <c r="A741" s="308" t="inlineStr">
        <is>
          <t>RL7-SKD-201-XY-03</t>
        </is>
      </c>
      <c r="B741" s="308" t="inlineStr">
        <is>
          <t>DG7602</t>
        </is>
      </c>
      <c r="C741" s="308" t="inlineStr">
        <is>
          <t>Not found in PDF</t>
        </is>
      </c>
      <c r="D741" s="308" t="inlineStr">
        <is>
          <t>RL7-SKD-201-XY03</t>
        </is>
      </c>
      <c r="E741" s="308" t="inlineStr"/>
      <c r="F741" s="308" t="inlineStr">
        <is>
          <t>Low</t>
        </is>
      </c>
      <c r="G741" s="308" t="n">
        <v>0</v>
      </c>
    </row>
    <row r="742">
      <c r="A742" s="308" t="inlineStr">
        <is>
          <t>RL7-SKD-201-XY-04</t>
        </is>
      </c>
      <c r="B742" s="308" t="inlineStr">
        <is>
          <t>DG7602</t>
        </is>
      </c>
      <c r="C742" s="308" t="inlineStr">
        <is>
          <t>Not found in PDF</t>
        </is>
      </c>
      <c r="D742" s="308" t="inlineStr">
        <is>
          <t>RL7-SKD-201-XY04</t>
        </is>
      </c>
      <c r="E742" s="308" t="inlineStr"/>
      <c r="F742" s="308" t="inlineStr">
        <is>
          <t>Low</t>
        </is>
      </c>
      <c r="G742" s="308" t="n">
        <v>0</v>
      </c>
    </row>
    <row r="743">
      <c r="A743" s="309" t="inlineStr">
        <is>
          <t>RL7-SKD-201-XV-12</t>
        </is>
      </c>
      <c r="B743" s="309" t="inlineStr">
        <is>
          <t>DG7602</t>
        </is>
      </c>
      <c r="C743" s="309" t="inlineStr">
        <is>
          <t>Matched</t>
        </is>
      </c>
      <c r="D743" s="309" t="inlineStr">
        <is>
          <t>RL7-SKD-201-XV12</t>
        </is>
      </c>
      <c r="E743" s="310" t="n">
        <v>0.99</v>
      </c>
      <c r="F743" s="309" t="inlineStr">
        <is>
          <t>High</t>
        </is>
      </c>
      <c r="G743" s="309" t="n">
        <v>1</v>
      </c>
    </row>
    <row r="744">
      <c r="A744" s="309" t="inlineStr">
        <is>
          <t>RL7-SKD-201-XV-13</t>
        </is>
      </c>
      <c r="B744" s="309" t="inlineStr">
        <is>
          <t>DG7602</t>
        </is>
      </c>
      <c r="C744" s="309" t="inlineStr">
        <is>
          <t>Matched</t>
        </is>
      </c>
      <c r="D744" s="309" t="inlineStr">
        <is>
          <t>RL7-SKD-201-XV13</t>
        </is>
      </c>
      <c r="E744" s="310" t="n">
        <v>0.99</v>
      </c>
      <c r="F744" s="309" t="inlineStr">
        <is>
          <t>High</t>
        </is>
      </c>
      <c r="G744" s="309" t="n">
        <v>1</v>
      </c>
    </row>
    <row r="745">
      <c r="A745" s="309" t="inlineStr">
        <is>
          <t>RL7-SKD-201-XV-14</t>
        </is>
      </c>
      <c r="B745" s="309" t="inlineStr">
        <is>
          <t>DG7602</t>
        </is>
      </c>
      <c r="C745" s="309" t="inlineStr">
        <is>
          <t>Matched</t>
        </is>
      </c>
      <c r="D745" s="309" t="inlineStr">
        <is>
          <t>RL7-SKD-201-XV14</t>
        </is>
      </c>
      <c r="E745" s="310" t="n">
        <v>0.99</v>
      </c>
      <c r="F745" s="309" t="inlineStr">
        <is>
          <t>High</t>
        </is>
      </c>
      <c r="G745" s="309" t="n">
        <v>1</v>
      </c>
    </row>
    <row r="746">
      <c r="A746" s="308" t="inlineStr">
        <is>
          <t>RL7-SKD-201-XV-15</t>
        </is>
      </c>
      <c r="B746" s="308" t="inlineStr">
        <is>
          <t>DG7602</t>
        </is>
      </c>
      <c r="C746" s="308" t="inlineStr">
        <is>
          <t>Matched - same-page inference</t>
        </is>
      </c>
      <c r="D746" s="308" t="inlineStr">
        <is>
          <t>RL7-SKD-201-XV15</t>
        </is>
      </c>
      <c r="E746" s="311" t="n">
        <v>0.7100000000000001</v>
      </c>
      <c r="F746" s="308" t="inlineStr">
        <is>
          <t>Medium</t>
        </is>
      </c>
      <c r="G746" s="308" t="n">
        <v>1</v>
      </c>
    </row>
    <row r="747">
      <c r="A747" s="309" t="inlineStr">
        <is>
          <t>RL7-SKD-102-PIT-02</t>
        </is>
      </c>
      <c r="B747" s="309" t="inlineStr">
        <is>
          <t>DG7604</t>
        </is>
      </c>
      <c r="C747" s="309" t="inlineStr">
        <is>
          <t>Matched</t>
        </is>
      </c>
      <c r="D747" s="309" t="inlineStr">
        <is>
          <t>RL7-SKD-102-PIT02</t>
        </is>
      </c>
      <c r="E747" s="310" t="n">
        <v>0.99</v>
      </c>
      <c r="F747" s="309" t="inlineStr">
        <is>
          <t>High</t>
        </is>
      </c>
      <c r="G747" s="309" t="n">
        <v>1</v>
      </c>
    </row>
    <row r="748">
      <c r="A748" s="308" t="inlineStr">
        <is>
          <t>RL7-CKR-101-ZSO-27</t>
        </is>
      </c>
      <c r="B748" s="308" t="inlineStr">
        <is>
          <t>DG7606</t>
        </is>
      </c>
      <c r="C748" s="308" t="inlineStr">
        <is>
          <t>Not found in PDF</t>
        </is>
      </c>
      <c r="D748" s="308" t="inlineStr">
        <is>
          <t>RL7-CKR-101-ZSO27</t>
        </is>
      </c>
      <c r="E748" s="308" t="inlineStr"/>
      <c r="F748" s="308" t="inlineStr">
        <is>
          <t>Low</t>
        </is>
      </c>
      <c r="G748" s="308" t="n">
        <v>0</v>
      </c>
    </row>
    <row r="749">
      <c r="A749" s="308" t="inlineStr">
        <is>
          <t>RL7-CKR-101-ZSC-27</t>
        </is>
      </c>
      <c r="B749" s="308" t="inlineStr">
        <is>
          <t>DG7606</t>
        </is>
      </c>
      <c r="C749" s="308" t="inlineStr">
        <is>
          <t>Not found in PDF</t>
        </is>
      </c>
      <c r="D749" s="308" t="inlineStr">
        <is>
          <t>RL7-CKR-101-ZSC27</t>
        </is>
      </c>
      <c r="E749" s="308" t="inlineStr"/>
      <c r="F749" s="308" t="inlineStr">
        <is>
          <t>Low</t>
        </is>
      </c>
      <c r="G749" s="308" t="n">
        <v>0</v>
      </c>
    </row>
    <row r="750">
      <c r="A750" s="308" t="inlineStr">
        <is>
          <t>RL7-CKR-102-ZSO-27</t>
        </is>
      </c>
      <c r="B750" s="308" t="inlineStr">
        <is>
          <t>DG7606</t>
        </is>
      </c>
      <c r="C750" s="308" t="inlineStr">
        <is>
          <t>Not found in PDF</t>
        </is>
      </c>
      <c r="D750" s="308" t="inlineStr">
        <is>
          <t>RL7-CKR-102-ZSO27</t>
        </is>
      </c>
      <c r="E750" s="308" t="inlineStr"/>
      <c r="F750" s="308" t="inlineStr">
        <is>
          <t>Low</t>
        </is>
      </c>
      <c r="G750" s="308" t="n">
        <v>0</v>
      </c>
    </row>
    <row r="751">
      <c r="A751" s="308" t="inlineStr">
        <is>
          <t>RL7-CKR-102-ZSC-27</t>
        </is>
      </c>
      <c r="B751" s="308" t="inlineStr">
        <is>
          <t>DG7606</t>
        </is>
      </c>
      <c r="C751" s="308" t="inlineStr">
        <is>
          <t>Not found in PDF</t>
        </is>
      </c>
      <c r="D751" s="308" t="inlineStr">
        <is>
          <t>RL7-CKR-102-ZSC27</t>
        </is>
      </c>
      <c r="E751" s="308" t="inlineStr"/>
      <c r="F751" s="308" t="inlineStr">
        <is>
          <t>Low</t>
        </is>
      </c>
      <c r="G751" s="308" t="n">
        <v>0</v>
      </c>
    </row>
    <row r="752">
      <c r="A752" s="308" t="inlineStr">
        <is>
          <t>RL7-AGC-201-ZSO-27</t>
        </is>
      </c>
      <c r="B752" s="308" t="inlineStr">
        <is>
          <t>DG7606</t>
        </is>
      </c>
      <c r="C752" s="308" t="inlineStr">
        <is>
          <t>Not found in PDF</t>
        </is>
      </c>
      <c r="D752" s="308" t="inlineStr">
        <is>
          <t>RL7-AGC-201-ZSO27</t>
        </is>
      </c>
      <c r="E752" s="308" t="inlineStr"/>
      <c r="F752" s="308" t="inlineStr">
        <is>
          <t>Low</t>
        </is>
      </c>
      <c r="G752" s="308" t="n">
        <v>0</v>
      </c>
    </row>
    <row r="753">
      <c r="A753" s="308" t="inlineStr">
        <is>
          <t>RL7-AGC-201-ZSC-27</t>
        </is>
      </c>
      <c r="B753" s="308" t="inlineStr">
        <is>
          <t>DG7606</t>
        </is>
      </c>
      <c r="C753" s="308" t="inlineStr">
        <is>
          <t>Not found in PDF</t>
        </is>
      </c>
      <c r="D753" s="308" t="inlineStr">
        <is>
          <t>RL7-AGC-201-ZSC27</t>
        </is>
      </c>
      <c r="E753" s="308" t="inlineStr"/>
      <c r="F753" s="308" t="inlineStr">
        <is>
          <t>Low</t>
        </is>
      </c>
      <c r="G753" s="308" t="n">
        <v>0</v>
      </c>
    </row>
    <row r="754">
      <c r="A754" s="309" t="inlineStr">
        <is>
          <t>RL7-CKR-102-XV-27</t>
        </is>
      </c>
      <c r="B754" s="309" t="inlineStr">
        <is>
          <t>DG7606</t>
        </is>
      </c>
      <c r="C754" s="309" t="inlineStr">
        <is>
          <t>Matched</t>
        </is>
      </c>
      <c r="D754" s="309" t="inlineStr">
        <is>
          <t>RL7-CKR-102-XV27</t>
        </is>
      </c>
      <c r="E754" s="310" t="n">
        <v>0.99</v>
      </c>
      <c r="F754" s="309" t="inlineStr">
        <is>
          <t>High</t>
        </is>
      </c>
      <c r="G754" s="309" t="n">
        <v>1</v>
      </c>
    </row>
    <row r="755">
      <c r="A755" s="309" t="inlineStr">
        <is>
          <t>RL7-AGC-201-XV-27</t>
        </is>
      </c>
      <c r="B755" s="309" t="inlineStr">
        <is>
          <t>DG7606</t>
        </is>
      </c>
      <c r="C755" s="309" t="inlineStr">
        <is>
          <t>Matched</t>
        </is>
      </c>
      <c r="D755" s="309" t="inlineStr">
        <is>
          <t>RL7-AGC-201-XV27</t>
        </is>
      </c>
      <c r="E755" s="310" t="n">
        <v>0.99</v>
      </c>
      <c r="F755" s="309" t="inlineStr">
        <is>
          <t>High</t>
        </is>
      </c>
      <c r="G755" s="309" t="n">
        <v>1</v>
      </c>
    </row>
    <row r="756">
      <c r="A756" s="309" t="inlineStr">
        <is>
          <t>RL7-CKR-101-TIT-03</t>
        </is>
      </c>
      <c r="B756" s="309" t="inlineStr">
        <is>
          <t>DG7606</t>
        </is>
      </c>
      <c r="C756" s="309" t="inlineStr">
        <is>
          <t>Matched</t>
        </is>
      </c>
      <c r="D756" s="309" t="inlineStr">
        <is>
          <t>RL7-CKR-101-TIT03</t>
        </is>
      </c>
      <c r="E756" s="310" t="n">
        <v>0.99</v>
      </c>
      <c r="F756" s="309" t="inlineStr">
        <is>
          <t>High</t>
        </is>
      </c>
      <c r="G756" s="309" t="n">
        <v>1</v>
      </c>
    </row>
    <row r="757">
      <c r="A757" s="309" t="inlineStr">
        <is>
          <t>RL7-CKR-102-TIT-03</t>
        </is>
      </c>
      <c r="B757" s="309" t="inlineStr">
        <is>
          <t>DG7606</t>
        </is>
      </c>
      <c r="C757" s="309" t="inlineStr">
        <is>
          <t>Matched</t>
        </is>
      </c>
      <c r="D757" s="309" t="inlineStr">
        <is>
          <t>RL7-CKR-102-TIT03</t>
        </is>
      </c>
      <c r="E757" s="310" t="n">
        <v>0.99</v>
      </c>
      <c r="F757" s="309" t="inlineStr">
        <is>
          <t>High</t>
        </is>
      </c>
      <c r="G757" s="309" t="n">
        <v>1</v>
      </c>
    </row>
    <row r="758">
      <c r="A758" s="309" t="inlineStr">
        <is>
          <t>RL7-AGC-201-TIT-03</t>
        </is>
      </c>
      <c r="B758" s="309" t="inlineStr">
        <is>
          <t>DG7606</t>
        </is>
      </c>
      <c r="C758" s="309" t="inlineStr">
        <is>
          <t>Matched</t>
        </is>
      </c>
      <c r="D758" s="309" t="inlineStr">
        <is>
          <t>RL7-AGC-201-TIT03</t>
        </is>
      </c>
      <c r="E758" s="310" t="n">
        <v>0.99</v>
      </c>
      <c r="F758" s="309" t="inlineStr">
        <is>
          <t>High</t>
        </is>
      </c>
      <c r="G758" s="309" t="n">
        <v>1</v>
      </c>
    </row>
    <row r="759">
      <c r="A759" s="309" t="inlineStr">
        <is>
          <t>RL7-CKR-101-FIT-01</t>
        </is>
      </c>
      <c r="B759" s="309" t="inlineStr">
        <is>
          <t>DG7606</t>
        </is>
      </c>
      <c r="C759" s="309" t="inlineStr">
        <is>
          <t>Matched</t>
        </is>
      </c>
      <c r="D759" s="309" t="inlineStr">
        <is>
          <t>RL7-CKR-101-FIT01</t>
        </is>
      </c>
      <c r="E759" s="310" t="n">
        <v>0.99</v>
      </c>
      <c r="F759" s="309" t="inlineStr">
        <is>
          <t>High</t>
        </is>
      </c>
      <c r="G759" s="309" t="n">
        <v>1</v>
      </c>
    </row>
    <row r="760">
      <c r="A760" s="309" t="inlineStr">
        <is>
          <t>RL7-CKR-101-TVI-01</t>
        </is>
      </c>
      <c r="B760" s="309" t="inlineStr">
        <is>
          <t>DG7606</t>
        </is>
      </c>
      <c r="C760" s="309" t="inlineStr">
        <is>
          <t>Matched</t>
        </is>
      </c>
      <c r="D760" s="309" t="inlineStr">
        <is>
          <t>RL7-CKR-101-TVI01</t>
        </is>
      </c>
      <c r="E760" s="310" t="n">
        <v>0.99</v>
      </c>
      <c r="F760" s="309" t="inlineStr">
        <is>
          <t>High</t>
        </is>
      </c>
      <c r="G760" s="309" t="n">
        <v>1</v>
      </c>
    </row>
    <row r="761">
      <c r="A761" s="309" t="inlineStr">
        <is>
          <t>RL7-CKR-102-FIT-01</t>
        </is>
      </c>
      <c r="B761" s="309" t="inlineStr">
        <is>
          <t>DG7606</t>
        </is>
      </c>
      <c r="C761" s="309" t="inlineStr">
        <is>
          <t>Matched</t>
        </is>
      </c>
      <c r="D761" s="309" t="inlineStr">
        <is>
          <t>RL7-CKR-102-FIT01</t>
        </is>
      </c>
      <c r="E761" s="310" t="n">
        <v>0.99</v>
      </c>
      <c r="F761" s="309" t="inlineStr">
        <is>
          <t>High</t>
        </is>
      </c>
      <c r="G761" s="309" t="n">
        <v>1</v>
      </c>
    </row>
    <row r="762">
      <c r="A762" s="309" t="inlineStr">
        <is>
          <t>RL7-CKR-102-TVI-01</t>
        </is>
      </c>
      <c r="B762" s="309" t="inlineStr">
        <is>
          <t>DG7606</t>
        </is>
      </c>
      <c r="C762" s="309" t="inlineStr">
        <is>
          <t>Matched</t>
        </is>
      </c>
      <c r="D762" s="309" t="inlineStr">
        <is>
          <t>RL7-CKR-102-TVI01</t>
        </is>
      </c>
      <c r="E762" s="310" t="n">
        <v>0.99</v>
      </c>
      <c r="F762" s="309" t="inlineStr">
        <is>
          <t>High</t>
        </is>
      </c>
      <c r="G762" s="309" t="n">
        <v>1</v>
      </c>
    </row>
    <row r="763">
      <c r="A763" s="309" t="inlineStr">
        <is>
          <t>RL7-AGC-201-FIT-01</t>
        </is>
      </c>
      <c r="B763" s="309" t="inlineStr">
        <is>
          <t>DG7606</t>
        </is>
      </c>
      <c r="C763" s="309" t="inlineStr">
        <is>
          <t>Matched</t>
        </is>
      </c>
      <c r="D763" s="309" t="inlineStr">
        <is>
          <t>RL7-AGC-201-FIT01</t>
        </is>
      </c>
      <c r="E763" s="310" t="n">
        <v>0.99</v>
      </c>
      <c r="F763" s="309" t="inlineStr">
        <is>
          <t>High</t>
        </is>
      </c>
      <c r="G763" s="309" t="n">
        <v>1</v>
      </c>
    </row>
    <row r="764">
      <c r="A764" s="309" t="inlineStr">
        <is>
          <t>RL7-AGC-201-TVI-01</t>
        </is>
      </c>
      <c r="B764" s="309" t="inlineStr">
        <is>
          <t>DG7606</t>
        </is>
      </c>
      <c r="C764" s="309" t="inlineStr">
        <is>
          <t>Matched</t>
        </is>
      </c>
      <c r="D764" s="309" t="inlineStr">
        <is>
          <t>RL7-AGC-201-TVI01</t>
        </is>
      </c>
      <c r="E764" s="310" t="n">
        <v>0.99</v>
      </c>
      <c r="F764" s="309" t="inlineStr">
        <is>
          <t>High</t>
        </is>
      </c>
      <c r="G764" s="309" t="n">
        <v>1</v>
      </c>
    </row>
    <row r="765">
      <c r="A765" s="309" t="inlineStr">
        <is>
          <t>RL7-CKR-101-TCV-01</t>
        </is>
      </c>
      <c r="B765" s="309" t="inlineStr">
        <is>
          <t>DG7606</t>
        </is>
      </c>
      <c r="C765" s="309" t="inlineStr">
        <is>
          <t>Matched</t>
        </is>
      </c>
      <c r="D765" s="309" t="inlineStr">
        <is>
          <t>RL7-CKR-101-TCV01</t>
        </is>
      </c>
      <c r="E765" s="310" t="n">
        <v>0.99</v>
      </c>
      <c r="F765" s="309" t="inlineStr">
        <is>
          <t>High</t>
        </is>
      </c>
      <c r="G765" s="309" t="n">
        <v>1</v>
      </c>
    </row>
    <row r="766">
      <c r="A766" s="308" t="inlineStr">
        <is>
          <t>RL7-CKR-102-TCV-101</t>
        </is>
      </c>
      <c r="B766" s="308" t="inlineStr">
        <is>
          <t>DG7606</t>
        </is>
      </c>
      <c r="C766" s="308" t="inlineStr">
        <is>
          <t>Not found in PDF</t>
        </is>
      </c>
      <c r="D766" s="308" t="inlineStr">
        <is>
          <t>RL7-CKR-102-TCV101</t>
        </is>
      </c>
      <c r="E766" s="308" t="inlineStr"/>
      <c r="F766" s="308" t="inlineStr">
        <is>
          <t>Low</t>
        </is>
      </c>
      <c r="G766" s="308" t="n">
        <v>0</v>
      </c>
    </row>
    <row r="767">
      <c r="A767" s="309" t="inlineStr">
        <is>
          <t>RL7-AGC-201-TCV-01</t>
        </is>
      </c>
      <c r="B767" s="309" t="inlineStr">
        <is>
          <t>DG7606</t>
        </is>
      </c>
      <c r="C767" s="309" t="inlineStr">
        <is>
          <t>Matched</t>
        </is>
      </c>
      <c r="D767" s="309" t="inlineStr">
        <is>
          <t>RL7-AGC-201-TCV01</t>
        </is>
      </c>
      <c r="E767" s="310" t="n">
        <v>0.99</v>
      </c>
      <c r="F767" s="309" t="inlineStr">
        <is>
          <t>High</t>
        </is>
      </c>
      <c r="G767" s="309" t="n">
        <v>1</v>
      </c>
    </row>
    <row r="768">
      <c r="A768" s="308" t="inlineStr">
        <is>
          <t>RL7-TNK-102-ZSO-01</t>
        </is>
      </c>
      <c r="B768" s="308" t="inlineStr">
        <is>
          <t>DG7606</t>
        </is>
      </c>
      <c r="C768" s="308" t="inlineStr">
        <is>
          <t>Not found in PDF</t>
        </is>
      </c>
      <c r="D768" s="308" t="inlineStr">
        <is>
          <t>RL7-TNK-102-ZSO01</t>
        </is>
      </c>
      <c r="E768" s="308" t="inlineStr"/>
      <c r="F768" s="308" t="inlineStr">
        <is>
          <t>Low</t>
        </is>
      </c>
      <c r="G768" s="308" t="n">
        <v>0</v>
      </c>
    </row>
    <row r="769">
      <c r="A769" s="308" t="inlineStr">
        <is>
          <t>RL7-TNK-102-ZSC-01</t>
        </is>
      </c>
      <c r="B769" s="308" t="inlineStr">
        <is>
          <t>DG7606</t>
        </is>
      </c>
      <c r="C769" s="308" t="inlineStr">
        <is>
          <t>Not found in PDF</t>
        </is>
      </c>
      <c r="D769" s="308" t="inlineStr">
        <is>
          <t>RL7-TNK-102-ZSC01</t>
        </is>
      </c>
      <c r="E769" s="308" t="inlineStr"/>
      <c r="F769" s="308" t="inlineStr">
        <is>
          <t>Low</t>
        </is>
      </c>
      <c r="G769" s="308" t="n">
        <v>0</v>
      </c>
    </row>
    <row r="770">
      <c r="A770" s="308" t="inlineStr">
        <is>
          <t>RL7-TNK-102-ZSO-02</t>
        </is>
      </c>
      <c r="B770" s="308" t="inlineStr">
        <is>
          <t>DG7606</t>
        </is>
      </c>
      <c r="C770" s="308" t="inlineStr">
        <is>
          <t>Not found in PDF</t>
        </is>
      </c>
      <c r="D770" s="308" t="inlineStr">
        <is>
          <t>RL7-TNK-102-ZSO02</t>
        </is>
      </c>
      <c r="E770" s="308" t="inlineStr"/>
      <c r="F770" s="308" t="inlineStr">
        <is>
          <t>Low</t>
        </is>
      </c>
      <c r="G770" s="308" t="n">
        <v>0</v>
      </c>
    </row>
    <row r="771">
      <c r="A771" s="308" t="inlineStr">
        <is>
          <t>RL7-TNK-102-ZSC-02</t>
        </is>
      </c>
      <c r="B771" s="308" t="inlineStr">
        <is>
          <t>DG7606</t>
        </is>
      </c>
      <c r="C771" s="308" t="inlineStr">
        <is>
          <t>Not found in PDF</t>
        </is>
      </c>
      <c r="D771" s="308" t="inlineStr">
        <is>
          <t>RL7-TNK-102-ZSC02</t>
        </is>
      </c>
      <c r="E771" s="308" t="inlineStr"/>
      <c r="F771" s="308" t="inlineStr">
        <is>
          <t>Low</t>
        </is>
      </c>
      <c r="G771" s="308" t="n">
        <v>0</v>
      </c>
    </row>
    <row r="772">
      <c r="A772" s="308" t="inlineStr">
        <is>
          <t>RL7-HTX-101-XV-01-ZSO</t>
        </is>
      </c>
      <c r="B772" s="308" t="inlineStr">
        <is>
          <t>DG7606</t>
        </is>
      </c>
      <c r="C772" s="308" t="inlineStr">
        <is>
          <t>Skipped - unrecognized tag</t>
        </is>
      </c>
      <c r="D772" s="308" t="inlineStr"/>
      <c r="E772" s="308" t="inlineStr"/>
      <c r="F772" s="308" t="inlineStr">
        <is>
          <t>Low</t>
        </is>
      </c>
      <c r="G772" s="308" t="n">
        <v>0</v>
      </c>
    </row>
    <row r="773">
      <c r="A773" s="308" t="inlineStr">
        <is>
          <t>RL7-HTX-101-XV-01-ZSC</t>
        </is>
      </c>
      <c r="B773" s="308" t="inlineStr">
        <is>
          <t>DG7606</t>
        </is>
      </c>
      <c r="C773" s="308" t="inlineStr">
        <is>
          <t>Skipped - unrecognized tag</t>
        </is>
      </c>
      <c r="D773" s="308" t="inlineStr"/>
      <c r="E773" s="308" t="inlineStr"/>
      <c r="F773" s="308" t="inlineStr">
        <is>
          <t>Low</t>
        </is>
      </c>
      <c r="G773" s="308" t="n">
        <v>0</v>
      </c>
    </row>
    <row r="774">
      <c r="A774" s="309" t="inlineStr">
        <is>
          <t>RL7-TNK-102-XV-01</t>
        </is>
      </c>
      <c r="B774" s="309" t="inlineStr">
        <is>
          <t>DG7606</t>
        </is>
      </c>
      <c r="C774" s="309" t="inlineStr">
        <is>
          <t>Matched</t>
        </is>
      </c>
      <c r="D774" s="309" t="inlineStr">
        <is>
          <t>RL7-TNK-102-XV01</t>
        </is>
      </c>
      <c r="E774" s="310" t="n">
        <v>0.99</v>
      </c>
      <c r="F774" s="309" t="inlineStr">
        <is>
          <t>High</t>
        </is>
      </c>
      <c r="G774" s="309" t="n">
        <v>1</v>
      </c>
    </row>
    <row r="775">
      <c r="A775" s="309" t="inlineStr">
        <is>
          <t>RL7-TNK-102-XV-02</t>
        </is>
      </c>
      <c r="B775" s="309" t="inlineStr">
        <is>
          <t>DG7606</t>
        </is>
      </c>
      <c r="C775" s="309" t="inlineStr">
        <is>
          <t>Matched</t>
        </is>
      </c>
      <c r="D775" s="309" t="inlineStr">
        <is>
          <t>RL7-TNK-102-XV02</t>
        </is>
      </c>
      <c r="E775" s="310" t="n">
        <v>0.99</v>
      </c>
      <c r="F775" s="309" t="inlineStr">
        <is>
          <t>High</t>
        </is>
      </c>
      <c r="G775" s="309" t="n">
        <v>1</v>
      </c>
    </row>
    <row r="776">
      <c r="A776" s="309" t="inlineStr">
        <is>
          <t>RL7-HTX-101-XV-01</t>
        </is>
      </c>
      <c r="B776" s="309" t="inlineStr">
        <is>
          <t>DG7606</t>
        </is>
      </c>
      <c r="C776" s="309" t="inlineStr">
        <is>
          <t>Matched</t>
        </is>
      </c>
      <c r="D776" s="309" t="inlineStr">
        <is>
          <t>RL7-HTX-101-XV01</t>
        </is>
      </c>
      <c r="E776" s="310" t="n">
        <v>0.99</v>
      </c>
      <c r="F776" s="309" t="inlineStr">
        <is>
          <t>High</t>
        </is>
      </c>
      <c r="G776" s="309" t="n">
        <v>1</v>
      </c>
    </row>
    <row r="777">
      <c r="A777" s="309" t="inlineStr">
        <is>
          <t>RL7-TNK-102-FIT-01</t>
        </is>
      </c>
      <c r="B777" s="309" t="inlineStr">
        <is>
          <t>DG7606</t>
        </is>
      </c>
      <c r="C777" s="309" t="inlineStr">
        <is>
          <t>Matched</t>
        </is>
      </c>
      <c r="D777" s="309" t="inlineStr">
        <is>
          <t>RL7-TNK-102-FIT01</t>
        </is>
      </c>
      <c r="E777" s="310" t="n">
        <v>0.99</v>
      </c>
      <c r="F777" s="309" t="inlineStr">
        <is>
          <t>High</t>
        </is>
      </c>
      <c r="G777" s="309" t="n">
        <v>1</v>
      </c>
    </row>
    <row r="778">
      <c r="A778" s="309" t="inlineStr">
        <is>
          <t>RL7-HTX-101-FIT-01</t>
        </is>
      </c>
      <c r="B778" s="309" t="inlineStr">
        <is>
          <t>DG7606</t>
        </is>
      </c>
      <c r="C778" s="309" t="inlineStr">
        <is>
          <t>Matched</t>
        </is>
      </c>
      <c r="D778" s="309" t="inlineStr">
        <is>
          <t>RL7-HTX-101-FIT01</t>
        </is>
      </c>
      <c r="E778" s="310" t="n">
        <v>0.99</v>
      </c>
      <c r="F778" s="309" t="inlineStr">
        <is>
          <t>High</t>
        </is>
      </c>
      <c r="G778" s="309" t="n">
        <v>1</v>
      </c>
    </row>
    <row r="779">
      <c r="A779" s="309" t="inlineStr">
        <is>
          <t>RL7-TNK-102-LIT-01</t>
        </is>
      </c>
      <c r="B779" s="309" t="inlineStr">
        <is>
          <t>DG7606</t>
        </is>
      </c>
      <c r="C779" s="309" t="inlineStr">
        <is>
          <t>Matched</t>
        </is>
      </c>
      <c r="D779" s="309" t="inlineStr">
        <is>
          <t>RL7-TNK-102-LIT01</t>
        </is>
      </c>
      <c r="E779" s="310" t="n">
        <v>0.99</v>
      </c>
      <c r="F779" s="309" t="inlineStr">
        <is>
          <t>High</t>
        </is>
      </c>
      <c r="G779" s="309" t="n">
        <v>1</v>
      </c>
    </row>
    <row r="780">
      <c r="A780" s="309" t="inlineStr">
        <is>
          <t>RL7-PMP-108-PIT-01</t>
        </is>
      </c>
      <c r="B780" s="309" t="inlineStr">
        <is>
          <t>DG7606</t>
        </is>
      </c>
      <c r="C780" s="309" t="inlineStr">
        <is>
          <t>Matched</t>
        </is>
      </c>
      <c r="D780" s="309" t="inlineStr">
        <is>
          <t>RL7-PMP-108-PIT01</t>
        </is>
      </c>
      <c r="E780" s="310" t="n">
        <v>0.99</v>
      </c>
      <c r="F780" s="309" t="inlineStr">
        <is>
          <t>High</t>
        </is>
      </c>
      <c r="G780" s="309" t="n">
        <v>1</v>
      </c>
    </row>
    <row r="781">
      <c r="A781" s="309" t="inlineStr">
        <is>
          <t>RL7-TNK-102-PIT-01</t>
        </is>
      </c>
      <c r="B781" s="309" t="inlineStr">
        <is>
          <t>DG7606</t>
        </is>
      </c>
      <c r="C781" s="309" t="inlineStr">
        <is>
          <t>Matched</t>
        </is>
      </c>
      <c r="D781" s="309" t="inlineStr">
        <is>
          <t>RL7-TNK-102-PIT01</t>
        </is>
      </c>
      <c r="E781" s="310" t="n">
        <v>0.99</v>
      </c>
      <c r="F781" s="309" t="inlineStr">
        <is>
          <t>High</t>
        </is>
      </c>
      <c r="G781" s="309" t="n">
        <v>1</v>
      </c>
    </row>
    <row r="782">
      <c r="A782" s="309" t="inlineStr">
        <is>
          <t>RL7-HTX-101-PIT-01</t>
        </is>
      </c>
      <c r="B782" s="309" t="inlineStr">
        <is>
          <t>DG7606</t>
        </is>
      </c>
      <c r="C782" s="309" t="inlineStr">
        <is>
          <t>Matched</t>
        </is>
      </c>
      <c r="D782" s="309" t="inlineStr">
        <is>
          <t>RL7-HTX-101-PIT01</t>
        </is>
      </c>
      <c r="E782" s="310" t="n">
        <v>0.99</v>
      </c>
      <c r="F782" s="309" t="inlineStr">
        <is>
          <t>High</t>
        </is>
      </c>
      <c r="G782" s="309" t="n">
        <v>1</v>
      </c>
    </row>
    <row r="783">
      <c r="A783" s="309" t="inlineStr">
        <is>
          <t>RL7-HTX-101-TVI-01</t>
        </is>
      </c>
      <c r="B783" s="309" t="inlineStr">
        <is>
          <t>DG7606</t>
        </is>
      </c>
      <c r="C783" s="309" t="inlineStr">
        <is>
          <t>Matched</t>
        </is>
      </c>
      <c r="D783" s="309" t="inlineStr">
        <is>
          <t>RL7-HTX-101-TVI01</t>
        </is>
      </c>
      <c r="E783" s="310" t="n">
        <v>0.99</v>
      </c>
      <c r="F783" s="309" t="inlineStr">
        <is>
          <t>High</t>
        </is>
      </c>
      <c r="G783" s="309" t="n">
        <v>1</v>
      </c>
    </row>
    <row r="784">
      <c r="A784" s="309" t="inlineStr">
        <is>
          <t>RL7-TNK-102-TT-01</t>
        </is>
      </c>
      <c r="B784" s="309" t="inlineStr">
        <is>
          <t>DG7606</t>
        </is>
      </c>
      <c r="C784" s="309" t="inlineStr">
        <is>
          <t>Matched</t>
        </is>
      </c>
      <c r="D784" s="309" t="inlineStr">
        <is>
          <t>RL7-TNK-102-TT01</t>
        </is>
      </c>
      <c r="E784" s="310" t="n">
        <v>0.99</v>
      </c>
      <c r="F784" s="309" t="inlineStr">
        <is>
          <t>High</t>
        </is>
      </c>
      <c r="G784" s="309" t="n">
        <v>1</v>
      </c>
    </row>
    <row r="785">
      <c r="A785" s="309" t="inlineStr">
        <is>
          <t>RL7-HTX-101-TT-01</t>
        </is>
      </c>
      <c r="B785" s="309" t="inlineStr">
        <is>
          <t>DG7606</t>
        </is>
      </c>
      <c r="C785" s="309" t="inlineStr">
        <is>
          <t>Matched</t>
        </is>
      </c>
      <c r="D785" s="309" t="inlineStr">
        <is>
          <t>RL7-HTX-101-TT01</t>
        </is>
      </c>
      <c r="E785" s="310" t="n">
        <v>0.99</v>
      </c>
      <c r="F785" s="309" t="inlineStr">
        <is>
          <t>High</t>
        </is>
      </c>
      <c r="G785" s="309" t="n">
        <v>1</v>
      </c>
    </row>
    <row r="786">
      <c r="A786" s="309" t="inlineStr">
        <is>
          <t>RL7-HTX-101-TCV-01</t>
        </is>
      </c>
      <c r="B786" s="309" t="inlineStr">
        <is>
          <t>DG7606</t>
        </is>
      </c>
      <c r="C786" s="309" t="inlineStr">
        <is>
          <t>Matched</t>
        </is>
      </c>
      <c r="D786" s="309" t="inlineStr">
        <is>
          <t>RL7-HTX-101-TCV01</t>
        </is>
      </c>
      <c r="E786" s="310" t="n">
        <v>0.99</v>
      </c>
      <c r="F786" s="309" t="inlineStr">
        <is>
          <t>High</t>
        </is>
      </c>
      <c r="G786" s="309" t="n">
        <v>1</v>
      </c>
    </row>
    <row r="787">
      <c r="A787" s="309" t="inlineStr">
        <is>
          <t>RL7-CKR-101-ZSO-101</t>
        </is>
      </c>
      <c r="B787" s="309" t="inlineStr">
        <is>
          <t>DG7700</t>
        </is>
      </c>
      <c r="C787" s="309" t="inlineStr">
        <is>
          <t>Matched</t>
        </is>
      </c>
      <c r="D787" s="309" t="inlineStr">
        <is>
          <t>RL7-CKR-101-ZSO101</t>
        </is>
      </c>
      <c r="E787" s="310" t="n">
        <v>0.99</v>
      </c>
      <c r="F787" s="309" t="inlineStr">
        <is>
          <t>High</t>
        </is>
      </c>
      <c r="G787" s="309" t="n">
        <v>1</v>
      </c>
    </row>
    <row r="788">
      <c r="A788" s="309" t="inlineStr">
        <is>
          <t>RL7-CKR-101-ZSC-101</t>
        </is>
      </c>
      <c r="B788" s="309" t="inlineStr">
        <is>
          <t>DG7700</t>
        </is>
      </c>
      <c r="C788" s="309" t="inlineStr">
        <is>
          <t>Matched</t>
        </is>
      </c>
      <c r="D788" s="309" t="inlineStr">
        <is>
          <t>RL7-CKR-101-ZSC101</t>
        </is>
      </c>
      <c r="E788" s="310" t="n">
        <v>0.99</v>
      </c>
      <c r="F788" s="309" t="inlineStr">
        <is>
          <t>High</t>
        </is>
      </c>
      <c r="G788" s="309" t="n">
        <v>1</v>
      </c>
    </row>
    <row r="789">
      <c r="A789" s="309" t="inlineStr">
        <is>
          <t>RL7-CKR-102-ZSO-101</t>
        </is>
      </c>
      <c r="B789" s="309" t="inlineStr">
        <is>
          <t>DG7700</t>
        </is>
      </c>
      <c r="C789" s="309" t="inlineStr">
        <is>
          <t>Matched</t>
        </is>
      </c>
      <c r="D789" s="309" t="inlineStr">
        <is>
          <t>RL7-CKR-102-ZSO101</t>
        </is>
      </c>
      <c r="E789" s="310" t="n">
        <v>0.99</v>
      </c>
      <c r="F789" s="309" t="inlineStr">
        <is>
          <t>High</t>
        </is>
      </c>
      <c r="G789" s="309" t="n">
        <v>1</v>
      </c>
    </row>
    <row r="790">
      <c r="A790" s="309" t="inlineStr">
        <is>
          <t>RL7-CKR-102-ZSC-101</t>
        </is>
      </c>
      <c r="B790" s="309" t="inlineStr">
        <is>
          <t>DG7700</t>
        </is>
      </c>
      <c r="C790" s="309" t="inlineStr">
        <is>
          <t>Matched</t>
        </is>
      </c>
      <c r="D790" s="309" t="inlineStr">
        <is>
          <t>RL7-CKR-102-ZSC101</t>
        </is>
      </c>
      <c r="E790" s="310" t="n">
        <v>0.99</v>
      </c>
      <c r="F790" s="309" t="inlineStr">
        <is>
          <t>High</t>
        </is>
      </c>
      <c r="G790" s="309" t="n">
        <v>1</v>
      </c>
    </row>
    <row r="791">
      <c r="A791" s="309" t="inlineStr">
        <is>
          <t>RL7-CKR-101-XV-101</t>
        </is>
      </c>
      <c r="B791" s="309" t="inlineStr">
        <is>
          <t>DG7700</t>
        </is>
      </c>
      <c r="C791" s="309" t="inlineStr">
        <is>
          <t>Matched</t>
        </is>
      </c>
      <c r="D791" s="309" t="inlineStr">
        <is>
          <t>RL7-CKR-101-XV101</t>
        </is>
      </c>
      <c r="E791" s="310" t="n">
        <v>0.99</v>
      </c>
      <c r="F791" s="309" t="inlineStr">
        <is>
          <t>High</t>
        </is>
      </c>
      <c r="G791" s="309" t="n">
        <v>1</v>
      </c>
    </row>
    <row r="792">
      <c r="A792" s="309" t="inlineStr">
        <is>
          <t>RL7-CKR-102-XV-101</t>
        </is>
      </c>
      <c r="B792" s="309" t="inlineStr">
        <is>
          <t>DG7700</t>
        </is>
      </c>
      <c r="C792" s="309" t="inlineStr">
        <is>
          <t>Matched</t>
        </is>
      </c>
      <c r="D792" s="309" t="inlineStr">
        <is>
          <t>RL7-CKR-102-XV101</t>
        </is>
      </c>
      <c r="E792" s="310" t="n">
        <v>0.99</v>
      </c>
      <c r="F792" s="309" t="inlineStr">
        <is>
          <t>High</t>
        </is>
      </c>
      <c r="G792" s="309" t="n">
        <v>1</v>
      </c>
    </row>
    <row r="793">
      <c r="A793" s="309" t="inlineStr">
        <is>
          <t>RL7-CKR-101-FIT-101</t>
        </is>
      </c>
      <c r="B793" s="309" t="inlineStr">
        <is>
          <t>DG7700</t>
        </is>
      </c>
      <c r="C793" s="309" t="inlineStr">
        <is>
          <t>Matched</t>
        </is>
      </c>
      <c r="D793" s="309" t="inlineStr">
        <is>
          <t>RL7-CKR-101-FIT101</t>
        </is>
      </c>
      <c r="E793" s="310" t="n">
        <v>0.99</v>
      </c>
      <c r="F793" s="309" t="inlineStr">
        <is>
          <t>High</t>
        </is>
      </c>
      <c r="G793" s="309" t="n">
        <v>1</v>
      </c>
    </row>
    <row r="794">
      <c r="A794" s="309" t="inlineStr">
        <is>
          <t>RL7-CKR-101-PIT-101</t>
        </is>
      </c>
      <c r="B794" s="309" t="inlineStr">
        <is>
          <t>DG7700</t>
        </is>
      </c>
      <c r="C794" s="309" t="inlineStr">
        <is>
          <t>Matched</t>
        </is>
      </c>
      <c r="D794" s="309" t="inlineStr">
        <is>
          <t>RL7-CKR-101-PIT101</t>
        </is>
      </c>
      <c r="E794" s="310" t="n">
        <v>0.99</v>
      </c>
      <c r="F794" s="309" t="inlineStr">
        <is>
          <t>High</t>
        </is>
      </c>
      <c r="G794" s="309" t="n">
        <v>1</v>
      </c>
    </row>
    <row r="795">
      <c r="A795" s="309" t="inlineStr">
        <is>
          <t>RL7-CKR-101-PIT-102</t>
        </is>
      </c>
      <c r="B795" s="309" t="inlineStr">
        <is>
          <t>DG7700</t>
        </is>
      </c>
      <c r="C795" s="309" t="inlineStr">
        <is>
          <t>Matched</t>
        </is>
      </c>
      <c r="D795" s="309" t="inlineStr">
        <is>
          <t>RL7-CKR-101-PIT102</t>
        </is>
      </c>
      <c r="E795" s="310" t="n">
        <v>0.99</v>
      </c>
      <c r="F795" s="309" t="inlineStr">
        <is>
          <t>High</t>
        </is>
      </c>
      <c r="G795" s="309" t="n">
        <v>1</v>
      </c>
    </row>
    <row r="796">
      <c r="A796" s="309" t="inlineStr">
        <is>
          <t>RL7-CKR-101-TVI-101</t>
        </is>
      </c>
      <c r="B796" s="309" t="inlineStr">
        <is>
          <t>DG7700</t>
        </is>
      </c>
      <c r="C796" s="309" t="inlineStr">
        <is>
          <t>Matched</t>
        </is>
      </c>
      <c r="D796" s="309" t="inlineStr">
        <is>
          <t>RL7-CKR-101-TVI101</t>
        </is>
      </c>
      <c r="E796" s="310" t="n">
        <v>0.99</v>
      </c>
      <c r="F796" s="309" t="inlineStr">
        <is>
          <t>High</t>
        </is>
      </c>
      <c r="G796" s="309" t="n">
        <v>1</v>
      </c>
    </row>
    <row r="797">
      <c r="A797" s="309" t="inlineStr">
        <is>
          <t>RL7-CKR-102-FIT-101</t>
        </is>
      </c>
      <c r="B797" s="309" t="inlineStr">
        <is>
          <t>DG7700</t>
        </is>
      </c>
      <c r="C797" s="309" t="inlineStr">
        <is>
          <t>Matched</t>
        </is>
      </c>
      <c r="D797" s="309" t="inlineStr">
        <is>
          <t>RL7-CKR-102-FIT101</t>
        </is>
      </c>
      <c r="E797" s="310" t="n">
        <v>0.99</v>
      </c>
      <c r="F797" s="309" t="inlineStr">
        <is>
          <t>High</t>
        </is>
      </c>
      <c r="G797" s="309" t="n">
        <v>1</v>
      </c>
    </row>
    <row r="798">
      <c r="A798" s="309" t="inlineStr">
        <is>
          <t>RL7-CKR-102-PIT-101</t>
        </is>
      </c>
      <c r="B798" s="309" t="inlineStr">
        <is>
          <t>DG7700</t>
        </is>
      </c>
      <c r="C798" s="309" t="inlineStr">
        <is>
          <t>Matched</t>
        </is>
      </c>
      <c r="D798" s="309" t="inlineStr">
        <is>
          <t>RL7-CKR-102-PIT101</t>
        </is>
      </c>
      <c r="E798" s="310" t="n">
        <v>0.99</v>
      </c>
      <c r="F798" s="309" t="inlineStr">
        <is>
          <t>High</t>
        </is>
      </c>
      <c r="G798" s="309" t="n">
        <v>1</v>
      </c>
    </row>
    <row r="799">
      <c r="A799" s="309" t="inlineStr">
        <is>
          <t>RL7-CKR-102-PIT-102</t>
        </is>
      </c>
      <c r="B799" s="309" t="inlineStr">
        <is>
          <t>DG7700</t>
        </is>
      </c>
      <c r="C799" s="309" t="inlineStr">
        <is>
          <t>Matched</t>
        </is>
      </c>
      <c r="D799" s="309" t="inlineStr">
        <is>
          <t>RL7-CKR-102-PIT102</t>
        </is>
      </c>
      <c r="E799" s="310" t="n">
        <v>0.99</v>
      </c>
      <c r="F799" s="309" t="inlineStr">
        <is>
          <t>High</t>
        </is>
      </c>
      <c r="G799" s="309" t="n">
        <v>1</v>
      </c>
    </row>
    <row r="800">
      <c r="A800" s="309" t="inlineStr">
        <is>
          <t>RL7-CKR-102-TVI-101</t>
        </is>
      </c>
      <c r="B800" s="309" t="inlineStr">
        <is>
          <t>DG7700</t>
        </is>
      </c>
      <c r="C800" s="309" t="inlineStr">
        <is>
          <t>Matched</t>
        </is>
      </c>
      <c r="D800" s="309" t="inlineStr">
        <is>
          <t>RL7-CKR-102-TVI101</t>
        </is>
      </c>
      <c r="E800" s="310" t="n">
        <v>0.99</v>
      </c>
      <c r="F800" s="309" t="inlineStr">
        <is>
          <t>High</t>
        </is>
      </c>
      <c r="G800" s="309" t="n">
        <v>1</v>
      </c>
    </row>
    <row r="801">
      <c r="A801" s="309" t="inlineStr">
        <is>
          <t>RL7-CKR-200-PIT-101</t>
        </is>
      </c>
      <c r="B801" s="309" t="inlineStr">
        <is>
          <t>DG7700</t>
        </is>
      </c>
      <c r="C801" s="309" t="inlineStr">
        <is>
          <t>Matched</t>
        </is>
      </c>
      <c r="D801" s="309" t="inlineStr">
        <is>
          <t>RL7-CKR-200-PIT101</t>
        </is>
      </c>
      <c r="E801" s="310" t="n">
        <v>0.99</v>
      </c>
      <c r="F801" s="309" t="inlineStr">
        <is>
          <t>High</t>
        </is>
      </c>
      <c r="G801" s="309" t="n">
        <v>1</v>
      </c>
    </row>
    <row r="802">
      <c r="A802" s="309" t="inlineStr">
        <is>
          <t>RL7-CKR-101-TCV-101</t>
        </is>
      </c>
      <c r="B802" s="309" t="inlineStr">
        <is>
          <t>DG7700</t>
        </is>
      </c>
      <c r="C802" s="309" t="inlineStr">
        <is>
          <t>Matched</t>
        </is>
      </c>
      <c r="D802" s="309" t="inlineStr">
        <is>
          <t>RL7-CKR-101-TCV101</t>
        </is>
      </c>
      <c r="E802" s="310" t="n">
        <v>0.99</v>
      </c>
      <c r="F802" s="309" t="inlineStr">
        <is>
          <t>High</t>
        </is>
      </c>
      <c r="G802" s="309" t="n">
        <v>1</v>
      </c>
    </row>
    <row r="803">
      <c r="A803" s="309" t="inlineStr">
        <is>
          <t>RL7-CKR-103-PIT-101</t>
        </is>
      </c>
      <c r="B803" s="309" t="inlineStr">
        <is>
          <t>DG7701</t>
        </is>
      </c>
      <c r="C803" s="309" t="inlineStr">
        <is>
          <t>Matched</t>
        </is>
      </c>
      <c r="D803" s="309" t="inlineStr">
        <is>
          <t>RL7-CKR-103-PIT101</t>
        </is>
      </c>
      <c r="E803" s="310" t="n">
        <v>0.99</v>
      </c>
      <c r="F803" s="309" t="inlineStr">
        <is>
          <t>High</t>
        </is>
      </c>
      <c r="G803" s="309" t="n">
        <v>1</v>
      </c>
    </row>
    <row r="804">
      <c r="A804" s="308" t="inlineStr">
        <is>
          <t>RL7-CKR-101-XV-27</t>
        </is>
      </c>
      <c r="B804" s="308" t="inlineStr">
        <is>
          <t>DG7702</t>
        </is>
      </c>
      <c r="C804" s="308" t="inlineStr">
        <is>
          <t>No mapped PDF sheet</t>
        </is>
      </c>
      <c r="D804" s="308" t="inlineStr">
        <is>
          <t>RL7-CKR-101-XV27</t>
        </is>
      </c>
      <c r="E804" s="308" t="inlineStr"/>
      <c r="F804" s="308" t="inlineStr">
        <is>
          <t>Low</t>
        </is>
      </c>
      <c r="G804" s="308" t="n">
        <v>0</v>
      </c>
    </row>
    <row r="805">
      <c r="A805" s="308" t="inlineStr">
        <is>
          <t>RL7-CKR-102-TCV-01</t>
        </is>
      </c>
      <c r="B805" s="308" t="inlineStr">
        <is>
          <t>DG7702</t>
        </is>
      </c>
      <c r="C805" s="308" t="inlineStr">
        <is>
          <t>No mapped PDF sheet</t>
        </is>
      </c>
      <c r="D805" s="308" t="inlineStr">
        <is>
          <t>RL7-CKR-102-TCV01</t>
        </is>
      </c>
      <c r="E805" s="308" t="inlineStr"/>
      <c r="F805" s="308" t="inlineStr">
        <is>
          <t>Low</t>
        </is>
      </c>
      <c r="G805" s="308" t="n">
        <v>0</v>
      </c>
    </row>
    <row r="806">
      <c r="A806" s="308" t="inlineStr">
        <is>
          <t>RL7-HTX-ABC-YS-01</t>
        </is>
      </c>
      <c r="B806" s="308" t="inlineStr">
        <is>
          <t>N/A</t>
        </is>
      </c>
      <c r="C806" s="308" t="inlineStr">
        <is>
          <t>No mapped PDF sheet</t>
        </is>
      </c>
      <c r="D806" s="308" t="inlineStr">
        <is>
          <t>RL7-HTX-ABC-YS01</t>
        </is>
      </c>
      <c r="E806" s="308" t="inlineStr"/>
      <c r="F806" s="308" t="inlineStr">
        <is>
          <t>Low</t>
        </is>
      </c>
      <c r="G806" s="308" t="n">
        <v>0</v>
      </c>
    </row>
    <row r="807">
      <c r="A807" s="308" t="inlineStr">
        <is>
          <t>RL7-HTX-201A-LS-01</t>
        </is>
      </c>
      <c r="B807" s="308" t="inlineStr">
        <is>
          <t>R7011</t>
        </is>
      </c>
      <c r="C807" s="308" t="inlineStr">
        <is>
          <t>No mapped PDF sheet</t>
        </is>
      </c>
      <c r="D807" s="308" t="inlineStr">
        <is>
          <t>RL7-HTX-201A-LS01</t>
        </is>
      </c>
      <c r="E807" s="308" t="inlineStr"/>
      <c r="F807" s="308" t="inlineStr">
        <is>
          <t>Low</t>
        </is>
      </c>
      <c r="G807" s="308" t="n">
        <v>0</v>
      </c>
    </row>
    <row r="808">
      <c r="A808" s="308" t="inlineStr">
        <is>
          <t>RL7-HTX-201A-LS-02</t>
        </is>
      </c>
      <c r="B808" s="308" t="inlineStr">
        <is>
          <t>R7011</t>
        </is>
      </c>
      <c r="C808" s="308" t="inlineStr">
        <is>
          <t>No mapped PDF sheet</t>
        </is>
      </c>
      <c r="D808" s="308" t="inlineStr">
        <is>
          <t>RL7-HTX-201A-LS02</t>
        </is>
      </c>
      <c r="E808" s="308" t="inlineStr"/>
      <c r="F808" s="308" t="inlineStr">
        <is>
          <t>Low</t>
        </is>
      </c>
      <c r="G808" s="308" t="n">
        <v>0</v>
      </c>
    </row>
    <row r="809">
      <c r="A809" s="308" t="inlineStr">
        <is>
          <t>RL7-HTX-101A-YS-01</t>
        </is>
      </c>
      <c r="B809" s="308" t="inlineStr">
        <is>
          <t>R7011</t>
        </is>
      </c>
      <c r="C809" s="308" t="inlineStr">
        <is>
          <t>No mapped PDF sheet</t>
        </is>
      </c>
      <c r="D809" s="308" t="inlineStr">
        <is>
          <t>RL7-HTX-101A-YS01</t>
        </is>
      </c>
      <c r="E809" s="308" t="inlineStr"/>
      <c r="F809" s="308" t="inlineStr">
        <is>
          <t>Low</t>
        </is>
      </c>
      <c r="G809" s="308" t="n">
        <v>0</v>
      </c>
    </row>
    <row r="810">
      <c r="A810" s="308" t="inlineStr">
        <is>
          <t>RL7-HTX-101A-YS-02</t>
        </is>
      </c>
      <c r="B810" s="308" t="inlineStr">
        <is>
          <t>R7011</t>
        </is>
      </c>
      <c r="C810" s="308" t="inlineStr">
        <is>
          <t>No mapped PDF sheet</t>
        </is>
      </c>
      <c r="D810" s="308" t="inlineStr">
        <is>
          <t>RL7-HTX-101A-YS02</t>
        </is>
      </c>
      <c r="E810" s="308" t="inlineStr"/>
      <c r="F810" s="308" t="inlineStr">
        <is>
          <t>Low</t>
        </is>
      </c>
      <c r="G810" s="308" t="n">
        <v>0</v>
      </c>
    </row>
    <row r="811">
      <c r="A811" s="308" t="inlineStr">
        <is>
          <t>RL7-HTX-101A-YS-03</t>
        </is>
      </c>
      <c r="B811" s="308" t="inlineStr">
        <is>
          <t>R7011</t>
        </is>
      </c>
      <c r="C811" s="308" t="inlineStr">
        <is>
          <t>No mapped PDF sheet</t>
        </is>
      </c>
      <c r="D811" s="308" t="inlineStr">
        <is>
          <t>RL7-HTX-101A-YS03</t>
        </is>
      </c>
      <c r="E811" s="308" t="inlineStr"/>
      <c r="F811" s="308" t="inlineStr">
        <is>
          <t>Low</t>
        </is>
      </c>
      <c r="G811" s="308" t="n">
        <v>0</v>
      </c>
    </row>
    <row r="812">
      <c r="A812" s="308" t="inlineStr">
        <is>
          <t>RL7-HTX-101A-YS-04</t>
        </is>
      </c>
      <c r="B812" s="308" t="inlineStr">
        <is>
          <t>R7011</t>
        </is>
      </c>
      <c r="C812" s="308" t="inlineStr">
        <is>
          <t>No mapped PDF sheet</t>
        </is>
      </c>
      <c r="D812" s="308" t="inlineStr">
        <is>
          <t>RL7-HTX-101A-YS04</t>
        </is>
      </c>
      <c r="E812" s="308" t="inlineStr"/>
      <c r="F812" s="308" t="inlineStr">
        <is>
          <t>Low</t>
        </is>
      </c>
      <c r="G812" s="308" t="n">
        <v>0</v>
      </c>
    </row>
    <row r="813">
      <c r="A813" s="308" t="inlineStr">
        <is>
          <t>RL7-HTX-101B-YS-01</t>
        </is>
      </c>
      <c r="B813" s="308" t="inlineStr">
        <is>
          <t>R7011</t>
        </is>
      </c>
      <c r="C813" s="308" t="inlineStr">
        <is>
          <t>No mapped PDF sheet</t>
        </is>
      </c>
      <c r="D813" s="308" t="inlineStr">
        <is>
          <t>RL7-HTX-101B-YS01</t>
        </is>
      </c>
      <c r="E813" s="308" t="inlineStr"/>
      <c r="F813" s="308" t="inlineStr">
        <is>
          <t>Low</t>
        </is>
      </c>
      <c r="G813" s="308" t="n">
        <v>0</v>
      </c>
    </row>
    <row r="814">
      <c r="A814" s="308" t="inlineStr">
        <is>
          <t>RL7-HTX-101B-YS-02</t>
        </is>
      </c>
      <c r="B814" s="308" t="inlineStr">
        <is>
          <t>R7011</t>
        </is>
      </c>
      <c r="C814" s="308" t="inlineStr">
        <is>
          <t>No mapped PDF sheet</t>
        </is>
      </c>
      <c r="D814" s="308" t="inlineStr">
        <is>
          <t>RL7-HTX-101B-YS02</t>
        </is>
      </c>
      <c r="E814" s="308" t="inlineStr"/>
      <c r="F814" s="308" t="inlineStr">
        <is>
          <t>Low</t>
        </is>
      </c>
      <c r="G814" s="308" t="n">
        <v>0</v>
      </c>
    </row>
    <row r="815">
      <c r="A815" s="308" t="inlineStr">
        <is>
          <t>RL7-HTX-101C-YS-01</t>
        </is>
      </c>
      <c r="B815" s="308" t="inlineStr">
        <is>
          <t>R7011</t>
        </is>
      </c>
      <c r="C815" s="308" t="inlineStr">
        <is>
          <t>No mapped PDF sheet</t>
        </is>
      </c>
      <c r="D815" s="308" t="inlineStr">
        <is>
          <t>RL7-HTX-101C-YS01</t>
        </is>
      </c>
      <c r="E815" s="308" t="inlineStr"/>
      <c r="F815" s="308" t="inlineStr">
        <is>
          <t>Low</t>
        </is>
      </c>
      <c r="G815" s="308" t="n">
        <v>0</v>
      </c>
    </row>
    <row r="816">
      <c r="A816" s="308" t="inlineStr">
        <is>
          <t>RL7-HTX-101C-YS-02</t>
        </is>
      </c>
      <c r="B816" s="308" t="inlineStr">
        <is>
          <t>R7011</t>
        </is>
      </c>
      <c r="C816" s="308" t="inlineStr">
        <is>
          <t>No mapped PDF sheet</t>
        </is>
      </c>
      <c r="D816" s="308" t="inlineStr">
        <is>
          <t>RL7-HTX-101C-YS02</t>
        </is>
      </c>
      <c r="E816" s="308" t="inlineStr"/>
      <c r="F816" s="308" t="inlineStr">
        <is>
          <t>Low</t>
        </is>
      </c>
      <c r="G816" s="308" t="n">
        <v>0</v>
      </c>
    </row>
    <row r="817">
      <c r="A817" s="308" t="inlineStr">
        <is>
          <t>RL7-HTX-101A-LT-01</t>
        </is>
      </c>
      <c r="B817" s="308" t="inlineStr">
        <is>
          <t>R7011</t>
        </is>
      </c>
      <c r="C817" s="308" t="inlineStr">
        <is>
          <t>No mapped PDF sheet</t>
        </is>
      </c>
      <c r="D817" s="308" t="inlineStr">
        <is>
          <t>RL7-HTX-101A-LT01</t>
        </is>
      </c>
      <c r="E817" s="308" t="inlineStr"/>
      <c r="F817" s="308" t="inlineStr">
        <is>
          <t>Low</t>
        </is>
      </c>
      <c r="G817" s="308" t="n">
        <v>0</v>
      </c>
    </row>
    <row r="818">
      <c r="A818" s="308" t="inlineStr">
        <is>
          <t>RL7-HTX-101A-TIT-02</t>
        </is>
      </c>
      <c r="B818" s="308" t="inlineStr">
        <is>
          <t>R7011</t>
        </is>
      </c>
      <c r="C818" s="308" t="inlineStr">
        <is>
          <t>No mapped PDF sheet</t>
        </is>
      </c>
      <c r="D818" s="308" t="inlineStr">
        <is>
          <t>RL7-HTX-101A-TIT02</t>
        </is>
      </c>
      <c r="E818" s="308" t="inlineStr"/>
      <c r="F818" s="308" t="inlineStr">
        <is>
          <t>Low</t>
        </is>
      </c>
      <c r="G818" s="308" t="n">
        <v>0</v>
      </c>
    </row>
    <row r="819">
      <c r="A819" s="308" t="inlineStr">
        <is>
          <t>RL7-HTX-101B-TIT-02</t>
        </is>
      </c>
      <c r="B819" s="308" t="inlineStr">
        <is>
          <t>R7011</t>
        </is>
      </c>
      <c r="C819" s="308" t="inlineStr">
        <is>
          <t>No mapped PDF sheet</t>
        </is>
      </c>
      <c r="D819" s="308" t="inlineStr">
        <is>
          <t>RL7-HTX-101B-TIT02</t>
        </is>
      </c>
      <c r="E819" s="308" t="inlineStr"/>
      <c r="F819" s="308" t="inlineStr">
        <is>
          <t>Low</t>
        </is>
      </c>
      <c r="G819" s="308" t="n">
        <v>0</v>
      </c>
    </row>
    <row r="820">
      <c r="A820" s="308" t="inlineStr">
        <is>
          <t>RL7-HTX-101C-TIT-02</t>
        </is>
      </c>
      <c r="B820" s="308" t="inlineStr">
        <is>
          <t>R7011</t>
        </is>
      </c>
      <c r="C820" s="308" t="inlineStr">
        <is>
          <t>No mapped PDF sheet</t>
        </is>
      </c>
      <c r="D820" s="308" t="inlineStr">
        <is>
          <t>RL7-HTX-101C-TIT02</t>
        </is>
      </c>
      <c r="E820" s="308" t="inlineStr"/>
      <c r="F820" s="308" t="inlineStr">
        <is>
          <t>Low</t>
        </is>
      </c>
      <c r="G820" s="308" t="n">
        <v>0</v>
      </c>
    </row>
    <row r="821">
      <c r="A821" s="308" t="inlineStr">
        <is>
          <t>RL7-HTX-101A-TIT-01</t>
        </is>
      </c>
      <c r="B821" s="308" t="inlineStr">
        <is>
          <t>R7011</t>
        </is>
      </c>
      <c r="C821" s="308" t="inlineStr">
        <is>
          <t>No mapped PDF sheet</t>
        </is>
      </c>
      <c r="D821" s="308" t="inlineStr">
        <is>
          <t>RL7-HTX-101A-TIT01</t>
        </is>
      </c>
      <c r="E821" s="308" t="inlineStr"/>
      <c r="F821" s="308" t="inlineStr">
        <is>
          <t>Low</t>
        </is>
      </c>
      <c r="G821" s="308" t="n">
        <v>0</v>
      </c>
    </row>
    <row r="822">
      <c r="A822" s="308" t="inlineStr">
        <is>
          <t>RL7-HTX-101B-TIT-01</t>
        </is>
      </c>
      <c r="B822" s="308" t="inlineStr">
        <is>
          <t>R7011</t>
        </is>
      </c>
      <c r="C822" s="308" t="inlineStr">
        <is>
          <t>No mapped PDF sheet</t>
        </is>
      </c>
      <c r="D822" s="308" t="inlineStr">
        <is>
          <t>RL7-HTX-101B-TIT01</t>
        </is>
      </c>
      <c r="E822" s="308" t="inlineStr"/>
      <c r="F822" s="308" t="inlineStr">
        <is>
          <t>Low</t>
        </is>
      </c>
      <c r="G822" s="308" t="n">
        <v>0</v>
      </c>
    </row>
    <row r="823">
      <c r="A823" s="308" t="inlineStr">
        <is>
          <t>RL7-HTX-101C-TIT-01</t>
        </is>
      </c>
      <c r="B823" s="308" t="inlineStr">
        <is>
          <t>R7011</t>
        </is>
      </c>
      <c r="C823" s="308" t="inlineStr">
        <is>
          <t>No mapped PDF sheet</t>
        </is>
      </c>
      <c r="D823" s="308" t="inlineStr">
        <is>
          <t>RL7-HTX-101C-TIT01</t>
        </is>
      </c>
      <c r="E823" s="308" t="inlineStr"/>
      <c r="F823" s="308" t="inlineStr">
        <is>
          <t>Low</t>
        </is>
      </c>
      <c r="G823" s="308" t="n">
        <v>0</v>
      </c>
    </row>
    <row r="824">
      <c r="A824" s="308" t="inlineStr">
        <is>
          <t>RL7-HTX-101A-CV-01E</t>
        </is>
      </c>
      <c r="B824" s="308" t="inlineStr">
        <is>
          <t>R7011</t>
        </is>
      </c>
      <c r="C824" s="308" t="inlineStr">
        <is>
          <t>No mapped PDF sheet</t>
        </is>
      </c>
      <c r="D824" s="308" t="inlineStr">
        <is>
          <t>RL7-HTX-101A-CV01E</t>
        </is>
      </c>
      <c r="E824" s="308" t="inlineStr"/>
      <c r="F824" s="308" t="inlineStr">
        <is>
          <t>Low</t>
        </is>
      </c>
      <c r="G824" s="308" t="n">
        <v>0</v>
      </c>
    </row>
    <row r="825">
      <c r="A825" s="308" t="inlineStr">
        <is>
          <t>RL7-HTX-201A-CVI-01E</t>
        </is>
      </c>
      <c r="B825" s="308" t="inlineStr">
        <is>
          <t>R7011</t>
        </is>
      </c>
      <c r="C825" s="308" t="inlineStr">
        <is>
          <t>No mapped PDF sheet</t>
        </is>
      </c>
      <c r="D825" s="308" t="inlineStr">
        <is>
          <t>RL7-HTX-201A-CVI01E</t>
        </is>
      </c>
      <c r="E825" s="308" t="inlineStr"/>
      <c r="F825" s="308" t="inlineStr">
        <is>
          <t>Low</t>
        </is>
      </c>
      <c r="G825" s="308" t="n">
        <v>0</v>
      </c>
    </row>
    <row r="826">
      <c r="A826" s="308" t="inlineStr">
        <is>
          <t>RL7-CNV-107-ZSO-08</t>
        </is>
      </c>
      <c r="B826" s="308" t="inlineStr"/>
      <c r="C826" s="308" t="inlineStr">
        <is>
          <t>Not found in PDF</t>
        </is>
      </c>
      <c r="D826" s="308" t="inlineStr">
        <is>
          <t>RL7-CNV-107-ZSO08</t>
        </is>
      </c>
      <c r="E826" s="308" t="inlineStr"/>
      <c r="F826" s="308" t="inlineStr">
        <is>
          <t>Low</t>
        </is>
      </c>
      <c r="G826" s="308" t="n">
        <v>0</v>
      </c>
    </row>
    <row r="827">
      <c r="A827" s="308" t="inlineStr">
        <is>
          <t>RL7-CNV-107-ZSC-08</t>
        </is>
      </c>
      <c r="B827" s="308" t="inlineStr"/>
      <c r="C827" s="308" t="inlineStr">
        <is>
          <t>Not found in PDF</t>
        </is>
      </c>
      <c r="D827" s="308" t="inlineStr">
        <is>
          <t>RL7-CNV-107-ZSC08</t>
        </is>
      </c>
      <c r="E827" s="308" t="inlineStr"/>
      <c r="F827" s="308" t="inlineStr">
        <is>
          <t>Low</t>
        </is>
      </c>
      <c r="G827" s="308" t="n">
        <v>0</v>
      </c>
    </row>
    <row r="828">
      <c r="A828" s="308" t="inlineStr">
        <is>
          <t>RL7-LINE-FIT-03</t>
        </is>
      </c>
      <c r="B828" s="308" t="inlineStr"/>
      <c r="C828" s="308" t="inlineStr">
        <is>
          <t>Not found in PDF</t>
        </is>
      </c>
      <c r="D828" s="308" t="inlineStr">
        <is>
          <t>RL7-LINE-FIT03</t>
        </is>
      </c>
      <c r="E828" s="308" t="inlineStr"/>
      <c r="F828" s="308" t="inlineStr">
        <is>
          <t>Low</t>
        </is>
      </c>
      <c r="G828" s="308" t="n">
        <v>0</v>
      </c>
    </row>
    <row r="829">
      <c r="A829" s="308" t="inlineStr">
        <is>
          <t>RL7-LINE-FIT-05</t>
        </is>
      </c>
      <c r="B829" s="308" t="inlineStr"/>
      <c r="C829" s="308" t="inlineStr">
        <is>
          <t>Not found in PDF</t>
        </is>
      </c>
      <c r="D829" s="308" t="inlineStr">
        <is>
          <t>RL7-LINE-FIT05</t>
        </is>
      </c>
      <c r="E829" s="308" t="inlineStr"/>
      <c r="F829" s="308" t="inlineStr">
        <is>
          <t>Low</t>
        </is>
      </c>
      <c r="G829" s="308" t="n">
        <v>0</v>
      </c>
    </row>
    <row r="830">
      <c r="A830" s="308" t="inlineStr">
        <is>
          <t>RL7-LINE-FIT-01</t>
        </is>
      </c>
      <c r="B830" s="308" t="inlineStr"/>
      <c r="C830" s="308" t="inlineStr">
        <is>
          <t>Not found in PDF</t>
        </is>
      </c>
      <c r="D830" s="308" t="inlineStr">
        <is>
          <t>RL7-LINE-FIT01</t>
        </is>
      </c>
      <c r="E830" s="308" t="inlineStr"/>
      <c r="F830" s="308" t="inlineStr">
        <is>
          <t>Low</t>
        </is>
      </c>
      <c r="G830" s="308" t="n">
        <v>0</v>
      </c>
    </row>
    <row r="831">
      <c r="A831" s="308" t="inlineStr">
        <is>
          <t>RL7-LINE-FIT-02</t>
        </is>
      </c>
      <c r="B831" s="308" t="inlineStr"/>
      <c r="C831" s="308" t="inlineStr">
        <is>
          <t>Not found in PDF</t>
        </is>
      </c>
      <c r="D831" s="308" t="inlineStr">
        <is>
          <t>RL7-LINE-FIT02</t>
        </is>
      </c>
      <c r="E831" s="308" t="inlineStr"/>
      <c r="F831" s="308" t="inlineStr">
        <is>
          <t>Low</t>
        </is>
      </c>
      <c r="G831" s="308" t="n">
        <v>0</v>
      </c>
    </row>
    <row r="832">
      <c r="A832" s="308" t="inlineStr">
        <is>
          <t>RL7-LINE-FIT-04</t>
        </is>
      </c>
      <c r="B832" s="308" t="inlineStr"/>
      <c r="C832" s="308" t="inlineStr">
        <is>
          <t>Not found in PDF</t>
        </is>
      </c>
      <c r="D832" s="308" t="inlineStr">
        <is>
          <t>RL7-LINE-FIT04</t>
        </is>
      </c>
      <c r="E832" s="308" t="inlineStr"/>
      <c r="F832" s="308" t="inlineStr">
        <is>
          <t>Low</t>
        </is>
      </c>
      <c r="G832" s="308" t="n">
        <v>0</v>
      </c>
    </row>
    <row r="833">
      <c r="A833" s="308" t="inlineStr">
        <is>
          <t>I/O TOTALS</t>
        </is>
      </c>
      <c r="B833" s="308" t="inlineStr"/>
      <c r="C833" s="308" t="inlineStr">
        <is>
          <t>Skipped - unrecognized tag</t>
        </is>
      </c>
      <c r="D833" s="308" t="inlineStr"/>
      <c r="E833" s="308" t="inlineStr"/>
      <c r="F833" s="308" t="inlineStr">
        <is>
          <t>Low</t>
        </is>
      </c>
      <c r="G833" s="308" t="n">
        <v>0</v>
      </c>
    </row>
    <row r="834">
      <c r="A834" s="308" t="inlineStr">
        <is>
          <t>24 VDC SI</t>
        </is>
      </c>
      <c r="B834" s="308" t="inlineStr"/>
      <c r="C834" s="308" t="inlineStr">
        <is>
          <t>Skipped - unrecognized tag</t>
        </is>
      </c>
      <c r="D834" s="308" t="inlineStr"/>
      <c r="E834" s="308" t="inlineStr"/>
      <c r="F834" s="308" t="inlineStr">
        <is>
          <t>Low</t>
        </is>
      </c>
      <c r="G834" s="308" t="n">
        <v>0</v>
      </c>
    </row>
    <row r="835">
      <c r="A835" s="308" t="inlineStr">
        <is>
          <t>24 VDC SO</t>
        </is>
      </c>
      <c r="B835" s="308" t="inlineStr"/>
      <c r="C835" s="308" t="inlineStr">
        <is>
          <t>Skipped - unrecognized tag</t>
        </is>
      </c>
      <c r="D835" s="308" t="inlineStr"/>
      <c r="E835" s="308" t="inlineStr"/>
      <c r="F835" s="308" t="inlineStr">
        <is>
          <t>Low</t>
        </is>
      </c>
      <c r="G835" s="308" t="n">
        <v>0</v>
      </c>
    </row>
    <row r="836">
      <c r="A836" s="308" t="inlineStr">
        <is>
          <t>24 VDC DI</t>
        </is>
      </c>
      <c r="B836" s="308" t="inlineStr"/>
      <c r="C836" s="308" t="inlineStr">
        <is>
          <t>Skipped - unrecognized tag</t>
        </is>
      </c>
      <c r="D836" s="308" t="inlineStr"/>
      <c r="E836" s="308" t="inlineStr"/>
      <c r="F836" s="308" t="inlineStr">
        <is>
          <t>Low</t>
        </is>
      </c>
      <c r="G836" s="308" t="n">
        <v>0</v>
      </c>
    </row>
    <row r="837">
      <c r="A837" s="308" t="inlineStr">
        <is>
          <t>24 VDC DO</t>
        </is>
      </c>
      <c r="B837" s="308" t="inlineStr"/>
      <c r="C837" s="308" t="inlineStr">
        <is>
          <t>Skipped - unrecognized tag</t>
        </is>
      </c>
      <c r="D837" s="308" t="inlineStr"/>
      <c r="E837" s="308" t="inlineStr"/>
      <c r="F837" s="308" t="inlineStr">
        <is>
          <t>Low</t>
        </is>
      </c>
      <c r="G837" s="308" t="n">
        <v>0</v>
      </c>
    </row>
    <row r="838">
      <c r="A838" s="308" t="inlineStr">
        <is>
          <t>4-20 mA AI</t>
        </is>
      </c>
      <c r="B838" s="308" t="inlineStr"/>
      <c r="C838" s="308" t="inlineStr">
        <is>
          <t>Skipped - unrecognized tag</t>
        </is>
      </c>
      <c r="D838" s="308" t="inlineStr"/>
      <c r="E838" s="308" t="inlineStr"/>
      <c r="F838" s="308" t="inlineStr">
        <is>
          <t>Low</t>
        </is>
      </c>
      <c r="G838" s="308" t="n">
        <v>0</v>
      </c>
    </row>
    <row r="839">
      <c r="A839" s="308" t="inlineStr">
        <is>
          <t>4-20 mA AO</t>
        </is>
      </c>
      <c r="B839" s="308" t="inlineStr"/>
      <c r="C839" s="308" t="inlineStr">
        <is>
          <t>Skipped - unrecognized tag</t>
        </is>
      </c>
      <c r="D839" s="308" t="inlineStr"/>
      <c r="E839" s="308" t="inlineStr"/>
      <c r="F839" s="308" t="inlineStr">
        <is>
          <t>Low</t>
        </is>
      </c>
      <c r="G839" s="308" t="n">
        <v>0</v>
      </c>
    </row>
    <row r="840">
      <c r="A840" s="308" t="inlineStr">
        <is>
          <t>I/V/T AI</t>
        </is>
      </c>
      <c r="B840" s="308" t="inlineStr"/>
      <c r="C840" s="308" t="inlineStr">
        <is>
          <t>Skipped - unrecognized tag</t>
        </is>
      </c>
      <c r="D840" s="308" t="inlineStr"/>
      <c r="E840" s="308" t="inlineStr"/>
      <c r="F840" s="308" t="inlineStr">
        <is>
          <t>Low</t>
        </is>
      </c>
      <c r="G840" s="308" t="n">
        <v>0</v>
      </c>
    </row>
    <row r="841">
      <c r="A841" s="308" t="inlineStr">
        <is>
          <t>RL7 TOTAL</t>
        </is>
      </c>
      <c r="B841" s="308" t="inlineStr"/>
      <c r="C841" s="308" t="inlineStr">
        <is>
          <t>Skipped - unrecognized tag</t>
        </is>
      </c>
      <c r="D841" s="308" t="inlineStr"/>
      <c r="E841" s="308" t="inlineStr"/>
      <c r="F841" s="308" t="inlineStr">
        <is>
          <t>Low</t>
        </is>
      </c>
      <c r="G841" s="308" t="n">
        <v>0</v>
      </c>
    </row>
  </sheetData>
  <autoFilter ref="A1:G8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36" customWidth="1" min="4" max="4"/>
    <col width="24" customWidth="1" min="5" max="5"/>
    <col width="18" customWidth="1" min="6" max="6"/>
    <col width="14" customWidth="1" min="7" max="7"/>
    <col width="12" customWidth="1" min="8" max="8"/>
    <col width="10" customWidth="1" min="9" max="9"/>
    <col width="22" customWidth="1" min="10" max="10"/>
    <col width="20" customWidth="1" min="11" max="11"/>
    <col width="52" customWidth="1" min="12" max="12"/>
    <col width="60" customWidth="1" min="13" max="13"/>
    <col width="14" customWidth="1" min="14" max="14"/>
    <col width="18" customWidth="1" min="15" max="15"/>
    <col width="16" customWidth="1" min="16" max="16"/>
    <col width="16" customWidth="1" min="17" max="17"/>
    <col width="40" customWidth="1" min="18" max="18"/>
    <col width="14" customWidth="1" min="19" max="19"/>
    <col width="44" customWidth="1" min="20" max="20"/>
    <col width="14" customWidth="1" min="21" max="21"/>
  </cols>
  <sheetData>
    <row r="1">
      <c r="A1" s="306" t="inlineStr">
        <is>
          <t>Comparison Status</t>
        </is>
      </c>
      <c r="B1" s="306" t="inlineStr">
        <is>
          <t>Sheet ID</t>
        </is>
      </c>
      <c r="C1" s="306" t="inlineStr">
        <is>
          <t>PDF Page</t>
        </is>
      </c>
      <c r="D1" s="306" t="inlineStr">
        <is>
          <t>Full Tag</t>
        </is>
      </c>
      <c r="E1" s="306" t="inlineStr">
        <is>
          <t>Root</t>
        </is>
      </c>
      <c r="F1" s="306" t="inlineStr">
        <is>
          <t>Component</t>
        </is>
      </c>
      <c r="G1" s="306" t="inlineStr">
        <is>
          <t>Class</t>
        </is>
      </c>
      <c r="H1" s="306" t="inlineStr">
        <is>
          <t>Confidence</t>
        </is>
      </c>
      <c r="I1" s="306" t="inlineStr">
        <is>
          <t>Rating</t>
        </is>
      </c>
      <c r="J1" s="306" t="inlineStr">
        <is>
          <t>Zone</t>
        </is>
      </c>
      <c r="K1" s="306" t="inlineStr">
        <is>
          <t>Detection Method</t>
        </is>
      </c>
      <c r="L1" s="306" t="inlineStr">
        <is>
          <t>Evidence</t>
        </is>
      </c>
      <c r="M1" s="306" t="inlineStr">
        <is>
          <t>Source Text</t>
        </is>
      </c>
      <c r="N1" s="306" t="inlineStr">
        <is>
          <t>Text Source</t>
        </is>
      </c>
      <c r="O1" s="306" t="inlineStr">
        <is>
          <t>Source Agreement</t>
        </is>
      </c>
      <c r="P1" s="306" t="inlineStr">
        <is>
          <t>Page OCR Mode</t>
        </is>
      </c>
      <c r="Q1" s="306" t="inlineStr">
        <is>
          <t>OCR Backend</t>
        </is>
      </c>
      <c r="R1" s="306" t="inlineStr">
        <is>
          <t>OCR Reason</t>
        </is>
      </c>
      <c r="S1" s="306" t="inlineStr">
        <is>
          <t>OCR Confidence</t>
        </is>
      </c>
      <c r="T1" s="306" t="inlineStr">
        <is>
          <t>Source Node IDs</t>
        </is>
      </c>
      <c r="U1" s="306" t="inlineStr">
        <is>
          <t>Source Node Count</t>
        </is>
      </c>
    </row>
    <row r="2">
      <c r="A2" s="308" t="inlineStr">
        <is>
          <t>Missing in Excel</t>
        </is>
      </c>
      <c r="B2" s="308" t="inlineStr">
        <is>
          <t>DG0020</t>
        </is>
      </c>
      <c r="C2" s="308" t="n">
        <v>1</v>
      </c>
      <c r="D2" s="308" t="inlineStr">
        <is>
          <t>PB2</t>
        </is>
      </c>
      <c r="E2" s="308" t="inlineStr"/>
      <c r="F2" s="308" t="inlineStr">
        <is>
          <t>PB2</t>
        </is>
      </c>
      <c r="G2" s="308" t="inlineStr">
        <is>
          <t>instrument</t>
        </is>
      </c>
      <c r="H2" s="311" t="n">
        <v>0.51</v>
      </c>
      <c r="I2" s="308" t="inlineStr">
        <is>
          <t>Low</t>
        </is>
      </c>
      <c r="J2" s="308" t="inlineStr">
        <is>
          <t>drawing</t>
        </is>
      </c>
      <c r="K2" s="308" t="inlineStr">
        <is>
          <t>standalone:isa</t>
        </is>
      </c>
      <c r="L2" s="308" t="inlineStr">
        <is>
          <t>drawing zone; process page; mapped sheet</t>
        </is>
      </c>
      <c r="M2" s="308" t="inlineStr">
        <is>
          <t>PB2</t>
        </is>
      </c>
      <c r="N2" s="308" t="inlineStr">
        <is>
          <t>native</t>
        </is>
      </c>
      <c r="O2" s="308" t="inlineStr">
        <is>
          <t>native-only</t>
        </is>
      </c>
      <c r="P2" s="308" t="inlineStr">
        <is>
          <t>native</t>
        </is>
      </c>
      <c r="Q2" s="308" t="inlineStr"/>
      <c r="R2" s="308" t="inlineStr">
        <is>
          <t>native text sufficient</t>
        </is>
      </c>
      <c r="S2" s="308" t="inlineStr"/>
      <c r="T2" s="308" t="inlineStr">
        <is>
          <t>p1:native:154</t>
        </is>
      </c>
      <c r="U2" s="308" t="n">
        <v>1</v>
      </c>
    </row>
    <row r="3">
      <c r="A3" s="308" t="inlineStr">
        <is>
          <t>Missing in Excel</t>
        </is>
      </c>
      <c r="B3" s="308" t="inlineStr">
        <is>
          <t>DG0020</t>
        </is>
      </c>
      <c r="C3" s="308" t="n">
        <v>1</v>
      </c>
      <c r="D3" s="308" t="inlineStr">
        <is>
          <t>PB2L</t>
        </is>
      </c>
      <c r="E3" s="308" t="inlineStr"/>
      <c r="F3" s="308" t="inlineStr">
        <is>
          <t>PB2L</t>
        </is>
      </c>
      <c r="G3" s="308" t="inlineStr">
        <is>
          <t>instrument</t>
        </is>
      </c>
      <c r="H3" s="311" t="n">
        <v>0.51</v>
      </c>
      <c r="I3" s="308" t="inlineStr">
        <is>
          <t>Low</t>
        </is>
      </c>
      <c r="J3" s="308" t="inlineStr">
        <is>
          <t>drawing</t>
        </is>
      </c>
      <c r="K3" s="308" t="inlineStr">
        <is>
          <t>standalone:isa</t>
        </is>
      </c>
      <c r="L3" s="308" t="inlineStr">
        <is>
          <t>drawing zone; process page; mapped sheet</t>
        </is>
      </c>
      <c r="M3" s="308" t="inlineStr">
        <is>
          <t>PB2L</t>
        </is>
      </c>
      <c r="N3" s="308" t="inlineStr">
        <is>
          <t>native</t>
        </is>
      </c>
      <c r="O3" s="308" t="inlineStr">
        <is>
          <t>native-only</t>
        </is>
      </c>
      <c r="P3" s="308" t="inlineStr">
        <is>
          <t>native</t>
        </is>
      </c>
      <c r="Q3" s="308" t="inlineStr"/>
      <c r="R3" s="308" t="inlineStr">
        <is>
          <t>native text sufficient</t>
        </is>
      </c>
      <c r="S3" s="308" t="inlineStr"/>
      <c r="T3" s="308" t="inlineStr">
        <is>
          <t>p1:native:156</t>
        </is>
      </c>
      <c r="U3" s="308" t="n">
        <v>1</v>
      </c>
    </row>
    <row r="4">
      <c r="A4" s="308" t="inlineStr">
        <is>
          <t>Missing in Excel</t>
        </is>
      </c>
      <c r="B4" s="308" t="inlineStr">
        <is>
          <t>DG0020</t>
        </is>
      </c>
      <c r="C4" s="308" t="n">
        <v>1</v>
      </c>
      <c r="D4" s="308" t="inlineStr">
        <is>
          <t>PV01</t>
        </is>
      </c>
      <c r="E4" s="308" t="inlineStr"/>
      <c r="F4" s="308" t="inlineStr">
        <is>
          <t>PV01</t>
        </is>
      </c>
      <c r="G4" s="308" t="inlineStr">
        <is>
          <t>instrument</t>
        </is>
      </c>
      <c r="H4" s="311" t="n">
        <v>0.51</v>
      </c>
      <c r="I4" s="308" t="inlineStr">
        <is>
          <t>Low</t>
        </is>
      </c>
      <c r="J4" s="308" t="inlineStr">
        <is>
          <t>drawing</t>
        </is>
      </c>
      <c r="K4" s="308" t="inlineStr">
        <is>
          <t>standalone:isa</t>
        </is>
      </c>
      <c r="L4" s="308" t="inlineStr">
        <is>
          <t>drawing zone; process page; mapped sheet</t>
        </is>
      </c>
      <c r="M4" s="308" t="inlineStr">
        <is>
          <t>PV01</t>
        </is>
      </c>
      <c r="N4" s="308" t="inlineStr">
        <is>
          <t>native</t>
        </is>
      </c>
      <c r="O4" s="308" t="inlineStr">
        <is>
          <t>native-only</t>
        </is>
      </c>
      <c r="P4" s="308" t="inlineStr">
        <is>
          <t>native</t>
        </is>
      </c>
      <c r="Q4" s="308" t="inlineStr"/>
      <c r="R4" s="308" t="inlineStr">
        <is>
          <t>native text sufficient</t>
        </is>
      </c>
      <c r="S4" s="308" t="inlineStr"/>
      <c r="T4" s="308" t="inlineStr">
        <is>
          <t>p1:native:551</t>
        </is>
      </c>
      <c r="U4" s="308" t="n">
        <v>1</v>
      </c>
    </row>
    <row r="5">
      <c r="A5" s="308" t="inlineStr">
        <is>
          <t>Missing in Excel</t>
        </is>
      </c>
      <c r="B5" s="308" t="inlineStr">
        <is>
          <t>DG0020</t>
        </is>
      </c>
      <c r="C5" s="308" t="n">
        <v>1</v>
      </c>
      <c r="D5" s="308" t="inlineStr">
        <is>
          <t>CS01</t>
        </is>
      </c>
      <c r="E5" s="308" t="inlineStr"/>
      <c r="F5" s="308" t="inlineStr">
        <is>
          <t>CS01</t>
        </is>
      </c>
      <c r="G5" s="308" t="inlineStr">
        <is>
          <t>instrument</t>
        </is>
      </c>
      <c r="H5" s="311" t="n">
        <v>0.37</v>
      </c>
      <c r="I5" s="308" t="inlineStr">
        <is>
          <t>Low</t>
        </is>
      </c>
      <c r="J5" s="308" t="inlineStr">
        <is>
          <t>drawing</t>
        </is>
      </c>
      <c r="K5" s="308" t="inlineStr">
        <is>
          <t>standalone:isa</t>
        </is>
      </c>
      <c r="L5" s="308" t="inlineStr">
        <is>
          <t>drawing zone; process page; mapped sheet; custom code review</t>
        </is>
      </c>
      <c r="M5" s="308" t="inlineStr">
        <is>
          <t>CS01</t>
        </is>
      </c>
      <c r="N5" s="308" t="inlineStr">
        <is>
          <t>native</t>
        </is>
      </c>
      <c r="O5" s="308" t="inlineStr">
        <is>
          <t>native-only</t>
        </is>
      </c>
      <c r="P5" s="308" t="inlineStr">
        <is>
          <t>native</t>
        </is>
      </c>
      <c r="Q5" s="308" t="inlineStr"/>
      <c r="R5" s="308" t="inlineStr">
        <is>
          <t>native text sufficient</t>
        </is>
      </c>
      <c r="S5" s="308" t="inlineStr"/>
      <c r="T5" s="308" t="inlineStr">
        <is>
          <t>p1:native:543</t>
        </is>
      </c>
      <c r="U5" s="308" t="n">
        <v>1</v>
      </c>
    </row>
    <row r="6">
      <c r="A6" s="308" t="inlineStr">
        <is>
          <t>Missing in Excel</t>
        </is>
      </c>
      <c r="B6" s="308" t="inlineStr">
        <is>
          <t>DG0020</t>
        </is>
      </c>
      <c r="C6" s="308" t="n">
        <v>1</v>
      </c>
      <c r="D6" s="308" t="inlineStr">
        <is>
          <t>CS02</t>
        </is>
      </c>
      <c r="E6" s="308" t="inlineStr"/>
      <c r="F6" s="308" t="inlineStr">
        <is>
          <t>CS02</t>
        </is>
      </c>
      <c r="G6" s="308" t="inlineStr">
        <is>
          <t>instrument</t>
        </is>
      </c>
      <c r="H6" s="311" t="n">
        <v>0.37</v>
      </c>
      <c r="I6" s="308" t="inlineStr">
        <is>
          <t>Low</t>
        </is>
      </c>
      <c r="J6" s="308" t="inlineStr">
        <is>
          <t>drawing</t>
        </is>
      </c>
      <c r="K6" s="308" t="inlineStr">
        <is>
          <t>standalone:isa</t>
        </is>
      </c>
      <c r="L6" s="308" t="inlineStr">
        <is>
          <t>drawing zone; process page; mapped sheet; custom code review</t>
        </is>
      </c>
      <c r="M6" s="308" t="inlineStr">
        <is>
          <t>CS02</t>
        </is>
      </c>
      <c r="N6" s="308" t="inlineStr">
        <is>
          <t>native</t>
        </is>
      </c>
      <c r="O6" s="308" t="inlineStr">
        <is>
          <t>native-only</t>
        </is>
      </c>
      <c r="P6" s="308" t="inlineStr">
        <is>
          <t>native</t>
        </is>
      </c>
      <c r="Q6" s="308" t="inlineStr"/>
      <c r="R6" s="308" t="inlineStr">
        <is>
          <t>native text sufficient</t>
        </is>
      </c>
      <c r="S6" s="308" t="inlineStr"/>
      <c r="T6" s="308" t="inlineStr">
        <is>
          <t>p1:native:545</t>
        </is>
      </c>
      <c r="U6" s="308" t="n">
        <v>1</v>
      </c>
    </row>
    <row r="7">
      <c r="A7" s="308" t="inlineStr">
        <is>
          <t>Missing in Excel</t>
        </is>
      </c>
      <c r="B7" s="308" t="inlineStr">
        <is>
          <t>DG7000</t>
        </is>
      </c>
      <c r="C7" s="308" t="n">
        <v>4</v>
      </c>
      <c r="D7" s="308" t="inlineStr">
        <is>
          <t>RL7-CNV-109</t>
        </is>
      </c>
      <c r="E7" s="308" t="inlineStr">
        <is>
          <t>RL7-CNV-109</t>
        </is>
      </c>
      <c r="F7" s="308" t="inlineStr"/>
      <c r="G7" s="308" t="inlineStr">
        <is>
          <t>equipment</t>
        </is>
      </c>
      <c r="H7" s="311" t="n">
        <v>0.77</v>
      </c>
      <c r="I7" s="308" t="inlineStr">
        <is>
          <t>Medium</t>
        </is>
      </c>
      <c r="J7" s="308" t="inlineStr">
        <is>
          <t>drawing</t>
        </is>
      </c>
      <c r="K7" s="308" t="inlineStr">
        <is>
          <t>standalone:asset</t>
        </is>
      </c>
      <c r="L7" s="308" t="inlineStr">
        <is>
          <t>drawing zone; process page; mapped sheet</t>
        </is>
      </c>
      <c r="M7" s="308" t="inlineStr">
        <is>
          <t>RL7-CNV-109</t>
        </is>
      </c>
      <c r="N7" s="308" t="inlineStr">
        <is>
          <t>native</t>
        </is>
      </c>
      <c r="O7" s="308" t="inlineStr">
        <is>
          <t>native-only</t>
        </is>
      </c>
      <c r="P7" s="308" t="inlineStr">
        <is>
          <t>native</t>
        </is>
      </c>
      <c r="Q7" s="308" t="inlineStr"/>
      <c r="R7" s="308" t="inlineStr">
        <is>
          <t>native text sufficient</t>
        </is>
      </c>
      <c r="S7" s="308" t="inlineStr"/>
      <c r="T7" s="308" t="inlineStr">
        <is>
          <t>p4:native:52</t>
        </is>
      </c>
      <c r="U7" s="308" t="n">
        <v>1</v>
      </c>
    </row>
    <row r="8">
      <c r="A8" s="308" t="inlineStr">
        <is>
          <t>Missing in Excel</t>
        </is>
      </c>
      <c r="B8" s="308" t="inlineStr">
        <is>
          <t>DG7000</t>
        </is>
      </c>
      <c r="C8" s="308" t="n">
        <v>4</v>
      </c>
      <c r="D8" s="308" t="inlineStr">
        <is>
          <t>RL7-GRR-103</t>
        </is>
      </c>
      <c r="E8" s="308" t="inlineStr">
        <is>
          <t>RL7-GRR-103</t>
        </is>
      </c>
      <c r="F8" s="308" t="inlineStr"/>
      <c r="G8" s="308" t="inlineStr">
        <is>
          <t>equipment</t>
        </is>
      </c>
      <c r="H8" s="311" t="n">
        <v>0.77</v>
      </c>
      <c r="I8" s="308" t="inlineStr">
        <is>
          <t>Medium</t>
        </is>
      </c>
      <c r="J8" s="308" t="inlineStr">
        <is>
          <t>drawing</t>
        </is>
      </c>
      <c r="K8" s="308" t="inlineStr">
        <is>
          <t>standalone:asset</t>
        </is>
      </c>
      <c r="L8" s="308" t="inlineStr">
        <is>
          <t>drawing zone; process page; mapped sheet</t>
        </is>
      </c>
      <c r="M8" s="308" t="inlineStr">
        <is>
          <t>RL7-GRR-103</t>
        </is>
      </c>
      <c r="N8" s="308" t="inlineStr">
        <is>
          <t>native</t>
        </is>
      </c>
      <c r="O8" s="308" t="inlineStr">
        <is>
          <t>native-only</t>
        </is>
      </c>
      <c r="P8" s="308" t="inlineStr">
        <is>
          <t>native</t>
        </is>
      </c>
      <c r="Q8" s="308" t="inlineStr"/>
      <c r="R8" s="308" t="inlineStr">
        <is>
          <t>native text sufficient</t>
        </is>
      </c>
      <c r="S8" s="308" t="inlineStr"/>
      <c r="T8" s="308" t="inlineStr">
        <is>
          <t>p4:native:39</t>
        </is>
      </c>
      <c r="U8" s="308" t="n">
        <v>1</v>
      </c>
    </row>
    <row r="9">
      <c r="A9" s="308" t="inlineStr">
        <is>
          <t>Missing in Excel</t>
        </is>
      </c>
      <c r="B9" s="308" t="inlineStr">
        <is>
          <t>DG7000</t>
        </is>
      </c>
      <c r="C9" s="308" t="n">
        <v>4</v>
      </c>
      <c r="D9" s="308" t="inlineStr">
        <is>
          <t>RL7-CNV-109-ZSS09</t>
        </is>
      </c>
      <c r="E9" s="308" t="inlineStr">
        <is>
          <t>RL7-CNV-109</t>
        </is>
      </c>
      <c r="F9" s="308" t="inlineStr">
        <is>
          <t>ZSS09</t>
        </is>
      </c>
      <c r="G9" s="308" t="inlineStr">
        <is>
          <t>instrument</t>
        </is>
      </c>
      <c r="H9" s="311" t="n">
        <v>0.99</v>
      </c>
      <c r="I9" s="308" t="inlineStr">
        <is>
          <t>High</t>
        </is>
      </c>
      <c r="J9" s="308" t="inlineStr">
        <is>
          <t>drawing</t>
        </is>
      </c>
      <c r="K9" s="308" t="inlineStr">
        <is>
          <t>stacked:isa</t>
        </is>
      </c>
      <c r="L9" s="308" t="inlineStr">
        <is>
          <t>drawing zone; process page; mapped sheet</t>
        </is>
      </c>
      <c r="M9" s="308" t="inlineStr">
        <is>
          <t>RL7-CNV-109 / ZSS-09</t>
        </is>
      </c>
      <c r="N9" s="308" t="inlineStr">
        <is>
          <t>native</t>
        </is>
      </c>
      <c r="O9" s="308" t="inlineStr">
        <is>
          <t>native-only</t>
        </is>
      </c>
      <c r="P9" s="308" t="inlineStr">
        <is>
          <t>native</t>
        </is>
      </c>
      <c r="Q9" s="308" t="inlineStr"/>
      <c r="R9" s="308" t="inlineStr">
        <is>
          <t>native text sufficient</t>
        </is>
      </c>
      <c r="S9" s="308" t="inlineStr"/>
      <c r="T9" s="308" t="inlineStr">
        <is>
          <t>p4:native:116, p4:native:117</t>
        </is>
      </c>
      <c r="U9" s="308" t="n">
        <v>2</v>
      </c>
    </row>
    <row r="10">
      <c r="A10" s="308" t="inlineStr">
        <is>
          <t>Missing in Excel</t>
        </is>
      </c>
      <c r="B10" s="308" t="inlineStr">
        <is>
          <t>DG7000</t>
        </is>
      </c>
      <c r="C10" s="308" t="n">
        <v>4</v>
      </c>
      <c r="D10" s="308" t="inlineStr">
        <is>
          <t>RL7-CNV-109-ZSS10</t>
        </is>
      </c>
      <c r="E10" s="308" t="inlineStr">
        <is>
          <t>RL7-CNV-109</t>
        </is>
      </c>
      <c r="F10" s="308" t="inlineStr">
        <is>
          <t>ZSS10</t>
        </is>
      </c>
      <c r="G10" s="308" t="inlineStr">
        <is>
          <t>instrument</t>
        </is>
      </c>
      <c r="H10" s="311" t="n">
        <v>0.99</v>
      </c>
      <c r="I10" s="308" t="inlineStr">
        <is>
          <t>High</t>
        </is>
      </c>
      <c r="J10" s="308" t="inlineStr">
        <is>
          <t>drawing</t>
        </is>
      </c>
      <c r="K10" s="308" t="inlineStr">
        <is>
          <t>stacked:isa</t>
        </is>
      </c>
      <c r="L10" s="308" t="inlineStr">
        <is>
          <t>drawing zone; process page; mapped sheet</t>
        </is>
      </c>
      <c r="M10" s="308" t="inlineStr">
        <is>
          <t>RL7-CNV-109 / ZSS-10</t>
        </is>
      </c>
      <c r="N10" s="308" t="inlineStr">
        <is>
          <t>native</t>
        </is>
      </c>
      <c r="O10" s="308" t="inlineStr">
        <is>
          <t>native-only</t>
        </is>
      </c>
      <c r="P10" s="308" t="inlineStr">
        <is>
          <t>native</t>
        </is>
      </c>
      <c r="Q10" s="308" t="inlineStr"/>
      <c r="R10" s="308" t="inlineStr">
        <is>
          <t>native text sufficient</t>
        </is>
      </c>
      <c r="S10" s="308" t="inlineStr"/>
      <c r="T10" s="308" t="inlineStr">
        <is>
          <t>p4:native:112, p4:native:113</t>
        </is>
      </c>
      <c r="U10" s="308" t="n">
        <v>2</v>
      </c>
    </row>
    <row r="11">
      <c r="A11" s="308" t="inlineStr">
        <is>
          <t>Missing in Excel</t>
        </is>
      </c>
      <c r="B11" s="308" t="inlineStr">
        <is>
          <t>DG7000</t>
        </is>
      </c>
      <c r="C11" s="308" t="n">
        <v>4</v>
      </c>
      <c r="D11" s="308" t="inlineStr">
        <is>
          <t>RL7-GRR-103-PCV001</t>
        </is>
      </c>
      <c r="E11" s="308" t="inlineStr">
        <is>
          <t>RL7-GRR-103</t>
        </is>
      </c>
      <c r="F11" s="308" t="inlineStr">
        <is>
          <t>PCV001</t>
        </is>
      </c>
      <c r="G11" s="308" t="inlineStr">
        <is>
          <t>instrument</t>
        </is>
      </c>
      <c r="H11" s="311" t="n">
        <v>0.99</v>
      </c>
      <c r="I11" s="308" t="inlineStr">
        <is>
          <t>High</t>
        </is>
      </c>
      <c r="J11" s="308" t="inlineStr">
        <is>
          <t>drawing</t>
        </is>
      </c>
      <c r="K11" s="308" t="inlineStr">
        <is>
          <t>stacked:isa</t>
        </is>
      </c>
      <c r="L11" s="308" t="inlineStr">
        <is>
          <t>drawing zone; process page; mapped sheet</t>
        </is>
      </c>
      <c r="M11" s="308" t="inlineStr">
        <is>
          <t>RL7-GRR-103 / PCV-001</t>
        </is>
      </c>
      <c r="N11" s="308" t="inlineStr">
        <is>
          <t>native</t>
        </is>
      </c>
      <c r="O11" s="308" t="inlineStr">
        <is>
          <t>native-only</t>
        </is>
      </c>
      <c r="P11" s="308" t="inlineStr">
        <is>
          <t>native</t>
        </is>
      </c>
      <c r="Q11" s="308" t="inlineStr"/>
      <c r="R11" s="308" t="inlineStr">
        <is>
          <t>native text sufficient</t>
        </is>
      </c>
      <c r="S11" s="308" t="inlineStr"/>
      <c r="T11" s="308" t="inlineStr">
        <is>
          <t>p4:native:205, p4:native:206</t>
        </is>
      </c>
      <c r="U11" s="308" t="n">
        <v>2</v>
      </c>
    </row>
    <row r="12">
      <c r="A12" s="308" t="inlineStr">
        <is>
          <t>Missing in Excel</t>
        </is>
      </c>
      <c r="B12" s="308" t="inlineStr">
        <is>
          <t>DG7000</t>
        </is>
      </c>
      <c r="C12" s="308" t="n">
        <v>4</v>
      </c>
      <c r="D12" s="308" t="inlineStr">
        <is>
          <t>RL7-GRR-103-PSV01</t>
        </is>
      </c>
      <c r="E12" s="308" t="inlineStr">
        <is>
          <t>RL7-GRR-103</t>
        </is>
      </c>
      <c r="F12" s="308" t="inlineStr">
        <is>
          <t>PSV01</t>
        </is>
      </c>
      <c r="G12" s="308" t="inlineStr">
        <is>
          <t>instrument</t>
        </is>
      </c>
      <c r="H12" s="311" t="n">
        <v>0.99</v>
      </c>
      <c r="I12" s="308" t="inlineStr">
        <is>
          <t>High</t>
        </is>
      </c>
      <c r="J12" s="308" t="inlineStr">
        <is>
          <t>drawing</t>
        </is>
      </c>
      <c r="K12" s="308" t="inlineStr">
        <is>
          <t>stacked:isa</t>
        </is>
      </c>
      <c r="L12" s="308" t="inlineStr">
        <is>
          <t>drawing zone; process page; mapped sheet</t>
        </is>
      </c>
      <c r="M12" s="308" t="inlineStr">
        <is>
          <t>RL7-GRR-103 / PSV-01</t>
        </is>
      </c>
      <c r="N12" s="308" t="inlineStr">
        <is>
          <t>native</t>
        </is>
      </c>
      <c r="O12" s="308" t="inlineStr">
        <is>
          <t>native-only</t>
        </is>
      </c>
      <c r="P12" s="308" t="inlineStr">
        <is>
          <t>native</t>
        </is>
      </c>
      <c r="Q12" s="308" t="inlineStr"/>
      <c r="R12" s="308" t="inlineStr">
        <is>
          <t>native text sufficient</t>
        </is>
      </c>
      <c r="S12" s="308" t="inlineStr"/>
      <c r="T12" s="308" t="inlineStr">
        <is>
          <t>p4:native:208, p4:native:209</t>
        </is>
      </c>
      <c r="U12" s="308" t="n">
        <v>2</v>
      </c>
    </row>
    <row r="13">
      <c r="A13" s="308" t="inlineStr">
        <is>
          <t>Missing in Excel</t>
        </is>
      </c>
      <c r="B13" s="308" t="inlineStr">
        <is>
          <t>DG7000</t>
        </is>
      </c>
      <c r="C13" s="308" t="n">
        <v>4</v>
      </c>
      <c r="D13" s="308" t="inlineStr">
        <is>
          <t>RL7-GRR-103-ZSS05</t>
        </is>
      </c>
      <c r="E13" s="308" t="inlineStr">
        <is>
          <t>RL7-GRR-103</t>
        </is>
      </c>
      <c r="F13" s="308" t="inlineStr">
        <is>
          <t>ZSS05</t>
        </is>
      </c>
      <c r="G13" s="308" t="inlineStr">
        <is>
          <t>instrument</t>
        </is>
      </c>
      <c r="H13" s="311" t="n">
        <v>0.99</v>
      </c>
      <c r="I13" s="308" t="inlineStr">
        <is>
          <t>High</t>
        </is>
      </c>
      <c r="J13" s="308" t="inlineStr">
        <is>
          <t>drawing</t>
        </is>
      </c>
      <c r="K13" s="308" t="inlineStr">
        <is>
          <t>stacked:isa</t>
        </is>
      </c>
      <c r="L13" s="308" t="inlineStr">
        <is>
          <t>drawing zone; process page; mapped sheet</t>
        </is>
      </c>
      <c r="M13" s="308" t="inlineStr">
        <is>
          <t>RL7-GRR-103 / ZSS-05</t>
        </is>
      </c>
      <c r="N13" s="308" t="inlineStr">
        <is>
          <t>native</t>
        </is>
      </c>
      <c r="O13" s="308" t="inlineStr">
        <is>
          <t>native-only</t>
        </is>
      </c>
      <c r="P13" s="308" t="inlineStr">
        <is>
          <t>native</t>
        </is>
      </c>
      <c r="Q13" s="308" t="inlineStr"/>
      <c r="R13" s="308" t="inlineStr">
        <is>
          <t>native text sufficient</t>
        </is>
      </c>
      <c r="S13" s="308" t="inlineStr"/>
      <c r="T13" s="308" t="inlineStr">
        <is>
          <t>p4:native:105, p4:native:106</t>
        </is>
      </c>
      <c r="U13" s="308" t="n">
        <v>2</v>
      </c>
    </row>
    <row r="14">
      <c r="A14" s="308" t="inlineStr">
        <is>
          <t>Missing in Excel</t>
        </is>
      </c>
      <c r="B14" s="308" t="inlineStr">
        <is>
          <t>DG7000</t>
        </is>
      </c>
      <c r="C14" s="308" t="n">
        <v>4</v>
      </c>
      <c r="D14" s="308" t="inlineStr">
        <is>
          <t>RL7-CNV-109-HV001</t>
        </is>
      </c>
      <c r="E14" s="308" t="inlineStr">
        <is>
          <t>RL7-CNV-109</t>
        </is>
      </c>
      <c r="F14" s="308" t="inlineStr">
        <is>
          <t>HV001</t>
        </is>
      </c>
      <c r="G14" s="308" t="inlineStr">
        <is>
          <t>instrument</t>
        </is>
      </c>
      <c r="H14" s="311" t="n">
        <v>0.57</v>
      </c>
      <c r="I14" s="308" t="inlineStr">
        <is>
          <t>Low</t>
        </is>
      </c>
      <c r="J14" s="308" t="inlineStr">
        <is>
          <t>drawing</t>
        </is>
      </c>
      <c r="K14" s="308" t="inlineStr">
        <is>
          <t>inferred:bare-isa</t>
        </is>
      </c>
      <c r="L14" s="308" t="inlineStr">
        <is>
          <t>drawing zone; process page; mapped sheet</t>
        </is>
      </c>
      <c r="M14" s="308" t="inlineStr">
        <is>
          <t>RL7-CNV-109 / HV</t>
        </is>
      </c>
      <c r="N14" s="308" t="inlineStr">
        <is>
          <t>native</t>
        </is>
      </c>
      <c r="O14" s="308" t="inlineStr">
        <is>
          <t>native-only</t>
        </is>
      </c>
      <c r="P14" s="308" t="inlineStr">
        <is>
          <t>native</t>
        </is>
      </c>
      <c r="Q14" s="308" t="inlineStr"/>
      <c r="R14" s="308" t="inlineStr">
        <is>
          <t>native text sufficient</t>
        </is>
      </c>
      <c r="S14" s="308" t="inlineStr"/>
      <c r="T14" s="308" t="inlineStr">
        <is>
          <t>p4:native:84, p4:native:90</t>
        </is>
      </c>
      <c r="U14" s="308" t="n">
        <v>2</v>
      </c>
    </row>
    <row r="15">
      <c r="A15" s="308" t="inlineStr">
        <is>
          <t>Missing in Excel</t>
        </is>
      </c>
      <c r="B15" s="308" t="inlineStr">
        <is>
          <t>DG7000</t>
        </is>
      </c>
      <c r="C15" s="308" t="n">
        <v>4</v>
      </c>
      <c r="D15" s="308" t="inlineStr">
        <is>
          <t>RL7-GRR-103-HV001</t>
        </is>
      </c>
      <c r="E15" s="308" t="inlineStr">
        <is>
          <t>RL7-GRR-103</t>
        </is>
      </c>
      <c r="F15" s="308" t="inlineStr">
        <is>
          <t>HV001</t>
        </is>
      </c>
      <c r="G15" s="308" t="inlineStr">
        <is>
          <t>instrument</t>
        </is>
      </c>
      <c r="H15" s="311" t="n">
        <v>0.57</v>
      </c>
      <c r="I15" s="308" t="inlineStr">
        <is>
          <t>Low</t>
        </is>
      </c>
      <c r="J15" s="308" t="inlineStr">
        <is>
          <t>drawing</t>
        </is>
      </c>
      <c r="K15" s="308" t="inlineStr">
        <is>
          <t>inferred:bare-isa</t>
        </is>
      </c>
      <c r="L15" s="308" t="inlineStr">
        <is>
          <t>drawing zone; process page; mapped sheet</t>
        </is>
      </c>
      <c r="M15" s="308" t="inlineStr">
        <is>
          <t>RL7-GRR-103 / HV</t>
        </is>
      </c>
      <c r="N15" s="308" t="inlineStr">
        <is>
          <t>native</t>
        </is>
      </c>
      <c r="O15" s="308" t="inlineStr">
        <is>
          <t>native-only</t>
        </is>
      </c>
      <c r="P15" s="308" t="inlineStr">
        <is>
          <t>native</t>
        </is>
      </c>
      <c r="Q15" s="308" t="inlineStr"/>
      <c r="R15" s="308" t="inlineStr">
        <is>
          <t>native text sufficient</t>
        </is>
      </c>
      <c r="S15" s="308" t="inlineStr"/>
      <c r="T15" s="308" t="inlineStr">
        <is>
          <t>p4:native:205, p4:native:230</t>
        </is>
      </c>
      <c r="U15" s="308" t="n">
        <v>2</v>
      </c>
    </row>
    <row r="16">
      <c r="A16" s="308" t="inlineStr">
        <is>
          <t>Missing in Excel</t>
        </is>
      </c>
      <c r="B16" s="308" t="inlineStr">
        <is>
          <t>DG7000</t>
        </is>
      </c>
      <c r="C16" s="308" t="n">
        <v>4</v>
      </c>
      <c r="D16" s="308" t="inlineStr">
        <is>
          <t>RL7-GRR-103-HV002</t>
        </is>
      </c>
      <c r="E16" s="308" t="inlineStr">
        <is>
          <t>RL7-GRR-103</t>
        </is>
      </c>
      <c r="F16" s="308" t="inlineStr">
        <is>
          <t>HV002</t>
        </is>
      </c>
      <c r="G16" s="308" t="inlineStr">
        <is>
          <t>instrument</t>
        </is>
      </c>
      <c r="H16" s="311" t="n">
        <v>0.57</v>
      </c>
      <c r="I16" s="308" t="inlineStr">
        <is>
          <t>Low</t>
        </is>
      </c>
      <c r="J16" s="308" t="inlineStr">
        <is>
          <t>drawing</t>
        </is>
      </c>
      <c r="K16" s="308" t="inlineStr">
        <is>
          <t>inferred:bare-isa</t>
        </is>
      </c>
      <c r="L16" s="308" t="inlineStr">
        <is>
          <t>drawing zone; process page; mapped sheet</t>
        </is>
      </c>
      <c r="M16" s="308" t="inlineStr">
        <is>
          <t>RL7-GRR-103 / HV</t>
        </is>
      </c>
      <c r="N16" s="308" t="inlineStr">
        <is>
          <t>native</t>
        </is>
      </c>
      <c r="O16" s="308" t="inlineStr">
        <is>
          <t>native-only</t>
        </is>
      </c>
      <c r="P16" s="308" t="inlineStr">
        <is>
          <t>native</t>
        </is>
      </c>
      <c r="Q16" s="308" t="inlineStr"/>
      <c r="R16" s="308" t="inlineStr">
        <is>
          <t>native text sufficient</t>
        </is>
      </c>
      <c r="S16" s="308" t="inlineStr"/>
      <c r="T16" s="308" t="inlineStr">
        <is>
          <t>p4:native:208, p4:native:203</t>
        </is>
      </c>
      <c r="U16" s="308" t="n">
        <v>2</v>
      </c>
    </row>
    <row r="17">
      <c r="A17" s="308" t="inlineStr">
        <is>
          <t>Missing in Excel</t>
        </is>
      </c>
      <c r="B17" s="308" t="inlineStr">
        <is>
          <t>DG7000</t>
        </is>
      </c>
      <c r="C17" s="308" t="n">
        <v>4</v>
      </c>
      <c r="D17" s="308" t="inlineStr">
        <is>
          <t>RL7-GRR-103-HV003</t>
        </is>
      </c>
      <c r="E17" s="308" t="inlineStr">
        <is>
          <t>RL7-GRR-103</t>
        </is>
      </c>
      <c r="F17" s="308" t="inlineStr">
        <is>
          <t>HV003</t>
        </is>
      </c>
      <c r="G17" s="308" t="inlineStr">
        <is>
          <t>instrument</t>
        </is>
      </c>
      <c r="H17" s="311" t="n">
        <v>0.57</v>
      </c>
      <c r="I17" s="308" t="inlineStr">
        <is>
          <t>Low</t>
        </is>
      </c>
      <c r="J17" s="308" t="inlineStr">
        <is>
          <t>drawing</t>
        </is>
      </c>
      <c r="K17" s="308" t="inlineStr">
        <is>
          <t>inferred:bare-isa</t>
        </is>
      </c>
      <c r="L17" s="308" t="inlineStr">
        <is>
          <t>drawing zone; process page; mapped sheet</t>
        </is>
      </c>
      <c r="M17" s="308" t="inlineStr">
        <is>
          <t>RL7-GRR-103 / HV</t>
        </is>
      </c>
      <c r="N17" s="308" t="inlineStr">
        <is>
          <t>native</t>
        </is>
      </c>
      <c r="O17" s="308" t="inlineStr">
        <is>
          <t>native-only</t>
        </is>
      </c>
      <c r="P17" s="308" t="inlineStr">
        <is>
          <t>native</t>
        </is>
      </c>
      <c r="Q17" s="308" t="inlineStr"/>
      <c r="R17" s="308" t="inlineStr">
        <is>
          <t>native text sufficient</t>
        </is>
      </c>
      <c r="S17" s="308" t="inlineStr"/>
      <c r="T17" s="308" t="inlineStr">
        <is>
          <t>p4:native:232, p4:native:62</t>
        </is>
      </c>
      <c r="U17" s="308" t="n">
        <v>2</v>
      </c>
    </row>
    <row r="18">
      <c r="A18" s="308" t="inlineStr">
        <is>
          <t>Missing in Excel</t>
        </is>
      </c>
      <c r="B18" s="308" t="inlineStr">
        <is>
          <t>DG7000</t>
        </is>
      </c>
      <c r="C18" s="308" t="n">
        <v>4</v>
      </c>
      <c r="D18" s="308" t="inlineStr">
        <is>
          <t>RL7-GRR-103-HV004</t>
        </is>
      </c>
      <c r="E18" s="308" t="inlineStr">
        <is>
          <t>RL7-GRR-103</t>
        </is>
      </c>
      <c r="F18" s="308" t="inlineStr">
        <is>
          <t>HV004</t>
        </is>
      </c>
      <c r="G18" s="308" t="inlineStr">
        <is>
          <t>instrument</t>
        </is>
      </c>
      <c r="H18" s="311" t="n">
        <v>0.57</v>
      </c>
      <c r="I18" s="308" t="inlineStr">
        <is>
          <t>Low</t>
        </is>
      </c>
      <c r="J18" s="308" t="inlineStr">
        <is>
          <t>drawing</t>
        </is>
      </c>
      <c r="K18" s="308" t="inlineStr">
        <is>
          <t>inferred:bare-isa</t>
        </is>
      </c>
      <c r="L18" s="308" t="inlineStr">
        <is>
          <t>drawing zone; process page; mapped sheet</t>
        </is>
      </c>
      <c r="M18" s="308" t="inlineStr">
        <is>
          <t>RL7-GRR-103 / HV</t>
        </is>
      </c>
      <c r="N18" s="308" t="inlineStr">
        <is>
          <t>native</t>
        </is>
      </c>
      <c r="O18" s="308" t="inlineStr">
        <is>
          <t>native-only</t>
        </is>
      </c>
      <c r="P18" s="308" t="inlineStr">
        <is>
          <t>native</t>
        </is>
      </c>
      <c r="Q18" s="308" t="inlineStr"/>
      <c r="R18" s="308" t="inlineStr">
        <is>
          <t>native text sufficient</t>
        </is>
      </c>
      <c r="S18" s="308" t="inlineStr"/>
      <c r="T18" s="308" t="inlineStr">
        <is>
          <t>p4:native:232, p4:native:175</t>
        </is>
      </c>
      <c r="U18" s="308" t="n">
        <v>2</v>
      </c>
    </row>
    <row r="19">
      <c r="A19" s="308" t="inlineStr">
        <is>
          <t>Missing in Excel</t>
        </is>
      </c>
      <c r="B19" s="308" t="inlineStr">
        <is>
          <t>DG7000</t>
        </is>
      </c>
      <c r="C19" s="308" t="n">
        <v>4</v>
      </c>
      <c r="D19" s="308" t="inlineStr">
        <is>
          <t>RL7-GRR-103-PI001</t>
        </is>
      </c>
      <c r="E19" s="308" t="inlineStr">
        <is>
          <t>RL7-GRR-103</t>
        </is>
      </c>
      <c r="F19" s="308" t="inlineStr">
        <is>
          <t>PI001</t>
        </is>
      </c>
      <c r="G19" s="308" t="inlineStr">
        <is>
          <t>instrument</t>
        </is>
      </c>
      <c r="H19" s="311" t="n">
        <v>0.57</v>
      </c>
      <c r="I19" s="308" t="inlineStr">
        <is>
          <t>Low</t>
        </is>
      </c>
      <c r="J19" s="308" t="inlineStr">
        <is>
          <t>drawing</t>
        </is>
      </c>
      <c r="K19" s="308" t="inlineStr">
        <is>
          <t>inferred:bare-isa</t>
        </is>
      </c>
      <c r="L19" s="308" t="inlineStr">
        <is>
          <t>drawing zone; process page; mapped sheet</t>
        </is>
      </c>
      <c r="M19" s="308" t="inlineStr">
        <is>
          <t>RL7-GRR-103 / PI</t>
        </is>
      </c>
      <c r="N19" s="308" t="inlineStr">
        <is>
          <t>native</t>
        </is>
      </c>
      <c r="O19" s="308" t="inlineStr">
        <is>
          <t>native-only</t>
        </is>
      </c>
      <c r="P19" s="308" t="inlineStr">
        <is>
          <t>native</t>
        </is>
      </c>
      <c r="Q19" s="308" t="inlineStr"/>
      <c r="R19" s="308" t="inlineStr">
        <is>
          <t>native text sufficient</t>
        </is>
      </c>
      <c r="S19" s="308" t="inlineStr"/>
      <c r="T19" s="308" t="inlineStr">
        <is>
          <t>p4:native:205, p4:native:216</t>
        </is>
      </c>
      <c r="U19" s="308" t="n">
        <v>2</v>
      </c>
    </row>
    <row r="20">
      <c r="A20" s="308" t="inlineStr">
        <is>
          <t>Missing in Excel</t>
        </is>
      </c>
      <c r="B20" s="308" t="inlineStr">
        <is>
          <t>DG7000</t>
        </is>
      </c>
      <c r="C20" s="308" t="n">
        <v>4</v>
      </c>
      <c r="D20" s="308" t="inlineStr">
        <is>
          <t>RL7-GRR-103-PI002</t>
        </is>
      </c>
      <c r="E20" s="308" t="inlineStr">
        <is>
          <t>RL7-GRR-103</t>
        </is>
      </c>
      <c r="F20" s="308" t="inlineStr">
        <is>
          <t>PI002</t>
        </is>
      </c>
      <c r="G20" s="308" t="inlineStr">
        <is>
          <t>instrument</t>
        </is>
      </c>
      <c r="H20" s="311" t="n">
        <v>0.57</v>
      </c>
      <c r="I20" s="308" t="inlineStr">
        <is>
          <t>Low</t>
        </is>
      </c>
      <c r="J20" s="308" t="inlineStr">
        <is>
          <t>drawing</t>
        </is>
      </c>
      <c r="K20" s="308" t="inlineStr">
        <is>
          <t>inferred:bare-isa</t>
        </is>
      </c>
      <c r="L20" s="308" t="inlineStr">
        <is>
          <t>drawing zone; process page; mapped sheet</t>
        </is>
      </c>
      <c r="M20" s="308" t="inlineStr">
        <is>
          <t>RL7-GRR-103 / PI</t>
        </is>
      </c>
      <c r="N20" s="308" t="inlineStr">
        <is>
          <t>native</t>
        </is>
      </c>
      <c r="O20" s="308" t="inlineStr">
        <is>
          <t>native-only</t>
        </is>
      </c>
      <c r="P20" s="308" t="inlineStr">
        <is>
          <t>native</t>
        </is>
      </c>
      <c r="Q20" s="308" t="inlineStr"/>
      <c r="R20" s="308" t="inlineStr">
        <is>
          <t>native text sufficient</t>
        </is>
      </c>
      <c r="S20" s="308" t="inlineStr"/>
      <c r="T20" s="308" t="inlineStr">
        <is>
          <t>p4:native:205, p4:native:218</t>
        </is>
      </c>
      <c r="U20" s="308" t="n">
        <v>2</v>
      </c>
    </row>
    <row r="21">
      <c r="A21" s="308" t="inlineStr">
        <is>
          <t>Missing in Excel</t>
        </is>
      </c>
      <c r="B21" s="308" t="inlineStr">
        <is>
          <t>DG7000</t>
        </is>
      </c>
      <c r="C21" s="308" t="n">
        <v>4</v>
      </c>
      <c r="D21" s="308" t="inlineStr">
        <is>
          <t>RL7-GRR-103-PI003</t>
        </is>
      </c>
      <c r="E21" s="308" t="inlineStr">
        <is>
          <t>RL7-GRR-103</t>
        </is>
      </c>
      <c r="F21" s="308" t="inlineStr">
        <is>
          <t>PI003</t>
        </is>
      </c>
      <c r="G21" s="308" t="inlineStr">
        <is>
          <t>instrument</t>
        </is>
      </c>
      <c r="H21" s="311" t="n">
        <v>0.57</v>
      </c>
      <c r="I21" s="308" t="inlineStr">
        <is>
          <t>Low</t>
        </is>
      </c>
      <c r="J21" s="308" t="inlineStr">
        <is>
          <t>drawing</t>
        </is>
      </c>
      <c r="K21" s="308" t="inlineStr">
        <is>
          <t>inferred:bare-isa</t>
        </is>
      </c>
      <c r="L21" s="308" t="inlineStr">
        <is>
          <t>drawing zone; process page; mapped sheet</t>
        </is>
      </c>
      <c r="M21" s="308" t="inlineStr">
        <is>
          <t>RL7-GRR-103 / PI</t>
        </is>
      </c>
      <c r="N21" s="308" t="inlineStr">
        <is>
          <t>native</t>
        </is>
      </c>
      <c r="O21" s="308" t="inlineStr">
        <is>
          <t>native-only</t>
        </is>
      </c>
      <c r="P21" s="308" t="inlineStr">
        <is>
          <t>native</t>
        </is>
      </c>
      <c r="Q21" s="308" t="inlineStr"/>
      <c r="R21" s="308" t="inlineStr">
        <is>
          <t>native text sufficient</t>
        </is>
      </c>
      <c r="S21" s="308" t="inlineStr"/>
      <c r="T21" s="308" t="inlineStr">
        <is>
          <t>p4:native:208, p4:native:225</t>
        </is>
      </c>
      <c r="U21" s="308" t="n">
        <v>2</v>
      </c>
    </row>
    <row r="22">
      <c r="A22" s="308" t="inlineStr">
        <is>
          <t>Missing in Excel</t>
        </is>
      </c>
      <c r="B22" s="308" t="inlineStr">
        <is>
          <t>DG7000</t>
        </is>
      </c>
      <c r="C22" s="308" t="n">
        <v>4</v>
      </c>
      <c r="D22" s="308" t="inlineStr">
        <is>
          <t>RL7-GRR-103-PI004</t>
        </is>
      </c>
      <c r="E22" s="308" t="inlineStr">
        <is>
          <t>RL7-GRR-103</t>
        </is>
      </c>
      <c r="F22" s="308" t="inlineStr">
        <is>
          <t>PI004</t>
        </is>
      </c>
      <c r="G22" s="308" t="inlineStr">
        <is>
          <t>instrument</t>
        </is>
      </c>
      <c r="H22" s="311" t="n">
        <v>0.57</v>
      </c>
      <c r="I22" s="308" t="inlineStr">
        <is>
          <t>Low</t>
        </is>
      </c>
      <c r="J22" s="308" t="inlineStr">
        <is>
          <t>drawing</t>
        </is>
      </c>
      <c r="K22" s="308" t="inlineStr">
        <is>
          <t>inferred:bare-isa</t>
        </is>
      </c>
      <c r="L22" s="308" t="inlineStr">
        <is>
          <t>drawing zone; process page; mapped sheet</t>
        </is>
      </c>
      <c r="M22" s="308" t="inlineStr">
        <is>
          <t>RL7-GRR-103 / PI</t>
        </is>
      </c>
      <c r="N22" s="308" t="inlineStr">
        <is>
          <t>native</t>
        </is>
      </c>
      <c r="O22" s="308" t="inlineStr">
        <is>
          <t>native-only</t>
        </is>
      </c>
      <c r="P22" s="308" t="inlineStr">
        <is>
          <t>native</t>
        </is>
      </c>
      <c r="Q22" s="308" t="inlineStr"/>
      <c r="R22" s="308" t="inlineStr">
        <is>
          <t>native text sufficient</t>
        </is>
      </c>
      <c r="S22" s="308" t="inlineStr"/>
      <c r="T22" s="308" t="inlineStr">
        <is>
          <t>p4:native:208, p4:native:223</t>
        </is>
      </c>
      <c r="U22" s="308" t="n">
        <v>2</v>
      </c>
    </row>
    <row r="23">
      <c r="A23" s="308" t="inlineStr">
        <is>
          <t>Missing in Excel</t>
        </is>
      </c>
      <c r="B23" s="308" t="inlineStr">
        <is>
          <t>DG7000</t>
        </is>
      </c>
      <c r="C23" s="308" t="n">
        <v>4</v>
      </c>
      <c r="D23" s="308" t="inlineStr">
        <is>
          <t>RL7-GRR-103-PI005</t>
        </is>
      </c>
      <c r="E23" s="308" t="inlineStr">
        <is>
          <t>RL7-GRR-103</t>
        </is>
      </c>
      <c r="F23" s="308" t="inlineStr">
        <is>
          <t>PI005</t>
        </is>
      </c>
      <c r="G23" s="308" t="inlineStr">
        <is>
          <t>instrument</t>
        </is>
      </c>
      <c r="H23" s="311" t="n">
        <v>0.57</v>
      </c>
      <c r="I23" s="308" t="inlineStr">
        <is>
          <t>Low</t>
        </is>
      </c>
      <c r="J23" s="308" t="inlineStr">
        <is>
          <t>drawing</t>
        </is>
      </c>
      <c r="K23" s="308" t="inlineStr">
        <is>
          <t>inferred:bare-isa</t>
        </is>
      </c>
      <c r="L23" s="308" t="inlineStr">
        <is>
          <t>drawing zone; process page; mapped sheet</t>
        </is>
      </c>
      <c r="M23" s="308" t="inlineStr">
        <is>
          <t>RL7-GRR-103 / PI</t>
        </is>
      </c>
      <c r="N23" s="308" t="inlineStr">
        <is>
          <t>native</t>
        </is>
      </c>
      <c r="O23" s="308" t="inlineStr">
        <is>
          <t>native-only</t>
        </is>
      </c>
      <c r="P23" s="308" t="inlineStr">
        <is>
          <t>native</t>
        </is>
      </c>
      <c r="Q23" s="308" t="inlineStr"/>
      <c r="R23" s="308" t="inlineStr">
        <is>
          <t>native text sufficient</t>
        </is>
      </c>
      <c r="S23" s="308" t="inlineStr"/>
      <c r="T23" s="308" t="inlineStr">
        <is>
          <t>p4:native:232, p4:native:96</t>
        </is>
      </c>
      <c r="U23" s="308" t="n">
        <v>2</v>
      </c>
    </row>
    <row r="24">
      <c r="A24" s="308" t="inlineStr">
        <is>
          <t>Missing in Excel</t>
        </is>
      </c>
      <c r="B24" s="308" t="inlineStr">
        <is>
          <t>DG7000</t>
        </is>
      </c>
      <c r="C24" s="308" t="n">
        <v>4</v>
      </c>
      <c r="D24" s="308" t="inlineStr">
        <is>
          <t>RL7-GRR-103-PI006</t>
        </is>
      </c>
      <c r="E24" s="308" t="inlineStr">
        <is>
          <t>RL7-GRR-103</t>
        </is>
      </c>
      <c r="F24" s="308" t="inlineStr">
        <is>
          <t>PI006</t>
        </is>
      </c>
      <c r="G24" s="308" t="inlineStr">
        <is>
          <t>instrument</t>
        </is>
      </c>
      <c r="H24" s="311" t="n">
        <v>0.57</v>
      </c>
      <c r="I24" s="308" t="inlineStr">
        <is>
          <t>Low</t>
        </is>
      </c>
      <c r="J24" s="308" t="inlineStr">
        <is>
          <t>drawing</t>
        </is>
      </c>
      <c r="K24" s="308" t="inlineStr">
        <is>
          <t>inferred:bare-isa</t>
        </is>
      </c>
      <c r="L24" s="308" t="inlineStr">
        <is>
          <t>drawing zone; process page; mapped sheet</t>
        </is>
      </c>
      <c r="M24" s="308" t="inlineStr">
        <is>
          <t>RL7-GRR-103 / PI</t>
        </is>
      </c>
      <c r="N24" s="308" t="inlineStr">
        <is>
          <t>native</t>
        </is>
      </c>
      <c r="O24" s="308" t="inlineStr">
        <is>
          <t>native-only</t>
        </is>
      </c>
      <c r="P24" s="308" t="inlineStr">
        <is>
          <t>native</t>
        </is>
      </c>
      <c r="Q24" s="308" t="inlineStr"/>
      <c r="R24" s="308" t="inlineStr">
        <is>
          <t>native text sufficient</t>
        </is>
      </c>
      <c r="S24" s="308" t="inlineStr"/>
      <c r="T24" s="308" t="inlineStr">
        <is>
          <t>p4:native:232, p4:native:98</t>
        </is>
      </c>
      <c r="U24" s="308" t="n">
        <v>2</v>
      </c>
    </row>
    <row r="25">
      <c r="A25" s="308" t="inlineStr">
        <is>
          <t>Missing in Excel</t>
        </is>
      </c>
      <c r="B25" s="308" t="inlineStr">
        <is>
          <t>DG7000</t>
        </is>
      </c>
      <c r="C25" s="308" t="n">
        <v>4</v>
      </c>
      <c r="D25" s="308" t="inlineStr">
        <is>
          <t>RL7-GRR-103-PI007</t>
        </is>
      </c>
      <c r="E25" s="308" t="inlineStr">
        <is>
          <t>RL7-GRR-103</t>
        </is>
      </c>
      <c r="F25" s="308" t="inlineStr">
        <is>
          <t>PI007</t>
        </is>
      </c>
      <c r="G25" s="308" t="inlineStr">
        <is>
          <t>instrument</t>
        </is>
      </c>
      <c r="H25" s="311" t="n">
        <v>0.57</v>
      </c>
      <c r="I25" s="308" t="inlineStr">
        <is>
          <t>Low</t>
        </is>
      </c>
      <c r="J25" s="308" t="inlineStr">
        <is>
          <t>drawing</t>
        </is>
      </c>
      <c r="K25" s="308" t="inlineStr">
        <is>
          <t>inferred:bare-isa</t>
        </is>
      </c>
      <c r="L25" s="308" t="inlineStr">
        <is>
          <t>drawing zone; process page; mapped sheet</t>
        </is>
      </c>
      <c r="M25" s="308" t="inlineStr">
        <is>
          <t>RL7-GRR-103 / PI</t>
        </is>
      </c>
      <c r="N25" s="308" t="inlineStr">
        <is>
          <t>native</t>
        </is>
      </c>
      <c r="O25" s="308" t="inlineStr">
        <is>
          <t>native-only</t>
        </is>
      </c>
      <c r="P25" s="308" t="inlineStr">
        <is>
          <t>native</t>
        </is>
      </c>
      <c r="Q25" s="308" t="inlineStr"/>
      <c r="R25" s="308" t="inlineStr">
        <is>
          <t>native text sufficient</t>
        </is>
      </c>
      <c r="S25" s="308" t="inlineStr"/>
      <c r="T25" s="308" t="inlineStr">
        <is>
          <t>p4:native:232, p4:native:187</t>
        </is>
      </c>
      <c r="U25" s="308" t="n">
        <v>2</v>
      </c>
    </row>
    <row r="26">
      <c r="A26" s="308" t="inlineStr">
        <is>
          <t>Missing in Excel</t>
        </is>
      </c>
      <c r="B26" s="308" t="inlineStr">
        <is>
          <t>DG7000</t>
        </is>
      </c>
      <c r="C26" s="308" t="n">
        <v>4</v>
      </c>
      <c r="D26" s="308" t="inlineStr">
        <is>
          <t>RL7-GRR-103-PI008</t>
        </is>
      </c>
      <c r="E26" s="308" t="inlineStr">
        <is>
          <t>RL7-GRR-103</t>
        </is>
      </c>
      <c r="F26" s="308" t="inlineStr">
        <is>
          <t>PI008</t>
        </is>
      </c>
      <c r="G26" s="308" t="inlineStr">
        <is>
          <t>instrument</t>
        </is>
      </c>
      <c r="H26" s="311" t="n">
        <v>0.57</v>
      </c>
      <c r="I26" s="308" t="inlineStr">
        <is>
          <t>Low</t>
        </is>
      </c>
      <c r="J26" s="308" t="inlineStr">
        <is>
          <t>drawing</t>
        </is>
      </c>
      <c r="K26" s="308" t="inlineStr">
        <is>
          <t>inferred:bare-isa</t>
        </is>
      </c>
      <c r="L26" s="308" t="inlineStr">
        <is>
          <t>drawing zone; process page; mapped sheet</t>
        </is>
      </c>
      <c r="M26" s="308" t="inlineStr">
        <is>
          <t>RL7-GRR-103 / PI</t>
        </is>
      </c>
      <c r="N26" s="308" t="inlineStr">
        <is>
          <t>native</t>
        </is>
      </c>
      <c r="O26" s="308" t="inlineStr">
        <is>
          <t>native-only</t>
        </is>
      </c>
      <c r="P26" s="308" t="inlineStr">
        <is>
          <t>native</t>
        </is>
      </c>
      <c r="Q26" s="308" t="inlineStr"/>
      <c r="R26" s="308" t="inlineStr">
        <is>
          <t>native text sufficient</t>
        </is>
      </c>
      <c r="S26" s="308" t="inlineStr"/>
      <c r="T26" s="308" t="inlineStr">
        <is>
          <t>p4:native:232, p4:native:189</t>
        </is>
      </c>
      <c r="U26" s="308" t="n">
        <v>2</v>
      </c>
    </row>
    <row r="27">
      <c r="A27" s="308" t="inlineStr">
        <is>
          <t>Missing in Excel</t>
        </is>
      </c>
      <c r="B27" s="308" t="inlineStr">
        <is>
          <t>DG7000</t>
        </is>
      </c>
      <c r="C27" s="308" t="n">
        <v>4</v>
      </c>
      <c r="D27" s="308" t="inlineStr">
        <is>
          <t>LFT101</t>
        </is>
      </c>
      <c r="E27" s="308" t="inlineStr"/>
      <c r="F27" s="308" t="inlineStr">
        <is>
          <t>LFT101</t>
        </is>
      </c>
      <c r="G27" s="308" t="inlineStr">
        <is>
          <t>instrument</t>
        </is>
      </c>
      <c r="H27" s="311" t="n">
        <v>0.445</v>
      </c>
      <c r="I27" s="308" t="inlineStr">
        <is>
          <t>Low</t>
        </is>
      </c>
      <c r="J27" s="308" t="inlineStr">
        <is>
          <t>drawing</t>
        </is>
      </c>
      <c r="K27" s="308" t="inlineStr">
        <is>
          <t>standalone:isa</t>
        </is>
      </c>
      <c r="L27" s="308" t="inlineStr">
        <is>
          <t>drawing zone; process page; mapped sheet; custom code review; repeated x3</t>
        </is>
      </c>
      <c r="M27" s="308" t="inlineStr">
        <is>
          <t>LFT-101</t>
        </is>
      </c>
      <c r="N27" s="308" t="inlineStr">
        <is>
          <t>native</t>
        </is>
      </c>
      <c r="O27" s="308" t="inlineStr">
        <is>
          <t>native-only</t>
        </is>
      </c>
      <c r="P27" s="308" t="inlineStr">
        <is>
          <t>native</t>
        </is>
      </c>
      <c r="Q27" s="308" t="inlineStr"/>
      <c r="R27" s="308" t="inlineStr">
        <is>
          <t>native text sufficient</t>
        </is>
      </c>
      <c r="S27" s="308" t="inlineStr"/>
      <c r="T27" s="308" t="inlineStr">
        <is>
          <t>p4:native:174</t>
        </is>
      </c>
      <c r="U27" s="308" t="n">
        <v>1</v>
      </c>
    </row>
    <row r="28">
      <c r="A28" s="308" t="inlineStr">
        <is>
          <t>Missing in Excel</t>
        </is>
      </c>
      <c r="B28" s="308" t="inlineStr">
        <is>
          <t>DG7000</t>
        </is>
      </c>
      <c r="C28" s="308" t="n">
        <v>4</v>
      </c>
      <c r="D28" s="308" t="inlineStr">
        <is>
          <t>LFT101</t>
        </is>
      </c>
      <c r="E28" s="308" t="inlineStr"/>
      <c r="F28" s="308" t="inlineStr">
        <is>
          <t>LFT101</t>
        </is>
      </c>
      <c r="G28" s="308" t="inlineStr">
        <is>
          <t>instrument</t>
        </is>
      </c>
      <c r="H28" s="311" t="n">
        <v>0.445</v>
      </c>
      <c r="I28" s="308" t="inlineStr">
        <is>
          <t>Low</t>
        </is>
      </c>
      <c r="J28" s="308" t="inlineStr">
        <is>
          <t>drawing</t>
        </is>
      </c>
      <c r="K28" s="308" t="inlineStr">
        <is>
          <t>standalone:isa</t>
        </is>
      </c>
      <c r="L28" s="308" t="inlineStr">
        <is>
          <t>drawing zone; process page; mapped sheet; custom code review; repeated x3</t>
        </is>
      </c>
      <c r="M28" s="308" t="inlineStr">
        <is>
          <t>LFT-101</t>
        </is>
      </c>
      <c r="N28" s="308" t="inlineStr">
        <is>
          <t>native</t>
        </is>
      </c>
      <c r="O28" s="308" t="inlineStr">
        <is>
          <t>native-only</t>
        </is>
      </c>
      <c r="P28" s="308" t="inlineStr">
        <is>
          <t>native</t>
        </is>
      </c>
      <c r="Q28" s="308" t="inlineStr"/>
      <c r="R28" s="308" t="inlineStr">
        <is>
          <t>native text sufficient</t>
        </is>
      </c>
      <c r="S28" s="308" t="inlineStr"/>
      <c r="T28" s="308" t="inlineStr">
        <is>
          <t>p4:native:180</t>
        </is>
      </c>
      <c r="U28" s="308" t="n">
        <v>1</v>
      </c>
    </row>
    <row r="29">
      <c r="A29" s="308" t="inlineStr">
        <is>
          <t>Missing in Excel</t>
        </is>
      </c>
      <c r="B29" s="308" t="inlineStr">
        <is>
          <t>DG7000</t>
        </is>
      </c>
      <c r="C29" s="308" t="n">
        <v>4</v>
      </c>
      <c r="D29" s="308" t="inlineStr">
        <is>
          <t>LFT101</t>
        </is>
      </c>
      <c r="E29" s="308" t="inlineStr"/>
      <c r="F29" s="308" t="inlineStr">
        <is>
          <t>LFT101</t>
        </is>
      </c>
      <c r="G29" s="308" t="inlineStr">
        <is>
          <t>instrument</t>
        </is>
      </c>
      <c r="H29" s="311" t="n">
        <v>0.445</v>
      </c>
      <c r="I29" s="308" t="inlineStr">
        <is>
          <t>Low</t>
        </is>
      </c>
      <c r="J29" s="308" t="inlineStr">
        <is>
          <t>drawing</t>
        </is>
      </c>
      <c r="K29" s="308" t="inlineStr">
        <is>
          <t>standalone:isa</t>
        </is>
      </c>
      <c r="L29" s="308" t="inlineStr">
        <is>
          <t>drawing zone; process page; mapped sheet; custom code review; repeated x3</t>
        </is>
      </c>
      <c r="M29" s="308" t="inlineStr">
        <is>
          <t>LFT-101</t>
        </is>
      </c>
      <c r="N29" s="308" t="inlineStr">
        <is>
          <t>native</t>
        </is>
      </c>
      <c r="O29" s="308" t="inlineStr">
        <is>
          <t>native-only</t>
        </is>
      </c>
      <c r="P29" s="308" t="inlineStr">
        <is>
          <t>native</t>
        </is>
      </c>
      <c r="Q29" s="308" t="inlineStr"/>
      <c r="R29" s="308" t="inlineStr">
        <is>
          <t>native text sufficient</t>
        </is>
      </c>
      <c r="S29" s="308" t="inlineStr"/>
      <c r="T29" s="308" t="inlineStr">
        <is>
          <t>p4:native:186</t>
        </is>
      </c>
      <c r="U29" s="308" t="n">
        <v>1</v>
      </c>
    </row>
    <row r="30">
      <c r="A30" s="308" t="inlineStr">
        <is>
          <t>Missing in Excel</t>
        </is>
      </c>
      <c r="B30" s="308" t="inlineStr">
        <is>
          <t>DG7000</t>
        </is>
      </c>
      <c r="C30" s="308" t="n">
        <v>4</v>
      </c>
      <c r="D30" s="308" t="inlineStr">
        <is>
          <t>1"-CA-12A</t>
        </is>
      </c>
      <c r="E30" s="308" t="inlineStr">
        <is>
          <t>CA</t>
        </is>
      </c>
      <c r="F30" s="308" t="inlineStr">
        <is>
          <t>12A</t>
        </is>
      </c>
      <c r="G30" s="308" t="inlineStr">
        <is>
          <t>line</t>
        </is>
      </c>
      <c r="H30" s="311" t="n">
        <v>0.77</v>
      </c>
      <c r="I30" s="308" t="inlineStr">
        <is>
          <t>Medium</t>
        </is>
      </c>
      <c r="J30" s="308" t="inlineStr">
        <is>
          <t>drawing</t>
        </is>
      </c>
      <c r="K30" s="308" t="inlineStr">
        <is>
          <t>line:size-prefix</t>
        </is>
      </c>
      <c r="L30" s="308" t="inlineStr">
        <is>
          <t>drawing zone; process page; mapped sheet</t>
        </is>
      </c>
      <c r="M30" s="308" t="inlineStr">
        <is>
          <t>1"-CA-12A</t>
        </is>
      </c>
      <c r="N30" s="308" t="inlineStr">
        <is>
          <t>native</t>
        </is>
      </c>
      <c r="O30" s="308" t="inlineStr">
        <is>
          <t>native-only</t>
        </is>
      </c>
      <c r="P30" s="308" t="inlineStr">
        <is>
          <t>native</t>
        </is>
      </c>
      <c r="Q30" s="308" t="inlineStr"/>
      <c r="R30" s="308" t="inlineStr">
        <is>
          <t>native text sufficient</t>
        </is>
      </c>
      <c r="S30" s="308" t="inlineStr"/>
      <c r="T30" s="308" t="inlineStr">
        <is>
          <t>p4:native:64</t>
        </is>
      </c>
      <c r="U30" s="308" t="n">
        <v>1</v>
      </c>
    </row>
    <row r="31">
      <c r="A31" s="308" t="inlineStr">
        <is>
          <t>Missing in Excel</t>
        </is>
      </c>
      <c r="B31" s="308" t="inlineStr">
        <is>
          <t>DG7000</t>
        </is>
      </c>
      <c r="C31" s="308" t="n">
        <v>4</v>
      </c>
      <c r="D31" s="308" t="inlineStr">
        <is>
          <t>2"-HPHW-12A</t>
        </is>
      </c>
      <c r="E31" s="308" t="inlineStr">
        <is>
          <t>HPHW</t>
        </is>
      </c>
      <c r="F31" s="308" t="inlineStr">
        <is>
          <t>12A</t>
        </is>
      </c>
      <c r="G31" s="308" t="inlineStr">
        <is>
          <t>line</t>
        </is>
      </c>
      <c r="H31" s="311" t="n">
        <v>0.77</v>
      </c>
      <c r="I31" s="308" t="inlineStr">
        <is>
          <t>Medium</t>
        </is>
      </c>
      <c r="J31" s="308" t="inlineStr">
        <is>
          <t>drawing</t>
        </is>
      </c>
      <c r="K31" s="308" t="inlineStr">
        <is>
          <t>line:size-prefix</t>
        </is>
      </c>
      <c r="L31" s="308" t="inlineStr">
        <is>
          <t>drawing zone; process page; mapped sheet</t>
        </is>
      </c>
      <c r="M31" s="308" t="inlineStr">
        <is>
          <t>2"-HPHW-12A</t>
        </is>
      </c>
      <c r="N31" s="308" t="inlineStr">
        <is>
          <t>native</t>
        </is>
      </c>
      <c r="O31" s="308" t="inlineStr">
        <is>
          <t>native-only</t>
        </is>
      </c>
      <c r="P31" s="308" t="inlineStr">
        <is>
          <t>native</t>
        </is>
      </c>
      <c r="Q31" s="308" t="inlineStr"/>
      <c r="R31" s="308" t="inlineStr">
        <is>
          <t>native text sufficient</t>
        </is>
      </c>
      <c r="S31" s="308" t="inlineStr"/>
      <c r="T31" s="308" t="inlineStr">
        <is>
          <t>p4:native:65</t>
        </is>
      </c>
      <c r="U31" s="308" t="n">
        <v>1</v>
      </c>
    </row>
    <row r="32">
      <c r="A32" s="308" t="inlineStr">
        <is>
          <t>Missing in Excel</t>
        </is>
      </c>
      <c r="B32" s="308" t="inlineStr">
        <is>
          <t>DG7001</t>
        </is>
      </c>
      <c r="C32" s="308" t="n">
        <v>5</v>
      </c>
      <c r="D32" s="308" t="inlineStr">
        <is>
          <t>RL7-CNV-110</t>
        </is>
      </c>
      <c r="E32" s="308" t="inlineStr">
        <is>
          <t>RL7-CNV-110</t>
        </is>
      </c>
      <c r="F32" s="308" t="inlineStr"/>
      <c r="G32" s="308" t="inlineStr">
        <is>
          <t>equipment</t>
        </is>
      </c>
      <c r="H32" s="311" t="n">
        <v>0.77</v>
      </c>
      <c r="I32" s="308" t="inlineStr">
        <is>
          <t>Medium</t>
        </is>
      </c>
      <c r="J32" s="308" t="inlineStr">
        <is>
          <t>drawing</t>
        </is>
      </c>
      <c r="K32" s="308" t="inlineStr">
        <is>
          <t>standalone:asset</t>
        </is>
      </c>
      <c r="L32" s="308" t="inlineStr">
        <is>
          <t>drawing zone; process page; mapped sheet</t>
        </is>
      </c>
      <c r="M32" s="308" t="inlineStr">
        <is>
          <t>RL7-CNV-110</t>
        </is>
      </c>
      <c r="N32" s="308" t="inlineStr">
        <is>
          <t>native</t>
        </is>
      </c>
      <c r="O32" s="308" t="inlineStr">
        <is>
          <t>native-only</t>
        </is>
      </c>
      <c r="P32" s="308" t="inlineStr">
        <is>
          <t>native</t>
        </is>
      </c>
      <c r="Q32" s="308" t="inlineStr"/>
      <c r="R32" s="308" t="inlineStr">
        <is>
          <t>native text sufficient</t>
        </is>
      </c>
      <c r="S32" s="308" t="inlineStr"/>
      <c r="T32" s="308" t="inlineStr">
        <is>
          <t>p5:native:24</t>
        </is>
      </c>
      <c r="U32" s="308" t="n">
        <v>1</v>
      </c>
    </row>
    <row r="33">
      <c r="A33" s="308" t="inlineStr">
        <is>
          <t>Missing in Excel</t>
        </is>
      </c>
      <c r="B33" s="308" t="inlineStr">
        <is>
          <t>DG7001</t>
        </is>
      </c>
      <c r="C33" s="308" t="n">
        <v>5</v>
      </c>
      <c r="D33" s="308" t="inlineStr">
        <is>
          <t>RL7-CNV-111</t>
        </is>
      </c>
      <c r="E33" s="308" t="inlineStr">
        <is>
          <t>RL7-CNV-111</t>
        </is>
      </c>
      <c r="F33" s="308" t="inlineStr"/>
      <c r="G33" s="308" t="inlineStr">
        <is>
          <t>equipment</t>
        </is>
      </c>
      <c r="H33" s="311" t="n">
        <v>0.77</v>
      </c>
      <c r="I33" s="308" t="inlineStr">
        <is>
          <t>Medium</t>
        </is>
      </c>
      <c r="J33" s="308" t="inlineStr">
        <is>
          <t>drawing</t>
        </is>
      </c>
      <c r="K33" s="308" t="inlineStr">
        <is>
          <t>standalone:asset</t>
        </is>
      </c>
      <c r="L33" s="308" t="inlineStr">
        <is>
          <t>drawing zone; process page; mapped sheet</t>
        </is>
      </c>
      <c r="M33" s="308" t="inlineStr">
        <is>
          <t>RL7-CNV-111</t>
        </is>
      </c>
      <c r="N33" s="308" t="inlineStr">
        <is>
          <t>native</t>
        </is>
      </c>
      <c r="O33" s="308" t="inlineStr">
        <is>
          <t>native-only</t>
        </is>
      </c>
      <c r="P33" s="308" t="inlineStr">
        <is>
          <t>native</t>
        </is>
      </c>
      <c r="Q33" s="308" t="inlineStr"/>
      <c r="R33" s="308" t="inlineStr">
        <is>
          <t>native text sufficient</t>
        </is>
      </c>
      <c r="S33" s="308" t="inlineStr"/>
      <c r="T33" s="308" t="inlineStr">
        <is>
          <t>p5:native:6</t>
        </is>
      </c>
      <c r="U33" s="308" t="n">
        <v>1</v>
      </c>
    </row>
    <row r="34">
      <c r="A34" s="308" t="inlineStr">
        <is>
          <t>Missing in Excel</t>
        </is>
      </c>
      <c r="B34" s="308" t="inlineStr">
        <is>
          <t>DG7001</t>
        </is>
      </c>
      <c r="C34" s="308" t="n">
        <v>5</v>
      </c>
      <c r="D34" s="308" t="inlineStr">
        <is>
          <t>RL7-CNV-110-ZSC01</t>
        </is>
      </c>
      <c r="E34" s="308" t="inlineStr">
        <is>
          <t>RL7-CNV-110</t>
        </is>
      </c>
      <c r="F34" s="308" t="inlineStr">
        <is>
          <t>ZSC01</t>
        </is>
      </c>
      <c r="G34" s="308" t="inlineStr">
        <is>
          <t>instrument</t>
        </is>
      </c>
      <c r="H34" s="311" t="n">
        <v>0.99</v>
      </c>
      <c r="I34" s="308" t="inlineStr">
        <is>
          <t>High</t>
        </is>
      </c>
      <c r="J34" s="308" t="inlineStr">
        <is>
          <t>drawing</t>
        </is>
      </c>
      <c r="K34" s="308" t="inlineStr">
        <is>
          <t>stacked:isa</t>
        </is>
      </c>
      <c r="L34" s="308" t="inlineStr">
        <is>
          <t>drawing zone; process page; mapped sheet</t>
        </is>
      </c>
      <c r="M34" s="308" t="inlineStr">
        <is>
          <t>RL7-CNV-110 / ZSC-01</t>
        </is>
      </c>
      <c r="N34" s="308" t="inlineStr">
        <is>
          <t>native</t>
        </is>
      </c>
      <c r="O34" s="308" t="inlineStr">
        <is>
          <t>native-only</t>
        </is>
      </c>
      <c r="P34" s="308" t="inlineStr">
        <is>
          <t>native</t>
        </is>
      </c>
      <c r="Q34" s="308" t="inlineStr"/>
      <c r="R34" s="308" t="inlineStr">
        <is>
          <t>native text sufficient</t>
        </is>
      </c>
      <c r="S34" s="308" t="inlineStr"/>
      <c r="T34" s="308" t="inlineStr">
        <is>
          <t>p5:native:26, p5:native:27</t>
        </is>
      </c>
      <c r="U34" s="308" t="n">
        <v>2</v>
      </c>
    </row>
    <row r="35">
      <c r="A35" s="308" t="inlineStr">
        <is>
          <t>Missing in Excel</t>
        </is>
      </c>
      <c r="B35" s="308" t="inlineStr">
        <is>
          <t>DG7001</t>
        </is>
      </c>
      <c r="C35" s="308" t="n">
        <v>5</v>
      </c>
      <c r="D35" s="308" t="inlineStr">
        <is>
          <t>RL7-CNV-110-ZSO01</t>
        </is>
      </c>
      <c r="E35" s="308" t="inlineStr">
        <is>
          <t>RL7-CNV-110</t>
        </is>
      </c>
      <c r="F35" s="308" t="inlineStr">
        <is>
          <t>ZSO01</t>
        </is>
      </c>
      <c r="G35" s="308" t="inlineStr">
        <is>
          <t>instrument</t>
        </is>
      </c>
      <c r="H35" s="311" t="n">
        <v>0.99</v>
      </c>
      <c r="I35" s="308" t="inlineStr">
        <is>
          <t>High</t>
        </is>
      </c>
      <c r="J35" s="308" t="inlineStr">
        <is>
          <t>drawing</t>
        </is>
      </c>
      <c r="K35" s="308" t="inlineStr">
        <is>
          <t>stacked:isa</t>
        </is>
      </c>
      <c r="L35" s="308" t="inlineStr">
        <is>
          <t>drawing zone; process page; mapped sheet</t>
        </is>
      </c>
      <c r="M35" s="308" t="inlineStr">
        <is>
          <t>RL7-CNV-110 / ZSO-01</t>
        </is>
      </c>
      <c r="N35" s="308" t="inlineStr">
        <is>
          <t>native</t>
        </is>
      </c>
      <c r="O35" s="308" t="inlineStr">
        <is>
          <t>native-only</t>
        </is>
      </c>
      <c r="P35" s="308" t="inlineStr">
        <is>
          <t>native</t>
        </is>
      </c>
      <c r="Q35" s="308" t="inlineStr"/>
      <c r="R35" s="308" t="inlineStr">
        <is>
          <t>native text sufficient</t>
        </is>
      </c>
      <c r="S35" s="308" t="inlineStr"/>
      <c r="T35" s="308" t="inlineStr">
        <is>
          <t>p5:native:24, p5:native:25</t>
        </is>
      </c>
      <c r="U35" s="308" t="n">
        <v>2</v>
      </c>
    </row>
    <row r="36">
      <c r="A36" s="308" t="inlineStr">
        <is>
          <t>Missing in Excel</t>
        </is>
      </c>
      <c r="B36" s="308" t="inlineStr">
        <is>
          <t>DG7001</t>
        </is>
      </c>
      <c r="C36" s="308" t="n">
        <v>5</v>
      </c>
      <c r="D36" s="308" t="inlineStr">
        <is>
          <t>RL7-CNV-111-XY05</t>
        </is>
      </c>
      <c r="E36" s="308" t="inlineStr">
        <is>
          <t>RL7-CNV-111</t>
        </is>
      </c>
      <c r="F36" s="308" t="inlineStr">
        <is>
          <t>XY05</t>
        </is>
      </c>
      <c r="G36" s="308" t="inlineStr">
        <is>
          <t>instrument</t>
        </is>
      </c>
      <c r="H36" s="311" t="n">
        <v>0.99</v>
      </c>
      <c r="I36" s="308" t="inlineStr">
        <is>
          <t>High</t>
        </is>
      </c>
      <c r="J36" s="308" t="inlineStr">
        <is>
          <t>drawing</t>
        </is>
      </c>
      <c r="K36" s="308" t="inlineStr">
        <is>
          <t>stacked:isa</t>
        </is>
      </c>
      <c r="L36" s="308" t="inlineStr">
        <is>
          <t>drawing zone; process page; mapped sheet</t>
        </is>
      </c>
      <c r="M36" s="308" t="inlineStr">
        <is>
          <t>RL7-CNV-111 / XY-05</t>
        </is>
      </c>
      <c r="N36" s="308" t="inlineStr">
        <is>
          <t>native</t>
        </is>
      </c>
      <c r="O36" s="308" t="inlineStr">
        <is>
          <t>native-only</t>
        </is>
      </c>
      <c r="P36" s="308" t="inlineStr">
        <is>
          <t>native</t>
        </is>
      </c>
      <c r="Q36" s="308" t="inlineStr"/>
      <c r="R36" s="308" t="inlineStr">
        <is>
          <t>native text sufficient</t>
        </is>
      </c>
      <c r="S36" s="308" t="inlineStr"/>
      <c r="T36" s="308" t="inlineStr">
        <is>
          <t>p5:native:100, p5:native:101</t>
        </is>
      </c>
      <c r="U36" s="308" t="n">
        <v>2</v>
      </c>
    </row>
    <row r="37">
      <c r="A37" s="308" t="inlineStr">
        <is>
          <t>Missing in Excel</t>
        </is>
      </c>
      <c r="B37" s="308" t="inlineStr">
        <is>
          <t>DG7001</t>
        </is>
      </c>
      <c r="C37" s="308" t="n">
        <v>5</v>
      </c>
      <c r="D37" s="308" t="inlineStr">
        <is>
          <t>RL7-CNV-110-HV001</t>
        </is>
      </c>
      <c r="E37" s="308" t="inlineStr">
        <is>
          <t>RL7-CNV-110</t>
        </is>
      </c>
      <c r="F37" s="308" t="inlineStr">
        <is>
          <t>HV001</t>
        </is>
      </c>
      <c r="G37" s="308" t="inlineStr">
        <is>
          <t>instrument</t>
        </is>
      </c>
      <c r="H37" s="311" t="n">
        <v>0.57</v>
      </c>
      <c r="I37" s="308" t="inlineStr">
        <is>
          <t>Low</t>
        </is>
      </c>
      <c r="J37" s="308" t="inlineStr">
        <is>
          <t>drawing</t>
        </is>
      </c>
      <c r="K37" s="308" t="inlineStr">
        <is>
          <t>inferred:bare-isa</t>
        </is>
      </c>
      <c r="L37" s="308" t="inlineStr">
        <is>
          <t>drawing zone; process page; mapped sheet</t>
        </is>
      </c>
      <c r="M37" s="308" t="inlineStr">
        <is>
          <t>RL7-CNV-110 / HV</t>
        </is>
      </c>
      <c r="N37" s="308" t="inlineStr">
        <is>
          <t>native</t>
        </is>
      </c>
      <c r="O37" s="308" t="inlineStr">
        <is>
          <t>native-only</t>
        </is>
      </c>
      <c r="P37" s="308" t="inlineStr">
        <is>
          <t>native</t>
        </is>
      </c>
      <c r="Q37" s="308" t="inlineStr"/>
      <c r="R37" s="308" t="inlineStr">
        <is>
          <t>native text sufficient</t>
        </is>
      </c>
      <c r="S37" s="308" t="inlineStr"/>
      <c r="T37" s="308" t="inlineStr">
        <is>
          <t>p5:native:24, p5:native:58</t>
        </is>
      </c>
      <c r="U37" s="308" t="n">
        <v>2</v>
      </c>
    </row>
    <row r="38">
      <c r="A38" s="308" t="inlineStr">
        <is>
          <t>Missing in Excel</t>
        </is>
      </c>
      <c r="B38" s="308" t="inlineStr">
        <is>
          <t>DG7001</t>
        </is>
      </c>
      <c r="C38" s="308" t="n">
        <v>5</v>
      </c>
      <c r="D38" s="308" t="inlineStr">
        <is>
          <t>RL7-CNV-110-HV002</t>
        </is>
      </c>
      <c r="E38" s="308" t="inlineStr">
        <is>
          <t>RL7-CNV-110</t>
        </is>
      </c>
      <c r="F38" s="308" t="inlineStr">
        <is>
          <t>HV002</t>
        </is>
      </c>
      <c r="G38" s="308" t="inlineStr">
        <is>
          <t>instrument</t>
        </is>
      </c>
      <c r="H38" s="311" t="n">
        <v>0.57</v>
      </c>
      <c r="I38" s="308" t="inlineStr">
        <is>
          <t>Low</t>
        </is>
      </c>
      <c r="J38" s="308" t="inlineStr">
        <is>
          <t>drawing</t>
        </is>
      </c>
      <c r="K38" s="308" t="inlineStr">
        <is>
          <t>inferred:bare-isa</t>
        </is>
      </c>
      <c r="L38" s="308" t="inlineStr">
        <is>
          <t>drawing zone; process page; mapped sheet</t>
        </is>
      </c>
      <c r="M38" s="308" t="inlineStr">
        <is>
          <t>RL7-CNV-110 / HV</t>
        </is>
      </c>
      <c r="N38" s="308" t="inlineStr">
        <is>
          <t>native</t>
        </is>
      </c>
      <c r="O38" s="308" t="inlineStr">
        <is>
          <t>native-only</t>
        </is>
      </c>
      <c r="P38" s="308" t="inlineStr">
        <is>
          <t>native</t>
        </is>
      </c>
      <c r="Q38" s="308" t="inlineStr"/>
      <c r="R38" s="308" t="inlineStr">
        <is>
          <t>native text sufficient</t>
        </is>
      </c>
      <c r="S38" s="308" t="inlineStr"/>
      <c r="T38" s="308" t="inlineStr">
        <is>
          <t>p5:native:98, p5:native:112</t>
        </is>
      </c>
      <c r="U38" s="308" t="n">
        <v>2</v>
      </c>
    </row>
    <row r="39">
      <c r="A39" s="308" t="inlineStr">
        <is>
          <t>Missing in Excel</t>
        </is>
      </c>
      <c r="B39" s="308" t="inlineStr">
        <is>
          <t>DG7001</t>
        </is>
      </c>
      <c r="C39" s="308" t="n">
        <v>5</v>
      </c>
      <c r="D39" s="308" t="inlineStr">
        <is>
          <t>RL7-CNV-110-PI001</t>
        </is>
      </c>
      <c r="E39" s="308" t="inlineStr">
        <is>
          <t>RL7-CNV-110</t>
        </is>
      </c>
      <c r="F39" s="308" t="inlineStr">
        <is>
          <t>PI001</t>
        </is>
      </c>
      <c r="G39" s="308" t="inlineStr">
        <is>
          <t>instrument</t>
        </is>
      </c>
      <c r="H39" s="311" t="n">
        <v>0.57</v>
      </c>
      <c r="I39" s="308" t="inlineStr">
        <is>
          <t>Low</t>
        </is>
      </c>
      <c r="J39" s="308" t="inlineStr">
        <is>
          <t>drawing</t>
        </is>
      </c>
      <c r="K39" s="308" t="inlineStr">
        <is>
          <t>inferred:bare-isa</t>
        </is>
      </c>
      <c r="L39" s="308" t="inlineStr">
        <is>
          <t>drawing zone; process page; mapped sheet</t>
        </is>
      </c>
      <c r="M39" s="308" t="inlineStr">
        <is>
          <t>RL7-CNV-110 / PI</t>
        </is>
      </c>
      <c r="N39" s="308" t="inlineStr">
        <is>
          <t>native</t>
        </is>
      </c>
      <c r="O39" s="308" t="inlineStr">
        <is>
          <t>native-only</t>
        </is>
      </c>
      <c r="P39" s="308" t="inlineStr">
        <is>
          <t>native</t>
        </is>
      </c>
      <c r="Q39" s="308" t="inlineStr"/>
      <c r="R39" s="308" t="inlineStr">
        <is>
          <t>native text sufficient</t>
        </is>
      </c>
      <c r="S39" s="308" t="inlineStr"/>
      <c r="T39" s="308" t="inlineStr">
        <is>
          <t>p5:native:187, p5:native:70</t>
        </is>
      </c>
      <c r="U39" s="308" t="n">
        <v>2</v>
      </c>
    </row>
    <row r="40">
      <c r="A40" s="308" t="inlineStr">
        <is>
          <t>Missing in Excel</t>
        </is>
      </c>
      <c r="B40" s="308" t="inlineStr">
        <is>
          <t>DG7001</t>
        </is>
      </c>
      <c r="C40" s="308" t="n">
        <v>5</v>
      </c>
      <c r="D40" s="308" t="inlineStr">
        <is>
          <t>RL7-CNV-110-PI002</t>
        </is>
      </c>
      <c r="E40" s="308" t="inlineStr">
        <is>
          <t>RL7-CNV-110</t>
        </is>
      </c>
      <c r="F40" s="308" t="inlineStr">
        <is>
          <t>PI002</t>
        </is>
      </c>
      <c r="G40" s="308" t="inlineStr">
        <is>
          <t>instrument</t>
        </is>
      </c>
      <c r="H40" s="311" t="n">
        <v>0.57</v>
      </c>
      <c r="I40" s="308" t="inlineStr">
        <is>
          <t>Low</t>
        </is>
      </c>
      <c r="J40" s="308" t="inlineStr">
        <is>
          <t>drawing</t>
        </is>
      </c>
      <c r="K40" s="308" t="inlineStr">
        <is>
          <t>inferred:bare-isa</t>
        </is>
      </c>
      <c r="L40" s="308" t="inlineStr">
        <is>
          <t>drawing zone; process page; mapped sheet</t>
        </is>
      </c>
      <c r="M40" s="308" t="inlineStr">
        <is>
          <t>RL7-CNV-110 / PI</t>
        </is>
      </c>
      <c r="N40" s="308" t="inlineStr">
        <is>
          <t>native</t>
        </is>
      </c>
      <c r="O40" s="308" t="inlineStr">
        <is>
          <t>native-only</t>
        </is>
      </c>
      <c r="P40" s="308" t="inlineStr">
        <is>
          <t>native</t>
        </is>
      </c>
      <c r="Q40" s="308" t="inlineStr"/>
      <c r="R40" s="308" t="inlineStr">
        <is>
          <t>native text sufficient</t>
        </is>
      </c>
      <c r="S40" s="308" t="inlineStr"/>
      <c r="T40" s="308" t="inlineStr">
        <is>
          <t>p5:native:187, p5:native:116</t>
        </is>
      </c>
      <c r="U40" s="308" t="n">
        <v>2</v>
      </c>
    </row>
    <row r="41">
      <c r="A41" s="308" t="inlineStr">
        <is>
          <t>Missing in Excel</t>
        </is>
      </c>
      <c r="B41" s="308" t="inlineStr">
        <is>
          <t>DG7001</t>
        </is>
      </c>
      <c r="C41" s="308" t="n">
        <v>5</v>
      </c>
      <c r="D41" s="308" t="inlineStr">
        <is>
          <t>RL7-CNV-111-HV001</t>
        </is>
      </c>
      <c r="E41" s="308" t="inlineStr">
        <is>
          <t>RL7-CNV-111</t>
        </is>
      </c>
      <c r="F41" s="308" t="inlineStr">
        <is>
          <t>HV001</t>
        </is>
      </c>
      <c r="G41" s="308" t="inlineStr">
        <is>
          <t>instrument</t>
        </is>
      </c>
      <c r="H41" s="311" t="n">
        <v>0.57</v>
      </c>
      <c r="I41" s="308" t="inlineStr">
        <is>
          <t>Low</t>
        </is>
      </c>
      <c r="J41" s="308" t="inlineStr">
        <is>
          <t>drawing</t>
        </is>
      </c>
      <c r="K41" s="308" t="inlineStr">
        <is>
          <t>inferred:bare-isa</t>
        </is>
      </c>
      <c r="L41" s="308" t="inlineStr">
        <is>
          <t>drawing zone; process page; mapped sheet</t>
        </is>
      </c>
      <c r="M41" s="308" t="inlineStr">
        <is>
          <t>RL7-CNV-111 / HV</t>
        </is>
      </c>
      <c r="N41" s="308" t="inlineStr">
        <is>
          <t>native</t>
        </is>
      </c>
      <c r="O41" s="308" t="inlineStr">
        <is>
          <t>native-only</t>
        </is>
      </c>
      <c r="P41" s="308" t="inlineStr">
        <is>
          <t>native</t>
        </is>
      </c>
      <c r="Q41" s="308" t="inlineStr"/>
      <c r="R41" s="308" t="inlineStr">
        <is>
          <t>native text sufficient</t>
        </is>
      </c>
      <c r="S41" s="308" t="inlineStr"/>
      <c r="T41" s="308" t="inlineStr">
        <is>
          <t>p5:native:14, p5:native:76</t>
        </is>
      </c>
      <c r="U41" s="308" t="n">
        <v>2</v>
      </c>
    </row>
    <row r="42">
      <c r="A42" s="308" t="inlineStr">
        <is>
          <t>Missing in Excel</t>
        </is>
      </c>
      <c r="B42" s="308" t="inlineStr">
        <is>
          <t>DG7001</t>
        </is>
      </c>
      <c r="C42" s="308" t="n">
        <v>5</v>
      </c>
      <c r="D42" s="308" t="inlineStr">
        <is>
          <t>RL7-CNV-111-HV002</t>
        </is>
      </c>
      <c r="E42" s="308" t="inlineStr">
        <is>
          <t>RL7-CNV-111</t>
        </is>
      </c>
      <c r="F42" s="308" t="inlineStr">
        <is>
          <t>HV002</t>
        </is>
      </c>
      <c r="G42" s="308" t="inlineStr">
        <is>
          <t>instrument</t>
        </is>
      </c>
      <c r="H42" s="311" t="n">
        <v>0.57</v>
      </c>
      <c r="I42" s="308" t="inlineStr">
        <is>
          <t>Low</t>
        </is>
      </c>
      <c r="J42" s="308" t="inlineStr">
        <is>
          <t>drawing</t>
        </is>
      </c>
      <c r="K42" s="308" t="inlineStr">
        <is>
          <t>inferred:bare-isa</t>
        </is>
      </c>
      <c r="L42" s="308" t="inlineStr">
        <is>
          <t>drawing zone; process page; mapped sheet</t>
        </is>
      </c>
      <c r="M42" s="308" t="inlineStr">
        <is>
          <t>RL7-CNV-111 / HV</t>
        </is>
      </c>
      <c r="N42" s="308" t="inlineStr">
        <is>
          <t>native</t>
        </is>
      </c>
      <c r="O42" s="308" t="inlineStr">
        <is>
          <t>native-only</t>
        </is>
      </c>
      <c r="P42" s="308" t="inlineStr">
        <is>
          <t>native</t>
        </is>
      </c>
      <c r="Q42" s="308" t="inlineStr"/>
      <c r="R42" s="308" t="inlineStr">
        <is>
          <t>native text sufficient</t>
        </is>
      </c>
      <c r="S42" s="308" t="inlineStr"/>
      <c r="T42" s="308" t="inlineStr">
        <is>
          <t>p5:native:100, p5:native:106</t>
        </is>
      </c>
      <c r="U42" s="308" t="n">
        <v>2</v>
      </c>
    </row>
    <row r="43">
      <c r="A43" s="308" t="inlineStr">
        <is>
          <t>Missing in Excel</t>
        </is>
      </c>
      <c r="B43" s="308" t="inlineStr">
        <is>
          <t>DG7001</t>
        </is>
      </c>
      <c r="C43" s="308" t="n">
        <v>5</v>
      </c>
      <c r="D43" s="308" t="inlineStr">
        <is>
          <t>RL7-CNV-111-PI001</t>
        </is>
      </c>
      <c r="E43" s="308" t="inlineStr">
        <is>
          <t>RL7-CNV-111</t>
        </is>
      </c>
      <c r="F43" s="308" t="inlineStr">
        <is>
          <t>PI001</t>
        </is>
      </c>
      <c r="G43" s="308" t="inlineStr">
        <is>
          <t>instrument</t>
        </is>
      </c>
      <c r="H43" s="311" t="n">
        <v>0.57</v>
      </c>
      <c r="I43" s="308" t="inlineStr">
        <is>
          <t>Low</t>
        </is>
      </c>
      <c r="J43" s="308" t="inlineStr">
        <is>
          <t>drawing</t>
        </is>
      </c>
      <c r="K43" s="308" t="inlineStr">
        <is>
          <t>inferred:bare-isa</t>
        </is>
      </c>
      <c r="L43" s="308" t="inlineStr">
        <is>
          <t>drawing zone; process page; mapped sheet</t>
        </is>
      </c>
      <c r="M43" s="308" t="inlineStr">
        <is>
          <t>RL7-CNV-111 / PI</t>
        </is>
      </c>
      <c r="N43" s="308" t="inlineStr">
        <is>
          <t>native</t>
        </is>
      </c>
      <c r="O43" s="308" t="inlineStr">
        <is>
          <t>native-only</t>
        </is>
      </c>
      <c r="P43" s="308" t="inlineStr">
        <is>
          <t>native</t>
        </is>
      </c>
      <c r="Q43" s="308" t="inlineStr"/>
      <c r="R43" s="308" t="inlineStr">
        <is>
          <t>native text sufficient</t>
        </is>
      </c>
      <c r="S43" s="308" t="inlineStr"/>
      <c r="T43" s="308" t="inlineStr">
        <is>
          <t>p5:native:14, p5:native:92</t>
        </is>
      </c>
      <c r="U43" s="308" t="n">
        <v>2</v>
      </c>
    </row>
    <row r="44">
      <c r="A44" s="308" t="inlineStr">
        <is>
          <t>Missing in Excel</t>
        </is>
      </c>
      <c r="B44" s="308" t="inlineStr">
        <is>
          <t>DG7001</t>
        </is>
      </c>
      <c r="C44" s="308" t="n">
        <v>5</v>
      </c>
      <c r="D44" s="308" t="inlineStr">
        <is>
          <t>RL7-CNV-111-PI002</t>
        </is>
      </c>
      <c r="E44" s="308" t="inlineStr">
        <is>
          <t>RL7-CNV-111</t>
        </is>
      </c>
      <c r="F44" s="308" t="inlineStr">
        <is>
          <t>PI002</t>
        </is>
      </c>
      <c r="G44" s="308" t="inlineStr">
        <is>
          <t>instrument</t>
        </is>
      </c>
      <c r="H44" s="311" t="n">
        <v>0.57</v>
      </c>
      <c r="I44" s="308" t="inlineStr">
        <is>
          <t>Low</t>
        </is>
      </c>
      <c r="J44" s="308" t="inlineStr">
        <is>
          <t>drawing</t>
        </is>
      </c>
      <c r="K44" s="308" t="inlineStr">
        <is>
          <t>inferred:bare-isa</t>
        </is>
      </c>
      <c r="L44" s="308" t="inlineStr">
        <is>
          <t>drawing zone; process page; mapped sheet</t>
        </is>
      </c>
      <c r="M44" s="308" t="inlineStr">
        <is>
          <t>RL7-CNV-111 / PI</t>
        </is>
      </c>
      <c r="N44" s="308" t="inlineStr">
        <is>
          <t>native</t>
        </is>
      </c>
      <c r="O44" s="308" t="inlineStr">
        <is>
          <t>native-only</t>
        </is>
      </c>
      <c r="P44" s="308" t="inlineStr">
        <is>
          <t>native</t>
        </is>
      </c>
      <c r="Q44" s="308" t="inlineStr"/>
      <c r="R44" s="308" t="inlineStr">
        <is>
          <t>native text sufficient</t>
        </is>
      </c>
      <c r="S44" s="308" t="inlineStr"/>
      <c r="T44" s="308" t="inlineStr">
        <is>
          <t>p5:native:14, p5:native:50</t>
        </is>
      </c>
      <c r="U44" s="308" t="n">
        <v>2</v>
      </c>
    </row>
    <row r="45">
      <c r="A45" s="308" t="inlineStr">
        <is>
          <t>Missing in Excel</t>
        </is>
      </c>
      <c r="B45" s="308" t="inlineStr">
        <is>
          <t>DG7001</t>
        </is>
      </c>
      <c r="C45" s="308" t="n">
        <v>5</v>
      </c>
      <c r="D45" s="308" t="inlineStr">
        <is>
          <t>1"-PHWS140-12A</t>
        </is>
      </c>
      <c r="E45" s="308" t="inlineStr">
        <is>
          <t>PHWS140</t>
        </is>
      </c>
      <c r="F45" s="308" t="inlineStr">
        <is>
          <t>12A</t>
        </is>
      </c>
      <c r="G45" s="308" t="inlineStr">
        <is>
          <t>line</t>
        </is>
      </c>
      <c r="H45" s="311" t="n">
        <v>0.87</v>
      </c>
      <c r="I45" s="308" t="inlineStr">
        <is>
          <t>Medium</t>
        </is>
      </c>
      <c r="J45" s="308" t="inlineStr">
        <is>
          <t>drawing</t>
        </is>
      </c>
      <c r="K45" s="308" t="inlineStr">
        <is>
          <t>line:size-prefix</t>
        </is>
      </c>
      <c r="L45" s="308" t="inlineStr">
        <is>
          <t>drawing zone; process page; mapped sheet; repeated x4</t>
        </is>
      </c>
      <c r="M45" s="308" t="inlineStr">
        <is>
          <t>1"-PHWS140-12A</t>
        </is>
      </c>
      <c r="N45" s="308" t="inlineStr">
        <is>
          <t>native</t>
        </is>
      </c>
      <c r="O45" s="308" t="inlineStr">
        <is>
          <t>native-only</t>
        </is>
      </c>
      <c r="P45" s="308" t="inlineStr">
        <is>
          <t>native</t>
        </is>
      </c>
      <c r="Q45" s="308" t="inlineStr"/>
      <c r="R45" s="308" t="inlineStr">
        <is>
          <t>native text sufficient</t>
        </is>
      </c>
      <c r="S45" s="308" t="inlineStr"/>
      <c r="T45" s="308" t="inlineStr">
        <is>
          <t>p5:native:85</t>
        </is>
      </c>
      <c r="U45" s="308" t="n">
        <v>1</v>
      </c>
    </row>
    <row r="46">
      <c r="A46" s="308" t="inlineStr">
        <is>
          <t>Missing in Excel</t>
        </is>
      </c>
      <c r="B46" s="308" t="inlineStr">
        <is>
          <t>DG7001</t>
        </is>
      </c>
      <c r="C46" s="308" t="n">
        <v>5</v>
      </c>
      <c r="D46" s="308" t="inlineStr">
        <is>
          <t>1"-PHWS140-12A</t>
        </is>
      </c>
      <c r="E46" s="308" t="inlineStr">
        <is>
          <t>PHWS140</t>
        </is>
      </c>
      <c r="F46" s="308" t="inlineStr">
        <is>
          <t>12A</t>
        </is>
      </c>
      <c r="G46" s="308" t="inlineStr">
        <is>
          <t>line</t>
        </is>
      </c>
      <c r="H46" s="311" t="n">
        <v>0.87</v>
      </c>
      <c r="I46" s="308" t="inlineStr">
        <is>
          <t>Medium</t>
        </is>
      </c>
      <c r="J46" s="308" t="inlineStr">
        <is>
          <t>drawing</t>
        </is>
      </c>
      <c r="K46" s="308" t="inlineStr">
        <is>
          <t>line:size-prefix</t>
        </is>
      </c>
      <c r="L46" s="308" t="inlineStr">
        <is>
          <t>drawing zone; process page; mapped sheet; repeated x4</t>
        </is>
      </c>
      <c r="M46" s="308" t="inlineStr">
        <is>
          <t>1"-PHWS140-12A</t>
        </is>
      </c>
      <c r="N46" s="308" t="inlineStr">
        <is>
          <t>native</t>
        </is>
      </c>
      <c r="O46" s="308" t="inlineStr">
        <is>
          <t>native-only</t>
        </is>
      </c>
      <c r="P46" s="308" t="inlineStr">
        <is>
          <t>native</t>
        </is>
      </c>
      <c r="Q46" s="308" t="inlineStr"/>
      <c r="R46" s="308" t="inlineStr">
        <is>
          <t>native text sufficient</t>
        </is>
      </c>
      <c r="S46" s="308" t="inlineStr"/>
      <c r="T46" s="308" t="inlineStr">
        <is>
          <t>p5:native:86</t>
        </is>
      </c>
      <c r="U46" s="308" t="n">
        <v>1</v>
      </c>
    </row>
    <row r="47">
      <c r="A47" s="308" t="inlineStr">
        <is>
          <t>Missing in Excel</t>
        </is>
      </c>
      <c r="B47" s="308" t="inlineStr">
        <is>
          <t>DG7001</t>
        </is>
      </c>
      <c r="C47" s="308" t="n">
        <v>5</v>
      </c>
      <c r="D47" s="308" t="inlineStr">
        <is>
          <t>1"-PHWS140-12A</t>
        </is>
      </c>
      <c r="E47" s="308" t="inlineStr">
        <is>
          <t>PHWS140</t>
        </is>
      </c>
      <c r="F47" s="308" t="inlineStr">
        <is>
          <t>12A</t>
        </is>
      </c>
      <c r="G47" s="308" t="inlineStr">
        <is>
          <t>line</t>
        </is>
      </c>
      <c r="H47" s="311" t="n">
        <v>0.87</v>
      </c>
      <c r="I47" s="308" t="inlineStr">
        <is>
          <t>Medium</t>
        </is>
      </c>
      <c r="J47" s="308" t="inlineStr">
        <is>
          <t>drawing</t>
        </is>
      </c>
      <c r="K47" s="308" t="inlineStr">
        <is>
          <t>line:size-prefix</t>
        </is>
      </c>
      <c r="L47" s="308" t="inlineStr">
        <is>
          <t>drawing zone; process page; mapped sheet; repeated x4</t>
        </is>
      </c>
      <c r="M47" s="308" t="inlineStr">
        <is>
          <t>2X1 1"-PHWS140-12A</t>
        </is>
      </c>
      <c r="N47" s="308" t="inlineStr">
        <is>
          <t>native</t>
        </is>
      </c>
      <c r="O47" s="308" t="inlineStr">
        <is>
          <t>native-only</t>
        </is>
      </c>
      <c r="P47" s="308" t="inlineStr">
        <is>
          <t>native</t>
        </is>
      </c>
      <c r="Q47" s="308" t="inlineStr"/>
      <c r="R47" s="308" t="inlineStr">
        <is>
          <t>native text sufficient</t>
        </is>
      </c>
      <c r="S47" s="308" t="inlineStr"/>
      <c r="T47" s="308" t="inlineStr">
        <is>
          <t>p5:native:186, p5:native:86</t>
        </is>
      </c>
      <c r="U47" s="308" t="n">
        <v>2</v>
      </c>
    </row>
    <row r="48">
      <c r="A48" s="308" t="inlineStr">
        <is>
          <t>Missing in Excel</t>
        </is>
      </c>
      <c r="B48" s="308" t="inlineStr">
        <is>
          <t>DG7001</t>
        </is>
      </c>
      <c r="C48" s="308" t="n">
        <v>5</v>
      </c>
      <c r="D48" s="308" t="inlineStr">
        <is>
          <t>1"-CA-12A</t>
        </is>
      </c>
      <c r="E48" s="308" t="inlineStr">
        <is>
          <t>CA</t>
        </is>
      </c>
      <c r="F48" s="308" t="inlineStr">
        <is>
          <t>12A</t>
        </is>
      </c>
      <c r="G48" s="308" t="inlineStr">
        <is>
          <t>line</t>
        </is>
      </c>
      <c r="H48" s="311" t="n">
        <v>0.845</v>
      </c>
      <c r="I48" s="308" t="inlineStr">
        <is>
          <t>Medium</t>
        </is>
      </c>
      <c r="J48" s="308" t="inlineStr">
        <is>
          <t>drawing</t>
        </is>
      </c>
      <c r="K48" s="308" t="inlineStr">
        <is>
          <t>line:size-prefix</t>
        </is>
      </c>
      <c r="L48" s="308" t="inlineStr">
        <is>
          <t>drawing zone; process page; mapped sheet; repeated x3</t>
        </is>
      </c>
      <c r="M48" s="308" t="inlineStr">
        <is>
          <t>1"-CA-12A</t>
        </is>
      </c>
      <c r="N48" s="308" t="inlineStr">
        <is>
          <t>native</t>
        </is>
      </c>
      <c r="O48" s="308" t="inlineStr">
        <is>
          <t>native-only</t>
        </is>
      </c>
      <c r="P48" s="308" t="inlineStr">
        <is>
          <t>native</t>
        </is>
      </c>
      <c r="Q48" s="308" t="inlineStr"/>
      <c r="R48" s="308" t="inlineStr">
        <is>
          <t>native text sufficient</t>
        </is>
      </c>
      <c r="S48" s="308" t="inlineStr"/>
      <c r="T48" s="308" t="inlineStr">
        <is>
          <t>p5:native:51</t>
        </is>
      </c>
      <c r="U48" s="308" t="n">
        <v>1</v>
      </c>
    </row>
    <row r="49">
      <c r="A49" s="308" t="inlineStr">
        <is>
          <t>Missing in Excel</t>
        </is>
      </c>
      <c r="B49" s="308" t="inlineStr">
        <is>
          <t>DG7001</t>
        </is>
      </c>
      <c r="C49" s="308" t="n">
        <v>5</v>
      </c>
      <c r="D49" s="308" t="inlineStr">
        <is>
          <t>1"-CA-12A</t>
        </is>
      </c>
      <c r="E49" s="308" t="inlineStr">
        <is>
          <t>CA</t>
        </is>
      </c>
      <c r="F49" s="308" t="inlineStr">
        <is>
          <t>12A</t>
        </is>
      </c>
      <c r="G49" s="308" t="inlineStr">
        <is>
          <t>line</t>
        </is>
      </c>
      <c r="H49" s="311" t="n">
        <v>0.845</v>
      </c>
      <c r="I49" s="308" t="inlineStr">
        <is>
          <t>Medium</t>
        </is>
      </c>
      <c r="J49" s="308" t="inlineStr">
        <is>
          <t>drawing</t>
        </is>
      </c>
      <c r="K49" s="308" t="inlineStr">
        <is>
          <t>line:size-prefix</t>
        </is>
      </c>
      <c r="L49" s="308" t="inlineStr">
        <is>
          <t>drawing zone; process page; mapped sheet; repeated x3</t>
        </is>
      </c>
      <c r="M49" s="308" t="inlineStr">
        <is>
          <t>1"-CA-12A</t>
        </is>
      </c>
      <c r="N49" s="308" t="inlineStr">
        <is>
          <t>native</t>
        </is>
      </c>
      <c r="O49" s="308" t="inlineStr">
        <is>
          <t>native-only</t>
        </is>
      </c>
      <c r="P49" s="308" t="inlineStr">
        <is>
          <t>native</t>
        </is>
      </c>
      <c r="Q49" s="308" t="inlineStr"/>
      <c r="R49" s="308" t="inlineStr">
        <is>
          <t>native text sufficient</t>
        </is>
      </c>
      <c r="S49" s="308" t="inlineStr"/>
      <c r="T49" s="308" t="inlineStr">
        <is>
          <t>p5:native:52</t>
        </is>
      </c>
      <c r="U49" s="308" t="n">
        <v>1</v>
      </c>
    </row>
    <row r="50">
      <c r="A50" s="308" t="inlineStr">
        <is>
          <t>Missing in Excel</t>
        </is>
      </c>
      <c r="B50" s="308" t="inlineStr">
        <is>
          <t>DG7001</t>
        </is>
      </c>
      <c r="C50" s="308" t="n">
        <v>5</v>
      </c>
      <c r="D50" s="308" t="inlineStr">
        <is>
          <t>1"-CA-12A</t>
        </is>
      </c>
      <c r="E50" s="308" t="inlineStr">
        <is>
          <t>CA</t>
        </is>
      </c>
      <c r="F50" s="308" t="inlineStr">
        <is>
          <t>12A</t>
        </is>
      </c>
      <c r="G50" s="308" t="inlineStr">
        <is>
          <t>line</t>
        </is>
      </c>
      <c r="H50" s="311" t="n">
        <v>0.845</v>
      </c>
      <c r="I50" s="308" t="inlineStr">
        <is>
          <t>Medium</t>
        </is>
      </c>
      <c r="J50" s="308" t="inlineStr">
        <is>
          <t>drawing</t>
        </is>
      </c>
      <c r="K50" s="308" t="inlineStr">
        <is>
          <t>line:size-prefix</t>
        </is>
      </c>
      <c r="L50" s="308" t="inlineStr">
        <is>
          <t>drawing zone; process page; mapped sheet; repeated x3</t>
        </is>
      </c>
      <c r="M50" s="308" t="inlineStr">
        <is>
          <t>1"-CA-12A</t>
        </is>
      </c>
      <c r="N50" s="308" t="inlineStr">
        <is>
          <t>native</t>
        </is>
      </c>
      <c r="O50" s="308" t="inlineStr">
        <is>
          <t>native-only</t>
        </is>
      </c>
      <c r="P50" s="308" t="inlineStr">
        <is>
          <t>native</t>
        </is>
      </c>
      <c r="Q50" s="308" t="inlineStr"/>
      <c r="R50" s="308" t="inlineStr">
        <is>
          <t>native text sufficient</t>
        </is>
      </c>
      <c r="S50" s="308" t="inlineStr"/>
      <c r="T50" s="308" t="inlineStr">
        <is>
          <t>p5:native:53</t>
        </is>
      </c>
      <c r="U50" s="308" t="n">
        <v>1</v>
      </c>
    </row>
    <row r="51">
      <c r="A51" s="308" t="inlineStr">
        <is>
          <t>Missing in Excel</t>
        </is>
      </c>
      <c r="B51" s="308" t="inlineStr">
        <is>
          <t>DG7001</t>
        </is>
      </c>
      <c r="C51" s="308" t="n">
        <v>5</v>
      </c>
      <c r="D51" s="308" t="inlineStr">
        <is>
          <t>2"-PHWS140-12A</t>
        </is>
      </c>
      <c r="E51" s="308" t="inlineStr">
        <is>
          <t>PHWS140</t>
        </is>
      </c>
      <c r="F51" s="308" t="inlineStr">
        <is>
          <t>12A</t>
        </is>
      </c>
      <c r="G51" s="308" t="inlineStr">
        <is>
          <t>line</t>
        </is>
      </c>
      <c r="H51" s="311" t="n">
        <v>0.845</v>
      </c>
      <c r="I51" s="308" t="inlineStr">
        <is>
          <t>Medium</t>
        </is>
      </c>
      <c r="J51" s="308" t="inlineStr">
        <is>
          <t>drawing</t>
        </is>
      </c>
      <c r="K51" s="308" t="inlineStr">
        <is>
          <t>line:size-prefix</t>
        </is>
      </c>
      <c r="L51" s="308" t="inlineStr">
        <is>
          <t>drawing zone; process page; mapped sheet; repeated x3</t>
        </is>
      </c>
      <c r="M51" s="308" t="inlineStr">
        <is>
          <t>2"-PHWS140-12A</t>
        </is>
      </c>
      <c r="N51" s="308" t="inlineStr">
        <is>
          <t>native</t>
        </is>
      </c>
      <c r="O51" s="308" t="inlineStr">
        <is>
          <t>native-only</t>
        </is>
      </c>
      <c r="P51" s="308" t="inlineStr">
        <is>
          <t>native</t>
        </is>
      </c>
      <c r="Q51" s="308" t="inlineStr"/>
      <c r="R51" s="308" t="inlineStr">
        <is>
          <t>native text sufficient</t>
        </is>
      </c>
      <c r="S51" s="308" t="inlineStr"/>
      <c r="T51" s="308" t="inlineStr">
        <is>
          <t>p5:native:84</t>
        </is>
      </c>
      <c r="U51" s="308" t="n">
        <v>1</v>
      </c>
    </row>
    <row r="52">
      <c r="A52" s="308" t="inlineStr">
        <is>
          <t>Missing in Excel</t>
        </is>
      </c>
      <c r="B52" s="308" t="inlineStr">
        <is>
          <t>DG7001</t>
        </is>
      </c>
      <c r="C52" s="308" t="n">
        <v>5</v>
      </c>
      <c r="D52" s="308" t="inlineStr">
        <is>
          <t>2"-PHWS140-12A</t>
        </is>
      </c>
      <c r="E52" s="308" t="inlineStr">
        <is>
          <t>PHWS140</t>
        </is>
      </c>
      <c r="F52" s="308" t="inlineStr">
        <is>
          <t>12A</t>
        </is>
      </c>
      <c r="G52" s="308" t="inlineStr">
        <is>
          <t>line</t>
        </is>
      </c>
      <c r="H52" s="311" t="n">
        <v>0.845</v>
      </c>
      <c r="I52" s="308" t="inlineStr">
        <is>
          <t>Medium</t>
        </is>
      </c>
      <c r="J52" s="308" t="inlineStr">
        <is>
          <t>drawing</t>
        </is>
      </c>
      <c r="K52" s="308" t="inlineStr">
        <is>
          <t>line:size-prefix</t>
        </is>
      </c>
      <c r="L52" s="308" t="inlineStr">
        <is>
          <t>drawing zone; process page; mapped sheet; repeated x3</t>
        </is>
      </c>
      <c r="M52" s="308" t="inlineStr">
        <is>
          <t>2"-PHWS140-12A</t>
        </is>
      </c>
      <c r="N52" s="308" t="inlineStr">
        <is>
          <t>native</t>
        </is>
      </c>
      <c r="O52" s="308" t="inlineStr">
        <is>
          <t>native-only</t>
        </is>
      </c>
      <c r="P52" s="308" t="inlineStr">
        <is>
          <t>native</t>
        </is>
      </c>
      <c r="Q52" s="308" t="inlineStr"/>
      <c r="R52" s="308" t="inlineStr">
        <is>
          <t>native text sufficient</t>
        </is>
      </c>
      <c r="S52" s="308" t="inlineStr"/>
      <c r="T52" s="308" t="inlineStr">
        <is>
          <t>p5:native:87</t>
        </is>
      </c>
      <c r="U52" s="308" t="n">
        <v>1</v>
      </c>
    </row>
    <row r="53">
      <c r="A53" s="308" t="inlineStr">
        <is>
          <t>Missing in Excel</t>
        </is>
      </c>
      <c r="B53" s="308" t="inlineStr">
        <is>
          <t>DG7001</t>
        </is>
      </c>
      <c r="C53" s="308" t="n">
        <v>6</v>
      </c>
      <c r="D53" s="308" t="inlineStr">
        <is>
          <t>RL7-BIN-101</t>
        </is>
      </c>
      <c r="E53" s="308" t="inlineStr">
        <is>
          <t>RL7-BIN-101</t>
        </is>
      </c>
      <c r="F53" s="308" t="inlineStr"/>
      <c r="G53" s="308" t="inlineStr">
        <is>
          <t>equipment</t>
        </is>
      </c>
      <c r="H53" s="311" t="n">
        <v>0.77</v>
      </c>
      <c r="I53" s="308" t="inlineStr">
        <is>
          <t>Medium</t>
        </is>
      </c>
      <c r="J53" s="308" t="inlineStr">
        <is>
          <t>drawing</t>
        </is>
      </c>
      <c r="K53" s="308" t="inlineStr">
        <is>
          <t>standalone:asset</t>
        </is>
      </c>
      <c r="L53" s="308" t="inlineStr">
        <is>
          <t>drawing zone; process page; mapped sheet</t>
        </is>
      </c>
      <c r="M53" s="308" t="inlineStr">
        <is>
          <t>RL7-BIN-101</t>
        </is>
      </c>
      <c r="N53" s="308" t="inlineStr">
        <is>
          <t>native</t>
        </is>
      </c>
      <c r="O53" s="308" t="inlineStr">
        <is>
          <t>native-only</t>
        </is>
      </c>
      <c r="P53" s="308" t="inlineStr">
        <is>
          <t>native</t>
        </is>
      </c>
      <c r="Q53" s="308" t="inlineStr"/>
      <c r="R53" s="308" t="inlineStr">
        <is>
          <t>native text sufficient</t>
        </is>
      </c>
      <c r="S53" s="308" t="inlineStr"/>
      <c r="T53" s="308" t="inlineStr">
        <is>
          <t>p6:native:18</t>
        </is>
      </c>
      <c r="U53" s="308" t="n">
        <v>1</v>
      </c>
    </row>
    <row r="54">
      <c r="A54" s="308" t="inlineStr">
        <is>
          <t>Missing in Excel</t>
        </is>
      </c>
      <c r="B54" s="308" t="inlineStr">
        <is>
          <t>DG7001</t>
        </is>
      </c>
      <c r="C54" s="308" t="n">
        <v>6</v>
      </c>
      <c r="D54" s="308" t="inlineStr">
        <is>
          <t>RL7-BIN-102</t>
        </is>
      </c>
      <c r="E54" s="308" t="inlineStr">
        <is>
          <t>RL7-BIN-102</t>
        </is>
      </c>
      <c r="F54" s="308" t="inlineStr"/>
      <c r="G54" s="308" t="inlineStr">
        <is>
          <t>equipment</t>
        </is>
      </c>
      <c r="H54" s="311" t="n">
        <v>0.77</v>
      </c>
      <c r="I54" s="308" t="inlineStr">
        <is>
          <t>Medium</t>
        </is>
      </c>
      <c r="J54" s="308" t="inlineStr">
        <is>
          <t>drawing</t>
        </is>
      </c>
      <c r="K54" s="308" t="inlineStr">
        <is>
          <t>standalone:asset</t>
        </is>
      </c>
      <c r="L54" s="308" t="inlineStr">
        <is>
          <t>drawing zone; process page; mapped sheet</t>
        </is>
      </c>
      <c r="M54" s="308" t="inlineStr">
        <is>
          <t>RL7-BIN-102</t>
        </is>
      </c>
      <c r="N54" s="308" t="inlineStr">
        <is>
          <t>native</t>
        </is>
      </c>
      <c r="O54" s="308" t="inlineStr">
        <is>
          <t>native-only</t>
        </is>
      </c>
      <c r="P54" s="308" t="inlineStr">
        <is>
          <t>native</t>
        </is>
      </c>
      <c r="Q54" s="308" t="inlineStr"/>
      <c r="R54" s="308" t="inlineStr">
        <is>
          <t>native text sufficient</t>
        </is>
      </c>
      <c r="S54" s="308" t="inlineStr"/>
      <c r="T54" s="308" t="inlineStr">
        <is>
          <t>p6:native:20</t>
        </is>
      </c>
      <c r="U54" s="308" t="n">
        <v>1</v>
      </c>
    </row>
    <row r="55">
      <c r="A55" s="308" t="inlineStr">
        <is>
          <t>Missing in Excel</t>
        </is>
      </c>
      <c r="B55" s="308" t="inlineStr">
        <is>
          <t>DG7001</t>
        </is>
      </c>
      <c r="C55" s="308" t="n">
        <v>6</v>
      </c>
      <c r="D55" s="308" t="inlineStr">
        <is>
          <t>RL7-BIN-103</t>
        </is>
      </c>
      <c r="E55" s="308" t="inlineStr">
        <is>
          <t>RL7-BIN-103</t>
        </is>
      </c>
      <c r="F55" s="308" t="inlineStr"/>
      <c r="G55" s="308" t="inlineStr">
        <is>
          <t>equipment</t>
        </is>
      </c>
      <c r="H55" s="311" t="n">
        <v>0.77</v>
      </c>
      <c r="I55" s="308" t="inlineStr">
        <is>
          <t>Medium</t>
        </is>
      </c>
      <c r="J55" s="308" t="inlineStr">
        <is>
          <t>drawing</t>
        </is>
      </c>
      <c r="K55" s="308" t="inlineStr">
        <is>
          <t>standalone:asset</t>
        </is>
      </c>
      <c r="L55" s="308" t="inlineStr">
        <is>
          <t>drawing zone; process page; mapped sheet</t>
        </is>
      </c>
      <c r="M55" s="308" t="inlineStr">
        <is>
          <t>RL7-BIN-103</t>
        </is>
      </c>
      <c r="N55" s="308" t="inlineStr">
        <is>
          <t>native</t>
        </is>
      </c>
      <c r="O55" s="308" t="inlineStr">
        <is>
          <t>native-only</t>
        </is>
      </c>
      <c r="P55" s="308" t="inlineStr">
        <is>
          <t>native</t>
        </is>
      </c>
      <c r="Q55" s="308" t="inlineStr"/>
      <c r="R55" s="308" t="inlineStr">
        <is>
          <t>native text sufficient</t>
        </is>
      </c>
      <c r="S55" s="308" t="inlineStr"/>
      <c r="T55" s="308" t="inlineStr">
        <is>
          <t>p6:native:16</t>
        </is>
      </c>
      <c r="U55" s="308" t="n">
        <v>1</v>
      </c>
    </row>
    <row r="56">
      <c r="A56" s="308" t="inlineStr">
        <is>
          <t>Missing in Excel</t>
        </is>
      </c>
      <c r="B56" s="308" t="inlineStr">
        <is>
          <t>DG7001</t>
        </is>
      </c>
      <c r="C56" s="308" t="n">
        <v>6</v>
      </c>
      <c r="D56" s="308" t="inlineStr">
        <is>
          <t>RL7-BIN-104</t>
        </is>
      </c>
      <c r="E56" s="308" t="inlineStr">
        <is>
          <t>RL7-BIN-104</t>
        </is>
      </c>
      <c r="F56" s="308" t="inlineStr"/>
      <c r="G56" s="308" t="inlineStr">
        <is>
          <t>equipment</t>
        </is>
      </c>
      <c r="H56" s="311" t="n">
        <v>0.77</v>
      </c>
      <c r="I56" s="308" t="inlineStr">
        <is>
          <t>Medium</t>
        </is>
      </c>
      <c r="J56" s="308" t="inlineStr">
        <is>
          <t>drawing</t>
        </is>
      </c>
      <c r="K56" s="308" t="inlineStr">
        <is>
          <t>standalone:asset</t>
        </is>
      </c>
      <c r="L56" s="308" t="inlineStr">
        <is>
          <t>drawing zone; process page; mapped sheet</t>
        </is>
      </c>
      <c r="M56" s="308" t="inlineStr">
        <is>
          <t>RL7-BIN-104</t>
        </is>
      </c>
      <c r="N56" s="308" t="inlineStr">
        <is>
          <t>native</t>
        </is>
      </c>
      <c r="O56" s="308" t="inlineStr">
        <is>
          <t>native-only</t>
        </is>
      </c>
      <c r="P56" s="308" t="inlineStr">
        <is>
          <t>native</t>
        </is>
      </c>
      <c r="Q56" s="308" t="inlineStr"/>
      <c r="R56" s="308" t="inlineStr">
        <is>
          <t>native text sufficient</t>
        </is>
      </c>
      <c r="S56" s="308" t="inlineStr"/>
      <c r="T56" s="308" t="inlineStr">
        <is>
          <t>p6:native:3</t>
        </is>
      </c>
      <c r="U56" s="308" t="n">
        <v>1</v>
      </c>
    </row>
    <row r="57">
      <c r="A57" s="308" t="inlineStr">
        <is>
          <t>Missing in Excel</t>
        </is>
      </c>
      <c r="B57" s="308" t="inlineStr">
        <is>
          <t>DG7001</t>
        </is>
      </c>
      <c r="C57" s="308" t="n">
        <v>6</v>
      </c>
      <c r="D57" s="308" t="inlineStr">
        <is>
          <t>RL7-CNV-112</t>
        </is>
      </c>
      <c r="E57" s="308" t="inlineStr">
        <is>
          <t>RL7-CNV-112</t>
        </is>
      </c>
      <c r="F57" s="308" t="inlineStr"/>
      <c r="G57" s="308" t="inlineStr">
        <is>
          <t>equipment</t>
        </is>
      </c>
      <c r="H57" s="311" t="n">
        <v>0.77</v>
      </c>
      <c r="I57" s="308" t="inlineStr">
        <is>
          <t>Medium</t>
        </is>
      </c>
      <c r="J57" s="308" t="inlineStr">
        <is>
          <t>drawing</t>
        </is>
      </c>
      <c r="K57" s="308" t="inlineStr">
        <is>
          <t>standalone:asset</t>
        </is>
      </c>
      <c r="L57" s="308" t="inlineStr">
        <is>
          <t>drawing zone; process page; mapped sheet</t>
        </is>
      </c>
      <c r="M57" s="308" t="inlineStr">
        <is>
          <t>RL7-CNV-112</t>
        </is>
      </c>
      <c r="N57" s="308" t="inlineStr">
        <is>
          <t>native</t>
        </is>
      </c>
      <c r="O57" s="308" t="inlineStr">
        <is>
          <t>native-only</t>
        </is>
      </c>
      <c r="P57" s="308" t="inlineStr">
        <is>
          <t>native</t>
        </is>
      </c>
      <c r="Q57" s="308" t="inlineStr"/>
      <c r="R57" s="308" t="inlineStr">
        <is>
          <t>native text sufficient</t>
        </is>
      </c>
      <c r="S57" s="308" t="inlineStr"/>
      <c r="T57" s="308" t="inlineStr">
        <is>
          <t>p6:native:93</t>
        </is>
      </c>
      <c r="U57" s="308" t="n">
        <v>1</v>
      </c>
    </row>
    <row r="58">
      <c r="A58" s="308" t="inlineStr">
        <is>
          <t>Missing in Excel</t>
        </is>
      </c>
      <c r="B58" s="308" t="inlineStr">
        <is>
          <t>DG7001</t>
        </is>
      </c>
      <c r="C58" s="308" t="n">
        <v>6</v>
      </c>
      <c r="D58" s="308" t="inlineStr">
        <is>
          <t>RL7-BIN-101-PB01</t>
        </is>
      </c>
      <c r="E58" s="308" t="inlineStr">
        <is>
          <t>RL7-BIN-101</t>
        </is>
      </c>
      <c r="F58" s="308" t="inlineStr">
        <is>
          <t>PB01</t>
        </is>
      </c>
      <c r="G58" s="308" t="inlineStr">
        <is>
          <t>instrument</t>
        </is>
      </c>
      <c r="H58" s="311" t="n">
        <v>0.99</v>
      </c>
      <c r="I58" s="308" t="inlineStr">
        <is>
          <t>High</t>
        </is>
      </c>
      <c r="J58" s="308" t="inlineStr">
        <is>
          <t>drawing</t>
        </is>
      </c>
      <c r="K58" s="308" t="inlineStr">
        <is>
          <t>stacked:isa</t>
        </is>
      </c>
      <c r="L58" s="308" t="inlineStr">
        <is>
          <t>drawing zone; process page; mapped sheet</t>
        </is>
      </c>
      <c r="M58" s="308" t="inlineStr">
        <is>
          <t>RL7-BIN-101 / PB-01</t>
        </is>
      </c>
      <c r="N58" s="308" t="inlineStr">
        <is>
          <t>native</t>
        </is>
      </c>
      <c r="O58" s="308" t="inlineStr">
        <is>
          <t>native-only</t>
        </is>
      </c>
      <c r="P58" s="308" t="inlineStr">
        <is>
          <t>native</t>
        </is>
      </c>
      <c r="Q58" s="308" t="inlineStr"/>
      <c r="R58" s="308" t="inlineStr">
        <is>
          <t>native text sufficient</t>
        </is>
      </c>
      <c r="S58" s="308" t="inlineStr"/>
      <c r="T58" s="308" t="inlineStr">
        <is>
          <t>p6:native:118, p6:native:119</t>
        </is>
      </c>
      <c r="U58" s="308" t="n">
        <v>2</v>
      </c>
    </row>
    <row r="59">
      <c r="A59" s="308" t="inlineStr">
        <is>
          <t>Missing in Excel</t>
        </is>
      </c>
      <c r="B59" s="308" t="inlineStr">
        <is>
          <t>DG7001</t>
        </is>
      </c>
      <c r="C59" s="308" t="n">
        <v>6</v>
      </c>
      <c r="D59" s="308" t="inlineStr">
        <is>
          <t>RL7-BIN-101-WE01</t>
        </is>
      </c>
      <c r="E59" s="308" t="inlineStr">
        <is>
          <t>RL7-BIN-101</t>
        </is>
      </c>
      <c r="F59" s="308" t="inlineStr">
        <is>
          <t>WE01</t>
        </is>
      </c>
      <c r="G59" s="308" t="inlineStr">
        <is>
          <t>instrument</t>
        </is>
      </c>
      <c r="H59" s="311" t="n">
        <v>0.99</v>
      </c>
      <c r="I59" s="308" t="inlineStr">
        <is>
          <t>High</t>
        </is>
      </c>
      <c r="J59" s="308" t="inlineStr">
        <is>
          <t>drawing</t>
        </is>
      </c>
      <c r="K59" s="308" t="inlineStr">
        <is>
          <t>stacked:isa</t>
        </is>
      </c>
      <c r="L59" s="308" t="inlineStr">
        <is>
          <t>drawing zone; process page; mapped sheet</t>
        </is>
      </c>
      <c r="M59" s="308" t="inlineStr">
        <is>
          <t>RL7-BIN-101 / WE-01</t>
        </is>
      </c>
      <c r="N59" s="308" t="inlineStr">
        <is>
          <t>native</t>
        </is>
      </c>
      <c r="O59" s="308" t="inlineStr">
        <is>
          <t>native-only</t>
        </is>
      </c>
      <c r="P59" s="308" t="inlineStr">
        <is>
          <t>native</t>
        </is>
      </c>
      <c r="Q59" s="308" t="inlineStr"/>
      <c r="R59" s="308" t="inlineStr">
        <is>
          <t>native text sufficient</t>
        </is>
      </c>
      <c r="S59" s="308" t="inlineStr"/>
      <c r="T59" s="308" t="inlineStr">
        <is>
          <t>p6:native:36, p6:native:37</t>
        </is>
      </c>
      <c r="U59" s="308" t="n">
        <v>2</v>
      </c>
    </row>
    <row r="60">
      <c r="A60" s="308" t="inlineStr">
        <is>
          <t>Missing in Excel</t>
        </is>
      </c>
      <c r="B60" s="308" t="inlineStr">
        <is>
          <t>DG7001</t>
        </is>
      </c>
      <c r="C60" s="308" t="n">
        <v>6</v>
      </c>
      <c r="D60" s="308" t="inlineStr">
        <is>
          <t>RL7-BIN-101-WIT01</t>
        </is>
      </c>
      <c r="E60" s="308" t="inlineStr">
        <is>
          <t>RL7-BIN-101</t>
        </is>
      </c>
      <c r="F60" s="308" t="inlineStr">
        <is>
          <t>WIT01</t>
        </is>
      </c>
      <c r="G60" s="308" t="inlineStr">
        <is>
          <t>instrument</t>
        </is>
      </c>
      <c r="H60" s="311" t="n">
        <v>0.99</v>
      </c>
      <c r="I60" s="308" t="inlineStr">
        <is>
          <t>High</t>
        </is>
      </c>
      <c r="J60" s="308" t="inlineStr">
        <is>
          <t>drawing</t>
        </is>
      </c>
      <c r="K60" s="308" t="inlineStr">
        <is>
          <t>stacked:isa</t>
        </is>
      </c>
      <c r="L60" s="308" t="inlineStr">
        <is>
          <t>drawing zone; process page; mapped sheet</t>
        </is>
      </c>
      <c r="M60" s="308" t="inlineStr">
        <is>
          <t>RL7-BIN-101 / WIT-01</t>
        </is>
      </c>
      <c r="N60" s="308" t="inlineStr">
        <is>
          <t>native</t>
        </is>
      </c>
      <c r="O60" s="308" t="inlineStr">
        <is>
          <t>native-only</t>
        </is>
      </c>
      <c r="P60" s="308" t="inlineStr">
        <is>
          <t>native</t>
        </is>
      </c>
      <c r="Q60" s="308" t="inlineStr"/>
      <c r="R60" s="308" t="inlineStr">
        <is>
          <t>native text sufficient</t>
        </is>
      </c>
      <c r="S60" s="308" t="inlineStr"/>
      <c r="T60" s="308" t="inlineStr">
        <is>
          <t>p6:native:39, p6:native:40</t>
        </is>
      </c>
      <c r="U60" s="308" t="n">
        <v>2</v>
      </c>
    </row>
    <row r="61">
      <c r="A61" s="308" t="inlineStr">
        <is>
          <t>Missing in Excel</t>
        </is>
      </c>
      <c r="B61" s="308" t="inlineStr">
        <is>
          <t>DG7001</t>
        </is>
      </c>
      <c r="C61" s="308" t="n">
        <v>6</v>
      </c>
      <c r="D61" s="308" t="inlineStr">
        <is>
          <t>RL7-BIN-101-XY01</t>
        </is>
      </c>
      <c r="E61" s="308" t="inlineStr">
        <is>
          <t>RL7-BIN-101</t>
        </is>
      </c>
      <c r="F61" s="308" t="inlineStr">
        <is>
          <t>XY01</t>
        </is>
      </c>
      <c r="G61" s="308" t="inlineStr">
        <is>
          <t>instrument</t>
        </is>
      </c>
      <c r="H61" s="311" t="n">
        <v>0.99</v>
      </c>
      <c r="I61" s="308" t="inlineStr">
        <is>
          <t>High</t>
        </is>
      </c>
      <c r="J61" s="308" t="inlineStr">
        <is>
          <t>drawing</t>
        </is>
      </c>
      <c r="K61" s="308" t="inlineStr">
        <is>
          <t>stacked:isa</t>
        </is>
      </c>
      <c r="L61" s="308" t="inlineStr">
        <is>
          <t>drawing zone; process page; mapped sheet</t>
        </is>
      </c>
      <c r="M61" s="308" t="inlineStr">
        <is>
          <t>RL7-BIN-101 / XY-01</t>
        </is>
      </c>
      <c r="N61" s="308" t="inlineStr">
        <is>
          <t>native</t>
        </is>
      </c>
      <c r="O61" s="308" t="inlineStr">
        <is>
          <t>native-only</t>
        </is>
      </c>
      <c r="P61" s="308" t="inlineStr">
        <is>
          <t>native</t>
        </is>
      </c>
      <c r="Q61" s="308" t="inlineStr"/>
      <c r="R61" s="308" t="inlineStr">
        <is>
          <t>native text sufficient</t>
        </is>
      </c>
      <c r="S61" s="308" t="inlineStr"/>
      <c r="T61" s="308" t="inlineStr">
        <is>
          <t>p6:native:84, p6:native:85</t>
        </is>
      </c>
      <c r="U61" s="308" t="n">
        <v>2</v>
      </c>
    </row>
    <row r="62">
      <c r="A62" s="308" t="inlineStr">
        <is>
          <t>Missing in Excel</t>
        </is>
      </c>
      <c r="B62" s="308" t="inlineStr">
        <is>
          <t>DG7001</t>
        </is>
      </c>
      <c r="C62" s="308" t="n">
        <v>6</v>
      </c>
      <c r="D62" s="308" t="inlineStr">
        <is>
          <t>RL7-BIN-101-ZSS01</t>
        </is>
      </c>
      <c r="E62" s="308" t="inlineStr">
        <is>
          <t>RL7-BIN-101</t>
        </is>
      </c>
      <c r="F62" s="308" t="inlineStr">
        <is>
          <t>ZSS01</t>
        </is>
      </c>
      <c r="G62" s="308" t="inlineStr">
        <is>
          <t>instrument</t>
        </is>
      </c>
      <c r="H62" s="311" t="n">
        <v>0.99</v>
      </c>
      <c r="I62" s="308" t="inlineStr">
        <is>
          <t>High</t>
        </is>
      </c>
      <c r="J62" s="308" t="inlineStr">
        <is>
          <t>drawing</t>
        </is>
      </c>
      <c r="K62" s="308" t="inlineStr">
        <is>
          <t>stacked:isa</t>
        </is>
      </c>
      <c r="L62" s="308" t="inlineStr">
        <is>
          <t>drawing zone; process page; mapped sheet</t>
        </is>
      </c>
      <c r="M62" s="308" t="inlineStr">
        <is>
          <t>RL7-BIN-101 / ZSS-01</t>
        </is>
      </c>
      <c r="N62" s="308" t="inlineStr">
        <is>
          <t>native</t>
        </is>
      </c>
      <c r="O62" s="308" t="inlineStr">
        <is>
          <t>native-only</t>
        </is>
      </c>
      <c r="P62" s="308" t="inlineStr">
        <is>
          <t>native</t>
        </is>
      </c>
      <c r="Q62" s="308" t="inlineStr"/>
      <c r="R62" s="308" t="inlineStr">
        <is>
          <t>native text sufficient</t>
        </is>
      </c>
      <c r="S62" s="308" t="inlineStr"/>
      <c r="T62" s="308" t="inlineStr">
        <is>
          <t>p6:native:18, p6:native:19</t>
        </is>
      </c>
      <c r="U62" s="308" t="n">
        <v>2</v>
      </c>
    </row>
    <row r="63">
      <c r="A63" s="308" t="inlineStr">
        <is>
          <t>Missing in Excel</t>
        </is>
      </c>
      <c r="B63" s="308" t="inlineStr">
        <is>
          <t>DG7001</t>
        </is>
      </c>
      <c r="C63" s="308" t="n">
        <v>6</v>
      </c>
      <c r="D63" s="308" t="inlineStr">
        <is>
          <t>RL7-BIN-101-ZSS02</t>
        </is>
      </c>
      <c r="E63" s="308" t="inlineStr">
        <is>
          <t>RL7-BIN-101</t>
        </is>
      </c>
      <c r="F63" s="308" t="inlineStr">
        <is>
          <t>ZSS02</t>
        </is>
      </c>
      <c r="G63" s="308" t="inlineStr">
        <is>
          <t>instrument</t>
        </is>
      </c>
      <c r="H63" s="311" t="n">
        <v>0.99</v>
      </c>
      <c r="I63" s="308" t="inlineStr">
        <is>
          <t>High</t>
        </is>
      </c>
      <c r="J63" s="308" t="inlineStr">
        <is>
          <t>drawing</t>
        </is>
      </c>
      <c r="K63" s="308" t="inlineStr">
        <is>
          <t>stacked:isa</t>
        </is>
      </c>
      <c r="L63" s="308" t="inlineStr">
        <is>
          <t>drawing zone; process page; mapped sheet</t>
        </is>
      </c>
      <c r="M63" s="308" t="inlineStr">
        <is>
          <t>RL7-BIN-101 / ZSS-02</t>
        </is>
      </c>
      <c r="N63" s="308" t="inlineStr">
        <is>
          <t>native</t>
        </is>
      </c>
      <c r="O63" s="308" t="inlineStr">
        <is>
          <t>native-only</t>
        </is>
      </c>
      <c r="P63" s="308" t="inlineStr">
        <is>
          <t>native</t>
        </is>
      </c>
      <c r="Q63" s="308" t="inlineStr"/>
      <c r="R63" s="308" t="inlineStr">
        <is>
          <t>native text sufficient</t>
        </is>
      </c>
      <c r="S63" s="308" t="inlineStr"/>
      <c r="T63" s="308" t="inlineStr">
        <is>
          <t>p6:native:26, p6:native:27</t>
        </is>
      </c>
      <c r="U63" s="308" t="n">
        <v>2</v>
      </c>
    </row>
    <row r="64">
      <c r="A64" s="308" t="inlineStr">
        <is>
          <t>Missing in Excel</t>
        </is>
      </c>
      <c r="B64" s="308" t="inlineStr">
        <is>
          <t>DG7001</t>
        </is>
      </c>
      <c r="C64" s="308" t="n">
        <v>6</v>
      </c>
      <c r="D64" s="308" t="inlineStr">
        <is>
          <t>RL7-BIN-101-ZSS03</t>
        </is>
      </c>
      <c r="E64" s="308" t="inlineStr">
        <is>
          <t>RL7-BIN-101</t>
        </is>
      </c>
      <c r="F64" s="308" t="inlineStr">
        <is>
          <t>ZSS03</t>
        </is>
      </c>
      <c r="G64" s="308" t="inlineStr">
        <is>
          <t>instrument</t>
        </is>
      </c>
      <c r="H64" s="311" t="n">
        <v>0.99</v>
      </c>
      <c r="I64" s="308" t="inlineStr">
        <is>
          <t>High</t>
        </is>
      </c>
      <c r="J64" s="308" t="inlineStr">
        <is>
          <t>drawing</t>
        </is>
      </c>
      <c r="K64" s="308" t="inlineStr">
        <is>
          <t>stacked:isa</t>
        </is>
      </c>
      <c r="L64" s="308" t="inlineStr">
        <is>
          <t>drawing zone; process page; mapped sheet</t>
        </is>
      </c>
      <c r="M64" s="308" t="inlineStr">
        <is>
          <t>RL7-BIN-101 / ZSS-03</t>
        </is>
      </c>
      <c r="N64" s="308" t="inlineStr">
        <is>
          <t>native</t>
        </is>
      </c>
      <c r="O64" s="308" t="inlineStr">
        <is>
          <t>native-only</t>
        </is>
      </c>
      <c r="P64" s="308" t="inlineStr">
        <is>
          <t>native</t>
        </is>
      </c>
      <c r="Q64" s="308" t="inlineStr"/>
      <c r="R64" s="308" t="inlineStr">
        <is>
          <t>native text sufficient</t>
        </is>
      </c>
      <c r="S64" s="308" t="inlineStr"/>
      <c r="T64" s="308" t="inlineStr">
        <is>
          <t>p6:native:74, p6:native:75</t>
        </is>
      </c>
      <c r="U64" s="308" t="n">
        <v>2</v>
      </c>
    </row>
    <row r="65">
      <c r="A65" s="308" t="inlineStr">
        <is>
          <t>Missing in Excel</t>
        </is>
      </c>
      <c r="B65" s="308" t="inlineStr">
        <is>
          <t>DG7001</t>
        </is>
      </c>
      <c r="C65" s="308" t="n">
        <v>6</v>
      </c>
      <c r="D65" s="308" t="inlineStr">
        <is>
          <t>RL7-BIN-102-AH01</t>
        </is>
      </c>
      <c r="E65" s="308" t="inlineStr">
        <is>
          <t>RL7-BIN-102</t>
        </is>
      </c>
      <c r="F65" s="308" t="inlineStr">
        <is>
          <t>AH01</t>
        </is>
      </c>
      <c r="G65" s="308" t="inlineStr">
        <is>
          <t>instrument</t>
        </is>
      </c>
      <c r="H65" s="311" t="n">
        <v>0.99</v>
      </c>
      <c r="I65" s="308" t="inlineStr">
        <is>
          <t>High</t>
        </is>
      </c>
      <c r="J65" s="308" t="inlineStr">
        <is>
          <t>drawing</t>
        </is>
      </c>
      <c r="K65" s="308" t="inlineStr">
        <is>
          <t>stacked:isa</t>
        </is>
      </c>
      <c r="L65" s="308" t="inlineStr">
        <is>
          <t>drawing zone; process page; mapped sheet</t>
        </is>
      </c>
      <c r="M65" s="308" t="inlineStr">
        <is>
          <t>RL7-BIN-102 / AH-01</t>
        </is>
      </c>
      <c r="N65" s="308" t="inlineStr">
        <is>
          <t>native</t>
        </is>
      </c>
      <c r="O65" s="308" t="inlineStr">
        <is>
          <t>native-only</t>
        </is>
      </c>
      <c r="P65" s="308" t="inlineStr">
        <is>
          <t>native</t>
        </is>
      </c>
      <c r="Q65" s="308" t="inlineStr"/>
      <c r="R65" s="308" t="inlineStr">
        <is>
          <t>native text sufficient</t>
        </is>
      </c>
      <c r="S65" s="308" t="inlineStr"/>
      <c r="T65" s="308" t="inlineStr">
        <is>
          <t>p6:native:122, p6:native:123</t>
        </is>
      </c>
      <c r="U65" s="308" t="n">
        <v>2</v>
      </c>
    </row>
    <row r="66">
      <c r="A66" s="308" t="inlineStr">
        <is>
          <t>Missing in Excel</t>
        </is>
      </c>
      <c r="B66" s="308" t="inlineStr">
        <is>
          <t>DG7001</t>
        </is>
      </c>
      <c r="C66" s="308" t="n">
        <v>6</v>
      </c>
      <c r="D66" s="308" t="inlineStr">
        <is>
          <t>RL7-BIN-102-PL01G</t>
        </is>
      </c>
      <c r="E66" s="308" t="inlineStr">
        <is>
          <t>RL7-BIN-102</t>
        </is>
      </c>
      <c r="F66" s="308" t="inlineStr">
        <is>
          <t>PL01G</t>
        </is>
      </c>
      <c r="G66" s="308" t="inlineStr">
        <is>
          <t>instrument</t>
        </is>
      </c>
      <c r="H66" s="311" t="n">
        <v>0.99</v>
      </c>
      <c r="I66" s="308" t="inlineStr">
        <is>
          <t>High</t>
        </is>
      </c>
      <c r="J66" s="308" t="inlineStr">
        <is>
          <t>drawing</t>
        </is>
      </c>
      <c r="K66" s="308" t="inlineStr">
        <is>
          <t>stacked:isa</t>
        </is>
      </c>
      <c r="L66" s="308" t="inlineStr">
        <is>
          <t>drawing zone; process page; mapped sheet</t>
        </is>
      </c>
      <c r="M66" s="308" t="inlineStr">
        <is>
          <t>RL7-BIN-102 / PL-01G</t>
        </is>
      </c>
      <c r="N66" s="308" t="inlineStr">
        <is>
          <t>native</t>
        </is>
      </c>
      <c r="O66" s="308" t="inlineStr">
        <is>
          <t>native-only</t>
        </is>
      </c>
      <c r="P66" s="308" t="inlineStr">
        <is>
          <t>native</t>
        </is>
      </c>
      <c r="Q66" s="308" t="inlineStr"/>
      <c r="R66" s="308" t="inlineStr">
        <is>
          <t>native text sufficient</t>
        </is>
      </c>
      <c r="S66" s="308" t="inlineStr"/>
      <c r="T66" s="308" t="inlineStr">
        <is>
          <t>p6:native:111, p6:native:112</t>
        </is>
      </c>
      <c r="U66" s="308" t="n">
        <v>2</v>
      </c>
    </row>
    <row r="67">
      <c r="A67" s="308" t="inlineStr">
        <is>
          <t>Missing in Excel</t>
        </is>
      </c>
      <c r="B67" s="308" t="inlineStr">
        <is>
          <t>DG7001</t>
        </is>
      </c>
      <c r="C67" s="308" t="n">
        <v>6</v>
      </c>
      <c r="D67" s="308" t="inlineStr">
        <is>
          <t>RL7-BIN-102-PL01R</t>
        </is>
      </c>
      <c r="E67" s="308" t="inlineStr">
        <is>
          <t>RL7-BIN-102</t>
        </is>
      </c>
      <c r="F67" s="308" t="inlineStr">
        <is>
          <t>PL01R</t>
        </is>
      </c>
      <c r="G67" s="308" t="inlineStr">
        <is>
          <t>instrument</t>
        </is>
      </c>
      <c r="H67" s="311" t="n">
        <v>0.99</v>
      </c>
      <c r="I67" s="308" t="inlineStr">
        <is>
          <t>High</t>
        </is>
      </c>
      <c r="J67" s="308" t="inlineStr">
        <is>
          <t>drawing</t>
        </is>
      </c>
      <c r="K67" s="308" t="inlineStr">
        <is>
          <t>stacked:isa</t>
        </is>
      </c>
      <c r="L67" s="308" t="inlineStr">
        <is>
          <t>drawing zone; process page; mapped sheet</t>
        </is>
      </c>
      <c r="M67" s="308" t="inlineStr">
        <is>
          <t>RL7-BIN-102 / PL-01R</t>
        </is>
      </c>
      <c r="N67" s="308" t="inlineStr">
        <is>
          <t>native</t>
        </is>
      </c>
      <c r="O67" s="308" t="inlineStr">
        <is>
          <t>native-only</t>
        </is>
      </c>
      <c r="P67" s="308" t="inlineStr">
        <is>
          <t>native</t>
        </is>
      </c>
      <c r="Q67" s="308" t="inlineStr"/>
      <c r="R67" s="308" t="inlineStr">
        <is>
          <t>native text sufficient</t>
        </is>
      </c>
      <c r="S67" s="308" t="inlineStr"/>
      <c r="T67" s="308" t="inlineStr">
        <is>
          <t>p6:native:107, p6:native:108</t>
        </is>
      </c>
      <c r="U67" s="308" t="n">
        <v>2</v>
      </c>
    </row>
    <row r="68">
      <c r="A68" s="308" t="inlineStr">
        <is>
          <t>Missing in Excel</t>
        </is>
      </c>
      <c r="B68" s="308" t="inlineStr">
        <is>
          <t>DG7001</t>
        </is>
      </c>
      <c r="C68" s="308" t="n">
        <v>6</v>
      </c>
      <c r="D68" s="308" t="inlineStr">
        <is>
          <t>RL7-BIN-102-PL01Y</t>
        </is>
      </c>
      <c r="E68" s="308" t="inlineStr">
        <is>
          <t>RL7-BIN-102</t>
        </is>
      </c>
      <c r="F68" s="308" t="inlineStr">
        <is>
          <t>PL01Y</t>
        </is>
      </c>
      <c r="G68" s="308" t="inlineStr">
        <is>
          <t>instrument</t>
        </is>
      </c>
      <c r="H68" s="311" t="n">
        <v>0.99</v>
      </c>
      <c r="I68" s="308" t="inlineStr">
        <is>
          <t>High</t>
        </is>
      </c>
      <c r="J68" s="308" t="inlineStr">
        <is>
          <t>drawing</t>
        </is>
      </c>
      <c r="K68" s="308" t="inlineStr">
        <is>
          <t>stacked:isa</t>
        </is>
      </c>
      <c r="L68" s="308" t="inlineStr">
        <is>
          <t>drawing zone; process page; mapped sheet</t>
        </is>
      </c>
      <c r="M68" s="308" t="inlineStr">
        <is>
          <t>RL7-BIN-102 / PL-01Y</t>
        </is>
      </c>
      <c r="N68" s="308" t="inlineStr">
        <is>
          <t>native</t>
        </is>
      </c>
      <c r="O68" s="308" t="inlineStr">
        <is>
          <t>native-only</t>
        </is>
      </c>
      <c r="P68" s="308" t="inlineStr">
        <is>
          <t>native</t>
        </is>
      </c>
      <c r="Q68" s="308" t="inlineStr"/>
      <c r="R68" s="308" t="inlineStr">
        <is>
          <t>native text sufficient</t>
        </is>
      </c>
      <c r="S68" s="308" t="inlineStr"/>
      <c r="T68" s="308" t="inlineStr">
        <is>
          <t>p6:native:109, p6:native:110</t>
        </is>
      </c>
      <c r="U68" s="308" t="n">
        <v>2</v>
      </c>
    </row>
    <row r="69">
      <c r="A69" s="308" t="inlineStr">
        <is>
          <t>Missing in Excel</t>
        </is>
      </c>
      <c r="B69" s="308" t="inlineStr">
        <is>
          <t>DG7001</t>
        </is>
      </c>
      <c r="C69" s="308" t="n">
        <v>6</v>
      </c>
      <c r="D69" s="308" t="inlineStr">
        <is>
          <t>RL7-BIN-102-WE01</t>
        </is>
      </c>
      <c r="E69" s="308" t="inlineStr">
        <is>
          <t>RL7-BIN-102</t>
        </is>
      </c>
      <c r="F69" s="308" t="inlineStr">
        <is>
          <t>WE01</t>
        </is>
      </c>
      <c r="G69" s="308" t="inlineStr">
        <is>
          <t>instrument</t>
        </is>
      </c>
      <c r="H69" s="311" t="n">
        <v>0.99</v>
      </c>
      <c r="I69" s="308" t="inlineStr">
        <is>
          <t>High</t>
        </is>
      </c>
      <c r="J69" s="308" t="inlineStr">
        <is>
          <t>drawing</t>
        </is>
      </c>
      <c r="K69" s="308" t="inlineStr">
        <is>
          <t>stacked:isa</t>
        </is>
      </c>
      <c r="L69" s="308" t="inlineStr">
        <is>
          <t>drawing zone; process page; mapped sheet</t>
        </is>
      </c>
      <c r="M69" s="308" t="inlineStr">
        <is>
          <t>RL7-BIN-102 / WE-01</t>
        </is>
      </c>
      <c r="N69" s="308" t="inlineStr">
        <is>
          <t>native</t>
        </is>
      </c>
      <c r="O69" s="308" t="inlineStr">
        <is>
          <t>native-only</t>
        </is>
      </c>
      <c r="P69" s="308" t="inlineStr">
        <is>
          <t>native</t>
        </is>
      </c>
      <c r="Q69" s="308" t="inlineStr"/>
      <c r="R69" s="308" t="inlineStr">
        <is>
          <t>native text sufficient</t>
        </is>
      </c>
      <c r="S69" s="308" t="inlineStr"/>
      <c r="T69" s="308" t="inlineStr">
        <is>
          <t>p6:native:45, p6:native:46</t>
        </is>
      </c>
      <c r="U69" s="308" t="n">
        <v>2</v>
      </c>
    </row>
    <row r="70">
      <c r="A70" s="308" t="inlineStr">
        <is>
          <t>Missing in Excel</t>
        </is>
      </c>
      <c r="B70" s="308" t="inlineStr">
        <is>
          <t>DG7001</t>
        </is>
      </c>
      <c r="C70" s="308" t="n">
        <v>6</v>
      </c>
      <c r="D70" s="308" t="inlineStr">
        <is>
          <t>RL7-BIN-102-WIT01</t>
        </is>
      </c>
      <c r="E70" s="308" t="inlineStr">
        <is>
          <t>RL7-BIN-102</t>
        </is>
      </c>
      <c r="F70" s="308" t="inlineStr">
        <is>
          <t>WIT01</t>
        </is>
      </c>
      <c r="G70" s="308" t="inlineStr">
        <is>
          <t>instrument</t>
        </is>
      </c>
      <c r="H70" s="311" t="n">
        <v>0.99</v>
      </c>
      <c r="I70" s="308" t="inlineStr">
        <is>
          <t>High</t>
        </is>
      </c>
      <c r="J70" s="308" t="inlineStr">
        <is>
          <t>drawing</t>
        </is>
      </c>
      <c r="K70" s="308" t="inlineStr">
        <is>
          <t>stacked:isa</t>
        </is>
      </c>
      <c r="L70" s="308" t="inlineStr">
        <is>
          <t>drawing zone; process page; mapped sheet</t>
        </is>
      </c>
      <c r="M70" s="308" t="inlineStr">
        <is>
          <t>RL7-BIN-102 / WIT-01</t>
        </is>
      </c>
      <c r="N70" s="308" t="inlineStr">
        <is>
          <t>native</t>
        </is>
      </c>
      <c r="O70" s="308" t="inlineStr">
        <is>
          <t>native-only</t>
        </is>
      </c>
      <c r="P70" s="308" t="inlineStr">
        <is>
          <t>native</t>
        </is>
      </c>
      <c r="Q70" s="308" t="inlineStr"/>
      <c r="R70" s="308" t="inlineStr">
        <is>
          <t>native text sufficient</t>
        </is>
      </c>
      <c r="S70" s="308" t="inlineStr"/>
      <c r="T70" s="308" t="inlineStr">
        <is>
          <t>p6:native:48, p6:native:49</t>
        </is>
      </c>
      <c r="U70" s="308" t="n">
        <v>2</v>
      </c>
    </row>
    <row r="71">
      <c r="A71" s="308" t="inlineStr">
        <is>
          <t>Missing in Excel</t>
        </is>
      </c>
      <c r="B71" s="308" t="inlineStr">
        <is>
          <t>DG7001</t>
        </is>
      </c>
      <c r="C71" s="308" t="n">
        <v>6</v>
      </c>
      <c r="D71" s="308" t="inlineStr">
        <is>
          <t>RL7-BIN-102-XY01</t>
        </is>
      </c>
      <c r="E71" s="308" t="inlineStr">
        <is>
          <t>RL7-BIN-102</t>
        </is>
      </c>
      <c r="F71" s="308" t="inlineStr">
        <is>
          <t>XY01</t>
        </is>
      </c>
      <c r="G71" s="308" t="inlineStr">
        <is>
          <t>instrument</t>
        </is>
      </c>
      <c r="H71" s="311" t="n">
        <v>0.99</v>
      </c>
      <c r="I71" s="308" t="inlineStr">
        <is>
          <t>High</t>
        </is>
      </c>
      <c r="J71" s="308" t="inlineStr">
        <is>
          <t>drawing</t>
        </is>
      </c>
      <c r="K71" s="308" t="inlineStr">
        <is>
          <t>stacked:isa</t>
        </is>
      </c>
      <c r="L71" s="308" t="inlineStr">
        <is>
          <t>drawing zone; process page; mapped sheet</t>
        </is>
      </c>
      <c r="M71" s="308" t="inlineStr">
        <is>
          <t>RL7-BIN-102 / XY-01</t>
        </is>
      </c>
      <c r="N71" s="308" t="inlineStr">
        <is>
          <t>native</t>
        </is>
      </c>
      <c r="O71" s="308" t="inlineStr">
        <is>
          <t>native-only</t>
        </is>
      </c>
      <c r="P71" s="308" t="inlineStr">
        <is>
          <t>native</t>
        </is>
      </c>
      <c r="Q71" s="308" t="inlineStr"/>
      <c r="R71" s="308" t="inlineStr">
        <is>
          <t>native text sufficient</t>
        </is>
      </c>
      <c r="S71" s="308" t="inlineStr"/>
      <c r="T71" s="308" t="inlineStr">
        <is>
          <t>p6:native:86, p6:native:87</t>
        </is>
      </c>
      <c r="U71" s="308" t="n">
        <v>2</v>
      </c>
    </row>
    <row r="72">
      <c r="A72" s="308" t="inlineStr">
        <is>
          <t>Missing in Excel</t>
        </is>
      </c>
      <c r="B72" s="308" t="inlineStr">
        <is>
          <t>DG7001</t>
        </is>
      </c>
      <c r="C72" s="308" t="n">
        <v>6</v>
      </c>
      <c r="D72" s="308" t="inlineStr">
        <is>
          <t>RL7-BIN-102-ZSS01</t>
        </is>
      </c>
      <c r="E72" s="308" t="inlineStr">
        <is>
          <t>RL7-BIN-102</t>
        </is>
      </c>
      <c r="F72" s="308" t="inlineStr">
        <is>
          <t>ZSS01</t>
        </is>
      </c>
      <c r="G72" s="308" t="inlineStr">
        <is>
          <t>instrument</t>
        </is>
      </c>
      <c r="H72" s="311" t="n">
        <v>0.99</v>
      </c>
      <c r="I72" s="308" t="inlineStr">
        <is>
          <t>High</t>
        </is>
      </c>
      <c r="J72" s="308" t="inlineStr">
        <is>
          <t>drawing</t>
        </is>
      </c>
      <c r="K72" s="308" t="inlineStr">
        <is>
          <t>stacked:isa</t>
        </is>
      </c>
      <c r="L72" s="308" t="inlineStr">
        <is>
          <t>drawing zone; process page; mapped sheet</t>
        </is>
      </c>
      <c r="M72" s="308" t="inlineStr">
        <is>
          <t>RL7-BIN-102 / ZSS-01</t>
        </is>
      </c>
      <c r="N72" s="308" t="inlineStr">
        <is>
          <t>native</t>
        </is>
      </c>
      <c r="O72" s="308" t="inlineStr">
        <is>
          <t>native-only</t>
        </is>
      </c>
      <c r="P72" s="308" t="inlineStr">
        <is>
          <t>native</t>
        </is>
      </c>
      <c r="Q72" s="308" t="inlineStr"/>
      <c r="R72" s="308" t="inlineStr">
        <is>
          <t>native text sufficient</t>
        </is>
      </c>
      <c r="S72" s="308" t="inlineStr"/>
      <c r="T72" s="308" t="inlineStr">
        <is>
          <t>p6:native:20, p6:native:21</t>
        </is>
      </c>
      <c r="U72" s="308" t="n">
        <v>2</v>
      </c>
    </row>
    <row r="73">
      <c r="A73" s="308" t="inlineStr">
        <is>
          <t>Missing in Excel</t>
        </is>
      </c>
      <c r="B73" s="308" t="inlineStr">
        <is>
          <t>DG7001</t>
        </is>
      </c>
      <c r="C73" s="308" t="n">
        <v>6</v>
      </c>
      <c r="D73" s="308" t="inlineStr">
        <is>
          <t>RL7-BIN-102-ZSS02</t>
        </is>
      </c>
      <c r="E73" s="308" t="inlineStr">
        <is>
          <t>RL7-BIN-102</t>
        </is>
      </c>
      <c r="F73" s="308" t="inlineStr">
        <is>
          <t>ZSS02</t>
        </is>
      </c>
      <c r="G73" s="308" t="inlineStr">
        <is>
          <t>instrument</t>
        </is>
      </c>
      <c r="H73" s="311" t="n">
        <v>0.99</v>
      </c>
      <c r="I73" s="308" t="inlineStr">
        <is>
          <t>High</t>
        </is>
      </c>
      <c r="J73" s="308" t="inlineStr">
        <is>
          <t>drawing</t>
        </is>
      </c>
      <c r="K73" s="308" t="inlineStr">
        <is>
          <t>stacked:isa</t>
        </is>
      </c>
      <c r="L73" s="308" t="inlineStr">
        <is>
          <t>drawing zone; process page; mapped sheet</t>
        </is>
      </c>
      <c r="M73" s="308" t="inlineStr">
        <is>
          <t>RL7-BIN-102 / ZSS-02</t>
        </is>
      </c>
      <c r="N73" s="308" t="inlineStr">
        <is>
          <t>native</t>
        </is>
      </c>
      <c r="O73" s="308" t="inlineStr">
        <is>
          <t>native-only</t>
        </is>
      </c>
      <c r="P73" s="308" t="inlineStr">
        <is>
          <t>native</t>
        </is>
      </c>
      <c r="Q73" s="308" t="inlineStr"/>
      <c r="R73" s="308" t="inlineStr">
        <is>
          <t>native text sufficient</t>
        </is>
      </c>
      <c r="S73" s="308" t="inlineStr"/>
      <c r="T73" s="308" t="inlineStr">
        <is>
          <t>p6:native:24, p6:native:25</t>
        </is>
      </c>
      <c r="U73" s="308" t="n">
        <v>2</v>
      </c>
    </row>
    <row r="74">
      <c r="A74" s="308" t="inlineStr">
        <is>
          <t>Missing in Excel</t>
        </is>
      </c>
      <c r="B74" s="308" t="inlineStr">
        <is>
          <t>DG7001</t>
        </is>
      </c>
      <c r="C74" s="308" t="n">
        <v>6</v>
      </c>
      <c r="D74" s="308" t="inlineStr">
        <is>
          <t>RL7-BIN-102-ZSS03</t>
        </is>
      </c>
      <c r="E74" s="308" t="inlineStr">
        <is>
          <t>RL7-BIN-102</t>
        </is>
      </c>
      <c r="F74" s="308" t="inlineStr">
        <is>
          <t>ZSS03</t>
        </is>
      </c>
      <c r="G74" s="308" t="inlineStr">
        <is>
          <t>instrument</t>
        </is>
      </c>
      <c r="H74" s="311" t="n">
        <v>0.99</v>
      </c>
      <c r="I74" s="308" t="inlineStr">
        <is>
          <t>High</t>
        </is>
      </c>
      <c r="J74" s="308" t="inlineStr">
        <is>
          <t>drawing</t>
        </is>
      </c>
      <c r="K74" s="308" t="inlineStr">
        <is>
          <t>stacked:isa</t>
        </is>
      </c>
      <c r="L74" s="308" t="inlineStr">
        <is>
          <t>drawing zone; process page; mapped sheet</t>
        </is>
      </c>
      <c r="M74" s="308" t="inlineStr">
        <is>
          <t>RL7-BIN-102 / ZSS-03</t>
        </is>
      </c>
      <c r="N74" s="308" t="inlineStr">
        <is>
          <t>native</t>
        </is>
      </c>
      <c r="O74" s="308" t="inlineStr">
        <is>
          <t>native-only</t>
        </is>
      </c>
      <c r="P74" s="308" t="inlineStr">
        <is>
          <t>native</t>
        </is>
      </c>
      <c r="Q74" s="308" t="inlineStr"/>
      <c r="R74" s="308" t="inlineStr">
        <is>
          <t>native text sufficient</t>
        </is>
      </c>
      <c r="S74" s="308" t="inlineStr"/>
      <c r="T74" s="308" t="inlineStr">
        <is>
          <t>p6:native:103, p6:native:104</t>
        </is>
      </c>
      <c r="U74" s="308" t="n">
        <v>2</v>
      </c>
    </row>
    <row r="75">
      <c r="A75" s="308" t="inlineStr">
        <is>
          <t>Missing in Excel</t>
        </is>
      </c>
      <c r="B75" s="308" t="inlineStr">
        <is>
          <t>DG7001</t>
        </is>
      </c>
      <c r="C75" s="308" t="n">
        <v>6</v>
      </c>
      <c r="D75" s="308" t="inlineStr">
        <is>
          <t>RL7-BIN-103-WE01</t>
        </is>
      </c>
      <c r="E75" s="308" t="inlineStr">
        <is>
          <t>RL7-BIN-103</t>
        </is>
      </c>
      <c r="F75" s="308" t="inlineStr">
        <is>
          <t>WE01</t>
        </is>
      </c>
      <c r="G75" s="308" t="inlineStr">
        <is>
          <t>instrument</t>
        </is>
      </c>
      <c r="H75" s="311" t="n">
        <v>0.99</v>
      </c>
      <c r="I75" s="308" t="inlineStr">
        <is>
          <t>High</t>
        </is>
      </c>
      <c r="J75" s="308" t="inlineStr">
        <is>
          <t>drawing</t>
        </is>
      </c>
      <c r="K75" s="308" t="inlineStr">
        <is>
          <t>stacked:isa</t>
        </is>
      </c>
      <c r="L75" s="308" t="inlineStr">
        <is>
          <t>drawing zone; process page; mapped sheet</t>
        </is>
      </c>
      <c r="M75" s="308" t="inlineStr">
        <is>
          <t>RL7-BIN-103 / WE-01</t>
        </is>
      </c>
      <c r="N75" s="308" t="inlineStr">
        <is>
          <t>native</t>
        </is>
      </c>
      <c r="O75" s="308" t="inlineStr">
        <is>
          <t>native-only</t>
        </is>
      </c>
      <c r="P75" s="308" t="inlineStr">
        <is>
          <t>native</t>
        </is>
      </c>
      <c r="Q75" s="308" t="inlineStr"/>
      <c r="R75" s="308" t="inlineStr">
        <is>
          <t>native text sufficient</t>
        </is>
      </c>
      <c r="S75" s="308" t="inlineStr"/>
      <c r="T75" s="308" t="inlineStr">
        <is>
          <t>p6:native:50, p6:native:51</t>
        </is>
      </c>
      <c r="U75" s="308" t="n">
        <v>2</v>
      </c>
    </row>
    <row r="76">
      <c r="A76" s="308" t="inlineStr">
        <is>
          <t>Missing in Excel</t>
        </is>
      </c>
      <c r="B76" s="308" t="inlineStr">
        <is>
          <t>DG7001</t>
        </is>
      </c>
      <c r="C76" s="308" t="n">
        <v>6</v>
      </c>
      <c r="D76" s="308" t="inlineStr">
        <is>
          <t>RL7-BIN-103-WIT01</t>
        </is>
      </c>
      <c r="E76" s="308" t="inlineStr">
        <is>
          <t>RL7-BIN-103</t>
        </is>
      </c>
      <c r="F76" s="308" t="inlineStr">
        <is>
          <t>WIT01</t>
        </is>
      </c>
      <c r="G76" s="308" t="inlineStr">
        <is>
          <t>instrument</t>
        </is>
      </c>
      <c r="H76" s="311" t="n">
        <v>0.99</v>
      </c>
      <c r="I76" s="308" t="inlineStr">
        <is>
          <t>High</t>
        </is>
      </c>
      <c r="J76" s="308" t="inlineStr">
        <is>
          <t>drawing</t>
        </is>
      </c>
      <c r="K76" s="308" t="inlineStr">
        <is>
          <t>stacked:isa</t>
        </is>
      </c>
      <c r="L76" s="308" t="inlineStr">
        <is>
          <t>drawing zone; process page; mapped sheet</t>
        </is>
      </c>
      <c r="M76" s="308" t="inlineStr">
        <is>
          <t>RL7-BIN-103 / WIT-01</t>
        </is>
      </c>
      <c r="N76" s="308" t="inlineStr">
        <is>
          <t>native</t>
        </is>
      </c>
      <c r="O76" s="308" t="inlineStr">
        <is>
          <t>native-only</t>
        </is>
      </c>
      <c r="P76" s="308" t="inlineStr">
        <is>
          <t>native</t>
        </is>
      </c>
      <c r="Q76" s="308" t="inlineStr"/>
      <c r="R76" s="308" t="inlineStr">
        <is>
          <t>native text sufficient</t>
        </is>
      </c>
      <c r="S76" s="308" t="inlineStr"/>
      <c r="T76" s="308" t="inlineStr">
        <is>
          <t>p6:native:53, p6:native:54</t>
        </is>
      </c>
      <c r="U76" s="308" t="n">
        <v>2</v>
      </c>
    </row>
    <row r="77">
      <c r="A77" s="308" t="inlineStr">
        <is>
          <t>Missing in Excel</t>
        </is>
      </c>
      <c r="B77" s="308" t="inlineStr">
        <is>
          <t>DG7001</t>
        </is>
      </c>
      <c r="C77" s="308" t="n">
        <v>6</v>
      </c>
      <c r="D77" s="308" t="inlineStr">
        <is>
          <t>RL7-BIN-103-XY01</t>
        </is>
      </c>
      <c r="E77" s="308" t="inlineStr">
        <is>
          <t>RL7-BIN-103</t>
        </is>
      </c>
      <c r="F77" s="308" t="inlineStr">
        <is>
          <t>XY01</t>
        </is>
      </c>
      <c r="G77" s="308" t="inlineStr">
        <is>
          <t>instrument</t>
        </is>
      </c>
      <c r="H77" s="311" t="n">
        <v>0.99</v>
      </c>
      <c r="I77" s="308" t="inlineStr">
        <is>
          <t>High</t>
        </is>
      </c>
      <c r="J77" s="308" t="inlineStr">
        <is>
          <t>drawing</t>
        </is>
      </c>
      <c r="K77" s="308" t="inlineStr">
        <is>
          <t>stacked:isa</t>
        </is>
      </c>
      <c r="L77" s="308" t="inlineStr">
        <is>
          <t>drawing zone; process page; mapped sheet</t>
        </is>
      </c>
      <c r="M77" s="308" t="inlineStr">
        <is>
          <t>RL7-BIN-103 / XY-01</t>
        </is>
      </c>
      <c r="N77" s="308" t="inlineStr">
        <is>
          <t>native</t>
        </is>
      </c>
      <c r="O77" s="308" t="inlineStr">
        <is>
          <t>native-only</t>
        </is>
      </c>
      <c r="P77" s="308" t="inlineStr">
        <is>
          <t>native</t>
        </is>
      </c>
      <c r="Q77" s="308" t="inlineStr"/>
      <c r="R77" s="308" t="inlineStr">
        <is>
          <t>native text sufficient</t>
        </is>
      </c>
      <c r="S77" s="308" t="inlineStr"/>
      <c r="T77" s="308" t="inlineStr">
        <is>
          <t>p6:native:88, p6:native:89</t>
        </is>
      </c>
      <c r="U77" s="308" t="n">
        <v>2</v>
      </c>
    </row>
    <row r="78">
      <c r="A78" s="308" t="inlineStr">
        <is>
          <t>Missing in Excel</t>
        </is>
      </c>
      <c r="B78" s="308" t="inlineStr">
        <is>
          <t>DG7001</t>
        </is>
      </c>
      <c r="C78" s="308" t="n">
        <v>6</v>
      </c>
      <c r="D78" s="308" t="inlineStr">
        <is>
          <t>RL7-BIN-103-ZSS01</t>
        </is>
      </c>
      <c r="E78" s="308" t="inlineStr">
        <is>
          <t>RL7-BIN-103</t>
        </is>
      </c>
      <c r="F78" s="308" t="inlineStr">
        <is>
          <t>ZSS01</t>
        </is>
      </c>
      <c r="G78" s="308" t="inlineStr">
        <is>
          <t>instrument</t>
        </is>
      </c>
      <c r="H78" s="311" t="n">
        <v>0.99</v>
      </c>
      <c r="I78" s="308" t="inlineStr">
        <is>
          <t>High</t>
        </is>
      </c>
      <c r="J78" s="308" t="inlineStr">
        <is>
          <t>drawing</t>
        </is>
      </c>
      <c r="K78" s="308" t="inlineStr">
        <is>
          <t>stacked:isa</t>
        </is>
      </c>
      <c r="L78" s="308" t="inlineStr">
        <is>
          <t>drawing zone; process page; mapped sheet</t>
        </is>
      </c>
      <c r="M78" s="308" t="inlineStr">
        <is>
          <t>RL7-BIN-103 / ZSS-01</t>
        </is>
      </c>
      <c r="N78" s="308" t="inlineStr">
        <is>
          <t>native</t>
        </is>
      </c>
      <c r="O78" s="308" t="inlineStr">
        <is>
          <t>native-only</t>
        </is>
      </c>
      <c r="P78" s="308" t="inlineStr">
        <is>
          <t>native</t>
        </is>
      </c>
      <c r="Q78" s="308" t="inlineStr"/>
      <c r="R78" s="308" t="inlineStr">
        <is>
          <t>native text sufficient</t>
        </is>
      </c>
      <c r="S78" s="308" t="inlineStr"/>
      <c r="T78" s="308" t="inlineStr">
        <is>
          <t>p6:native:22, p6:native:23</t>
        </is>
      </c>
      <c r="U78" s="308" t="n">
        <v>2</v>
      </c>
    </row>
    <row r="79">
      <c r="A79" s="308" t="inlineStr">
        <is>
          <t>Missing in Excel</t>
        </is>
      </c>
      <c r="B79" s="308" t="inlineStr">
        <is>
          <t>DG7001</t>
        </is>
      </c>
      <c r="C79" s="308" t="n">
        <v>6</v>
      </c>
      <c r="D79" s="308" t="inlineStr">
        <is>
          <t>RL7-BIN-103-ZSS02</t>
        </is>
      </c>
      <c r="E79" s="308" t="inlineStr">
        <is>
          <t>RL7-BIN-103</t>
        </is>
      </c>
      <c r="F79" s="308" t="inlineStr">
        <is>
          <t>ZSS02</t>
        </is>
      </c>
      <c r="G79" s="308" t="inlineStr">
        <is>
          <t>instrument</t>
        </is>
      </c>
      <c r="H79" s="311" t="n">
        <v>0.99</v>
      </c>
      <c r="I79" s="308" t="inlineStr">
        <is>
          <t>High</t>
        </is>
      </c>
      <c r="J79" s="308" t="inlineStr">
        <is>
          <t>drawing</t>
        </is>
      </c>
      <c r="K79" s="308" t="inlineStr">
        <is>
          <t>stacked:isa</t>
        </is>
      </c>
      <c r="L79" s="308" t="inlineStr">
        <is>
          <t>drawing zone; process page; mapped sheet</t>
        </is>
      </c>
      <c r="M79" s="308" t="inlineStr">
        <is>
          <t>RL7-BIN-103 / ZSS-02</t>
        </is>
      </c>
      <c r="N79" s="308" t="inlineStr">
        <is>
          <t>native</t>
        </is>
      </c>
      <c r="O79" s="308" t="inlineStr">
        <is>
          <t>native-only</t>
        </is>
      </c>
      <c r="P79" s="308" t="inlineStr">
        <is>
          <t>native</t>
        </is>
      </c>
      <c r="Q79" s="308" t="inlineStr"/>
      <c r="R79" s="308" t="inlineStr">
        <is>
          <t>native text sufficient</t>
        </is>
      </c>
      <c r="S79" s="308" t="inlineStr"/>
      <c r="T79" s="308" t="inlineStr">
        <is>
          <t>p6:native:16, p6:native:17</t>
        </is>
      </c>
      <c r="U79" s="308" t="n">
        <v>2</v>
      </c>
    </row>
    <row r="80">
      <c r="A80" s="308" t="inlineStr">
        <is>
          <t>Missing in Excel</t>
        </is>
      </c>
      <c r="B80" s="308" t="inlineStr">
        <is>
          <t>DG7001</t>
        </is>
      </c>
      <c r="C80" s="308" t="n">
        <v>6</v>
      </c>
      <c r="D80" s="308" t="inlineStr">
        <is>
          <t>RL7-BIN-103-ZSS03</t>
        </is>
      </c>
      <c r="E80" s="308" t="inlineStr">
        <is>
          <t>RL7-BIN-103</t>
        </is>
      </c>
      <c r="F80" s="308" t="inlineStr">
        <is>
          <t>ZSS03</t>
        </is>
      </c>
      <c r="G80" s="308" t="inlineStr">
        <is>
          <t>instrument</t>
        </is>
      </c>
      <c r="H80" s="311" t="n">
        <v>0.99</v>
      </c>
      <c r="I80" s="308" t="inlineStr">
        <is>
          <t>High</t>
        </is>
      </c>
      <c r="J80" s="308" t="inlineStr">
        <is>
          <t>drawing</t>
        </is>
      </c>
      <c r="K80" s="308" t="inlineStr">
        <is>
          <t>stacked:isa</t>
        </is>
      </c>
      <c r="L80" s="308" t="inlineStr">
        <is>
          <t>drawing zone; process page; mapped sheet</t>
        </is>
      </c>
      <c r="M80" s="308" t="inlineStr">
        <is>
          <t>RL7-BIN-103 / ZSS-03</t>
        </is>
      </c>
      <c r="N80" s="308" t="inlineStr">
        <is>
          <t>native</t>
        </is>
      </c>
      <c r="O80" s="308" t="inlineStr">
        <is>
          <t>native-only</t>
        </is>
      </c>
      <c r="P80" s="308" t="inlineStr">
        <is>
          <t>native</t>
        </is>
      </c>
      <c r="Q80" s="308" t="inlineStr"/>
      <c r="R80" s="308" t="inlineStr">
        <is>
          <t>native text sufficient</t>
        </is>
      </c>
      <c r="S80" s="308" t="inlineStr"/>
      <c r="T80" s="308" t="inlineStr">
        <is>
          <t>p6:native:105, p6:native:106</t>
        </is>
      </c>
      <c r="U80" s="308" t="n">
        <v>2</v>
      </c>
    </row>
    <row r="81">
      <c r="A81" s="308" t="inlineStr">
        <is>
          <t>Missing in Excel</t>
        </is>
      </c>
      <c r="B81" s="308" t="inlineStr">
        <is>
          <t>DG7001</t>
        </is>
      </c>
      <c r="C81" s="308" t="n">
        <v>6</v>
      </c>
      <c r="D81" s="308" t="inlineStr">
        <is>
          <t>RL7-BIN-104-AH01</t>
        </is>
      </c>
      <c r="E81" s="308" t="inlineStr">
        <is>
          <t>RL7-BIN-104</t>
        </is>
      </c>
      <c r="F81" s="308" t="inlineStr">
        <is>
          <t>AH01</t>
        </is>
      </c>
      <c r="G81" s="308" t="inlineStr">
        <is>
          <t>instrument</t>
        </is>
      </c>
      <c r="H81" s="311" t="n">
        <v>0.99</v>
      </c>
      <c r="I81" s="308" t="inlineStr">
        <is>
          <t>High</t>
        </is>
      </c>
      <c r="J81" s="308" t="inlineStr">
        <is>
          <t>drawing</t>
        </is>
      </c>
      <c r="K81" s="308" t="inlineStr">
        <is>
          <t>stacked:isa</t>
        </is>
      </c>
      <c r="L81" s="308" t="inlineStr">
        <is>
          <t>drawing zone; process page; mapped sheet</t>
        </is>
      </c>
      <c r="M81" s="308" t="inlineStr">
        <is>
          <t>RL7-BIN-104 / AH-01</t>
        </is>
      </c>
      <c r="N81" s="308" t="inlineStr">
        <is>
          <t>native</t>
        </is>
      </c>
      <c r="O81" s="308" t="inlineStr">
        <is>
          <t>native-only</t>
        </is>
      </c>
      <c r="P81" s="308" t="inlineStr">
        <is>
          <t>native</t>
        </is>
      </c>
      <c r="Q81" s="308" t="inlineStr"/>
      <c r="R81" s="308" t="inlineStr">
        <is>
          <t>native text sufficient</t>
        </is>
      </c>
      <c r="S81" s="308" t="inlineStr"/>
      <c r="T81" s="308" t="inlineStr">
        <is>
          <t>p6:native:133, p6:native:134</t>
        </is>
      </c>
      <c r="U81" s="308" t="n">
        <v>2</v>
      </c>
    </row>
    <row r="82">
      <c r="A82" s="308" t="inlineStr">
        <is>
          <t>Missing in Excel</t>
        </is>
      </c>
      <c r="B82" s="308" t="inlineStr">
        <is>
          <t>DG7001</t>
        </is>
      </c>
      <c r="C82" s="308" t="n">
        <v>6</v>
      </c>
      <c r="D82" s="308" t="inlineStr">
        <is>
          <t>RL7-BIN-104-PB01</t>
        </is>
      </c>
      <c r="E82" s="308" t="inlineStr">
        <is>
          <t>RL7-BIN-104</t>
        </is>
      </c>
      <c r="F82" s="308" t="inlineStr">
        <is>
          <t>PB01</t>
        </is>
      </c>
      <c r="G82" s="308" t="inlineStr">
        <is>
          <t>instrument</t>
        </is>
      </c>
      <c r="H82" s="311" t="n">
        <v>0.99</v>
      </c>
      <c r="I82" s="308" t="inlineStr">
        <is>
          <t>High</t>
        </is>
      </c>
      <c r="J82" s="308" t="inlineStr">
        <is>
          <t>drawing</t>
        </is>
      </c>
      <c r="K82" s="308" t="inlineStr">
        <is>
          <t>stacked:isa</t>
        </is>
      </c>
      <c r="L82" s="308" t="inlineStr">
        <is>
          <t>drawing zone; process page; mapped sheet</t>
        </is>
      </c>
      <c r="M82" s="308" t="inlineStr">
        <is>
          <t>RL7-BIN-104 / PB-01</t>
        </is>
      </c>
      <c r="N82" s="308" t="inlineStr">
        <is>
          <t>native</t>
        </is>
      </c>
      <c r="O82" s="308" t="inlineStr">
        <is>
          <t>native-only</t>
        </is>
      </c>
      <c r="P82" s="308" t="inlineStr">
        <is>
          <t>native</t>
        </is>
      </c>
      <c r="Q82" s="308" t="inlineStr"/>
      <c r="R82" s="308" t="inlineStr">
        <is>
          <t>native text sufficient</t>
        </is>
      </c>
      <c r="S82" s="308" t="inlineStr"/>
      <c r="T82" s="308" t="inlineStr">
        <is>
          <t>p6:native:120, p6:native:121</t>
        </is>
      </c>
      <c r="U82" s="308" t="n">
        <v>2</v>
      </c>
    </row>
    <row r="83">
      <c r="A83" s="308" t="inlineStr">
        <is>
          <t>Missing in Excel</t>
        </is>
      </c>
      <c r="B83" s="308" t="inlineStr">
        <is>
          <t>DG7001</t>
        </is>
      </c>
      <c r="C83" s="308" t="n">
        <v>6</v>
      </c>
      <c r="D83" s="308" t="inlineStr">
        <is>
          <t>RL7-BIN-104-PL01G</t>
        </is>
      </c>
      <c r="E83" s="308" t="inlineStr">
        <is>
          <t>RL7-BIN-104</t>
        </is>
      </c>
      <c r="F83" s="308" t="inlineStr">
        <is>
          <t>PL01G</t>
        </is>
      </c>
      <c r="G83" s="308" t="inlineStr">
        <is>
          <t>instrument</t>
        </is>
      </c>
      <c r="H83" s="311" t="n">
        <v>0.99</v>
      </c>
      <c r="I83" s="308" t="inlineStr">
        <is>
          <t>High</t>
        </is>
      </c>
      <c r="J83" s="308" t="inlineStr">
        <is>
          <t>drawing</t>
        </is>
      </c>
      <c r="K83" s="308" t="inlineStr">
        <is>
          <t>stacked:isa</t>
        </is>
      </c>
      <c r="L83" s="308" t="inlineStr">
        <is>
          <t>drawing zone; process page; mapped sheet</t>
        </is>
      </c>
      <c r="M83" s="308" t="inlineStr">
        <is>
          <t>RL7-BIN-104 / PL-01G</t>
        </is>
      </c>
      <c r="N83" s="308" t="inlineStr">
        <is>
          <t>native</t>
        </is>
      </c>
      <c r="O83" s="308" t="inlineStr">
        <is>
          <t>native-only</t>
        </is>
      </c>
      <c r="P83" s="308" t="inlineStr">
        <is>
          <t>native</t>
        </is>
      </c>
      <c r="Q83" s="308" t="inlineStr"/>
      <c r="R83" s="308" t="inlineStr">
        <is>
          <t>native text sufficient</t>
        </is>
      </c>
      <c r="S83" s="308" t="inlineStr"/>
      <c r="T83" s="308" t="inlineStr">
        <is>
          <t>p6:native:128, p6:native:129</t>
        </is>
      </c>
      <c r="U83" s="308" t="n">
        <v>2</v>
      </c>
    </row>
    <row r="84">
      <c r="A84" s="308" t="inlineStr">
        <is>
          <t>Missing in Excel</t>
        </is>
      </c>
      <c r="B84" s="308" t="inlineStr">
        <is>
          <t>DG7001</t>
        </is>
      </c>
      <c r="C84" s="308" t="n">
        <v>6</v>
      </c>
      <c r="D84" s="308" t="inlineStr">
        <is>
          <t>RL7-BIN-104-PL01R</t>
        </is>
      </c>
      <c r="E84" s="308" t="inlineStr">
        <is>
          <t>RL7-BIN-104</t>
        </is>
      </c>
      <c r="F84" s="308" t="inlineStr">
        <is>
          <t>PL01R</t>
        </is>
      </c>
      <c r="G84" s="308" t="inlineStr">
        <is>
          <t>instrument</t>
        </is>
      </c>
      <c r="H84" s="311" t="n">
        <v>0.99</v>
      </c>
      <c r="I84" s="308" t="inlineStr">
        <is>
          <t>High</t>
        </is>
      </c>
      <c r="J84" s="308" t="inlineStr">
        <is>
          <t>drawing</t>
        </is>
      </c>
      <c r="K84" s="308" t="inlineStr">
        <is>
          <t>stacked:isa</t>
        </is>
      </c>
      <c r="L84" s="308" t="inlineStr">
        <is>
          <t>drawing zone; process page; mapped sheet</t>
        </is>
      </c>
      <c r="M84" s="308" t="inlineStr">
        <is>
          <t>RL7-BIN-104 / PL-01R</t>
        </is>
      </c>
      <c r="N84" s="308" t="inlineStr">
        <is>
          <t>native</t>
        </is>
      </c>
      <c r="O84" s="308" t="inlineStr">
        <is>
          <t>native-only</t>
        </is>
      </c>
      <c r="P84" s="308" t="inlineStr">
        <is>
          <t>native</t>
        </is>
      </c>
      <c r="Q84" s="308" t="inlineStr"/>
      <c r="R84" s="308" t="inlineStr">
        <is>
          <t>native text sufficient</t>
        </is>
      </c>
      <c r="S84" s="308" t="inlineStr"/>
      <c r="T84" s="308" t="inlineStr">
        <is>
          <t>p6:native:124, p6:native:125</t>
        </is>
      </c>
      <c r="U84" s="308" t="n">
        <v>2</v>
      </c>
    </row>
    <row r="85">
      <c r="A85" s="308" t="inlineStr">
        <is>
          <t>Missing in Excel</t>
        </is>
      </c>
      <c r="B85" s="308" t="inlineStr">
        <is>
          <t>DG7001</t>
        </is>
      </c>
      <c r="C85" s="308" t="n">
        <v>6</v>
      </c>
      <c r="D85" s="308" t="inlineStr">
        <is>
          <t>RL7-BIN-104-PL01Y</t>
        </is>
      </c>
      <c r="E85" s="308" t="inlineStr">
        <is>
          <t>RL7-BIN-104</t>
        </is>
      </c>
      <c r="F85" s="308" t="inlineStr">
        <is>
          <t>PL01Y</t>
        </is>
      </c>
      <c r="G85" s="308" t="inlineStr">
        <is>
          <t>instrument</t>
        </is>
      </c>
      <c r="H85" s="311" t="n">
        <v>0.99</v>
      </c>
      <c r="I85" s="308" t="inlineStr">
        <is>
          <t>High</t>
        </is>
      </c>
      <c r="J85" s="308" t="inlineStr">
        <is>
          <t>drawing</t>
        </is>
      </c>
      <c r="K85" s="308" t="inlineStr">
        <is>
          <t>stacked:isa</t>
        </is>
      </c>
      <c r="L85" s="308" t="inlineStr">
        <is>
          <t>drawing zone; process page; mapped sheet</t>
        </is>
      </c>
      <c r="M85" s="308" t="inlineStr">
        <is>
          <t>RL7-BIN-104 / PL-01Y</t>
        </is>
      </c>
      <c r="N85" s="308" t="inlineStr">
        <is>
          <t>native</t>
        </is>
      </c>
      <c r="O85" s="308" t="inlineStr">
        <is>
          <t>native-only</t>
        </is>
      </c>
      <c r="P85" s="308" t="inlineStr">
        <is>
          <t>native</t>
        </is>
      </c>
      <c r="Q85" s="308" t="inlineStr"/>
      <c r="R85" s="308" t="inlineStr">
        <is>
          <t>native text sufficient</t>
        </is>
      </c>
      <c r="S85" s="308" t="inlineStr"/>
      <c r="T85" s="308" t="inlineStr">
        <is>
          <t>p6:native:126, p6:native:127</t>
        </is>
      </c>
      <c r="U85" s="308" t="n">
        <v>2</v>
      </c>
    </row>
    <row r="86">
      <c r="A86" s="308" t="inlineStr">
        <is>
          <t>Missing in Excel</t>
        </is>
      </c>
      <c r="B86" s="308" t="inlineStr">
        <is>
          <t>DG7001</t>
        </is>
      </c>
      <c r="C86" s="308" t="n">
        <v>6</v>
      </c>
      <c r="D86" s="308" t="inlineStr">
        <is>
          <t>RL7-BIN-104-WE01</t>
        </is>
      </c>
      <c r="E86" s="308" t="inlineStr">
        <is>
          <t>RL7-BIN-104</t>
        </is>
      </c>
      <c r="F86" s="308" t="inlineStr">
        <is>
          <t>WE01</t>
        </is>
      </c>
      <c r="G86" s="308" t="inlineStr">
        <is>
          <t>instrument</t>
        </is>
      </c>
      <c r="H86" s="311" t="n">
        <v>0.99</v>
      </c>
      <c r="I86" s="308" t="inlineStr">
        <is>
          <t>High</t>
        </is>
      </c>
      <c r="J86" s="308" t="inlineStr">
        <is>
          <t>drawing</t>
        </is>
      </c>
      <c r="K86" s="308" t="inlineStr">
        <is>
          <t>stacked:isa</t>
        </is>
      </c>
      <c r="L86" s="308" t="inlineStr">
        <is>
          <t>drawing zone; process page; mapped sheet</t>
        </is>
      </c>
      <c r="M86" s="308" t="inlineStr">
        <is>
          <t>RL7-BIN-104 / WE-01</t>
        </is>
      </c>
      <c r="N86" s="308" t="inlineStr">
        <is>
          <t>native</t>
        </is>
      </c>
      <c r="O86" s="308" t="inlineStr">
        <is>
          <t>native-only</t>
        </is>
      </c>
      <c r="P86" s="308" t="inlineStr">
        <is>
          <t>native</t>
        </is>
      </c>
      <c r="Q86" s="308" t="inlineStr"/>
      <c r="R86" s="308" t="inlineStr">
        <is>
          <t>native text sufficient</t>
        </is>
      </c>
      <c r="S86" s="308" t="inlineStr"/>
      <c r="T86" s="308" t="inlineStr">
        <is>
          <t>p6:native:55, p6:native:56</t>
        </is>
      </c>
      <c r="U86" s="308" t="n">
        <v>2</v>
      </c>
    </row>
    <row r="87">
      <c r="A87" s="308" t="inlineStr">
        <is>
          <t>Missing in Excel</t>
        </is>
      </c>
      <c r="B87" s="308" t="inlineStr">
        <is>
          <t>DG7001</t>
        </is>
      </c>
      <c r="C87" s="308" t="n">
        <v>6</v>
      </c>
      <c r="D87" s="308" t="inlineStr">
        <is>
          <t>RL7-BIN-104-WIT01</t>
        </is>
      </c>
      <c r="E87" s="308" t="inlineStr">
        <is>
          <t>RL7-BIN-104</t>
        </is>
      </c>
      <c r="F87" s="308" t="inlineStr">
        <is>
          <t>WIT01</t>
        </is>
      </c>
      <c r="G87" s="308" t="inlineStr">
        <is>
          <t>instrument</t>
        </is>
      </c>
      <c r="H87" s="311" t="n">
        <v>0.99</v>
      </c>
      <c r="I87" s="308" t="inlineStr">
        <is>
          <t>High</t>
        </is>
      </c>
      <c r="J87" s="308" t="inlineStr">
        <is>
          <t>drawing</t>
        </is>
      </c>
      <c r="K87" s="308" t="inlineStr">
        <is>
          <t>stacked:isa</t>
        </is>
      </c>
      <c r="L87" s="308" t="inlineStr">
        <is>
          <t>drawing zone; process page; mapped sheet</t>
        </is>
      </c>
      <c r="M87" s="308" t="inlineStr">
        <is>
          <t>RL7-BIN-104 / WIT-01</t>
        </is>
      </c>
      <c r="N87" s="308" t="inlineStr">
        <is>
          <t>native</t>
        </is>
      </c>
      <c r="O87" s="308" t="inlineStr">
        <is>
          <t>native-only</t>
        </is>
      </c>
      <c r="P87" s="308" t="inlineStr">
        <is>
          <t>native</t>
        </is>
      </c>
      <c r="Q87" s="308" t="inlineStr"/>
      <c r="R87" s="308" t="inlineStr">
        <is>
          <t>native text sufficient</t>
        </is>
      </c>
      <c r="S87" s="308" t="inlineStr"/>
      <c r="T87" s="308" t="inlineStr">
        <is>
          <t>p6:native:58, p6:native:59</t>
        </is>
      </c>
      <c r="U87" s="308" t="n">
        <v>2</v>
      </c>
    </row>
    <row r="88">
      <c r="A88" s="308" t="inlineStr">
        <is>
          <t>Missing in Excel</t>
        </is>
      </c>
      <c r="B88" s="308" t="inlineStr">
        <is>
          <t>DG7001</t>
        </is>
      </c>
      <c r="C88" s="308" t="n">
        <v>6</v>
      </c>
      <c r="D88" s="308" t="inlineStr">
        <is>
          <t>RL7-BIN-104-XY01</t>
        </is>
      </c>
      <c r="E88" s="308" t="inlineStr">
        <is>
          <t>RL7-BIN-104</t>
        </is>
      </c>
      <c r="F88" s="308" t="inlineStr">
        <is>
          <t>XY01</t>
        </is>
      </c>
      <c r="G88" s="308" t="inlineStr">
        <is>
          <t>instrument</t>
        </is>
      </c>
      <c r="H88" s="311" t="n">
        <v>0.99</v>
      </c>
      <c r="I88" s="308" t="inlineStr">
        <is>
          <t>High</t>
        </is>
      </c>
      <c r="J88" s="308" t="inlineStr">
        <is>
          <t>drawing</t>
        </is>
      </c>
      <c r="K88" s="308" t="inlineStr">
        <is>
          <t>stacked:isa</t>
        </is>
      </c>
      <c r="L88" s="308" t="inlineStr">
        <is>
          <t>drawing zone; process page; mapped sheet</t>
        </is>
      </c>
      <c r="M88" s="308" t="inlineStr">
        <is>
          <t>RL7-BIN-104 / XY-01</t>
        </is>
      </c>
      <c r="N88" s="308" t="inlineStr">
        <is>
          <t>native</t>
        </is>
      </c>
      <c r="O88" s="308" t="inlineStr">
        <is>
          <t>native-only</t>
        </is>
      </c>
      <c r="P88" s="308" t="inlineStr">
        <is>
          <t>native</t>
        </is>
      </c>
      <c r="Q88" s="308" t="inlineStr"/>
      <c r="R88" s="308" t="inlineStr">
        <is>
          <t>native text sufficient</t>
        </is>
      </c>
      <c r="S88" s="308" t="inlineStr"/>
      <c r="T88" s="308" t="inlineStr">
        <is>
          <t>p6:native:90, p6:native:91</t>
        </is>
      </c>
      <c r="U88" s="308" t="n">
        <v>2</v>
      </c>
    </row>
    <row r="89">
      <c r="A89" s="308" t="inlineStr">
        <is>
          <t>Missing in Excel</t>
        </is>
      </c>
      <c r="B89" s="308" t="inlineStr">
        <is>
          <t>DG7001</t>
        </is>
      </c>
      <c r="C89" s="308" t="n">
        <v>6</v>
      </c>
      <c r="D89" s="308" t="inlineStr">
        <is>
          <t>RL7-BIN-104-ZSS01</t>
        </is>
      </c>
      <c r="E89" s="308" t="inlineStr">
        <is>
          <t>RL7-BIN-104</t>
        </is>
      </c>
      <c r="F89" s="308" t="inlineStr">
        <is>
          <t>ZSS01</t>
        </is>
      </c>
      <c r="G89" s="308" t="inlineStr">
        <is>
          <t>instrument</t>
        </is>
      </c>
      <c r="H89" s="311" t="n">
        <v>0.99</v>
      </c>
      <c r="I89" s="308" t="inlineStr">
        <is>
          <t>High</t>
        </is>
      </c>
      <c r="J89" s="308" t="inlineStr">
        <is>
          <t>drawing</t>
        </is>
      </c>
      <c r="K89" s="308" t="inlineStr">
        <is>
          <t>stacked:isa</t>
        </is>
      </c>
      <c r="L89" s="308" t="inlineStr">
        <is>
          <t>drawing zone; process page; mapped sheet</t>
        </is>
      </c>
      <c r="M89" s="308" t="inlineStr">
        <is>
          <t>RL7-BIN-104 / ZSS-01</t>
        </is>
      </c>
      <c r="N89" s="308" t="inlineStr">
        <is>
          <t>native</t>
        </is>
      </c>
      <c r="O89" s="308" t="inlineStr">
        <is>
          <t>native-only</t>
        </is>
      </c>
      <c r="P89" s="308" t="inlineStr">
        <is>
          <t>native</t>
        </is>
      </c>
      <c r="Q89" s="308" t="inlineStr"/>
      <c r="R89" s="308" t="inlineStr">
        <is>
          <t>native text sufficient</t>
        </is>
      </c>
      <c r="S89" s="308" t="inlineStr"/>
      <c r="T89" s="308" t="inlineStr">
        <is>
          <t>p6:native:3, p6:native:4</t>
        </is>
      </c>
      <c r="U89" s="308" t="n">
        <v>2</v>
      </c>
    </row>
    <row r="90">
      <c r="A90" s="308" t="inlineStr">
        <is>
          <t>Missing in Excel</t>
        </is>
      </c>
      <c r="B90" s="308" t="inlineStr">
        <is>
          <t>DG7001</t>
        </is>
      </c>
      <c r="C90" s="308" t="n">
        <v>6</v>
      </c>
      <c r="D90" s="308" t="inlineStr">
        <is>
          <t>RL7-BIN-104-ZSS02</t>
        </is>
      </c>
      <c r="E90" s="308" t="inlineStr">
        <is>
          <t>RL7-BIN-104</t>
        </is>
      </c>
      <c r="F90" s="308" t="inlineStr">
        <is>
          <t>ZSS02</t>
        </is>
      </c>
      <c r="G90" s="308" t="inlineStr">
        <is>
          <t>instrument</t>
        </is>
      </c>
      <c r="H90" s="311" t="n">
        <v>0.99</v>
      </c>
      <c r="I90" s="308" t="inlineStr">
        <is>
          <t>High</t>
        </is>
      </c>
      <c r="J90" s="308" t="inlineStr">
        <is>
          <t>drawing</t>
        </is>
      </c>
      <c r="K90" s="308" t="inlineStr">
        <is>
          <t>stacked:isa</t>
        </is>
      </c>
      <c r="L90" s="308" t="inlineStr">
        <is>
          <t>drawing zone; process page; mapped sheet</t>
        </is>
      </c>
      <c r="M90" s="308" t="inlineStr">
        <is>
          <t>RL7-BIN-104 / ZSS-02</t>
        </is>
      </c>
      <c r="N90" s="308" t="inlineStr">
        <is>
          <t>native</t>
        </is>
      </c>
      <c r="O90" s="308" t="inlineStr">
        <is>
          <t>native-only</t>
        </is>
      </c>
      <c r="P90" s="308" t="inlineStr">
        <is>
          <t>native</t>
        </is>
      </c>
      <c r="Q90" s="308" t="inlineStr"/>
      <c r="R90" s="308" t="inlineStr">
        <is>
          <t>native text sufficient</t>
        </is>
      </c>
      <c r="S90" s="308" t="inlineStr"/>
      <c r="T90" s="308" t="inlineStr">
        <is>
          <t>p6:native:12, p6:native:13</t>
        </is>
      </c>
      <c r="U90" s="308" t="n">
        <v>2</v>
      </c>
    </row>
    <row r="91">
      <c r="A91" s="308" t="inlineStr">
        <is>
          <t>Missing in Excel</t>
        </is>
      </c>
      <c r="B91" s="308" t="inlineStr">
        <is>
          <t>DG7001</t>
        </is>
      </c>
      <c r="C91" s="308" t="n">
        <v>6</v>
      </c>
      <c r="D91" s="308" t="inlineStr">
        <is>
          <t>RL7-BIN-104-ZSS03</t>
        </is>
      </c>
      <c r="E91" s="308" t="inlineStr">
        <is>
          <t>RL7-BIN-104</t>
        </is>
      </c>
      <c r="F91" s="308" t="inlineStr">
        <is>
          <t>ZSS03</t>
        </is>
      </c>
      <c r="G91" s="308" t="inlineStr">
        <is>
          <t>instrument</t>
        </is>
      </c>
      <c r="H91" s="311" t="n">
        <v>0.99</v>
      </c>
      <c r="I91" s="308" t="inlineStr">
        <is>
          <t>High</t>
        </is>
      </c>
      <c r="J91" s="308" t="inlineStr">
        <is>
          <t>drawing</t>
        </is>
      </c>
      <c r="K91" s="308" t="inlineStr">
        <is>
          <t>stacked:isa</t>
        </is>
      </c>
      <c r="L91" s="308" t="inlineStr">
        <is>
          <t>drawing zone; process page; mapped sheet</t>
        </is>
      </c>
      <c r="M91" s="308" t="inlineStr">
        <is>
          <t>RL7-BIN-104 / ZSS-03</t>
        </is>
      </c>
      <c r="N91" s="308" t="inlineStr">
        <is>
          <t>native</t>
        </is>
      </c>
      <c r="O91" s="308" t="inlineStr">
        <is>
          <t>native-only</t>
        </is>
      </c>
      <c r="P91" s="308" t="inlineStr">
        <is>
          <t>native</t>
        </is>
      </c>
      <c r="Q91" s="308" t="inlineStr"/>
      <c r="R91" s="308" t="inlineStr">
        <is>
          <t>native text sufficient</t>
        </is>
      </c>
      <c r="S91" s="308" t="inlineStr"/>
      <c r="T91" s="308" t="inlineStr">
        <is>
          <t>p6:native:76, p6:native:77</t>
        </is>
      </c>
      <c r="U91" s="308" t="n">
        <v>2</v>
      </c>
    </row>
    <row r="92">
      <c r="A92" s="308" t="inlineStr">
        <is>
          <t>Missing in Excel</t>
        </is>
      </c>
      <c r="B92" s="308" t="inlineStr">
        <is>
          <t>DG7001</t>
        </is>
      </c>
      <c r="C92" s="308" t="n">
        <v>6</v>
      </c>
      <c r="D92" s="308" t="inlineStr">
        <is>
          <t>RL7-CNV-112-PB01</t>
        </is>
      </c>
      <c r="E92" s="308" t="inlineStr">
        <is>
          <t>RL7-CNV-112</t>
        </is>
      </c>
      <c r="F92" s="308" t="inlineStr">
        <is>
          <t>PB01</t>
        </is>
      </c>
      <c r="G92" s="308" t="inlineStr">
        <is>
          <t>instrument</t>
        </is>
      </c>
      <c r="H92" s="311" t="n">
        <v>0.99</v>
      </c>
      <c r="I92" s="308" t="inlineStr">
        <is>
          <t>High</t>
        </is>
      </c>
      <c r="J92" s="308" t="inlineStr">
        <is>
          <t>drawing</t>
        </is>
      </c>
      <c r="K92" s="308" t="inlineStr">
        <is>
          <t>stacked:isa</t>
        </is>
      </c>
      <c r="L92" s="308" t="inlineStr">
        <is>
          <t>drawing zone; process page; mapped sheet</t>
        </is>
      </c>
      <c r="M92" s="308" t="inlineStr">
        <is>
          <t>RL7-CNV-112 / PB-01</t>
        </is>
      </c>
      <c r="N92" s="308" t="inlineStr">
        <is>
          <t>native</t>
        </is>
      </c>
      <c r="O92" s="308" t="inlineStr">
        <is>
          <t>native-only</t>
        </is>
      </c>
      <c r="P92" s="308" t="inlineStr">
        <is>
          <t>native</t>
        </is>
      </c>
      <c r="Q92" s="308" t="inlineStr"/>
      <c r="R92" s="308" t="inlineStr">
        <is>
          <t>native text sufficient</t>
        </is>
      </c>
      <c r="S92" s="308" t="inlineStr"/>
      <c r="T92" s="308" t="inlineStr">
        <is>
          <t>p6:native:116, p6:native:117</t>
        </is>
      </c>
      <c r="U92" s="308" t="n">
        <v>2</v>
      </c>
    </row>
    <row r="93">
      <c r="A93" s="308" t="inlineStr">
        <is>
          <t>Missing in Excel</t>
        </is>
      </c>
      <c r="B93" s="308" t="inlineStr">
        <is>
          <t>DG7001</t>
        </is>
      </c>
      <c r="C93" s="308" t="n">
        <v>6</v>
      </c>
      <c r="D93" s="308" t="inlineStr">
        <is>
          <t>RL7-CNV-112-XY01</t>
        </is>
      </c>
      <c r="E93" s="308" t="inlineStr">
        <is>
          <t>RL7-CNV-112</t>
        </is>
      </c>
      <c r="F93" s="308" t="inlineStr">
        <is>
          <t>XY01</t>
        </is>
      </c>
      <c r="G93" s="308" t="inlineStr">
        <is>
          <t>instrument</t>
        </is>
      </c>
      <c r="H93" s="311" t="n">
        <v>0.99</v>
      </c>
      <c r="I93" s="308" t="inlineStr">
        <is>
          <t>High</t>
        </is>
      </c>
      <c r="J93" s="308" t="inlineStr">
        <is>
          <t>drawing</t>
        </is>
      </c>
      <c r="K93" s="308" t="inlineStr">
        <is>
          <t>stacked:isa</t>
        </is>
      </c>
      <c r="L93" s="308" t="inlineStr">
        <is>
          <t>drawing zone; process page; mapped sheet</t>
        </is>
      </c>
      <c r="M93" s="308" t="inlineStr">
        <is>
          <t>RL7-CNV-112 / XY-01</t>
        </is>
      </c>
      <c r="N93" s="308" t="inlineStr">
        <is>
          <t>native</t>
        </is>
      </c>
      <c r="O93" s="308" t="inlineStr">
        <is>
          <t>native-only</t>
        </is>
      </c>
      <c r="P93" s="308" t="inlineStr">
        <is>
          <t>native</t>
        </is>
      </c>
      <c r="Q93" s="308" t="inlineStr"/>
      <c r="R93" s="308" t="inlineStr">
        <is>
          <t>native text sufficient</t>
        </is>
      </c>
      <c r="S93" s="308" t="inlineStr"/>
      <c r="T93" s="308" t="inlineStr">
        <is>
          <t>p6:native:93, p6:native:94</t>
        </is>
      </c>
      <c r="U93" s="308" t="n">
        <v>2</v>
      </c>
    </row>
    <row r="94">
      <c r="A94" s="308" t="inlineStr">
        <is>
          <t>Missing in Excel</t>
        </is>
      </c>
      <c r="B94" s="308" t="inlineStr">
        <is>
          <t>DG7001</t>
        </is>
      </c>
      <c r="C94" s="308" t="n">
        <v>6</v>
      </c>
      <c r="D94" s="308" t="inlineStr">
        <is>
          <t>RL7-BIN-102-HV001</t>
        </is>
      </c>
      <c r="E94" s="308" t="inlineStr">
        <is>
          <t>RL7-BIN-102</t>
        </is>
      </c>
      <c r="F94" s="308" t="inlineStr">
        <is>
          <t>HV001</t>
        </is>
      </c>
      <c r="G94" s="308" t="inlineStr">
        <is>
          <t>instrument</t>
        </is>
      </c>
      <c r="H94" s="311" t="n">
        <v>0.57</v>
      </c>
      <c r="I94" s="308" t="inlineStr">
        <is>
          <t>Low</t>
        </is>
      </c>
      <c r="J94" s="308" t="inlineStr">
        <is>
          <t>drawing</t>
        </is>
      </c>
      <c r="K94" s="308" t="inlineStr">
        <is>
          <t>inferred:bare-isa</t>
        </is>
      </c>
      <c r="L94" s="308" t="inlineStr">
        <is>
          <t>drawing zone; process page; mapped sheet</t>
        </is>
      </c>
      <c r="M94" s="308" t="inlineStr">
        <is>
          <t>RL7-BIN-102 / HV</t>
        </is>
      </c>
      <c r="N94" s="308" t="inlineStr">
        <is>
          <t>native</t>
        </is>
      </c>
      <c r="O94" s="308" t="inlineStr">
        <is>
          <t>native-only</t>
        </is>
      </c>
      <c r="P94" s="308" t="inlineStr">
        <is>
          <t>native</t>
        </is>
      </c>
      <c r="Q94" s="308" t="inlineStr"/>
      <c r="R94" s="308" t="inlineStr">
        <is>
          <t>native text sufficient</t>
        </is>
      </c>
      <c r="S94" s="308" t="inlineStr"/>
      <c r="T94" s="308" t="inlineStr">
        <is>
          <t>p6:native:45, p6:native:139</t>
        </is>
      </c>
      <c r="U94" s="308" t="n">
        <v>2</v>
      </c>
    </row>
    <row r="95">
      <c r="A95" s="308" t="inlineStr">
        <is>
          <t>Missing in Excel</t>
        </is>
      </c>
      <c r="B95" s="308" t="inlineStr">
        <is>
          <t>DG7001</t>
        </is>
      </c>
      <c r="C95" s="308" t="n">
        <v>6</v>
      </c>
      <c r="D95" s="308" t="inlineStr">
        <is>
          <t>RL7-BIN-103-HV001</t>
        </is>
      </c>
      <c r="E95" s="308" t="inlineStr">
        <is>
          <t>RL7-BIN-103</t>
        </is>
      </c>
      <c r="F95" s="308" t="inlineStr">
        <is>
          <t>HV001</t>
        </is>
      </c>
      <c r="G95" s="308" t="inlineStr">
        <is>
          <t>instrument</t>
        </is>
      </c>
      <c r="H95" s="311" t="n">
        <v>0.57</v>
      </c>
      <c r="I95" s="308" t="inlineStr">
        <is>
          <t>Low</t>
        </is>
      </c>
      <c r="J95" s="308" t="inlineStr">
        <is>
          <t>drawing</t>
        </is>
      </c>
      <c r="K95" s="308" t="inlineStr">
        <is>
          <t>inferred:bare-isa</t>
        </is>
      </c>
      <c r="L95" s="308" t="inlineStr">
        <is>
          <t>drawing zone; process page; mapped sheet</t>
        </is>
      </c>
      <c r="M95" s="308" t="inlineStr">
        <is>
          <t>RL7-BIN-103 / HV</t>
        </is>
      </c>
      <c r="N95" s="308" t="inlineStr">
        <is>
          <t>native</t>
        </is>
      </c>
      <c r="O95" s="308" t="inlineStr">
        <is>
          <t>native-only</t>
        </is>
      </c>
      <c r="P95" s="308" t="inlineStr">
        <is>
          <t>native</t>
        </is>
      </c>
      <c r="Q95" s="308" t="inlineStr"/>
      <c r="R95" s="308" t="inlineStr">
        <is>
          <t>native text sufficient</t>
        </is>
      </c>
      <c r="S95" s="308" t="inlineStr"/>
      <c r="T95" s="308" t="inlineStr">
        <is>
          <t>p6:native:50, p6:native:145</t>
        </is>
      </c>
      <c r="U95" s="308" t="n">
        <v>2</v>
      </c>
    </row>
    <row r="96">
      <c r="A96" s="308" t="inlineStr">
        <is>
          <t>Missing in Excel</t>
        </is>
      </c>
      <c r="B96" s="308" t="inlineStr">
        <is>
          <t>DG7001</t>
        </is>
      </c>
      <c r="C96" s="308" t="n">
        <v>6</v>
      </c>
      <c r="D96" s="308" t="inlineStr">
        <is>
          <t>RL7-BIN-104-HV001</t>
        </is>
      </c>
      <c r="E96" s="308" t="inlineStr">
        <is>
          <t>RL7-BIN-104</t>
        </is>
      </c>
      <c r="F96" s="308" t="inlineStr">
        <is>
          <t>HV001</t>
        </is>
      </c>
      <c r="G96" s="308" t="inlineStr">
        <is>
          <t>instrument</t>
        </is>
      </c>
      <c r="H96" s="311" t="n">
        <v>0.57</v>
      </c>
      <c r="I96" s="308" t="inlineStr">
        <is>
          <t>Low</t>
        </is>
      </c>
      <c r="J96" s="308" t="inlineStr">
        <is>
          <t>drawing</t>
        </is>
      </c>
      <c r="K96" s="308" t="inlineStr">
        <is>
          <t>inferred:bare-isa</t>
        </is>
      </c>
      <c r="L96" s="308" t="inlineStr">
        <is>
          <t>drawing zone; process page; mapped sheet</t>
        </is>
      </c>
      <c r="M96" s="308" t="inlineStr">
        <is>
          <t>RL7-BIN-104 / HV</t>
        </is>
      </c>
      <c r="N96" s="308" t="inlineStr">
        <is>
          <t>native</t>
        </is>
      </c>
      <c r="O96" s="308" t="inlineStr">
        <is>
          <t>native-only</t>
        </is>
      </c>
      <c r="P96" s="308" t="inlineStr">
        <is>
          <t>native</t>
        </is>
      </c>
      <c r="Q96" s="308" t="inlineStr"/>
      <c r="R96" s="308" t="inlineStr">
        <is>
          <t>native text sufficient</t>
        </is>
      </c>
      <c r="S96" s="308" t="inlineStr"/>
      <c r="T96" s="308" t="inlineStr">
        <is>
          <t>p6:native:55, p6:native:151</t>
        </is>
      </c>
      <c r="U96" s="308" t="n">
        <v>2</v>
      </c>
    </row>
    <row r="97">
      <c r="A97" s="308" t="inlineStr">
        <is>
          <t>Missing in Excel</t>
        </is>
      </c>
      <c r="B97" s="308" t="inlineStr">
        <is>
          <t>DG7001</t>
        </is>
      </c>
      <c r="C97" s="308" t="n">
        <v>6</v>
      </c>
      <c r="D97" s="308" t="inlineStr">
        <is>
          <t>RL7-BIN-104-HV002</t>
        </is>
      </c>
      <c r="E97" s="308" t="inlineStr">
        <is>
          <t>RL7-BIN-104</t>
        </is>
      </c>
      <c r="F97" s="308" t="inlineStr">
        <is>
          <t>HV002</t>
        </is>
      </c>
      <c r="G97" s="308" t="inlineStr">
        <is>
          <t>instrument</t>
        </is>
      </c>
      <c r="H97" s="311" t="n">
        <v>0.57</v>
      </c>
      <c r="I97" s="308" t="inlineStr">
        <is>
          <t>Low</t>
        </is>
      </c>
      <c r="J97" s="308" t="inlineStr">
        <is>
          <t>drawing</t>
        </is>
      </c>
      <c r="K97" s="308" t="inlineStr">
        <is>
          <t>inferred:bare-isa</t>
        </is>
      </c>
      <c r="L97" s="308" t="inlineStr">
        <is>
          <t>drawing zone; process page; mapped sheet</t>
        </is>
      </c>
      <c r="M97" s="308" t="inlineStr">
        <is>
          <t>RL7-BIN-104 / HV</t>
        </is>
      </c>
      <c r="N97" s="308" t="inlineStr">
        <is>
          <t>native</t>
        </is>
      </c>
      <c r="O97" s="308" t="inlineStr">
        <is>
          <t>native-only</t>
        </is>
      </c>
      <c r="P97" s="308" t="inlineStr">
        <is>
          <t>native</t>
        </is>
      </c>
      <c r="Q97" s="308" t="inlineStr"/>
      <c r="R97" s="308" t="inlineStr">
        <is>
          <t>native text sufficient</t>
        </is>
      </c>
      <c r="S97" s="308" t="inlineStr"/>
      <c r="T97" s="308" t="inlineStr">
        <is>
          <t>p6:native:90, p6:native:157</t>
        </is>
      </c>
      <c r="U97" s="308" t="n">
        <v>2</v>
      </c>
    </row>
    <row r="98">
      <c r="A98" s="308" t="inlineStr">
        <is>
          <t>Missing in Excel</t>
        </is>
      </c>
      <c r="B98" s="308" t="inlineStr">
        <is>
          <t>DG7001</t>
        </is>
      </c>
      <c r="C98" s="308" t="n">
        <v>6</v>
      </c>
      <c r="D98" s="308" t="inlineStr">
        <is>
          <t>RL7-CNV-112-HV001</t>
        </is>
      </c>
      <c r="E98" s="308" t="inlineStr">
        <is>
          <t>RL7-CNV-112</t>
        </is>
      </c>
      <c r="F98" s="308" t="inlineStr">
        <is>
          <t>HV001</t>
        </is>
      </c>
      <c r="G98" s="308" t="inlineStr">
        <is>
          <t>instrument</t>
        </is>
      </c>
      <c r="H98" s="311" t="n">
        <v>0.57</v>
      </c>
      <c r="I98" s="308" t="inlineStr">
        <is>
          <t>Low</t>
        </is>
      </c>
      <c r="J98" s="308" t="inlineStr">
        <is>
          <t>drawing</t>
        </is>
      </c>
      <c r="K98" s="308" t="inlineStr">
        <is>
          <t>inferred:bare-isa</t>
        </is>
      </c>
      <c r="L98" s="308" t="inlineStr">
        <is>
          <t>drawing zone; process page; mapped sheet</t>
        </is>
      </c>
      <c r="M98" s="308" t="inlineStr">
        <is>
          <t>RL7-CNV-112 / HV</t>
        </is>
      </c>
      <c r="N98" s="308" t="inlineStr">
        <is>
          <t>native</t>
        </is>
      </c>
      <c r="O98" s="308" t="inlineStr">
        <is>
          <t>native-only</t>
        </is>
      </c>
      <c r="P98" s="308" t="inlineStr">
        <is>
          <t>native</t>
        </is>
      </c>
      <c r="Q98" s="308" t="inlineStr"/>
      <c r="R98" s="308" t="inlineStr">
        <is>
          <t>native text sufficient</t>
        </is>
      </c>
      <c r="S98" s="308" t="inlineStr"/>
      <c r="T98" s="308" t="inlineStr">
        <is>
          <t>p6:native:93, p6:native:99</t>
        </is>
      </c>
      <c r="U98" s="308" t="n">
        <v>2</v>
      </c>
    </row>
    <row r="99">
      <c r="A99" s="308" t="inlineStr">
        <is>
          <t>Missing in Excel</t>
        </is>
      </c>
      <c r="B99" s="308" t="inlineStr">
        <is>
          <t>DG7001</t>
        </is>
      </c>
      <c r="C99" s="308" t="n">
        <v>6</v>
      </c>
      <c r="D99" s="308" t="inlineStr">
        <is>
          <t>1"-PHWS140-12A</t>
        </is>
      </c>
      <c r="E99" s="308" t="inlineStr">
        <is>
          <t>PHWS140</t>
        </is>
      </c>
      <c r="F99" s="308" t="inlineStr">
        <is>
          <t>12A</t>
        </is>
      </c>
      <c r="G99" s="308" t="inlineStr">
        <is>
          <t>line</t>
        </is>
      </c>
      <c r="H99" s="311" t="n">
        <v>0.87</v>
      </c>
      <c r="I99" s="308" t="inlineStr">
        <is>
          <t>Medium</t>
        </is>
      </c>
      <c r="J99" s="308" t="inlineStr">
        <is>
          <t>drawing</t>
        </is>
      </c>
      <c r="K99" s="308" t="inlineStr">
        <is>
          <t>line:size-prefix</t>
        </is>
      </c>
      <c r="L99" s="308" t="inlineStr">
        <is>
          <t>drawing zone; process page; mapped sheet; repeated x4</t>
        </is>
      </c>
      <c r="M99" s="308" t="inlineStr">
        <is>
          <t>1"-PHWS140-12A</t>
        </is>
      </c>
      <c r="N99" s="308" t="inlineStr">
        <is>
          <t>native</t>
        </is>
      </c>
      <c r="O99" s="308" t="inlineStr">
        <is>
          <t>native-only</t>
        </is>
      </c>
      <c r="P99" s="308" t="inlineStr">
        <is>
          <t>native</t>
        </is>
      </c>
      <c r="Q99" s="308" t="inlineStr"/>
      <c r="R99" s="308" t="inlineStr">
        <is>
          <t>native text sufficient</t>
        </is>
      </c>
      <c r="S99" s="308" t="inlineStr"/>
      <c r="T99" s="308" t="inlineStr">
        <is>
          <t>p6:native:92</t>
        </is>
      </c>
      <c r="U99" s="308" t="n">
        <v>1</v>
      </c>
    </row>
    <row r="100">
      <c r="A100" s="308" t="inlineStr">
        <is>
          <t>Missing in Excel</t>
        </is>
      </c>
      <c r="B100" s="308" t="inlineStr">
        <is>
          <t>DG7001</t>
        </is>
      </c>
      <c r="C100" s="308" t="n">
        <v>6</v>
      </c>
      <c r="D100" s="308" t="inlineStr">
        <is>
          <t>1.5"-PHWS140-12A</t>
        </is>
      </c>
      <c r="E100" s="308" t="inlineStr">
        <is>
          <t>PHWS140</t>
        </is>
      </c>
      <c r="F100" s="308" t="inlineStr">
        <is>
          <t>12A</t>
        </is>
      </c>
      <c r="G100" s="308" t="inlineStr">
        <is>
          <t>line</t>
        </is>
      </c>
      <c r="H100" s="311" t="n">
        <v>0.87</v>
      </c>
      <c r="I100" s="308" t="inlineStr">
        <is>
          <t>Medium</t>
        </is>
      </c>
      <c r="J100" s="308" t="inlineStr">
        <is>
          <t>drawing</t>
        </is>
      </c>
      <c r="K100" s="308" t="inlineStr">
        <is>
          <t>line:size-prefix</t>
        </is>
      </c>
      <c r="L100" s="308" t="inlineStr">
        <is>
          <t>drawing zone; process page; mapped sheet; repeated x4</t>
        </is>
      </c>
      <c r="M100" s="308" t="inlineStr">
        <is>
          <t>1.5"-PHWS140-12A</t>
        </is>
      </c>
      <c r="N100" s="308" t="inlineStr">
        <is>
          <t>native</t>
        </is>
      </c>
      <c r="O100" s="308" t="inlineStr">
        <is>
          <t>native-only</t>
        </is>
      </c>
      <c r="P100" s="308" t="inlineStr">
        <is>
          <t>native</t>
        </is>
      </c>
      <c r="Q100" s="308" t="inlineStr"/>
      <c r="R100" s="308" t="inlineStr">
        <is>
          <t>native text sufficient</t>
        </is>
      </c>
      <c r="S100" s="308" t="inlineStr"/>
      <c r="T100" s="308" t="inlineStr">
        <is>
          <t>p6:native:80</t>
        </is>
      </c>
      <c r="U100" s="308" t="n">
        <v>1</v>
      </c>
    </row>
    <row r="101">
      <c r="A101" s="308" t="inlineStr">
        <is>
          <t>Missing in Excel</t>
        </is>
      </c>
      <c r="B101" s="308" t="inlineStr">
        <is>
          <t>DG7001</t>
        </is>
      </c>
      <c r="C101" s="308" t="n">
        <v>6</v>
      </c>
      <c r="D101" s="308" t="inlineStr">
        <is>
          <t>1.5"-PHWS140-12A</t>
        </is>
      </c>
      <c r="E101" s="308" t="inlineStr">
        <is>
          <t>PHWS140</t>
        </is>
      </c>
      <c r="F101" s="308" t="inlineStr">
        <is>
          <t>12A</t>
        </is>
      </c>
      <c r="G101" s="308" t="inlineStr">
        <is>
          <t>line</t>
        </is>
      </c>
      <c r="H101" s="311" t="n">
        <v>0.87</v>
      </c>
      <c r="I101" s="308" t="inlineStr">
        <is>
          <t>Medium</t>
        </is>
      </c>
      <c r="J101" s="308" t="inlineStr">
        <is>
          <t>drawing</t>
        </is>
      </c>
      <c r="K101" s="308" t="inlineStr">
        <is>
          <t>line:size-prefix</t>
        </is>
      </c>
      <c r="L101" s="308" t="inlineStr">
        <is>
          <t>drawing zone; process page; mapped sheet; repeated x4</t>
        </is>
      </c>
      <c r="M101" s="308" t="inlineStr">
        <is>
          <t>1.5"-PHWS140-12A</t>
        </is>
      </c>
      <c r="N101" s="308" t="inlineStr">
        <is>
          <t>native</t>
        </is>
      </c>
      <c r="O101" s="308" t="inlineStr">
        <is>
          <t>native-only</t>
        </is>
      </c>
      <c r="P101" s="308" t="inlineStr">
        <is>
          <t>native</t>
        </is>
      </c>
      <c r="Q101" s="308" t="inlineStr"/>
      <c r="R101" s="308" t="inlineStr">
        <is>
          <t>native text sufficient</t>
        </is>
      </c>
      <c r="S101" s="308" t="inlineStr"/>
      <c r="T101" s="308" t="inlineStr">
        <is>
          <t>p6:native:81</t>
        </is>
      </c>
      <c r="U101" s="308" t="n">
        <v>1</v>
      </c>
    </row>
    <row r="102">
      <c r="A102" s="308" t="inlineStr">
        <is>
          <t>Missing in Excel</t>
        </is>
      </c>
      <c r="B102" s="308" t="inlineStr">
        <is>
          <t>DG7001</t>
        </is>
      </c>
      <c r="C102" s="308" t="n">
        <v>6</v>
      </c>
      <c r="D102" s="308" t="inlineStr">
        <is>
          <t>1.5"-PHWS140-12A</t>
        </is>
      </c>
      <c r="E102" s="308" t="inlineStr">
        <is>
          <t>PHWS140</t>
        </is>
      </c>
      <c r="F102" s="308" t="inlineStr">
        <is>
          <t>12A</t>
        </is>
      </c>
      <c r="G102" s="308" t="inlineStr">
        <is>
          <t>line</t>
        </is>
      </c>
      <c r="H102" s="311" t="n">
        <v>0.87</v>
      </c>
      <c r="I102" s="308" t="inlineStr">
        <is>
          <t>Medium</t>
        </is>
      </c>
      <c r="J102" s="308" t="inlineStr">
        <is>
          <t>drawing</t>
        </is>
      </c>
      <c r="K102" s="308" t="inlineStr">
        <is>
          <t>line:size-prefix</t>
        </is>
      </c>
      <c r="L102" s="308" t="inlineStr">
        <is>
          <t>drawing zone; process page; mapped sheet; repeated x4</t>
        </is>
      </c>
      <c r="M102" s="308" t="inlineStr">
        <is>
          <t>1.5"-PHWS140-12A</t>
        </is>
      </c>
      <c r="N102" s="308" t="inlineStr">
        <is>
          <t>native</t>
        </is>
      </c>
      <c r="O102" s="308" t="inlineStr">
        <is>
          <t>native-only</t>
        </is>
      </c>
      <c r="P102" s="308" t="inlineStr">
        <is>
          <t>native</t>
        </is>
      </c>
      <c r="Q102" s="308" t="inlineStr"/>
      <c r="R102" s="308" t="inlineStr">
        <is>
          <t>native text sufficient</t>
        </is>
      </c>
      <c r="S102" s="308" t="inlineStr"/>
      <c r="T102" s="308" t="inlineStr">
        <is>
          <t>p6:native:82</t>
        </is>
      </c>
      <c r="U102" s="308" t="n">
        <v>1</v>
      </c>
    </row>
    <row r="103">
      <c r="A103" s="308" t="inlineStr">
        <is>
          <t>Missing in Excel</t>
        </is>
      </c>
      <c r="B103" s="308" t="inlineStr">
        <is>
          <t>DG7001</t>
        </is>
      </c>
      <c r="C103" s="308" t="n">
        <v>6</v>
      </c>
      <c r="D103" s="308" t="inlineStr">
        <is>
          <t>1.5"-PHWS140-12A</t>
        </is>
      </c>
      <c r="E103" s="308" t="inlineStr">
        <is>
          <t>PHWS140</t>
        </is>
      </c>
      <c r="F103" s="308" t="inlineStr">
        <is>
          <t>12A</t>
        </is>
      </c>
      <c r="G103" s="308" t="inlineStr">
        <is>
          <t>line</t>
        </is>
      </c>
      <c r="H103" s="311" t="n">
        <v>0.87</v>
      </c>
      <c r="I103" s="308" t="inlineStr">
        <is>
          <t>Medium</t>
        </is>
      </c>
      <c r="J103" s="308" t="inlineStr">
        <is>
          <t>drawing</t>
        </is>
      </c>
      <c r="K103" s="308" t="inlineStr">
        <is>
          <t>line:size-prefix</t>
        </is>
      </c>
      <c r="L103" s="308" t="inlineStr">
        <is>
          <t>drawing zone; process page; mapped sheet; repeated x4</t>
        </is>
      </c>
      <c r="M103" s="308" t="inlineStr">
        <is>
          <t>1.5"-PHWS140-12A</t>
        </is>
      </c>
      <c r="N103" s="308" t="inlineStr">
        <is>
          <t>native</t>
        </is>
      </c>
      <c r="O103" s="308" t="inlineStr">
        <is>
          <t>native-only</t>
        </is>
      </c>
      <c r="P103" s="308" t="inlineStr">
        <is>
          <t>native</t>
        </is>
      </c>
      <c r="Q103" s="308" t="inlineStr"/>
      <c r="R103" s="308" t="inlineStr">
        <is>
          <t>native text sufficient</t>
        </is>
      </c>
      <c r="S103" s="308" t="inlineStr"/>
      <c r="T103" s="308" t="inlineStr">
        <is>
          <t>p6:native:83</t>
        </is>
      </c>
      <c r="U103" s="308" t="n">
        <v>1</v>
      </c>
    </row>
    <row r="104">
      <c r="A104" s="308" t="inlineStr">
        <is>
          <t>Missing in Excel</t>
        </is>
      </c>
      <c r="B104" s="308" t="inlineStr">
        <is>
          <t>DG7001</t>
        </is>
      </c>
      <c r="C104" s="308" t="n">
        <v>6</v>
      </c>
      <c r="D104" s="308" t="inlineStr">
        <is>
          <t>2"-PHWS140-12A</t>
        </is>
      </c>
      <c r="E104" s="308" t="inlineStr">
        <is>
          <t>PHWS140</t>
        </is>
      </c>
      <c r="F104" s="308" t="inlineStr">
        <is>
          <t>12A</t>
        </is>
      </c>
      <c r="G104" s="308" t="inlineStr">
        <is>
          <t>line</t>
        </is>
      </c>
      <c r="H104" s="311" t="n">
        <v>0.845</v>
      </c>
      <c r="I104" s="308" t="inlineStr">
        <is>
          <t>Medium</t>
        </is>
      </c>
      <c r="J104" s="308" t="inlineStr">
        <is>
          <t>drawing</t>
        </is>
      </c>
      <c r="K104" s="308" t="inlineStr">
        <is>
          <t>line:size-prefix</t>
        </is>
      </c>
      <c r="L104" s="308" t="inlineStr">
        <is>
          <t>drawing zone; process page; mapped sheet; repeated x3</t>
        </is>
      </c>
      <c r="M104" s="308" t="inlineStr">
        <is>
          <t>2"-PHWS140-12A</t>
        </is>
      </c>
      <c r="N104" s="308" t="inlineStr">
        <is>
          <t>native</t>
        </is>
      </c>
      <c r="O104" s="308" t="inlineStr">
        <is>
          <t>native-only</t>
        </is>
      </c>
      <c r="P104" s="308" t="inlineStr">
        <is>
          <t>native</t>
        </is>
      </c>
      <c r="Q104" s="308" t="inlineStr"/>
      <c r="R104" s="308" t="inlineStr">
        <is>
          <t>native text sufficient</t>
        </is>
      </c>
      <c r="S104" s="308" t="inlineStr"/>
      <c r="T104" s="308" t="inlineStr">
        <is>
          <t>p6:native:79</t>
        </is>
      </c>
      <c r="U104" s="308" t="n">
        <v>1</v>
      </c>
    </row>
    <row r="105">
      <c r="A105" s="308" t="inlineStr">
        <is>
          <t>Missing in Excel</t>
        </is>
      </c>
      <c r="B105" s="308" t="inlineStr">
        <is>
          <t>DG7003</t>
        </is>
      </c>
      <c r="C105" s="308" t="n">
        <v>7</v>
      </c>
      <c r="D105" s="308" t="inlineStr">
        <is>
          <t>RL7-CNV-113</t>
        </is>
      </c>
      <c r="E105" s="308" t="inlineStr">
        <is>
          <t>RL7-CNV-113</t>
        </is>
      </c>
      <c r="F105" s="308" t="inlineStr"/>
      <c r="G105" s="308" t="inlineStr">
        <is>
          <t>equipment</t>
        </is>
      </c>
      <c r="H105" s="311" t="n">
        <v>0.77</v>
      </c>
      <c r="I105" s="308" t="inlineStr">
        <is>
          <t>Medium</t>
        </is>
      </c>
      <c r="J105" s="308" t="inlineStr">
        <is>
          <t>drawing</t>
        </is>
      </c>
      <c r="K105" s="308" t="inlineStr">
        <is>
          <t>standalone:asset</t>
        </is>
      </c>
      <c r="L105" s="308" t="inlineStr">
        <is>
          <t>drawing zone; process page; mapped sheet</t>
        </is>
      </c>
      <c r="M105" s="308" t="inlineStr">
        <is>
          <t>RL7-CNV-113</t>
        </is>
      </c>
      <c r="N105" s="308" t="inlineStr">
        <is>
          <t>native</t>
        </is>
      </c>
      <c r="O105" s="308" t="inlineStr">
        <is>
          <t>native-only</t>
        </is>
      </c>
      <c r="P105" s="308" t="inlineStr">
        <is>
          <t>native</t>
        </is>
      </c>
      <c r="Q105" s="308" t="inlineStr"/>
      <c r="R105" s="308" t="inlineStr">
        <is>
          <t>native text sufficient</t>
        </is>
      </c>
      <c r="S105" s="308" t="inlineStr"/>
      <c r="T105" s="308" t="inlineStr">
        <is>
          <t>p7:native:92</t>
        </is>
      </c>
      <c r="U105" s="308" t="n">
        <v>1</v>
      </c>
    </row>
    <row r="106">
      <c r="A106" s="308" t="inlineStr">
        <is>
          <t>Missing in Excel</t>
        </is>
      </c>
      <c r="B106" s="308" t="inlineStr">
        <is>
          <t>DG7003</t>
        </is>
      </c>
      <c r="C106" s="308" t="n">
        <v>7</v>
      </c>
      <c r="D106" s="308" t="inlineStr">
        <is>
          <t>RL7-CNV-114</t>
        </is>
      </c>
      <c r="E106" s="308" t="inlineStr">
        <is>
          <t>RL7-CNV-114</t>
        </is>
      </c>
      <c r="F106" s="308" t="inlineStr"/>
      <c r="G106" s="308" t="inlineStr">
        <is>
          <t>equipment</t>
        </is>
      </c>
      <c r="H106" s="311" t="n">
        <v>0.77</v>
      </c>
      <c r="I106" s="308" t="inlineStr">
        <is>
          <t>Medium</t>
        </is>
      </c>
      <c r="J106" s="308" t="inlineStr">
        <is>
          <t>drawing</t>
        </is>
      </c>
      <c r="K106" s="308" t="inlineStr">
        <is>
          <t>standalone:asset</t>
        </is>
      </c>
      <c r="L106" s="308" t="inlineStr">
        <is>
          <t>drawing zone; process page; mapped sheet</t>
        </is>
      </c>
      <c r="M106" s="308" t="inlineStr">
        <is>
          <t>RL7-CNV-114</t>
        </is>
      </c>
      <c r="N106" s="308" t="inlineStr">
        <is>
          <t>native</t>
        </is>
      </c>
      <c r="O106" s="308" t="inlineStr">
        <is>
          <t>native-only</t>
        </is>
      </c>
      <c r="P106" s="308" t="inlineStr">
        <is>
          <t>native</t>
        </is>
      </c>
      <c r="Q106" s="308" t="inlineStr"/>
      <c r="R106" s="308" t="inlineStr">
        <is>
          <t>native text sufficient</t>
        </is>
      </c>
      <c r="S106" s="308" t="inlineStr"/>
      <c r="T106" s="308" t="inlineStr">
        <is>
          <t>p7:native:7</t>
        </is>
      </c>
      <c r="U106" s="308" t="n">
        <v>1</v>
      </c>
    </row>
    <row r="107">
      <c r="A107" s="308" t="inlineStr">
        <is>
          <t>Missing in Excel</t>
        </is>
      </c>
      <c r="B107" s="308" t="inlineStr">
        <is>
          <t>DG7003</t>
        </is>
      </c>
      <c r="C107" s="308" t="n">
        <v>7</v>
      </c>
      <c r="D107" s="308" t="inlineStr">
        <is>
          <t>RL7-CNV-116</t>
        </is>
      </c>
      <c r="E107" s="308" t="inlineStr">
        <is>
          <t>RL7-CNV-116</t>
        </is>
      </c>
      <c r="F107" s="308" t="inlineStr"/>
      <c r="G107" s="308" t="inlineStr">
        <is>
          <t>equipment</t>
        </is>
      </c>
      <c r="H107" s="311" t="n">
        <v>0.77</v>
      </c>
      <c r="I107" s="308" t="inlineStr">
        <is>
          <t>Medium</t>
        </is>
      </c>
      <c r="J107" s="308" t="inlineStr">
        <is>
          <t>drawing</t>
        </is>
      </c>
      <c r="K107" s="308" t="inlineStr">
        <is>
          <t>standalone:asset</t>
        </is>
      </c>
      <c r="L107" s="308" t="inlineStr">
        <is>
          <t>drawing zone; process page; mapped sheet</t>
        </is>
      </c>
      <c r="M107" s="308" t="inlineStr">
        <is>
          <t>RL7-CNV-116</t>
        </is>
      </c>
      <c r="N107" s="308" t="inlineStr">
        <is>
          <t>native</t>
        </is>
      </c>
      <c r="O107" s="308" t="inlineStr">
        <is>
          <t>native-only</t>
        </is>
      </c>
      <c r="P107" s="308" t="inlineStr">
        <is>
          <t>native</t>
        </is>
      </c>
      <c r="Q107" s="308" t="inlineStr"/>
      <c r="R107" s="308" t="inlineStr">
        <is>
          <t>native text sufficient</t>
        </is>
      </c>
      <c r="S107" s="308" t="inlineStr"/>
      <c r="T107" s="308" t="inlineStr">
        <is>
          <t>p7:native:56</t>
        </is>
      </c>
      <c r="U107" s="308" t="n">
        <v>1</v>
      </c>
    </row>
    <row r="108">
      <c r="A108" s="308" t="inlineStr">
        <is>
          <t>Missing in Excel</t>
        </is>
      </c>
      <c r="B108" s="308" t="inlineStr">
        <is>
          <t>DG7003</t>
        </is>
      </c>
      <c r="C108" s="308" t="n">
        <v>7</v>
      </c>
      <c r="D108" s="308" t="inlineStr">
        <is>
          <t>RL7-CNV-116-XY01</t>
        </is>
      </c>
      <c r="E108" s="308" t="inlineStr">
        <is>
          <t>RL7-CNV-116</t>
        </is>
      </c>
      <c r="F108" s="308" t="inlineStr">
        <is>
          <t>XY01</t>
        </is>
      </c>
      <c r="G108" s="308" t="inlineStr">
        <is>
          <t>instrument</t>
        </is>
      </c>
      <c r="H108" s="311" t="n">
        <v>0.99</v>
      </c>
      <c r="I108" s="308" t="inlineStr">
        <is>
          <t>High</t>
        </is>
      </c>
      <c r="J108" s="308" t="inlineStr">
        <is>
          <t>drawing</t>
        </is>
      </c>
      <c r="K108" s="308" t="inlineStr">
        <is>
          <t>stacked:isa</t>
        </is>
      </c>
      <c r="L108" s="308" t="inlineStr">
        <is>
          <t>drawing zone; process page; mapped sheet</t>
        </is>
      </c>
      <c r="M108" s="308" t="inlineStr">
        <is>
          <t>RL7-CNV-116 / XY-01</t>
        </is>
      </c>
      <c r="N108" s="308" t="inlineStr">
        <is>
          <t>native</t>
        </is>
      </c>
      <c r="O108" s="308" t="inlineStr">
        <is>
          <t>native-only</t>
        </is>
      </c>
      <c r="P108" s="308" t="inlineStr">
        <is>
          <t>native</t>
        </is>
      </c>
      <c r="Q108" s="308" t="inlineStr"/>
      <c r="R108" s="308" t="inlineStr">
        <is>
          <t>native text sufficient</t>
        </is>
      </c>
      <c r="S108" s="308" t="inlineStr"/>
      <c r="T108" s="308" t="inlineStr">
        <is>
          <t>p7:native:56, p7:native:57</t>
        </is>
      </c>
      <c r="U108" s="308" t="n">
        <v>2</v>
      </c>
    </row>
    <row r="109">
      <c r="A109" s="308" t="inlineStr">
        <is>
          <t>Missing in Excel</t>
        </is>
      </c>
      <c r="B109" s="308" t="inlineStr">
        <is>
          <t>DG7003</t>
        </is>
      </c>
      <c r="C109" s="308" t="n">
        <v>7</v>
      </c>
      <c r="D109" s="308" t="inlineStr">
        <is>
          <t>RL7-CNV-113-HV001</t>
        </is>
      </c>
      <c r="E109" s="308" t="inlineStr">
        <is>
          <t>RL7-CNV-113</t>
        </is>
      </c>
      <c r="F109" s="308" t="inlineStr">
        <is>
          <t>HV001</t>
        </is>
      </c>
      <c r="G109" s="308" t="inlineStr">
        <is>
          <t>instrument</t>
        </is>
      </c>
      <c r="H109" s="311" t="n">
        <v>0.57</v>
      </c>
      <c r="I109" s="308" t="inlineStr">
        <is>
          <t>Low</t>
        </is>
      </c>
      <c r="J109" s="308" t="inlineStr">
        <is>
          <t>drawing</t>
        </is>
      </c>
      <c r="K109" s="308" t="inlineStr">
        <is>
          <t>inferred:bare-isa</t>
        </is>
      </c>
      <c r="L109" s="308" t="inlineStr">
        <is>
          <t>drawing zone; process page; mapped sheet</t>
        </is>
      </c>
      <c r="M109" s="308" t="inlineStr">
        <is>
          <t>RL7-CNV-113 / HV</t>
        </is>
      </c>
      <c r="N109" s="308" t="inlineStr">
        <is>
          <t>native</t>
        </is>
      </c>
      <c r="O109" s="308" t="inlineStr">
        <is>
          <t>native-only</t>
        </is>
      </c>
      <c r="P109" s="308" t="inlineStr">
        <is>
          <t>native</t>
        </is>
      </c>
      <c r="Q109" s="308" t="inlineStr"/>
      <c r="R109" s="308" t="inlineStr">
        <is>
          <t>native text sufficient</t>
        </is>
      </c>
      <c r="S109" s="308" t="inlineStr"/>
      <c r="T109" s="308" t="inlineStr">
        <is>
          <t>p7:native:96, p7:native:103</t>
        </is>
      </c>
      <c r="U109" s="308" t="n">
        <v>2</v>
      </c>
    </row>
    <row r="110">
      <c r="A110" s="308" t="inlineStr">
        <is>
          <t>Missing in Excel</t>
        </is>
      </c>
      <c r="B110" s="308" t="inlineStr">
        <is>
          <t>DG7003</t>
        </is>
      </c>
      <c r="C110" s="308" t="n">
        <v>7</v>
      </c>
      <c r="D110" s="308" t="inlineStr">
        <is>
          <t>RL7-CNV-114-HV001</t>
        </is>
      </c>
      <c r="E110" s="308" t="inlineStr">
        <is>
          <t>RL7-CNV-114</t>
        </is>
      </c>
      <c r="F110" s="308" t="inlineStr">
        <is>
          <t>HV001</t>
        </is>
      </c>
      <c r="G110" s="308" t="inlineStr">
        <is>
          <t>instrument</t>
        </is>
      </c>
      <c r="H110" s="311" t="n">
        <v>0.57</v>
      </c>
      <c r="I110" s="308" t="inlineStr">
        <is>
          <t>Low</t>
        </is>
      </c>
      <c r="J110" s="308" t="inlineStr">
        <is>
          <t>drawing</t>
        </is>
      </c>
      <c r="K110" s="308" t="inlineStr">
        <is>
          <t>inferred:bare-isa</t>
        </is>
      </c>
      <c r="L110" s="308" t="inlineStr">
        <is>
          <t>drawing zone; process page; mapped sheet</t>
        </is>
      </c>
      <c r="M110" s="308" t="inlineStr">
        <is>
          <t>RL7-CNV-114 / HV</t>
        </is>
      </c>
      <c r="N110" s="308" t="inlineStr">
        <is>
          <t>native</t>
        </is>
      </c>
      <c r="O110" s="308" t="inlineStr">
        <is>
          <t>native-only</t>
        </is>
      </c>
      <c r="P110" s="308" t="inlineStr">
        <is>
          <t>native</t>
        </is>
      </c>
      <c r="Q110" s="308" t="inlineStr"/>
      <c r="R110" s="308" t="inlineStr">
        <is>
          <t>native text sufficient</t>
        </is>
      </c>
      <c r="S110" s="308" t="inlineStr"/>
      <c r="T110" s="308" t="inlineStr">
        <is>
          <t>p7:native:54, p7:native:69</t>
        </is>
      </c>
      <c r="U110" s="308" t="n">
        <v>2</v>
      </c>
    </row>
    <row r="111">
      <c r="A111" s="308" t="inlineStr">
        <is>
          <t>Missing in Excel</t>
        </is>
      </c>
      <c r="B111" s="308" t="inlineStr">
        <is>
          <t>DG7003</t>
        </is>
      </c>
      <c r="C111" s="308" t="n">
        <v>7</v>
      </c>
      <c r="D111" s="308" t="inlineStr">
        <is>
          <t>RL7-CNV-116-HV001</t>
        </is>
      </c>
      <c r="E111" s="308" t="inlineStr">
        <is>
          <t>RL7-CNV-116</t>
        </is>
      </c>
      <c r="F111" s="308" t="inlineStr">
        <is>
          <t>HV001</t>
        </is>
      </c>
      <c r="G111" s="308" t="inlineStr">
        <is>
          <t>instrument</t>
        </is>
      </c>
      <c r="H111" s="311" t="n">
        <v>0.57</v>
      </c>
      <c r="I111" s="308" t="inlineStr">
        <is>
          <t>Low</t>
        </is>
      </c>
      <c r="J111" s="308" t="inlineStr">
        <is>
          <t>drawing</t>
        </is>
      </c>
      <c r="K111" s="308" t="inlineStr">
        <is>
          <t>inferred:bare-isa</t>
        </is>
      </c>
      <c r="L111" s="308" t="inlineStr">
        <is>
          <t>drawing zone; process page; mapped sheet</t>
        </is>
      </c>
      <c r="M111" s="308" t="inlineStr">
        <is>
          <t>RL7-CNV-116 / HV</t>
        </is>
      </c>
      <c r="N111" s="308" t="inlineStr">
        <is>
          <t>native</t>
        </is>
      </c>
      <c r="O111" s="308" t="inlineStr">
        <is>
          <t>native-only</t>
        </is>
      </c>
      <c r="P111" s="308" t="inlineStr">
        <is>
          <t>native</t>
        </is>
      </c>
      <c r="Q111" s="308" t="inlineStr"/>
      <c r="R111" s="308" t="inlineStr">
        <is>
          <t>native text sufficient</t>
        </is>
      </c>
      <c r="S111" s="308" t="inlineStr"/>
      <c r="T111" s="308" t="inlineStr">
        <is>
          <t>p7:native:56, p7:native:113</t>
        </is>
      </c>
      <c r="U111" s="308" t="n">
        <v>2</v>
      </c>
    </row>
    <row r="112">
      <c r="A112" s="308" t="inlineStr">
        <is>
          <t>Missing in Excel</t>
        </is>
      </c>
      <c r="B112" s="308" t="inlineStr">
        <is>
          <t>DG7003</t>
        </is>
      </c>
      <c r="C112" s="308" t="n">
        <v>7</v>
      </c>
      <c r="D112" s="308" t="inlineStr">
        <is>
          <t>RL7-CNV-116-HV002</t>
        </is>
      </c>
      <c r="E112" s="308" t="inlineStr">
        <is>
          <t>RL7-CNV-116</t>
        </is>
      </c>
      <c r="F112" s="308" t="inlineStr">
        <is>
          <t>HV002</t>
        </is>
      </c>
      <c r="G112" s="308" t="inlineStr">
        <is>
          <t>instrument</t>
        </is>
      </c>
      <c r="H112" s="311" t="n">
        <v>0.57</v>
      </c>
      <c r="I112" s="308" t="inlineStr">
        <is>
          <t>Low</t>
        </is>
      </c>
      <c r="J112" s="308" t="inlineStr">
        <is>
          <t>drawing</t>
        </is>
      </c>
      <c r="K112" s="308" t="inlineStr">
        <is>
          <t>inferred:bare-isa</t>
        </is>
      </c>
      <c r="L112" s="308" t="inlineStr">
        <is>
          <t>drawing zone; process page; mapped sheet</t>
        </is>
      </c>
      <c r="M112" s="308" t="inlineStr">
        <is>
          <t>RL7-CNV-116 / HV</t>
        </is>
      </c>
      <c r="N112" s="308" t="inlineStr">
        <is>
          <t>native</t>
        </is>
      </c>
      <c r="O112" s="308" t="inlineStr">
        <is>
          <t>native-only</t>
        </is>
      </c>
      <c r="P112" s="308" t="inlineStr">
        <is>
          <t>native</t>
        </is>
      </c>
      <c r="Q112" s="308" t="inlineStr"/>
      <c r="R112" s="308" t="inlineStr">
        <is>
          <t>native text sufficient</t>
        </is>
      </c>
      <c r="S112" s="308" t="inlineStr"/>
      <c r="T112" s="308" t="inlineStr">
        <is>
          <t>p7:native:56, p7:native:119</t>
        </is>
      </c>
      <c r="U112" s="308" t="n">
        <v>2</v>
      </c>
    </row>
    <row r="113">
      <c r="A113" s="308" t="inlineStr">
        <is>
          <t>Missing in Excel</t>
        </is>
      </c>
      <c r="B113" s="308" t="inlineStr">
        <is>
          <t>DG7003</t>
        </is>
      </c>
      <c r="C113" s="308" t="n">
        <v>7</v>
      </c>
      <c r="D113" s="308" t="inlineStr">
        <is>
          <t>RL7-CNV-116-HV003</t>
        </is>
      </c>
      <c r="E113" s="308" t="inlineStr">
        <is>
          <t>RL7-CNV-116</t>
        </is>
      </c>
      <c r="F113" s="308" t="inlineStr">
        <is>
          <t>HV003</t>
        </is>
      </c>
      <c r="G113" s="308" t="inlineStr">
        <is>
          <t>instrument</t>
        </is>
      </c>
      <c r="H113" s="311" t="n">
        <v>0.57</v>
      </c>
      <c r="I113" s="308" t="inlineStr">
        <is>
          <t>Low</t>
        </is>
      </c>
      <c r="J113" s="308" t="inlineStr">
        <is>
          <t>drawing</t>
        </is>
      </c>
      <c r="K113" s="308" t="inlineStr">
        <is>
          <t>inferred:bare-isa</t>
        </is>
      </c>
      <c r="L113" s="308" t="inlineStr">
        <is>
          <t>drawing zone; process page; mapped sheet</t>
        </is>
      </c>
      <c r="M113" s="308" t="inlineStr">
        <is>
          <t>RL7-CNV-116 / HV</t>
        </is>
      </c>
      <c r="N113" s="308" t="inlineStr">
        <is>
          <t>native</t>
        </is>
      </c>
      <c r="O113" s="308" t="inlineStr">
        <is>
          <t>native-only</t>
        </is>
      </c>
      <c r="P113" s="308" t="inlineStr">
        <is>
          <t>native</t>
        </is>
      </c>
      <c r="Q113" s="308" t="inlineStr"/>
      <c r="R113" s="308" t="inlineStr">
        <is>
          <t>native text sufficient</t>
        </is>
      </c>
      <c r="S113" s="308" t="inlineStr"/>
      <c r="T113" s="308" t="inlineStr">
        <is>
          <t>p7:native:56, p7:native:63</t>
        </is>
      </c>
      <c r="U113" s="308" t="n">
        <v>2</v>
      </c>
    </row>
    <row r="114">
      <c r="A114" s="308" t="inlineStr">
        <is>
          <t>Missing in Excel</t>
        </is>
      </c>
      <c r="B114" s="308" t="inlineStr">
        <is>
          <t>DG7003</t>
        </is>
      </c>
      <c r="C114" s="308" t="n">
        <v>7</v>
      </c>
      <c r="D114" s="308" t="inlineStr">
        <is>
          <t>1"-PHWS140-12A</t>
        </is>
      </c>
      <c r="E114" s="308" t="inlineStr">
        <is>
          <t>PHWS140</t>
        </is>
      </c>
      <c r="F114" s="308" t="inlineStr">
        <is>
          <t>12A</t>
        </is>
      </c>
      <c r="G114" s="308" t="inlineStr">
        <is>
          <t>line</t>
        </is>
      </c>
      <c r="H114" s="311" t="n">
        <v>0.87</v>
      </c>
      <c r="I114" s="308" t="inlineStr">
        <is>
          <t>Medium</t>
        </is>
      </c>
      <c r="J114" s="308" t="inlineStr">
        <is>
          <t>drawing</t>
        </is>
      </c>
      <c r="K114" s="308" t="inlineStr">
        <is>
          <t>line:size-prefix</t>
        </is>
      </c>
      <c r="L114" s="308" t="inlineStr">
        <is>
          <t>drawing zone; process page; mapped sheet; repeated x4</t>
        </is>
      </c>
      <c r="M114" s="308" t="inlineStr">
        <is>
          <t>1"-PHWS140-12A</t>
        </is>
      </c>
      <c r="N114" s="308" t="inlineStr">
        <is>
          <t>native</t>
        </is>
      </c>
      <c r="O114" s="308" t="inlineStr">
        <is>
          <t>native-only</t>
        </is>
      </c>
      <c r="P114" s="308" t="inlineStr">
        <is>
          <t>native</t>
        </is>
      </c>
      <c r="Q114" s="308" t="inlineStr"/>
      <c r="R114" s="308" t="inlineStr">
        <is>
          <t>native text sufficient</t>
        </is>
      </c>
      <c r="S114" s="308" t="inlineStr"/>
      <c r="T114" s="308" t="inlineStr">
        <is>
          <t>p7:native:58</t>
        </is>
      </c>
      <c r="U114" s="308" t="n">
        <v>1</v>
      </c>
    </row>
    <row r="115">
      <c r="A115" s="308" t="inlineStr">
        <is>
          <t>Missing in Excel</t>
        </is>
      </c>
      <c r="B115" s="308" t="inlineStr">
        <is>
          <t>DG7003</t>
        </is>
      </c>
      <c r="C115" s="308" t="n">
        <v>7</v>
      </c>
      <c r="D115" s="308" t="inlineStr">
        <is>
          <t>1"-PHWS140-12A</t>
        </is>
      </c>
      <c r="E115" s="308" t="inlineStr">
        <is>
          <t>PHWS140</t>
        </is>
      </c>
      <c r="F115" s="308" t="inlineStr">
        <is>
          <t>12A</t>
        </is>
      </c>
      <c r="G115" s="308" t="inlineStr">
        <is>
          <t>line</t>
        </is>
      </c>
      <c r="H115" s="311" t="n">
        <v>0.87</v>
      </c>
      <c r="I115" s="308" t="inlineStr">
        <is>
          <t>Medium</t>
        </is>
      </c>
      <c r="J115" s="308" t="inlineStr">
        <is>
          <t>drawing</t>
        </is>
      </c>
      <c r="K115" s="308" t="inlineStr">
        <is>
          <t>line:size-prefix</t>
        </is>
      </c>
      <c r="L115" s="308" t="inlineStr">
        <is>
          <t>drawing zone; process page; mapped sheet; repeated x4</t>
        </is>
      </c>
      <c r="M115" s="308" t="inlineStr">
        <is>
          <t>1"-PHWS140-12A</t>
        </is>
      </c>
      <c r="N115" s="308" t="inlineStr">
        <is>
          <t>native</t>
        </is>
      </c>
      <c r="O115" s="308" t="inlineStr">
        <is>
          <t>native-only</t>
        </is>
      </c>
      <c r="P115" s="308" t="inlineStr">
        <is>
          <t>native</t>
        </is>
      </c>
      <c r="Q115" s="308" t="inlineStr"/>
      <c r="R115" s="308" t="inlineStr">
        <is>
          <t>native text sufficient</t>
        </is>
      </c>
      <c r="S115" s="308" t="inlineStr"/>
      <c r="T115" s="308" t="inlineStr">
        <is>
          <t>p7:native:98</t>
        </is>
      </c>
      <c r="U115" s="308" t="n">
        <v>1</v>
      </c>
    </row>
    <row r="116">
      <c r="A116" s="308" t="inlineStr">
        <is>
          <t>Missing in Excel</t>
        </is>
      </c>
      <c r="B116" s="308" t="inlineStr">
        <is>
          <t>DG7003</t>
        </is>
      </c>
      <c r="C116" s="308" t="n">
        <v>7</v>
      </c>
      <c r="D116" s="308" t="inlineStr">
        <is>
          <t>1.5"-PHWS140-12A</t>
        </is>
      </c>
      <c r="E116" s="308" t="inlineStr">
        <is>
          <t>PHWS140</t>
        </is>
      </c>
      <c r="F116" s="308" t="inlineStr">
        <is>
          <t>12A</t>
        </is>
      </c>
      <c r="G116" s="308" t="inlineStr">
        <is>
          <t>line</t>
        </is>
      </c>
      <c r="H116" s="311" t="n">
        <v>0.82</v>
      </c>
      <c r="I116" s="308" t="inlineStr">
        <is>
          <t>Medium</t>
        </is>
      </c>
      <c r="J116" s="308" t="inlineStr">
        <is>
          <t>drawing</t>
        </is>
      </c>
      <c r="K116" s="308" t="inlineStr">
        <is>
          <t>line:size-prefix</t>
        </is>
      </c>
      <c r="L116" s="308" t="inlineStr">
        <is>
          <t>drawing zone; process page; mapped sheet; repeated x2</t>
        </is>
      </c>
      <c r="M116" s="308" t="inlineStr">
        <is>
          <t>1.5"-PHWS140-12A</t>
        </is>
      </c>
      <c r="N116" s="308" t="inlineStr">
        <is>
          <t>native</t>
        </is>
      </c>
      <c r="O116" s="308" t="inlineStr">
        <is>
          <t>native-only</t>
        </is>
      </c>
      <c r="P116" s="308" t="inlineStr">
        <is>
          <t>native</t>
        </is>
      </c>
      <c r="Q116" s="308" t="inlineStr"/>
      <c r="R116" s="308" t="inlineStr">
        <is>
          <t>native text sufficient</t>
        </is>
      </c>
      <c r="S116" s="308" t="inlineStr"/>
      <c r="T116" s="308" t="inlineStr">
        <is>
          <t>p7:native:52</t>
        </is>
      </c>
      <c r="U116" s="308" t="n">
        <v>1</v>
      </c>
    </row>
    <row r="117">
      <c r="A117" s="308" t="inlineStr">
        <is>
          <t>Missing in Excel</t>
        </is>
      </c>
      <c r="B117" s="308" t="inlineStr">
        <is>
          <t>DG7003</t>
        </is>
      </c>
      <c r="C117" s="308" t="n">
        <v>7</v>
      </c>
      <c r="D117" s="308" t="inlineStr">
        <is>
          <t>1.5"-PHWS140-12A</t>
        </is>
      </c>
      <c r="E117" s="308" t="inlineStr">
        <is>
          <t>PHWS140</t>
        </is>
      </c>
      <c r="F117" s="308" t="inlineStr">
        <is>
          <t>12A</t>
        </is>
      </c>
      <c r="G117" s="308" t="inlineStr">
        <is>
          <t>line</t>
        </is>
      </c>
      <c r="H117" s="311" t="n">
        <v>0.82</v>
      </c>
      <c r="I117" s="308" t="inlineStr">
        <is>
          <t>Medium</t>
        </is>
      </c>
      <c r="J117" s="308" t="inlineStr">
        <is>
          <t>drawing</t>
        </is>
      </c>
      <c r="K117" s="308" t="inlineStr">
        <is>
          <t>line:size-prefix</t>
        </is>
      </c>
      <c r="L117" s="308" t="inlineStr">
        <is>
          <t>drawing zone; process page; mapped sheet; repeated x2</t>
        </is>
      </c>
      <c r="M117" s="308" t="inlineStr">
        <is>
          <t>1.5"-PHWS140-12A</t>
        </is>
      </c>
      <c r="N117" s="308" t="inlineStr">
        <is>
          <t>native</t>
        </is>
      </c>
      <c r="O117" s="308" t="inlineStr">
        <is>
          <t>native-only</t>
        </is>
      </c>
      <c r="P117" s="308" t="inlineStr">
        <is>
          <t>native</t>
        </is>
      </c>
      <c r="Q117" s="308" t="inlineStr"/>
      <c r="R117" s="308" t="inlineStr">
        <is>
          <t>native text sufficient</t>
        </is>
      </c>
      <c r="S117" s="308" t="inlineStr"/>
      <c r="T117" s="308" t="inlineStr">
        <is>
          <t>p7:native:53</t>
        </is>
      </c>
      <c r="U117" s="308" t="n">
        <v>1</v>
      </c>
    </row>
    <row r="118">
      <c r="A118" s="308" t="inlineStr">
        <is>
          <t>Missing in Excel</t>
        </is>
      </c>
      <c r="B118" s="308" t="inlineStr">
        <is>
          <t>DG7004</t>
        </is>
      </c>
      <c r="C118" s="308" t="n">
        <v>8</v>
      </c>
      <c r="D118" s="308" t="inlineStr">
        <is>
          <t>RL7-CNV-106</t>
        </is>
      </c>
      <c r="E118" s="308" t="inlineStr">
        <is>
          <t>RL7-CNV-106</t>
        </is>
      </c>
      <c r="F118" s="308" t="inlineStr"/>
      <c r="G118" s="308" t="inlineStr">
        <is>
          <t>equipment</t>
        </is>
      </c>
      <c r="H118" s="311" t="n">
        <v>0.77</v>
      </c>
      <c r="I118" s="308" t="inlineStr">
        <is>
          <t>Medium</t>
        </is>
      </c>
      <c r="J118" s="308" t="inlineStr">
        <is>
          <t>drawing</t>
        </is>
      </c>
      <c r="K118" s="308" t="inlineStr">
        <is>
          <t>standalone:asset</t>
        </is>
      </c>
      <c r="L118" s="308" t="inlineStr">
        <is>
          <t>drawing zone; process page; mapped sheet</t>
        </is>
      </c>
      <c r="M118" s="308" t="inlineStr">
        <is>
          <t>RL7-CNV-106</t>
        </is>
      </c>
      <c r="N118" s="308" t="inlineStr">
        <is>
          <t>native</t>
        </is>
      </c>
      <c r="O118" s="308" t="inlineStr">
        <is>
          <t>native-only</t>
        </is>
      </c>
      <c r="P118" s="308" t="inlineStr">
        <is>
          <t>native</t>
        </is>
      </c>
      <c r="Q118" s="308" t="inlineStr"/>
      <c r="R118" s="308" t="inlineStr">
        <is>
          <t>native text sufficient</t>
        </is>
      </c>
      <c r="S118" s="308" t="inlineStr"/>
      <c r="T118" s="308" t="inlineStr">
        <is>
          <t>p8:native:30</t>
        </is>
      </c>
      <c r="U118" s="308" t="n">
        <v>1</v>
      </c>
    </row>
    <row r="119">
      <c r="A119" s="308" t="inlineStr">
        <is>
          <t>Missing in Excel</t>
        </is>
      </c>
      <c r="B119" s="308" t="inlineStr">
        <is>
          <t>DG7004</t>
        </is>
      </c>
      <c r="C119" s="308" t="n">
        <v>8</v>
      </c>
      <c r="D119" s="308" t="inlineStr">
        <is>
          <t>RL7-CNV-115</t>
        </is>
      </c>
      <c r="E119" s="308" t="inlineStr">
        <is>
          <t>RL7-CNV-115</t>
        </is>
      </c>
      <c r="F119" s="308" t="inlineStr"/>
      <c r="G119" s="308" t="inlineStr">
        <is>
          <t>equipment</t>
        </is>
      </c>
      <c r="H119" s="311" t="n">
        <v>0.77</v>
      </c>
      <c r="I119" s="308" t="inlineStr">
        <is>
          <t>Medium</t>
        </is>
      </c>
      <c r="J119" s="308" t="inlineStr">
        <is>
          <t>drawing</t>
        </is>
      </c>
      <c r="K119" s="308" t="inlineStr">
        <is>
          <t>standalone:asset</t>
        </is>
      </c>
      <c r="L119" s="308" t="inlineStr">
        <is>
          <t>drawing zone; process page; mapped sheet</t>
        </is>
      </c>
      <c r="M119" s="308" t="inlineStr">
        <is>
          <t>RL7-CNV-115</t>
        </is>
      </c>
      <c r="N119" s="308" t="inlineStr">
        <is>
          <t>native</t>
        </is>
      </c>
      <c r="O119" s="308" t="inlineStr">
        <is>
          <t>native-only</t>
        </is>
      </c>
      <c r="P119" s="308" t="inlineStr">
        <is>
          <t>native</t>
        </is>
      </c>
      <c r="Q119" s="308" t="inlineStr"/>
      <c r="R119" s="308" t="inlineStr">
        <is>
          <t>native text sufficient</t>
        </is>
      </c>
      <c r="S119" s="308" t="inlineStr"/>
      <c r="T119" s="308" t="inlineStr">
        <is>
          <t>p8:native:22</t>
        </is>
      </c>
      <c r="U119" s="308" t="n">
        <v>1</v>
      </c>
    </row>
    <row r="120">
      <c r="A120" s="308" t="inlineStr">
        <is>
          <t>Missing in Excel</t>
        </is>
      </c>
      <c r="B120" s="308" t="inlineStr">
        <is>
          <t>DG7004</t>
        </is>
      </c>
      <c r="C120" s="308" t="n">
        <v>8</v>
      </c>
      <c r="D120" s="308" t="inlineStr">
        <is>
          <t>RL7-GRR-101</t>
        </is>
      </c>
      <c r="E120" s="308" t="inlineStr">
        <is>
          <t>RL7-GRR-101</t>
        </is>
      </c>
      <c r="F120" s="308" t="inlineStr"/>
      <c r="G120" s="308" t="inlineStr">
        <is>
          <t>equipment</t>
        </is>
      </c>
      <c r="H120" s="311" t="n">
        <v>0.77</v>
      </c>
      <c r="I120" s="308" t="inlineStr">
        <is>
          <t>Medium</t>
        </is>
      </c>
      <c r="J120" s="308" t="inlineStr">
        <is>
          <t>drawing</t>
        </is>
      </c>
      <c r="K120" s="308" t="inlineStr">
        <is>
          <t>standalone:asset</t>
        </is>
      </c>
      <c r="L120" s="308" t="inlineStr">
        <is>
          <t>drawing zone; process page; mapped sheet</t>
        </is>
      </c>
      <c r="M120" s="308" t="inlineStr">
        <is>
          <t>RL7-GRR-101</t>
        </is>
      </c>
      <c r="N120" s="308" t="inlineStr">
        <is>
          <t>native</t>
        </is>
      </c>
      <c r="O120" s="308" t="inlineStr">
        <is>
          <t>native-only</t>
        </is>
      </c>
      <c r="P120" s="308" t="inlineStr">
        <is>
          <t>native</t>
        </is>
      </c>
      <c r="Q120" s="308" t="inlineStr"/>
      <c r="R120" s="308" t="inlineStr">
        <is>
          <t>native text sufficient</t>
        </is>
      </c>
      <c r="S120" s="308" t="inlineStr"/>
      <c r="T120" s="308" t="inlineStr">
        <is>
          <t>p8:native:6</t>
        </is>
      </c>
      <c r="U120" s="308" t="n">
        <v>1</v>
      </c>
    </row>
    <row r="121">
      <c r="A121" s="308" t="inlineStr">
        <is>
          <t>Missing in Excel</t>
        </is>
      </c>
      <c r="B121" s="308" t="inlineStr">
        <is>
          <t>DG7004</t>
        </is>
      </c>
      <c r="C121" s="308" t="n">
        <v>8</v>
      </c>
      <c r="D121" s="308" t="inlineStr">
        <is>
          <t>RL7-CNV-106-ZSS05</t>
        </is>
      </c>
      <c r="E121" s="308" t="inlineStr">
        <is>
          <t>RL7-CNV-106</t>
        </is>
      </c>
      <c r="F121" s="308" t="inlineStr">
        <is>
          <t>ZSS05</t>
        </is>
      </c>
      <c r="G121" s="308" t="inlineStr">
        <is>
          <t>instrument</t>
        </is>
      </c>
      <c r="H121" s="311" t="n">
        <v>0.99</v>
      </c>
      <c r="I121" s="308" t="inlineStr">
        <is>
          <t>High</t>
        </is>
      </c>
      <c r="J121" s="308" t="inlineStr">
        <is>
          <t>drawing</t>
        </is>
      </c>
      <c r="K121" s="308" t="inlineStr">
        <is>
          <t>stacked:isa</t>
        </is>
      </c>
      <c r="L121" s="308" t="inlineStr">
        <is>
          <t>drawing zone; process page; mapped sheet</t>
        </is>
      </c>
      <c r="M121" s="308" t="inlineStr">
        <is>
          <t>RL7-CNV-106 / ZSS-05</t>
        </is>
      </c>
      <c r="N121" s="308" t="inlineStr">
        <is>
          <t>native</t>
        </is>
      </c>
      <c r="O121" s="308" t="inlineStr">
        <is>
          <t>native-only</t>
        </is>
      </c>
      <c r="P121" s="308" t="inlineStr">
        <is>
          <t>native</t>
        </is>
      </c>
      <c r="Q121" s="308" t="inlineStr"/>
      <c r="R121" s="308" t="inlineStr">
        <is>
          <t>native text sufficient</t>
        </is>
      </c>
      <c r="S121" s="308" t="inlineStr"/>
      <c r="T121" s="308" t="inlineStr">
        <is>
          <t>p8:native:64, p8:native:65</t>
        </is>
      </c>
      <c r="U121" s="308" t="n">
        <v>2</v>
      </c>
    </row>
    <row r="122">
      <c r="A122" s="308" t="inlineStr">
        <is>
          <t>Missing in Excel</t>
        </is>
      </c>
      <c r="B122" s="308" t="inlineStr">
        <is>
          <t>DG7004</t>
        </is>
      </c>
      <c r="C122" s="308" t="n">
        <v>8</v>
      </c>
      <c r="D122" s="308" t="inlineStr">
        <is>
          <t>RL7-GRR-101-LIT01</t>
        </is>
      </c>
      <c r="E122" s="308" t="inlineStr">
        <is>
          <t>RL7-GRR-101</t>
        </is>
      </c>
      <c r="F122" s="308" t="inlineStr">
        <is>
          <t>LIT01</t>
        </is>
      </c>
      <c r="G122" s="308" t="inlineStr">
        <is>
          <t>instrument</t>
        </is>
      </c>
      <c r="H122" s="311" t="n">
        <v>0.99</v>
      </c>
      <c r="I122" s="308" t="inlineStr">
        <is>
          <t>High</t>
        </is>
      </c>
      <c r="J122" s="308" t="inlineStr">
        <is>
          <t>drawing</t>
        </is>
      </c>
      <c r="K122" s="308" t="inlineStr">
        <is>
          <t>stacked:isa</t>
        </is>
      </c>
      <c r="L122" s="308" t="inlineStr">
        <is>
          <t>drawing zone; process page; mapped sheet</t>
        </is>
      </c>
      <c r="M122" s="308" t="inlineStr">
        <is>
          <t>RL7-GRR-101 / LIT-01</t>
        </is>
      </c>
      <c r="N122" s="308" t="inlineStr">
        <is>
          <t>native</t>
        </is>
      </c>
      <c r="O122" s="308" t="inlineStr">
        <is>
          <t>native-only</t>
        </is>
      </c>
      <c r="P122" s="308" t="inlineStr">
        <is>
          <t>native</t>
        </is>
      </c>
      <c r="Q122" s="308" t="inlineStr"/>
      <c r="R122" s="308" t="inlineStr">
        <is>
          <t>native text sufficient</t>
        </is>
      </c>
      <c r="S122" s="308" t="inlineStr"/>
      <c r="T122" s="308" t="inlineStr">
        <is>
          <t>p8:native:6, p8:native:7</t>
        </is>
      </c>
      <c r="U122" s="308" t="n">
        <v>2</v>
      </c>
    </row>
    <row r="123">
      <c r="A123" s="308" t="inlineStr">
        <is>
          <t>Missing in Excel</t>
        </is>
      </c>
      <c r="B123" s="308" t="inlineStr">
        <is>
          <t>DG7004</t>
        </is>
      </c>
      <c r="C123" s="308" t="n">
        <v>8</v>
      </c>
      <c r="D123" s="308" t="inlineStr">
        <is>
          <t>RL7-GRR-101-PB01</t>
        </is>
      </c>
      <c r="E123" s="308" t="inlineStr">
        <is>
          <t>RL7-GRR-101</t>
        </is>
      </c>
      <c r="F123" s="308" t="inlineStr">
        <is>
          <t>PB01</t>
        </is>
      </c>
      <c r="G123" s="308" t="inlineStr">
        <is>
          <t>instrument</t>
        </is>
      </c>
      <c r="H123" s="311" t="n">
        <v>0.99</v>
      </c>
      <c r="I123" s="308" t="inlineStr">
        <is>
          <t>High</t>
        </is>
      </c>
      <c r="J123" s="308" t="inlineStr">
        <is>
          <t>drawing</t>
        </is>
      </c>
      <c r="K123" s="308" t="inlineStr">
        <is>
          <t>stacked:isa</t>
        </is>
      </c>
      <c r="L123" s="308" t="inlineStr">
        <is>
          <t>drawing zone; process page; mapped sheet</t>
        </is>
      </c>
      <c r="M123" s="308" t="inlineStr">
        <is>
          <t>RL7-GRR-101 / PB-01</t>
        </is>
      </c>
      <c r="N123" s="308" t="inlineStr">
        <is>
          <t>native</t>
        </is>
      </c>
      <c r="O123" s="308" t="inlineStr">
        <is>
          <t>native-only</t>
        </is>
      </c>
      <c r="P123" s="308" t="inlineStr">
        <is>
          <t>native</t>
        </is>
      </c>
      <c r="Q123" s="308" t="inlineStr"/>
      <c r="R123" s="308" t="inlineStr">
        <is>
          <t>native text sufficient</t>
        </is>
      </c>
      <c r="S123" s="308" t="inlineStr"/>
      <c r="T123" s="308" t="inlineStr">
        <is>
          <t>p8:native:47, p8:native:48</t>
        </is>
      </c>
      <c r="U123" s="308" t="n">
        <v>2</v>
      </c>
    </row>
    <row r="124">
      <c r="A124" s="308" t="inlineStr">
        <is>
          <t>Missing in Excel</t>
        </is>
      </c>
      <c r="B124" s="308" t="inlineStr">
        <is>
          <t>DG7004</t>
        </is>
      </c>
      <c r="C124" s="308" t="n">
        <v>8</v>
      </c>
      <c r="D124" s="308" t="inlineStr">
        <is>
          <t>RL7-GRR-101-WE01</t>
        </is>
      </c>
      <c r="E124" s="308" t="inlineStr">
        <is>
          <t>RL7-GRR-101</t>
        </is>
      </c>
      <c r="F124" s="308" t="inlineStr">
        <is>
          <t>WE01</t>
        </is>
      </c>
      <c r="G124" s="308" t="inlineStr">
        <is>
          <t>instrument</t>
        </is>
      </c>
      <c r="H124" s="311" t="n">
        <v>0.99</v>
      </c>
      <c r="I124" s="308" t="inlineStr">
        <is>
          <t>High</t>
        </is>
      </c>
      <c r="J124" s="308" t="inlineStr">
        <is>
          <t>drawing</t>
        </is>
      </c>
      <c r="K124" s="308" t="inlineStr">
        <is>
          <t>stacked:isa</t>
        </is>
      </c>
      <c r="L124" s="308" t="inlineStr">
        <is>
          <t>drawing zone; process page; mapped sheet</t>
        </is>
      </c>
      <c r="M124" s="308" t="inlineStr">
        <is>
          <t>RL7-GRR-101 / WE-01</t>
        </is>
      </c>
      <c r="N124" s="308" t="inlineStr">
        <is>
          <t>native</t>
        </is>
      </c>
      <c r="O124" s="308" t="inlineStr">
        <is>
          <t>native-only</t>
        </is>
      </c>
      <c r="P124" s="308" t="inlineStr">
        <is>
          <t>native</t>
        </is>
      </c>
      <c r="Q124" s="308" t="inlineStr"/>
      <c r="R124" s="308" t="inlineStr">
        <is>
          <t>native text sufficient</t>
        </is>
      </c>
      <c r="S124" s="308" t="inlineStr"/>
      <c r="T124" s="308" t="inlineStr">
        <is>
          <t>p8:native:117, p8:native:118</t>
        </is>
      </c>
      <c r="U124" s="308" t="n">
        <v>2</v>
      </c>
    </row>
    <row r="125">
      <c r="A125" s="308" t="inlineStr">
        <is>
          <t>Missing in Excel</t>
        </is>
      </c>
      <c r="B125" s="308" t="inlineStr">
        <is>
          <t>DG7004</t>
        </is>
      </c>
      <c r="C125" s="308" t="n">
        <v>8</v>
      </c>
      <c r="D125" s="308" t="inlineStr">
        <is>
          <t>RL7-GRR-101-WIT01</t>
        </is>
      </c>
      <c r="E125" s="308" t="inlineStr">
        <is>
          <t>RL7-GRR-101</t>
        </is>
      </c>
      <c r="F125" s="308" t="inlineStr">
        <is>
          <t>WIT01</t>
        </is>
      </c>
      <c r="G125" s="308" t="inlineStr">
        <is>
          <t>instrument</t>
        </is>
      </c>
      <c r="H125" s="311" t="n">
        <v>0.99</v>
      </c>
      <c r="I125" s="308" t="inlineStr">
        <is>
          <t>High</t>
        </is>
      </c>
      <c r="J125" s="308" t="inlineStr">
        <is>
          <t>drawing</t>
        </is>
      </c>
      <c r="K125" s="308" t="inlineStr">
        <is>
          <t>stacked:isa</t>
        </is>
      </c>
      <c r="L125" s="308" t="inlineStr">
        <is>
          <t>drawing zone; process page; mapped sheet</t>
        </is>
      </c>
      <c r="M125" s="308" t="inlineStr">
        <is>
          <t>RL7-GRR-101 / WIT-01</t>
        </is>
      </c>
      <c r="N125" s="308" t="inlineStr">
        <is>
          <t>native</t>
        </is>
      </c>
      <c r="O125" s="308" t="inlineStr">
        <is>
          <t>native-only</t>
        </is>
      </c>
      <c r="P125" s="308" t="inlineStr">
        <is>
          <t>native</t>
        </is>
      </c>
      <c r="Q125" s="308" t="inlineStr"/>
      <c r="R125" s="308" t="inlineStr">
        <is>
          <t>native text sufficient</t>
        </is>
      </c>
      <c r="S125" s="308" t="inlineStr"/>
      <c r="T125" s="308" t="inlineStr">
        <is>
          <t>p8:native:119, p8:native:120</t>
        </is>
      </c>
      <c r="U125" s="308" t="n">
        <v>2</v>
      </c>
    </row>
    <row r="126">
      <c r="A126" s="308" t="inlineStr">
        <is>
          <t>Missing in Excel</t>
        </is>
      </c>
      <c r="B126" s="308" t="inlineStr">
        <is>
          <t>DG7004</t>
        </is>
      </c>
      <c r="C126" s="308" t="n">
        <v>8</v>
      </c>
      <c r="D126" s="308" t="inlineStr">
        <is>
          <t>RL7-GRR-101-WQ01</t>
        </is>
      </c>
      <c r="E126" s="308" t="inlineStr">
        <is>
          <t>RL7-GRR-101</t>
        </is>
      </c>
      <c r="F126" s="308" t="inlineStr">
        <is>
          <t>WQ01</t>
        </is>
      </c>
      <c r="G126" s="308" t="inlineStr">
        <is>
          <t>instrument</t>
        </is>
      </c>
      <c r="H126" s="311" t="n">
        <v>0.99</v>
      </c>
      <c r="I126" s="308" t="inlineStr">
        <is>
          <t>High</t>
        </is>
      </c>
      <c r="J126" s="308" t="inlineStr">
        <is>
          <t>drawing</t>
        </is>
      </c>
      <c r="K126" s="308" t="inlineStr">
        <is>
          <t>stacked:isa</t>
        </is>
      </c>
      <c r="L126" s="308" t="inlineStr">
        <is>
          <t>drawing zone; process page; mapped sheet</t>
        </is>
      </c>
      <c r="M126" s="308" t="inlineStr">
        <is>
          <t>RL7-GRR-101 / WQ-01</t>
        </is>
      </c>
      <c r="N126" s="308" t="inlineStr">
        <is>
          <t>native</t>
        </is>
      </c>
      <c r="O126" s="308" t="inlineStr">
        <is>
          <t>native-only</t>
        </is>
      </c>
      <c r="P126" s="308" t="inlineStr">
        <is>
          <t>native</t>
        </is>
      </c>
      <c r="Q126" s="308" t="inlineStr"/>
      <c r="R126" s="308" t="inlineStr">
        <is>
          <t>native text sufficient</t>
        </is>
      </c>
      <c r="S126" s="308" t="inlineStr"/>
      <c r="T126" s="308" t="inlineStr">
        <is>
          <t>p8:native:122, p8:native:123</t>
        </is>
      </c>
      <c r="U126" s="308" t="n">
        <v>2</v>
      </c>
    </row>
    <row r="127">
      <c r="A127" s="308" t="inlineStr">
        <is>
          <t>Missing in Excel</t>
        </is>
      </c>
      <c r="B127" s="308" t="inlineStr">
        <is>
          <t>DG7004</t>
        </is>
      </c>
      <c r="C127" s="308" t="n">
        <v>8</v>
      </c>
      <c r="D127" s="308" t="inlineStr">
        <is>
          <t>RL7-GRR-101-ZSS01</t>
        </is>
      </c>
      <c r="E127" s="308" t="inlineStr">
        <is>
          <t>RL7-GRR-101</t>
        </is>
      </c>
      <c r="F127" s="308" t="inlineStr">
        <is>
          <t>ZSS01</t>
        </is>
      </c>
      <c r="G127" s="308" t="inlineStr">
        <is>
          <t>instrument</t>
        </is>
      </c>
      <c r="H127" s="311" t="n">
        <v>0.99</v>
      </c>
      <c r="I127" s="308" t="inlineStr">
        <is>
          <t>High</t>
        </is>
      </c>
      <c r="J127" s="308" t="inlineStr">
        <is>
          <t>drawing</t>
        </is>
      </c>
      <c r="K127" s="308" t="inlineStr">
        <is>
          <t>stacked:isa</t>
        </is>
      </c>
      <c r="L127" s="308" t="inlineStr">
        <is>
          <t>drawing zone; process page; mapped sheet</t>
        </is>
      </c>
      <c r="M127" s="308" t="inlineStr">
        <is>
          <t>RL7-GRR-101 / ZSS-01</t>
        </is>
      </c>
      <c r="N127" s="308" t="inlineStr">
        <is>
          <t>native</t>
        </is>
      </c>
      <c r="O127" s="308" t="inlineStr">
        <is>
          <t>native-only</t>
        </is>
      </c>
      <c r="P127" s="308" t="inlineStr">
        <is>
          <t>native</t>
        </is>
      </c>
      <c r="Q127" s="308" t="inlineStr"/>
      <c r="R127" s="308" t="inlineStr">
        <is>
          <t>native text sufficient</t>
        </is>
      </c>
      <c r="S127" s="308" t="inlineStr"/>
      <c r="T127" s="308" t="inlineStr">
        <is>
          <t>p8:native:8, p8:native:9</t>
        </is>
      </c>
      <c r="U127" s="308" t="n">
        <v>2</v>
      </c>
    </row>
    <row r="128">
      <c r="A128" s="308" t="inlineStr">
        <is>
          <t>Missing in Excel</t>
        </is>
      </c>
      <c r="B128" s="308" t="inlineStr">
        <is>
          <t>DG7004</t>
        </is>
      </c>
      <c r="C128" s="308" t="n">
        <v>8</v>
      </c>
      <c r="D128" s="308" t="inlineStr">
        <is>
          <t>RL7-GRR-101-ZSS02</t>
        </is>
      </c>
      <c r="E128" s="308" t="inlineStr">
        <is>
          <t>RL7-GRR-101</t>
        </is>
      </c>
      <c r="F128" s="308" t="inlineStr">
        <is>
          <t>ZSS02</t>
        </is>
      </c>
      <c r="G128" s="308" t="inlineStr">
        <is>
          <t>instrument</t>
        </is>
      </c>
      <c r="H128" s="311" t="n">
        <v>0.99</v>
      </c>
      <c r="I128" s="308" t="inlineStr">
        <is>
          <t>High</t>
        </is>
      </c>
      <c r="J128" s="308" t="inlineStr">
        <is>
          <t>drawing</t>
        </is>
      </c>
      <c r="K128" s="308" t="inlineStr">
        <is>
          <t>stacked:isa</t>
        </is>
      </c>
      <c r="L128" s="308" t="inlineStr">
        <is>
          <t>drawing zone; process page; mapped sheet</t>
        </is>
      </c>
      <c r="M128" s="308" t="inlineStr">
        <is>
          <t>RL7-GRR-101 / ZSS-02</t>
        </is>
      </c>
      <c r="N128" s="308" t="inlineStr">
        <is>
          <t>native</t>
        </is>
      </c>
      <c r="O128" s="308" t="inlineStr">
        <is>
          <t>native-only</t>
        </is>
      </c>
      <c r="P128" s="308" t="inlineStr">
        <is>
          <t>native</t>
        </is>
      </c>
      <c r="Q128" s="308" t="inlineStr"/>
      <c r="R128" s="308" t="inlineStr">
        <is>
          <t>native text sufficient</t>
        </is>
      </c>
      <c r="S128" s="308" t="inlineStr"/>
      <c r="T128" s="308" t="inlineStr">
        <is>
          <t>p8:native:10, p8:native:11</t>
        </is>
      </c>
      <c r="U128" s="308" t="n">
        <v>2</v>
      </c>
    </row>
    <row r="129">
      <c r="A129" s="308" t="inlineStr">
        <is>
          <t>Missing in Excel</t>
        </is>
      </c>
      <c r="B129" s="308" t="inlineStr">
        <is>
          <t>DG7004</t>
        </is>
      </c>
      <c r="C129" s="308" t="n">
        <v>8</v>
      </c>
      <c r="D129" s="308" t="inlineStr">
        <is>
          <t>RL7-GRR-101-ZSS03</t>
        </is>
      </c>
      <c r="E129" s="308" t="inlineStr">
        <is>
          <t>RL7-GRR-101</t>
        </is>
      </c>
      <c r="F129" s="308" t="inlineStr">
        <is>
          <t>ZSS03</t>
        </is>
      </c>
      <c r="G129" s="308" t="inlineStr">
        <is>
          <t>instrument</t>
        </is>
      </c>
      <c r="H129" s="311" t="n">
        <v>0.99</v>
      </c>
      <c r="I129" s="308" t="inlineStr">
        <is>
          <t>High</t>
        </is>
      </c>
      <c r="J129" s="308" t="inlineStr">
        <is>
          <t>drawing</t>
        </is>
      </c>
      <c r="K129" s="308" t="inlineStr">
        <is>
          <t>stacked:isa</t>
        </is>
      </c>
      <c r="L129" s="308" t="inlineStr">
        <is>
          <t>drawing zone; process page; mapped sheet</t>
        </is>
      </c>
      <c r="M129" s="308" t="inlineStr">
        <is>
          <t>RL7-GRR-101 / ZSS-03</t>
        </is>
      </c>
      <c r="N129" s="308" t="inlineStr">
        <is>
          <t>native</t>
        </is>
      </c>
      <c r="O129" s="308" t="inlineStr">
        <is>
          <t>native-only</t>
        </is>
      </c>
      <c r="P129" s="308" t="inlineStr">
        <is>
          <t>native</t>
        </is>
      </c>
      <c r="Q129" s="308" t="inlineStr"/>
      <c r="R129" s="308" t="inlineStr">
        <is>
          <t>native text sufficient</t>
        </is>
      </c>
      <c r="S129" s="308" t="inlineStr"/>
      <c r="T129" s="308" t="inlineStr">
        <is>
          <t>p8:native:12, p8:native:13</t>
        </is>
      </c>
      <c r="U129" s="308" t="n">
        <v>2</v>
      </c>
    </row>
    <row r="130">
      <c r="A130" s="308" t="inlineStr">
        <is>
          <t>Missing in Excel</t>
        </is>
      </c>
      <c r="B130" s="308" t="inlineStr">
        <is>
          <t>DG7004</t>
        </is>
      </c>
      <c r="C130" s="308" t="n">
        <v>8</v>
      </c>
      <c r="D130" s="308" t="inlineStr">
        <is>
          <t>RL7-GRR-101-ZSS04</t>
        </is>
      </c>
      <c r="E130" s="308" t="inlineStr">
        <is>
          <t>RL7-GRR-101</t>
        </is>
      </c>
      <c r="F130" s="308" t="inlineStr">
        <is>
          <t>ZSS04</t>
        </is>
      </c>
      <c r="G130" s="308" t="inlineStr">
        <is>
          <t>instrument</t>
        </is>
      </c>
      <c r="H130" s="311" t="n">
        <v>0.99</v>
      </c>
      <c r="I130" s="308" t="inlineStr">
        <is>
          <t>High</t>
        </is>
      </c>
      <c r="J130" s="308" t="inlineStr">
        <is>
          <t>drawing</t>
        </is>
      </c>
      <c r="K130" s="308" t="inlineStr">
        <is>
          <t>stacked:isa</t>
        </is>
      </c>
      <c r="L130" s="308" t="inlineStr">
        <is>
          <t>drawing zone; process page; mapped sheet</t>
        </is>
      </c>
      <c r="M130" s="308" t="inlineStr">
        <is>
          <t>RL7-GRR-101 / ZSS-04</t>
        </is>
      </c>
      <c r="N130" s="308" t="inlineStr">
        <is>
          <t>native</t>
        </is>
      </c>
      <c r="O130" s="308" t="inlineStr">
        <is>
          <t>native-only</t>
        </is>
      </c>
      <c r="P130" s="308" t="inlineStr">
        <is>
          <t>native</t>
        </is>
      </c>
      <c r="Q130" s="308" t="inlineStr"/>
      <c r="R130" s="308" t="inlineStr">
        <is>
          <t>native text sufficient</t>
        </is>
      </c>
      <c r="S130" s="308" t="inlineStr"/>
      <c r="T130" s="308" t="inlineStr">
        <is>
          <t>p8:native:14, p8:native:15</t>
        </is>
      </c>
      <c r="U130" s="308" t="n">
        <v>2</v>
      </c>
    </row>
    <row r="131">
      <c r="A131" s="308" t="inlineStr">
        <is>
          <t>Missing in Excel</t>
        </is>
      </c>
      <c r="B131" s="308" t="inlineStr">
        <is>
          <t>DG7004</t>
        </is>
      </c>
      <c r="C131" s="308" t="n">
        <v>8</v>
      </c>
      <c r="D131" s="308" t="inlineStr">
        <is>
          <t>RL7-CNV-106-HV001</t>
        </is>
      </c>
      <c r="E131" s="308" t="inlineStr">
        <is>
          <t>RL7-CNV-106</t>
        </is>
      </c>
      <c r="F131" s="308" t="inlineStr">
        <is>
          <t>HV001</t>
        </is>
      </c>
      <c r="G131" s="308" t="inlineStr">
        <is>
          <t>instrument</t>
        </is>
      </c>
      <c r="H131" s="311" t="n">
        <v>0.57</v>
      </c>
      <c r="I131" s="308" t="inlineStr">
        <is>
          <t>Low</t>
        </is>
      </c>
      <c r="J131" s="308" t="inlineStr">
        <is>
          <t>drawing</t>
        </is>
      </c>
      <c r="K131" s="308" t="inlineStr">
        <is>
          <t>inferred:bare-isa</t>
        </is>
      </c>
      <c r="L131" s="308" t="inlineStr">
        <is>
          <t>drawing zone; process page; mapped sheet</t>
        </is>
      </c>
      <c r="M131" s="308" t="inlineStr">
        <is>
          <t>RL7-CNV-106 / HV</t>
        </is>
      </c>
      <c r="N131" s="308" t="inlineStr">
        <is>
          <t>native</t>
        </is>
      </c>
      <c r="O131" s="308" t="inlineStr">
        <is>
          <t>native-only</t>
        </is>
      </c>
      <c r="P131" s="308" t="inlineStr">
        <is>
          <t>native</t>
        </is>
      </c>
      <c r="Q131" s="308" t="inlineStr"/>
      <c r="R131" s="308" t="inlineStr">
        <is>
          <t>native text sufficient</t>
        </is>
      </c>
      <c r="S131" s="308" t="inlineStr"/>
      <c r="T131" s="308" t="inlineStr">
        <is>
          <t>p8:native:30, p8:native:44</t>
        </is>
      </c>
      <c r="U131" s="308" t="n">
        <v>2</v>
      </c>
    </row>
    <row r="132">
      <c r="A132" s="308" t="inlineStr">
        <is>
          <t>Missing in Excel</t>
        </is>
      </c>
      <c r="B132" s="308" t="inlineStr">
        <is>
          <t>DG7004</t>
        </is>
      </c>
      <c r="C132" s="308" t="n">
        <v>8</v>
      </c>
      <c r="D132" s="308" t="inlineStr">
        <is>
          <t>1.5"-PHWS140-12A</t>
        </is>
      </c>
      <c r="E132" s="308" t="inlineStr">
        <is>
          <t>PHWS140</t>
        </is>
      </c>
      <c r="F132" s="308" t="inlineStr">
        <is>
          <t>12A</t>
        </is>
      </c>
      <c r="G132" s="308" t="inlineStr">
        <is>
          <t>line</t>
        </is>
      </c>
      <c r="H132" s="311" t="n">
        <v>0.77</v>
      </c>
      <c r="I132" s="308" t="inlineStr">
        <is>
          <t>Medium</t>
        </is>
      </c>
      <c r="J132" s="308" t="inlineStr">
        <is>
          <t>drawing</t>
        </is>
      </c>
      <c r="K132" s="308" t="inlineStr">
        <is>
          <t>line:size-prefix</t>
        </is>
      </c>
      <c r="L132" s="308" t="inlineStr">
        <is>
          <t>drawing zone; process page; mapped sheet</t>
        </is>
      </c>
      <c r="M132" s="308" t="inlineStr">
        <is>
          <t>1.5"-PHWS140-12A</t>
        </is>
      </c>
      <c r="N132" s="308" t="inlineStr">
        <is>
          <t>native</t>
        </is>
      </c>
      <c r="O132" s="308" t="inlineStr">
        <is>
          <t>native-only</t>
        </is>
      </c>
      <c r="P132" s="308" t="inlineStr">
        <is>
          <t>native</t>
        </is>
      </c>
      <c r="Q132" s="308" t="inlineStr"/>
      <c r="R132" s="308" t="inlineStr">
        <is>
          <t>native text sufficient</t>
        </is>
      </c>
      <c r="S132" s="308" t="inlineStr"/>
      <c r="T132" s="308" t="inlineStr">
        <is>
          <t>p8:native:32</t>
        </is>
      </c>
      <c r="U132" s="308" t="n">
        <v>1</v>
      </c>
    </row>
    <row r="133">
      <c r="A133" s="308" t="inlineStr">
        <is>
          <t>Missing in Excel</t>
        </is>
      </c>
      <c r="B133" s="308" t="inlineStr">
        <is>
          <t>DG7010</t>
        </is>
      </c>
      <c r="C133" s="308" t="n">
        <v>9</v>
      </c>
      <c r="D133" s="308" t="inlineStr">
        <is>
          <t>RL7-DRM-101</t>
        </is>
      </c>
      <c r="E133" s="308" t="inlineStr">
        <is>
          <t>RL7-DRM-101</t>
        </is>
      </c>
      <c r="F133" s="308" t="inlineStr"/>
      <c r="G133" s="308" t="inlineStr">
        <is>
          <t>equipment</t>
        </is>
      </c>
      <c r="H133" s="311" t="n">
        <v>0.77</v>
      </c>
      <c r="I133" s="308" t="inlineStr">
        <is>
          <t>Medium</t>
        </is>
      </c>
      <c r="J133" s="308" t="inlineStr">
        <is>
          <t>drawing</t>
        </is>
      </c>
      <c r="K133" s="308" t="inlineStr">
        <is>
          <t>standalone:asset</t>
        </is>
      </c>
      <c r="L133" s="308" t="inlineStr">
        <is>
          <t>drawing zone; process page; mapped sheet</t>
        </is>
      </c>
      <c r="M133" s="308" t="inlineStr">
        <is>
          <t>RL7-DRM-101</t>
        </is>
      </c>
      <c r="N133" s="308" t="inlineStr">
        <is>
          <t>native</t>
        </is>
      </c>
      <c r="O133" s="308" t="inlineStr">
        <is>
          <t>native-only</t>
        </is>
      </c>
      <c r="P133" s="308" t="inlineStr">
        <is>
          <t>native</t>
        </is>
      </c>
      <c r="Q133" s="308" t="inlineStr"/>
      <c r="R133" s="308" t="inlineStr">
        <is>
          <t>native text sufficient</t>
        </is>
      </c>
      <c r="S133" s="308" t="inlineStr"/>
      <c r="T133" s="308" t="inlineStr">
        <is>
          <t>p9:native:9</t>
        </is>
      </c>
      <c r="U133" s="308" t="n">
        <v>1</v>
      </c>
    </row>
    <row r="134">
      <c r="A134" s="308" t="inlineStr">
        <is>
          <t>Missing in Excel</t>
        </is>
      </c>
      <c r="B134" s="308" t="inlineStr">
        <is>
          <t>DG7010</t>
        </is>
      </c>
      <c r="C134" s="308" t="n">
        <v>9</v>
      </c>
      <c r="D134" s="308" t="inlineStr">
        <is>
          <t>RL7-PMP-103</t>
        </is>
      </c>
      <c r="E134" s="308" t="inlineStr">
        <is>
          <t>RL7-PMP-103</t>
        </is>
      </c>
      <c r="F134" s="308" t="inlineStr"/>
      <c r="G134" s="308" t="inlineStr">
        <is>
          <t>equipment</t>
        </is>
      </c>
      <c r="H134" s="311" t="n">
        <v>0.77</v>
      </c>
      <c r="I134" s="308" t="inlineStr">
        <is>
          <t>Medium</t>
        </is>
      </c>
      <c r="J134" s="308" t="inlineStr">
        <is>
          <t>drawing</t>
        </is>
      </c>
      <c r="K134" s="308" t="inlineStr">
        <is>
          <t>standalone:asset</t>
        </is>
      </c>
      <c r="L134" s="308" t="inlineStr">
        <is>
          <t>drawing zone; process page; mapped sheet</t>
        </is>
      </c>
      <c r="M134" s="308" t="inlineStr">
        <is>
          <t>RL7-PMP-103</t>
        </is>
      </c>
      <c r="N134" s="308" t="inlineStr">
        <is>
          <t>native</t>
        </is>
      </c>
      <c r="O134" s="308" t="inlineStr">
        <is>
          <t>native-only</t>
        </is>
      </c>
      <c r="P134" s="308" t="inlineStr">
        <is>
          <t>native</t>
        </is>
      </c>
      <c r="Q134" s="308" t="inlineStr"/>
      <c r="R134" s="308" t="inlineStr">
        <is>
          <t>native text sufficient</t>
        </is>
      </c>
      <c r="S134" s="308" t="inlineStr"/>
      <c r="T134" s="308" t="inlineStr">
        <is>
          <t>p9:native:1</t>
        </is>
      </c>
      <c r="U134" s="308" t="n">
        <v>1</v>
      </c>
    </row>
    <row r="135">
      <c r="A135" s="308" t="inlineStr">
        <is>
          <t>Missing in Excel</t>
        </is>
      </c>
      <c r="B135" s="308" t="inlineStr">
        <is>
          <t>DG7010</t>
        </is>
      </c>
      <c r="C135" s="308" t="n">
        <v>9</v>
      </c>
      <c r="D135" s="308" t="inlineStr">
        <is>
          <t>RL7-SKD-101</t>
        </is>
      </c>
      <c r="E135" s="308" t="inlineStr">
        <is>
          <t>RL7-SKD-101</t>
        </is>
      </c>
      <c r="F135" s="308" t="inlineStr"/>
      <c r="G135" s="308" t="inlineStr">
        <is>
          <t>equipment</t>
        </is>
      </c>
      <c r="H135" s="311" t="n">
        <v>0.77</v>
      </c>
      <c r="I135" s="308" t="inlineStr">
        <is>
          <t>Medium</t>
        </is>
      </c>
      <c r="J135" s="308" t="inlineStr">
        <is>
          <t>drawing</t>
        </is>
      </c>
      <c r="K135" s="308" t="inlineStr">
        <is>
          <t>standalone:asset</t>
        </is>
      </c>
      <c r="L135" s="308" t="inlineStr">
        <is>
          <t>drawing zone; process page; mapped sheet</t>
        </is>
      </c>
      <c r="M135" s="308" t="inlineStr">
        <is>
          <t>RL7-SKD-101</t>
        </is>
      </c>
      <c r="N135" s="308" t="inlineStr">
        <is>
          <t>native</t>
        </is>
      </c>
      <c r="O135" s="308" t="inlineStr">
        <is>
          <t>native-only</t>
        </is>
      </c>
      <c r="P135" s="308" t="inlineStr">
        <is>
          <t>native</t>
        </is>
      </c>
      <c r="Q135" s="308" t="inlineStr"/>
      <c r="R135" s="308" t="inlineStr">
        <is>
          <t>native text sufficient</t>
        </is>
      </c>
      <c r="S135" s="308" t="inlineStr"/>
      <c r="T135" s="308" t="inlineStr">
        <is>
          <t>p9:native:18</t>
        </is>
      </c>
      <c r="U135" s="308" t="n">
        <v>1</v>
      </c>
    </row>
    <row r="136">
      <c r="A136" s="308" t="inlineStr">
        <is>
          <t>Missing in Excel</t>
        </is>
      </c>
      <c r="B136" s="308" t="inlineStr">
        <is>
          <t>DG7010</t>
        </is>
      </c>
      <c r="C136" s="308" t="n">
        <v>9</v>
      </c>
      <c r="D136" s="308" t="inlineStr">
        <is>
          <t>RL7-TNK-101</t>
        </is>
      </c>
      <c r="E136" s="308" t="inlineStr">
        <is>
          <t>RL7-TNK-101</t>
        </is>
      </c>
      <c r="F136" s="308" t="inlineStr"/>
      <c r="G136" s="308" t="inlineStr">
        <is>
          <t>equipment</t>
        </is>
      </c>
      <c r="H136" s="311" t="n">
        <v>0.77</v>
      </c>
      <c r="I136" s="308" t="inlineStr">
        <is>
          <t>Medium</t>
        </is>
      </c>
      <c r="J136" s="308" t="inlineStr">
        <is>
          <t>drawing</t>
        </is>
      </c>
      <c r="K136" s="308" t="inlineStr">
        <is>
          <t>standalone:asset</t>
        </is>
      </c>
      <c r="L136" s="308" t="inlineStr">
        <is>
          <t>drawing zone; process page; mapped sheet</t>
        </is>
      </c>
      <c r="M136" s="308" t="inlineStr">
        <is>
          <t>RL7-TNK-101</t>
        </is>
      </c>
      <c r="N136" s="308" t="inlineStr">
        <is>
          <t>native</t>
        </is>
      </c>
      <c r="O136" s="308" t="inlineStr">
        <is>
          <t>native-only</t>
        </is>
      </c>
      <c r="P136" s="308" t="inlineStr">
        <is>
          <t>native</t>
        </is>
      </c>
      <c r="Q136" s="308" t="inlineStr"/>
      <c r="R136" s="308" t="inlineStr">
        <is>
          <t>native text sufficient</t>
        </is>
      </c>
      <c r="S136" s="308" t="inlineStr"/>
      <c r="T136" s="308" t="inlineStr">
        <is>
          <t>p9:native:5</t>
        </is>
      </c>
      <c r="U136" s="308" t="n">
        <v>1</v>
      </c>
    </row>
    <row r="137">
      <c r="A137" s="308" t="inlineStr">
        <is>
          <t>Missing in Excel</t>
        </is>
      </c>
      <c r="B137" s="308" t="inlineStr">
        <is>
          <t>DG7010</t>
        </is>
      </c>
      <c r="C137" s="308" t="n">
        <v>9</v>
      </c>
      <c r="D137" s="308" t="inlineStr">
        <is>
          <t>RL7-DRM-101-XV01</t>
        </is>
      </c>
      <c r="E137" s="308" t="inlineStr">
        <is>
          <t>RL7-DRM-101</t>
        </is>
      </c>
      <c r="F137" s="308" t="inlineStr">
        <is>
          <t>XV01</t>
        </is>
      </c>
      <c r="G137" s="308" t="inlineStr">
        <is>
          <t>instrument</t>
        </is>
      </c>
      <c r="H137" s="311" t="n">
        <v>0.99</v>
      </c>
      <c r="I137" s="308" t="inlineStr">
        <is>
          <t>High</t>
        </is>
      </c>
      <c r="J137" s="308" t="inlineStr">
        <is>
          <t>drawing</t>
        </is>
      </c>
      <c r="K137" s="308" t="inlineStr">
        <is>
          <t>stacked:isa</t>
        </is>
      </c>
      <c r="L137" s="308" t="inlineStr">
        <is>
          <t>drawing zone; process page; mapped sheet</t>
        </is>
      </c>
      <c r="M137" s="308" t="inlineStr">
        <is>
          <t>RL7-DRM-101 / XV-01</t>
        </is>
      </c>
      <c r="N137" s="308" t="inlineStr">
        <is>
          <t>native</t>
        </is>
      </c>
      <c r="O137" s="308" t="inlineStr">
        <is>
          <t>native-only</t>
        </is>
      </c>
      <c r="P137" s="308" t="inlineStr">
        <is>
          <t>native</t>
        </is>
      </c>
      <c r="Q137" s="308" t="inlineStr"/>
      <c r="R137" s="308" t="inlineStr">
        <is>
          <t>native text sufficient</t>
        </is>
      </c>
      <c r="S137" s="308" t="inlineStr"/>
      <c r="T137" s="308" t="inlineStr">
        <is>
          <t>p9:native:25, p9:native:26</t>
        </is>
      </c>
      <c r="U137" s="308" t="n">
        <v>2</v>
      </c>
    </row>
    <row r="138">
      <c r="A138" s="308" t="inlineStr">
        <is>
          <t>Missing in Excel</t>
        </is>
      </c>
      <c r="B138" s="308" t="inlineStr">
        <is>
          <t>DG7010</t>
        </is>
      </c>
      <c r="C138" s="308" t="n">
        <v>9</v>
      </c>
      <c r="D138" s="308" t="inlineStr">
        <is>
          <t>RL7-DRM-101-XV02</t>
        </is>
      </c>
      <c r="E138" s="308" t="inlineStr">
        <is>
          <t>RL7-DRM-101</t>
        </is>
      </c>
      <c r="F138" s="308" t="inlineStr">
        <is>
          <t>XV02</t>
        </is>
      </c>
      <c r="G138" s="308" t="inlineStr">
        <is>
          <t>instrument</t>
        </is>
      </c>
      <c r="H138" s="311" t="n">
        <v>0.99</v>
      </c>
      <c r="I138" s="308" t="inlineStr">
        <is>
          <t>High</t>
        </is>
      </c>
      <c r="J138" s="308" t="inlineStr">
        <is>
          <t>drawing</t>
        </is>
      </c>
      <c r="K138" s="308" t="inlineStr">
        <is>
          <t>stacked:isa</t>
        </is>
      </c>
      <c r="L138" s="308" t="inlineStr">
        <is>
          <t>drawing zone; process page; mapped sheet</t>
        </is>
      </c>
      <c r="M138" s="308" t="inlineStr">
        <is>
          <t>RL7-DRM-101 / XV-02</t>
        </is>
      </c>
      <c r="N138" s="308" t="inlineStr">
        <is>
          <t>native</t>
        </is>
      </c>
      <c r="O138" s="308" t="inlineStr">
        <is>
          <t>native-only</t>
        </is>
      </c>
      <c r="P138" s="308" t="inlineStr">
        <is>
          <t>native</t>
        </is>
      </c>
      <c r="Q138" s="308" t="inlineStr"/>
      <c r="R138" s="308" t="inlineStr">
        <is>
          <t>native text sufficient</t>
        </is>
      </c>
      <c r="S138" s="308" t="inlineStr"/>
      <c r="T138" s="308" t="inlineStr">
        <is>
          <t>p9:native:29, p9:native:30</t>
        </is>
      </c>
      <c r="U138" s="308" t="n">
        <v>2</v>
      </c>
    </row>
    <row r="139">
      <c r="A139" s="308" t="inlineStr">
        <is>
          <t>Missing in Excel</t>
        </is>
      </c>
      <c r="B139" s="308" t="inlineStr">
        <is>
          <t>DG7010</t>
        </is>
      </c>
      <c r="C139" s="308" t="n">
        <v>9</v>
      </c>
      <c r="D139" s="308" t="inlineStr">
        <is>
          <t>RL7-TNK-101-FE01</t>
        </is>
      </c>
      <c r="E139" s="308" t="inlineStr">
        <is>
          <t>RL7-TNK-101</t>
        </is>
      </c>
      <c r="F139" s="308" t="inlineStr">
        <is>
          <t>FE01</t>
        </is>
      </c>
      <c r="G139" s="308" t="inlineStr">
        <is>
          <t>instrument</t>
        </is>
      </c>
      <c r="H139" s="311" t="n">
        <v>0.99</v>
      </c>
      <c r="I139" s="308" t="inlineStr">
        <is>
          <t>High</t>
        </is>
      </c>
      <c r="J139" s="308" t="inlineStr">
        <is>
          <t>drawing</t>
        </is>
      </c>
      <c r="K139" s="308" t="inlineStr">
        <is>
          <t>stacked:isa</t>
        </is>
      </c>
      <c r="L139" s="308" t="inlineStr">
        <is>
          <t>drawing zone; process page; mapped sheet</t>
        </is>
      </c>
      <c r="M139" s="308" t="inlineStr">
        <is>
          <t>RL7-TNK-101 / FE-01</t>
        </is>
      </c>
      <c r="N139" s="308" t="inlineStr">
        <is>
          <t>native</t>
        </is>
      </c>
      <c r="O139" s="308" t="inlineStr">
        <is>
          <t>native-only</t>
        </is>
      </c>
      <c r="P139" s="308" t="inlineStr">
        <is>
          <t>native</t>
        </is>
      </c>
      <c r="Q139" s="308" t="inlineStr"/>
      <c r="R139" s="308" t="inlineStr">
        <is>
          <t>native text sufficient</t>
        </is>
      </c>
      <c r="S139" s="308" t="inlineStr"/>
      <c r="T139" s="308" t="inlineStr">
        <is>
          <t>p9:native:59, p9:native:60</t>
        </is>
      </c>
      <c r="U139" s="308" t="n">
        <v>2</v>
      </c>
    </row>
    <row r="140">
      <c r="A140" s="308" t="inlineStr">
        <is>
          <t>Missing in Excel</t>
        </is>
      </c>
      <c r="B140" s="308" t="inlineStr">
        <is>
          <t>DG7010</t>
        </is>
      </c>
      <c r="C140" s="308" t="n">
        <v>9</v>
      </c>
      <c r="D140" s="308" t="inlineStr">
        <is>
          <t>RL7-TNK-101-FE02</t>
        </is>
      </c>
      <c r="E140" s="308" t="inlineStr">
        <is>
          <t>RL7-TNK-101</t>
        </is>
      </c>
      <c r="F140" s="308" t="inlineStr">
        <is>
          <t>FE02</t>
        </is>
      </c>
      <c r="G140" s="308" t="inlineStr">
        <is>
          <t>instrument</t>
        </is>
      </c>
      <c r="H140" s="311" t="n">
        <v>0.99</v>
      </c>
      <c r="I140" s="308" t="inlineStr">
        <is>
          <t>High</t>
        </is>
      </c>
      <c r="J140" s="308" t="inlineStr">
        <is>
          <t>drawing</t>
        </is>
      </c>
      <c r="K140" s="308" t="inlineStr">
        <is>
          <t>stacked:isa</t>
        </is>
      </c>
      <c r="L140" s="308" t="inlineStr">
        <is>
          <t>drawing zone; process page; mapped sheet</t>
        </is>
      </c>
      <c r="M140" s="308" t="inlineStr">
        <is>
          <t>RL7-TNK-101 / FE-02</t>
        </is>
      </c>
      <c r="N140" s="308" t="inlineStr">
        <is>
          <t>native</t>
        </is>
      </c>
      <c r="O140" s="308" t="inlineStr">
        <is>
          <t>native-only</t>
        </is>
      </c>
      <c r="P140" s="308" t="inlineStr">
        <is>
          <t>native</t>
        </is>
      </c>
      <c r="Q140" s="308" t="inlineStr"/>
      <c r="R140" s="308" t="inlineStr">
        <is>
          <t>native text sufficient</t>
        </is>
      </c>
      <c r="S140" s="308" t="inlineStr"/>
      <c r="T140" s="308" t="inlineStr">
        <is>
          <t>p9:native:325, p9:native:326</t>
        </is>
      </c>
      <c r="U140" s="308" t="n">
        <v>2</v>
      </c>
    </row>
    <row r="141">
      <c r="A141" s="308" t="inlineStr">
        <is>
          <t>Missing in Excel</t>
        </is>
      </c>
      <c r="B141" s="308" t="inlineStr">
        <is>
          <t>DG7010</t>
        </is>
      </c>
      <c r="C141" s="308" t="n">
        <v>9</v>
      </c>
      <c r="D141" s="308" t="inlineStr">
        <is>
          <t>RL7-TNK-101-FS001</t>
        </is>
      </c>
      <c r="E141" s="308" t="inlineStr">
        <is>
          <t>RL7-TNK-101</t>
        </is>
      </c>
      <c r="F141" s="308" t="inlineStr">
        <is>
          <t>FS001</t>
        </is>
      </c>
      <c r="G141" s="308" t="inlineStr">
        <is>
          <t>instrument</t>
        </is>
      </c>
      <c r="H141" s="311" t="n">
        <v>0.99</v>
      </c>
      <c r="I141" s="308" t="inlineStr">
        <is>
          <t>High</t>
        </is>
      </c>
      <c r="J141" s="308" t="inlineStr">
        <is>
          <t>drawing</t>
        </is>
      </c>
      <c r="K141" s="308" t="inlineStr">
        <is>
          <t>stacked:isa</t>
        </is>
      </c>
      <c r="L141" s="308" t="inlineStr">
        <is>
          <t>drawing zone; process page; mapped sheet</t>
        </is>
      </c>
      <c r="M141" s="308" t="inlineStr">
        <is>
          <t>RL7-TNK-101 / FS-001</t>
        </is>
      </c>
      <c r="N141" s="308" t="inlineStr">
        <is>
          <t>native</t>
        </is>
      </c>
      <c r="O141" s="308" t="inlineStr">
        <is>
          <t>native-only</t>
        </is>
      </c>
      <c r="P141" s="308" t="inlineStr">
        <is>
          <t>native</t>
        </is>
      </c>
      <c r="Q141" s="308" t="inlineStr"/>
      <c r="R141" s="308" t="inlineStr">
        <is>
          <t>native text sufficient</t>
        </is>
      </c>
      <c r="S141" s="308" t="inlineStr"/>
      <c r="T141" s="308" t="inlineStr">
        <is>
          <t>p9:native:36, p9:native:37</t>
        </is>
      </c>
      <c r="U141" s="308" t="n">
        <v>2</v>
      </c>
    </row>
    <row r="142">
      <c r="A142" s="308" t="inlineStr">
        <is>
          <t>Missing in Excel</t>
        </is>
      </c>
      <c r="B142" s="308" t="inlineStr">
        <is>
          <t>DG7010</t>
        </is>
      </c>
      <c r="C142" s="308" t="n">
        <v>9</v>
      </c>
      <c r="D142" s="308" t="inlineStr">
        <is>
          <t>RL7-TNK-101-WE01</t>
        </is>
      </c>
      <c r="E142" s="308" t="inlineStr">
        <is>
          <t>RL7-TNK-101</t>
        </is>
      </c>
      <c r="F142" s="308" t="inlineStr">
        <is>
          <t>WE01</t>
        </is>
      </c>
      <c r="G142" s="308" t="inlineStr">
        <is>
          <t>instrument</t>
        </is>
      </c>
      <c r="H142" s="311" t="n">
        <v>0.99</v>
      </c>
      <c r="I142" s="308" t="inlineStr">
        <is>
          <t>High</t>
        </is>
      </c>
      <c r="J142" s="308" t="inlineStr">
        <is>
          <t>drawing</t>
        </is>
      </c>
      <c r="K142" s="308" t="inlineStr">
        <is>
          <t>stacked:isa</t>
        </is>
      </c>
      <c r="L142" s="308" t="inlineStr">
        <is>
          <t>drawing zone; process page; mapped sheet</t>
        </is>
      </c>
      <c r="M142" s="308" t="inlineStr">
        <is>
          <t>RL7-TNK-101 / WE-01</t>
        </is>
      </c>
      <c r="N142" s="308" t="inlineStr">
        <is>
          <t>native</t>
        </is>
      </c>
      <c r="O142" s="308" t="inlineStr">
        <is>
          <t>native-only</t>
        </is>
      </c>
      <c r="P142" s="308" t="inlineStr">
        <is>
          <t>native</t>
        </is>
      </c>
      <c r="Q142" s="308" t="inlineStr"/>
      <c r="R142" s="308" t="inlineStr">
        <is>
          <t>native text sufficient</t>
        </is>
      </c>
      <c r="S142" s="308" t="inlineStr"/>
      <c r="T142" s="308" t="inlineStr">
        <is>
          <t>p9:native:40, p9:native:41</t>
        </is>
      </c>
      <c r="U142" s="308" t="n">
        <v>2</v>
      </c>
    </row>
    <row r="143">
      <c r="A143" s="308" t="inlineStr">
        <is>
          <t>Missing in Excel</t>
        </is>
      </c>
      <c r="B143" s="308" t="inlineStr">
        <is>
          <t>DG7010</t>
        </is>
      </c>
      <c r="C143" s="308" t="n">
        <v>9</v>
      </c>
      <c r="D143" s="308" t="inlineStr">
        <is>
          <t>RL7-TNK-101-WIT01</t>
        </is>
      </c>
      <c r="E143" s="308" t="inlineStr">
        <is>
          <t>RL7-TNK-101</t>
        </is>
      </c>
      <c r="F143" s="308" t="inlineStr">
        <is>
          <t>WIT01</t>
        </is>
      </c>
      <c r="G143" s="308" t="inlineStr">
        <is>
          <t>instrument</t>
        </is>
      </c>
      <c r="H143" s="311" t="n">
        <v>0.99</v>
      </c>
      <c r="I143" s="308" t="inlineStr">
        <is>
          <t>High</t>
        </is>
      </c>
      <c r="J143" s="308" t="inlineStr">
        <is>
          <t>drawing</t>
        </is>
      </c>
      <c r="K143" s="308" t="inlineStr">
        <is>
          <t>stacked:isa</t>
        </is>
      </c>
      <c r="L143" s="308" t="inlineStr">
        <is>
          <t>drawing zone; process page; mapped sheet</t>
        </is>
      </c>
      <c r="M143" s="308" t="inlineStr">
        <is>
          <t>RL7-TNK-101 / WIT-01</t>
        </is>
      </c>
      <c r="N143" s="308" t="inlineStr">
        <is>
          <t>native</t>
        </is>
      </c>
      <c r="O143" s="308" t="inlineStr">
        <is>
          <t>native-only</t>
        </is>
      </c>
      <c r="P143" s="308" t="inlineStr">
        <is>
          <t>native</t>
        </is>
      </c>
      <c r="Q143" s="308" t="inlineStr"/>
      <c r="R143" s="308" t="inlineStr">
        <is>
          <t>native text sufficient</t>
        </is>
      </c>
      <c r="S143" s="308" t="inlineStr"/>
      <c r="T143" s="308" t="inlineStr">
        <is>
          <t>p9:native:54, p9:native:55</t>
        </is>
      </c>
      <c r="U143" s="308" t="n">
        <v>2</v>
      </c>
    </row>
    <row r="144">
      <c r="A144" s="308" t="inlineStr">
        <is>
          <t>Missing in Excel</t>
        </is>
      </c>
      <c r="B144" s="308" t="inlineStr">
        <is>
          <t>DG7010</t>
        </is>
      </c>
      <c r="C144" s="308" t="n">
        <v>9</v>
      </c>
      <c r="D144" s="308" t="inlineStr">
        <is>
          <t>RL7-TNK-101-XY04</t>
        </is>
      </c>
      <c r="E144" s="308" t="inlineStr">
        <is>
          <t>RL7-TNK-101</t>
        </is>
      </c>
      <c r="F144" s="308" t="inlineStr">
        <is>
          <t>XY04</t>
        </is>
      </c>
      <c r="G144" s="308" t="inlineStr">
        <is>
          <t>instrument</t>
        </is>
      </c>
      <c r="H144" s="311" t="n">
        <v>0.99</v>
      </c>
      <c r="I144" s="308" t="inlineStr">
        <is>
          <t>High</t>
        </is>
      </c>
      <c r="J144" s="308" t="inlineStr">
        <is>
          <t>drawing</t>
        </is>
      </c>
      <c r="K144" s="308" t="inlineStr">
        <is>
          <t>stacked:isa</t>
        </is>
      </c>
      <c r="L144" s="308" t="inlineStr">
        <is>
          <t>drawing zone; process page; mapped sheet</t>
        </is>
      </c>
      <c r="M144" s="308" t="inlineStr">
        <is>
          <t>RL7-TNK-101 / XY-04</t>
        </is>
      </c>
      <c r="N144" s="308" t="inlineStr">
        <is>
          <t>native</t>
        </is>
      </c>
      <c r="O144" s="308" t="inlineStr">
        <is>
          <t>native-only</t>
        </is>
      </c>
      <c r="P144" s="308" t="inlineStr">
        <is>
          <t>native</t>
        </is>
      </c>
      <c r="Q144" s="308" t="inlineStr"/>
      <c r="R144" s="308" t="inlineStr">
        <is>
          <t>native text sufficient</t>
        </is>
      </c>
      <c r="S144" s="308" t="inlineStr"/>
      <c r="T144" s="308" t="inlineStr">
        <is>
          <t>p9:native:38, p9:native:39</t>
        </is>
      </c>
      <c r="U144" s="308" t="n">
        <v>2</v>
      </c>
    </row>
    <row r="145">
      <c r="A145" s="308" t="inlineStr">
        <is>
          <t>Missing in Excel</t>
        </is>
      </c>
      <c r="B145" s="308" t="inlineStr">
        <is>
          <t>DG7010</t>
        </is>
      </c>
      <c r="C145" s="308" t="n">
        <v>9</v>
      </c>
      <c r="D145" s="308" t="inlineStr">
        <is>
          <t>RL7-DRM-101-HV001</t>
        </is>
      </c>
      <c r="E145" s="308" t="inlineStr">
        <is>
          <t>RL7-DRM-101</t>
        </is>
      </c>
      <c r="F145" s="308" t="inlineStr">
        <is>
          <t>HV001</t>
        </is>
      </c>
      <c r="G145" s="308" t="inlineStr">
        <is>
          <t>instrument</t>
        </is>
      </c>
      <c r="H145" s="311" t="n">
        <v>0.57</v>
      </c>
      <c r="I145" s="308" t="inlineStr">
        <is>
          <t>Low</t>
        </is>
      </c>
      <c r="J145" s="308" t="inlineStr">
        <is>
          <t>drawing</t>
        </is>
      </c>
      <c r="K145" s="308" t="inlineStr">
        <is>
          <t>inferred:bare-isa</t>
        </is>
      </c>
      <c r="L145" s="308" t="inlineStr">
        <is>
          <t>drawing zone; process page; mapped sheet</t>
        </is>
      </c>
      <c r="M145" s="308" t="inlineStr">
        <is>
          <t>RL7-DRM-101 / HV</t>
        </is>
      </c>
      <c r="N145" s="308" t="inlineStr">
        <is>
          <t>native</t>
        </is>
      </c>
      <c r="O145" s="308" t="inlineStr">
        <is>
          <t>native-only</t>
        </is>
      </c>
      <c r="P145" s="308" t="inlineStr">
        <is>
          <t>native</t>
        </is>
      </c>
      <c r="Q145" s="308" t="inlineStr"/>
      <c r="R145" s="308" t="inlineStr">
        <is>
          <t>native text sufficient</t>
        </is>
      </c>
      <c r="S145" s="308" t="inlineStr"/>
      <c r="T145" s="308" t="inlineStr">
        <is>
          <t>p9:native:353, p9:native:220</t>
        </is>
      </c>
      <c r="U145" s="308" t="n">
        <v>2</v>
      </c>
    </row>
    <row r="146">
      <c r="A146" s="308" t="inlineStr">
        <is>
          <t>Missing in Excel</t>
        </is>
      </c>
      <c r="B146" s="308" t="inlineStr">
        <is>
          <t>DG7010</t>
        </is>
      </c>
      <c r="C146" s="308" t="n">
        <v>9</v>
      </c>
      <c r="D146" s="308" t="inlineStr">
        <is>
          <t>RL7-DRM-101-HV002</t>
        </is>
      </c>
      <c r="E146" s="308" t="inlineStr">
        <is>
          <t>RL7-DRM-101</t>
        </is>
      </c>
      <c r="F146" s="308" t="inlineStr">
        <is>
          <t>HV002</t>
        </is>
      </c>
      <c r="G146" s="308" t="inlineStr">
        <is>
          <t>instrument</t>
        </is>
      </c>
      <c r="H146" s="311" t="n">
        <v>0.57</v>
      </c>
      <c r="I146" s="308" t="inlineStr">
        <is>
          <t>Low</t>
        </is>
      </c>
      <c r="J146" s="308" t="inlineStr">
        <is>
          <t>drawing</t>
        </is>
      </c>
      <c r="K146" s="308" t="inlineStr">
        <is>
          <t>inferred:bare-isa</t>
        </is>
      </c>
      <c r="L146" s="308" t="inlineStr">
        <is>
          <t>drawing zone; process page; mapped sheet</t>
        </is>
      </c>
      <c r="M146" s="308" t="inlineStr">
        <is>
          <t>RL7-DRM-101 / HV</t>
        </is>
      </c>
      <c r="N146" s="308" t="inlineStr">
        <is>
          <t>native</t>
        </is>
      </c>
      <c r="O146" s="308" t="inlineStr">
        <is>
          <t>native-only</t>
        </is>
      </c>
      <c r="P146" s="308" t="inlineStr">
        <is>
          <t>native</t>
        </is>
      </c>
      <c r="Q146" s="308" t="inlineStr"/>
      <c r="R146" s="308" t="inlineStr">
        <is>
          <t>native text sufficient</t>
        </is>
      </c>
      <c r="S146" s="308" t="inlineStr"/>
      <c r="T146" s="308" t="inlineStr">
        <is>
          <t>p9:native:353, p9:native:244</t>
        </is>
      </c>
      <c r="U146" s="308" t="n">
        <v>2</v>
      </c>
    </row>
    <row r="147">
      <c r="A147" s="308" t="inlineStr">
        <is>
          <t>Missing in Excel</t>
        </is>
      </c>
      <c r="B147" s="308" t="inlineStr">
        <is>
          <t>DG7010</t>
        </is>
      </c>
      <c r="C147" s="308" t="n">
        <v>9</v>
      </c>
      <c r="D147" s="308" t="inlineStr">
        <is>
          <t>RL7-DRM-101-HV003</t>
        </is>
      </c>
      <c r="E147" s="308" t="inlineStr">
        <is>
          <t>RL7-DRM-101</t>
        </is>
      </c>
      <c r="F147" s="308" t="inlineStr">
        <is>
          <t>HV003</t>
        </is>
      </c>
      <c r="G147" s="308" t="inlineStr">
        <is>
          <t>instrument</t>
        </is>
      </c>
      <c r="H147" s="311" t="n">
        <v>0.57</v>
      </c>
      <c r="I147" s="308" t="inlineStr">
        <is>
          <t>Low</t>
        </is>
      </c>
      <c r="J147" s="308" t="inlineStr">
        <is>
          <t>drawing</t>
        </is>
      </c>
      <c r="K147" s="308" t="inlineStr">
        <is>
          <t>inferred:bare-isa</t>
        </is>
      </c>
      <c r="L147" s="308" t="inlineStr">
        <is>
          <t>drawing zone; process page; mapped sheet</t>
        </is>
      </c>
      <c r="M147" s="308" t="inlineStr">
        <is>
          <t>RL7-DRM-101 / HV</t>
        </is>
      </c>
      <c r="N147" s="308" t="inlineStr">
        <is>
          <t>native</t>
        </is>
      </c>
      <c r="O147" s="308" t="inlineStr">
        <is>
          <t>native-only</t>
        </is>
      </c>
      <c r="P147" s="308" t="inlineStr">
        <is>
          <t>native</t>
        </is>
      </c>
      <c r="Q147" s="308" t="inlineStr"/>
      <c r="R147" s="308" t="inlineStr">
        <is>
          <t>native text sufficient</t>
        </is>
      </c>
      <c r="S147" s="308" t="inlineStr"/>
      <c r="T147" s="308" t="inlineStr">
        <is>
          <t>p9:native:353, p9:native:67</t>
        </is>
      </c>
      <c r="U147" s="308" t="n">
        <v>2</v>
      </c>
    </row>
    <row r="148">
      <c r="A148" s="308" t="inlineStr">
        <is>
          <t>Missing in Excel</t>
        </is>
      </c>
      <c r="B148" s="308" t="inlineStr">
        <is>
          <t>DG7010</t>
        </is>
      </c>
      <c r="C148" s="308" t="n">
        <v>9</v>
      </c>
      <c r="D148" s="308" t="inlineStr">
        <is>
          <t>RL7-DRM-101-PI001</t>
        </is>
      </c>
      <c r="E148" s="308" t="inlineStr">
        <is>
          <t>RL7-DRM-101</t>
        </is>
      </c>
      <c r="F148" s="308" t="inlineStr">
        <is>
          <t>PI001</t>
        </is>
      </c>
      <c r="G148" s="308" t="inlineStr">
        <is>
          <t>instrument</t>
        </is>
      </c>
      <c r="H148" s="311" t="n">
        <v>0.57</v>
      </c>
      <c r="I148" s="308" t="inlineStr">
        <is>
          <t>Low</t>
        </is>
      </c>
      <c r="J148" s="308" t="inlineStr">
        <is>
          <t>drawing</t>
        </is>
      </c>
      <c r="K148" s="308" t="inlineStr">
        <is>
          <t>inferred:bare-isa</t>
        </is>
      </c>
      <c r="L148" s="308" t="inlineStr">
        <is>
          <t>drawing zone; process page; mapped sheet</t>
        </is>
      </c>
      <c r="M148" s="308" t="inlineStr">
        <is>
          <t>RL7-DRM-101 / PI</t>
        </is>
      </c>
      <c r="N148" s="308" t="inlineStr">
        <is>
          <t>native</t>
        </is>
      </c>
      <c r="O148" s="308" t="inlineStr">
        <is>
          <t>native-only</t>
        </is>
      </c>
      <c r="P148" s="308" t="inlineStr">
        <is>
          <t>native</t>
        </is>
      </c>
      <c r="Q148" s="308" t="inlineStr"/>
      <c r="R148" s="308" t="inlineStr">
        <is>
          <t>native text sufficient</t>
        </is>
      </c>
      <c r="S148" s="308" t="inlineStr"/>
      <c r="T148" s="308" t="inlineStr">
        <is>
          <t>p9:native:353, p9:native:215</t>
        </is>
      </c>
      <c r="U148" s="308" t="n">
        <v>2</v>
      </c>
    </row>
    <row r="149">
      <c r="A149" s="308" t="inlineStr">
        <is>
          <t>Missing in Excel</t>
        </is>
      </c>
      <c r="B149" s="308" t="inlineStr">
        <is>
          <t>DG7010</t>
        </is>
      </c>
      <c r="C149" s="308" t="n">
        <v>9</v>
      </c>
      <c r="D149" s="308" t="inlineStr">
        <is>
          <t>RL7-DRM-101-PI002</t>
        </is>
      </c>
      <c r="E149" s="308" t="inlineStr">
        <is>
          <t>RL7-DRM-101</t>
        </is>
      </c>
      <c r="F149" s="308" t="inlineStr">
        <is>
          <t>PI002</t>
        </is>
      </c>
      <c r="G149" s="308" t="inlineStr">
        <is>
          <t>instrument</t>
        </is>
      </c>
      <c r="H149" s="311" t="n">
        <v>0.57</v>
      </c>
      <c r="I149" s="308" t="inlineStr">
        <is>
          <t>Low</t>
        </is>
      </c>
      <c r="J149" s="308" t="inlineStr">
        <is>
          <t>drawing</t>
        </is>
      </c>
      <c r="K149" s="308" t="inlineStr">
        <is>
          <t>inferred:bare-isa</t>
        </is>
      </c>
      <c r="L149" s="308" t="inlineStr">
        <is>
          <t>drawing zone; process page; mapped sheet</t>
        </is>
      </c>
      <c r="M149" s="308" t="inlineStr">
        <is>
          <t>RL7-DRM-101 / PI</t>
        </is>
      </c>
      <c r="N149" s="308" t="inlineStr">
        <is>
          <t>native</t>
        </is>
      </c>
      <c r="O149" s="308" t="inlineStr">
        <is>
          <t>native-only</t>
        </is>
      </c>
      <c r="P149" s="308" t="inlineStr">
        <is>
          <t>native</t>
        </is>
      </c>
      <c r="Q149" s="308" t="inlineStr"/>
      <c r="R149" s="308" t="inlineStr">
        <is>
          <t>native text sufficient</t>
        </is>
      </c>
      <c r="S149" s="308" t="inlineStr"/>
      <c r="T149" s="308" t="inlineStr">
        <is>
          <t>p9:native:353, p9:native:226</t>
        </is>
      </c>
      <c r="U149" s="308" t="n">
        <v>2</v>
      </c>
    </row>
    <row r="150">
      <c r="A150" s="308" t="inlineStr">
        <is>
          <t>Missing in Excel</t>
        </is>
      </c>
      <c r="B150" s="308" t="inlineStr">
        <is>
          <t>DG7010</t>
        </is>
      </c>
      <c r="C150" s="308" t="n">
        <v>9</v>
      </c>
      <c r="D150" s="308" t="inlineStr">
        <is>
          <t>RL7-DRM-101-PI003</t>
        </is>
      </c>
      <c r="E150" s="308" t="inlineStr">
        <is>
          <t>RL7-DRM-101</t>
        </is>
      </c>
      <c r="F150" s="308" t="inlineStr">
        <is>
          <t>PI003</t>
        </is>
      </c>
      <c r="G150" s="308" t="inlineStr">
        <is>
          <t>instrument</t>
        </is>
      </c>
      <c r="H150" s="311" t="n">
        <v>0.57</v>
      </c>
      <c r="I150" s="308" t="inlineStr">
        <is>
          <t>Low</t>
        </is>
      </c>
      <c r="J150" s="308" t="inlineStr">
        <is>
          <t>drawing</t>
        </is>
      </c>
      <c r="K150" s="308" t="inlineStr">
        <is>
          <t>inferred:bare-isa</t>
        </is>
      </c>
      <c r="L150" s="308" t="inlineStr">
        <is>
          <t>drawing zone; process page; mapped sheet</t>
        </is>
      </c>
      <c r="M150" s="308" t="inlineStr">
        <is>
          <t>RL7-DRM-101 / PI</t>
        </is>
      </c>
      <c r="N150" s="308" t="inlineStr">
        <is>
          <t>native</t>
        </is>
      </c>
      <c r="O150" s="308" t="inlineStr">
        <is>
          <t>native-only</t>
        </is>
      </c>
      <c r="P150" s="308" t="inlineStr">
        <is>
          <t>native</t>
        </is>
      </c>
      <c r="Q150" s="308" t="inlineStr"/>
      <c r="R150" s="308" t="inlineStr">
        <is>
          <t>native text sufficient</t>
        </is>
      </c>
      <c r="S150" s="308" t="inlineStr"/>
      <c r="T150" s="308" t="inlineStr">
        <is>
          <t>p9:native:353, p9:native:239</t>
        </is>
      </c>
      <c r="U150" s="308" t="n">
        <v>2</v>
      </c>
    </row>
    <row r="151">
      <c r="A151" s="308" t="inlineStr">
        <is>
          <t>Missing in Excel</t>
        </is>
      </c>
      <c r="B151" s="308" t="inlineStr">
        <is>
          <t>DG7010</t>
        </is>
      </c>
      <c r="C151" s="308" t="n">
        <v>9</v>
      </c>
      <c r="D151" s="308" t="inlineStr">
        <is>
          <t>RL7-DRM-101-PI004</t>
        </is>
      </c>
      <c r="E151" s="308" t="inlineStr">
        <is>
          <t>RL7-DRM-101</t>
        </is>
      </c>
      <c r="F151" s="308" t="inlineStr">
        <is>
          <t>PI004</t>
        </is>
      </c>
      <c r="G151" s="308" t="inlineStr">
        <is>
          <t>instrument</t>
        </is>
      </c>
      <c r="H151" s="311" t="n">
        <v>0.57</v>
      </c>
      <c r="I151" s="308" t="inlineStr">
        <is>
          <t>Low</t>
        </is>
      </c>
      <c r="J151" s="308" t="inlineStr">
        <is>
          <t>drawing</t>
        </is>
      </c>
      <c r="K151" s="308" t="inlineStr">
        <is>
          <t>inferred:bare-isa</t>
        </is>
      </c>
      <c r="L151" s="308" t="inlineStr">
        <is>
          <t>drawing zone; process page; mapped sheet</t>
        </is>
      </c>
      <c r="M151" s="308" t="inlineStr">
        <is>
          <t>RL7-DRM-101 / PI</t>
        </is>
      </c>
      <c r="N151" s="308" t="inlineStr">
        <is>
          <t>native</t>
        </is>
      </c>
      <c r="O151" s="308" t="inlineStr">
        <is>
          <t>native-only</t>
        </is>
      </c>
      <c r="P151" s="308" t="inlineStr">
        <is>
          <t>native</t>
        </is>
      </c>
      <c r="Q151" s="308" t="inlineStr"/>
      <c r="R151" s="308" t="inlineStr">
        <is>
          <t>native text sufficient</t>
        </is>
      </c>
      <c r="S151" s="308" t="inlineStr"/>
      <c r="T151" s="308" t="inlineStr">
        <is>
          <t>p9:native:353, p9:native:250</t>
        </is>
      </c>
      <c r="U151" s="308" t="n">
        <v>2</v>
      </c>
    </row>
    <row r="152">
      <c r="A152" s="308" t="inlineStr">
        <is>
          <t>Missing in Excel</t>
        </is>
      </c>
      <c r="B152" s="308" t="inlineStr">
        <is>
          <t>DG7010</t>
        </is>
      </c>
      <c r="C152" s="308" t="n">
        <v>9</v>
      </c>
      <c r="D152" s="308" t="inlineStr">
        <is>
          <t>RL7-SKD-101-CV001</t>
        </is>
      </c>
      <c r="E152" s="308" t="inlineStr">
        <is>
          <t>RL7-SKD-101</t>
        </is>
      </c>
      <c r="F152" s="308" t="inlineStr">
        <is>
          <t>CV001</t>
        </is>
      </c>
      <c r="G152" s="308" t="inlineStr">
        <is>
          <t>instrument</t>
        </is>
      </c>
      <c r="H152" s="311" t="n">
        <v>0.57</v>
      </c>
      <c r="I152" s="308" t="inlineStr">
        <is>
          <t>Low</t>
        </is>
      </c>
      <c r="J152" s="308" t="inlineStr">
        <is>
          <t>drawing</t>
        </is>
      </c>
      <c r="K152" s="308" t="inlineStr">
        <is>
          <t>inferred:bare-isa</t>
        </is>
      </c>
      <c r="L152" s="308" t="inlineStr">
        <is>
          <t>drawing zone; process page; mapped sheet</t>
        </is>
      </c>
      <c r="M152" s="308" t="inlineStr">
        <is>
          <t>RL7-SKD-101 / CV</t>
        </is>
      </c>
      <c r="N152" s="308" t="inlineStr">
        <is>
          <t>native</t>
        </is>
      </c>
      <c r="O152" s="308" t="inlineStr">
        <is>
          <t>native-only</t>
        </is>
      </c>
      <c r="P152" s="308" t="inlineStr">
        <is>
          <t>native</t>
        </is>
      </c>
      <c r="Q152" s="308" t="inlineStr"/>
      <c r="R152" s="308" t="inlineStr">
        <is>
          <t>native text sufficient</t>
        </is>
      </c>
      <c r="S152" s="308" t="inlineStr"/>
      <c r="T152" s="308" t="inlineStr">
        <is>
          <t>p9:native:179, p9:native:156</t>
        </is>
      </c>
      <c r="U152" s="308" t="n">
        <v>2</v>
      </c>
    </row>
    <row r="153">
      <c r="A153" s="308" t="inlineStr">
        <is>
          <t>Missing in Excel</t>
        </is>
      </c>
      <c r="B153" s="308" t="inlineStr">
        <is>
          <t>DG7010</t>
        </is>
      </c>
      <c r="C153" s="308" t="n">
        <v>9</v>
      </c>
      <c r="D153" s="308" t="inlineStr">
        <is>
          <t>RL7-SKD-101-HV001</t>
        </is>
      </c>
      <c r="E153" s="308" t="inlineStr">
        <is>
          <t>RL7-SKD-101</t>
        </is>
      </c>
      <c r="F153" s="308" t="inlineStr">
        <is>
          <t>HV001</t>
        </is>
      </c>
      <c r="G153" s="308" t="inlineStr">
        <is>
          <t>instrument</t>
        </is>
      </c>
      <c r="H153" s="311" t="n">
        <v>0.57</v>
      </c>
      <c r="I153" s="308" t="inlineStr">
        <is>
          <t>Low</t>
        </is>
      </c>
      <c r="J153" s="308" t="inlineStr">
        <is>
          <t>drawing</t>
        </is>
      </c>
      <c r="K153" s="308" t="inlineStr">
        <is>
          <t>inferred:bare-isa</t>
        </is>
      </c>
      <c r="L153" s="308" t="inlineStr">
        <is>
          <t>drawing zone; process page; mapped sheet</t>
        </is>
      </c>
      <c r="M153" s="308" t="inlineStr">
        <is>
          <t>RL7-SKD-101 / HV</t>
        </is>
      </c>
      <c r="N153" s="308" t="inlineStr">
        <is>
          <t>native</t>
        </is>
      </c>
      <c r="O153" s="308" t="inlineStr">
        <is>
          <t>native-only</t>
        </is>
      </c>
      <c r="P153" s="308" t="inlineStr">
        <is>
          <t>native</t>
        </is>
      </c>
      <c r="Q153" s="308" t="inlineStr"/>
      <c r="R153" s="308" t="inlineStr">
        <is>
          <t>native text sufficient</t>
        </is>
      </c>
      <c r="S153" s="308" t="inlineStr"/>
      <c r="T153" s="308" t="inlineStr">
        <is>
          <t>p9:native:177, p9:native:162</t>
        </is>
      </c>
      <c r="U153" s="308" t="n">
        <v>2</v>
      </c>
    </row>
    <row r="154">
      <c r="A154" s="308" t="inlineStr">
        <is>
          <t>Missing in Excel</t>
        </is>
      </c>
      <c r="B154" s="308" t="inlineStr">
        <is>
          <t>DG7010</t>
        </is>
      </c>
      <c r="C154" s="308" t="n">
        <v>9</v>
      </c>
      <c r="D154" s="308" t="inlineStr">
        <is>
          <t>RL7-TNK-101-HV001</t>
        </is>
      </c>
      <c r="E154" s="308" t="inlineStr">
        <is>
          <t>RL7-TNK-101</t>
        </is>
      </c>
      <c r="F154" s="308" t="inlineStr">
        <is>
          <t>HV001</t>
        </is>
      </c>
      <c r="G154" s="308" t="inlineStr">
        <is>
          <t>instrument</t>
        </is>
      </c>
      <c r="H154" s="311" t="n">
        <v>0.57</v>
      </c>
      <c r="I154" s="308" t="inlineStr">
        <is>
          <t>Low</t>
        </is>
      </c>
      <c r="J154" s="308" t="inlineStr">
        <is>
          <t>drawing</t>
        </is>
      </c>
      <c r="K154" s="308" t="inlineStr">
        <is>
          <t>inferred:bare-isa</t>
        </is>
      </c>
      <c r="L154" s="308" t="inlineStr">
        <is>
          <t>drawing zone; process page; mapped sheet</t>
        </is>
      </c>
      <c r="M154" s="308" t="inlineStr">
        <is>
          <t>RL7-TNK-101 / HV</t>
        </is>
      </c>
      <c r="N154" s="308" t="inlineStr">
        <is>
          <t>native</t>
        </is>
      </c>
      <c r="O154" s="308" t="inlineStr">
        <is>
          <t>native-only</t>
        </is>
      </c>
      <c r="P154" s="308" t="inlineStr">
        <is>
          <t>native</t>
        </is>
      </c>
      <c r="Q154" s="308" t="inlineStr"/>
      <c r="R154" s="308" t="inlineStr">
        <is>
          <t>native text sufficient</t>
        </is>
      </c>
      <c r="S154" s="308" t="inlineStr"/>
      <c r="T154" s="308" t="inlineStr">
        <is>
          <t>p9:native:59, p9:native:290</t>
        </is>
      </c>
      <c r="U154" s="308" t="n">
        <v>2</v>
      </c>
    </row>
    <row r="155">
      <c r="A155" s="308" t="inlineStr">
        <is>
          <t>Missing in Excel</t>
        </is>
      </c>
      <c r="B155" s="308" t="inlineStr">
        <is>
          <t>DG7010</t>
        </is>
      </c>
      <c r="C155" s="308" t="n">
        <v>9</v>
      </c>
      <c r="D155" s="308" t="inlineStr">
        <is>
          <t>RL7-TNK-101-HV002</t>
        </is>
      </c>
      <c r="E155" s="308" t="inlineStr">
        <is>
          <t>RL7-TNK-101</t>
        </is>
      </c>
      <c r="F155" s="308" t="inlineStr">
        <is>
          <t>HV002</t>
        </is>
      </c>
      <c r="G155" s="308" t="inlineStr">
        <is>
          <t>instrument</t>
        </is>
      </c>
      <c r="H155" s="311" t="n">
        <v>0.57</v>
      </c>
      <c r="I155" s="308" t="inlineStr">
        <is>
          <t>Low</t>
        </is>
      </c>
      <c r="J155" s="308" t="inlineStr">
        <is>
          <t>drawing</t>
        </is>
      </c>
      <c r="K155" s="308" t="inlineStr">
        <is>
          <t>inferred:bare-isa</t>
        </is>
      </c>
      <c r="L155" s="308" t="inlineStr">
        <is>
          <t>drawing zone; process page; mapped sheet</t>
        </is>
      </c>
      <c r="M155" s="308" t="inlineStr">
        <is>
          <t>RL7-TNK-101 / HV</t>
        </is>
      </c>
      <c r="N155" s="308" t="inlineStr">
        <is>
          <t>native</t>
        </is>
      </c>
      <c r="O155" s="308" t="inlineStr">
        <is>
          <t>native-only</t>
        </is>
      </c>
      <c r="P155" s="308" t="inlineStr">
        <is>
          <t>native</t>
        </is>
      </c>
      <c r="Q155" s="308" t="inlineStr"/>
      <c r="R155" s="308" t="inlineStr">
        <is>
          <t>native text sufficient</t>
        </is>
      </c>
      <c r="S155" s="308" t="inlineStr"/>
      <c r="T155" s="308" t="inlineStr">
        <is>
          <t>p9:native:38, p9:native:73</t>
        </is>
      </c>
      <c r="U155" s="308" t="n">
        <v>2</v>
      </c>
    </row>
    <row r="156">
      <c r="A156" s="308" t="inlineStr">
        <is>
          <t>Missing in Excel</t>
        </is>
      </c>
      <c r="B156" s="308" t="inlineStr">
        <is>
          <t>DG7010</t>
        </is>
      </c>
      <c r="C156" s="308" t="n">
        <v>9</v>
      </c>
      <c r="D156" s="308" t="inlineStr">
        <is>
          <t>RL7-TNK-101-PI001</t>
        </is>
      </c>
      <c r="E156" s="308" t="inlineStr">
        <is>
          <t>RL7-TNK-101</t>
        </is>
      </c>
      <c r="F156" s="308" t="inlineStr">
        <is>
          <t>PI001</t>
        </is>
      </c>
      <c r="G156" s="308" t="inlineStr">
        <is>
          <t>instrument</t>
        </is>
      </c>
      <c r="H156" s="311" t="n">
        <v>0.57</v>
      </c>
      <c r="I156" s="308" t="inlineStr">
        <is>
          <t>Low</t>
        </is>
      </c>
      <c r="J156" s="308" t="inlineStr">
        <is>
          <t>drawing</t>
        </is>
      </c>
      <c r="K156" s="308" t="inlineStr">
        <is>
          <t>inferred:bare-isa</t>
        </is>
      </c>
      <c r="L156" s="308" t="inlineStr">
        <is>
          <t>drawing zone; process page; mapped sheet</t>
        </is>
      </c>
      <c r="M156" s="308" t="inlineStr">
        <is>
          <t>RL7-TNK-101 / PI</t>
        </is>
      </c>
      <c r="N156" s="308" t="inlineStr">
        <is>
          <t>native</t>
        </is>
      </c>
      <c r="O156" s="308" t="inlineStr">
        <is>
          <t>native-only</t>
        </is>
      </c>
      <c r="P156" s="308" t="inlineStr">
        <is>
          <t>native</t>
        </is>
      </c>
      <c r="Q156" s="308" t="inlineStr"/>
      <c r="R156" s="308" t="inlineStr">
        <is>
          <t>native text sufficient</t>
        </is>
      </c>
      <c r="S156" s="308" t="inlineStr"/>
      <c r="T156" s="308" t="inlineStr">
        <is>
          <t>p9:native:38, p9:native:299</t>
        </is>
      </c>
      <c r="U156" s="308" t="n">
        <v>2</v>
      </c>
    </row>
    <row r="157">
      <c r="A157" s="308" t="inlineStr">
        <is>
          <t>Missing in Excel</t>
        </is>
      </c>
      <c r="B157" s="308" t="inlineStr">
        <is>
          <t>DG7010</t>
        </is>
      </c>
      <c r="C157" s="308" t="n">
        <v>9</v>
      </c>
      <c r="D157" s="308" t="inlineStr">
        <is>
          <t>RL7-TNK-101-PI002</t>
        </is>
      </c>
      <c r="E157" s="308" t="inlineStr">
        <is>
          <t>RL7-TNK-101</t>
        </is>
      </c>
      <c r="F157" s="308" t="inlineStr">
        <is>
          <t>PI002</t>
        </is>
      </c>
      <c r="G157" s="308" t="inlineStr">
        <is>
          <t>instrument</t>
        </is>
      </c>
      <c r="H157" s="311" t="n">
        <v>0.57</v>
      </c>
      <c r="I157" s="308" t="inlineStr">
        <is>
          <t>Low</t>
        </is>
      </c>
      <c r="J157" s="308" t="inlineStr">
        <is>
          <t>drawing</t>
        </is>
      </c>
      <c r="K157" s="308" t="inlineStr">
        <is>
          <t>inferred:bare-isa</t>
        </is>
      </c>
      <c r="L157" s="308" t="inlineStr">
        <is>
          <t>drawing zone; process page; mapped sheet</t>
        </is>
      </c>
      <c r="M157" s="308" t="inlineStr">
        <is>
          <t>RL7-TNK-101 / PI</t>
        </is>
      </c>
      <c r="N157" s="308" t="inlineStr">
        <is>
          <t>native</t>
        </is>
      </c>
      <c r="O157" s="308" t="inlineStr">
        <is>
          <t>native-only</t>
        </is>
      </c>
      <c r="P157" s="308" t="inlineStr">
        <is>
          <t>native</t>
        </is>
      </c>
      <c r="Q157" s="308" t="inlineStr"/>
      <c r="R157" s="308" t="inlineStr">
        <is>
          <t>native text sufficient</t>
        </is>
      </c>
      <c r="S157" s="308" t="inlineStr"/>
      <c r="T157" s="308" t="inlineStr">
        <is>
          <t>p9:native:38, p9:native:294</t>
        </is>
      </c>
      <c r="U157" s="308" t="n">
        <v>2</v>
      </c>
    </row>
    <row r="158">
      <c r="A158" s="308" t="inlineStr">
        <is>
          <t>Missing in Excel</t>
        </is>
      </c>
      <c r="B158" s="308" t="inlineStr">
        <is>
          <t>DG7010</t>
        </is>
      </c>
      <c r="C158" s="308" t="n">
        <v>9</v>
      </c>
      <c r="D158" s="308" t="inlineStr">
        <is>
          <t>RL7-TNK-101-PI003</t>
        </is>
      </c>
      <c r="E158" s="308" t="inlineStr">
        <is>
          <t>RL7-TNK-101</t>
        </is>
      </c>
      <c r="F158" s="308" t="inlineStr">
        <is>
          <t>PI003</t>
        </is>
      </c>
      <c r="G158" s="308" t="inlineStr">
        <is>
          <t>instrument</t>
        </is>
      </c>
      <c r="H158" s="311" t="n">
        <v>0.57</v>
      </c>
      <c r="I158" s="308" t="inlineStr">
        <is>
          <t>Low</t>
        </is>
      </c>
      <c r="J158" s="308" t="inlineStr">
        <is>
          <t>drawing</t>
        </is>
      </c>
      <c r="K158" s="308" t="inlineStr">
        <is>
          <t>inferred:bare-isa</t>
        </is>
      </c>
      <c r="L158" s="308" t="inlineStr">
        <is>
          <t>drawing zone; process page; mapped sheet</t>
        </is>
      </c>
      <c r="M158" s="308" t="inlineStr">
        <is>
          <t>RL7-TNK-101 / PI</t>
        </is>
      </c>
      <c r="N158" s="308" t="inlineStr">
        <is>
          <t>native</t>
        </is>
      </c>
      <c r="O158" s="308" t="inlineStr">
        <is>
          <t>native-only</t>
        </is>
      </c>
      <c r="P158" s="308" t="inlineStr">
        <is>
          <t>native</t>
        </is>
      </c>
      <c r="Q158" s="308" t="inlineStr"/>
      <c r="R158" s="308" t="inlineStr">
        <is>
          <t>native text sufficient</t>
        </is>
      </c>
      <c r="S158" s="308" t="inlineStr"/>
      <c r="T158" s="308" t="inlineStr">
        <is>
          <t>p9:native:36, p9:native:301</t>
        </is>
      </c>
      <c r="U158" s="308" t="n">
        <v>2</v>
      </c>
    </row>
    <row r="159">
      <c r="A159" s="308" t="inlineStr">
        <is>
          <t>Missing in Excel</t>
        </is>
      </c>
      <c r="B159" s="308" t="inlineStr">
        <is>
          <t>DG7010</t>
        </is>
      </c>
      <c r="C159" s="308" t="n">
        <v>9</v>
      </c>
      <c r="D159" s="308" t="inlineStr">
        <is>
          <t>RL7-TNK-101-PI004</t>
        </is>
      </c>
      <c r="E159" s="308" t="inlineStr">
        <is>
          <t>RL7-TNK-101</t>
        </is>
      </c>
      <c r="F159" s="308" t="inlineStr">
        <is>
          <t>PI004</t>
        </is>
      </c>
      <c r="G159" s="308" t="inlineStr">
        <is>
          <t>instrument</t>
        </is>
      </c>
      <c r="H159" s="311" t="n">
        <v>0.57</v>
      </c>
      <c r="I159" s="308" t="inlineStr">
        <is>
          <t>Low</t>
        </is>
      </c>
      <c r="J159" s="308" t="inlineStr">
        <is>
          <t>drawing</t>
        </is>
      </c>
      <c r="K159" s="308" t="inlineStr">
        <is>
          <t>inferred:bare-isa</t>
        </is>
      </c>
      <c r="L159" s="308" t="inlineStr">
        <is>
          <t>drawing zone; process page; mapped sheet</t>
        </is>
      </c>
      <c r="M159" s="308" t="inlineStr">
        <is>
          <t>RL7-TNK-101 / PI</t>
        </is>
      </c>
      <c r="N159" s="308" t="inlineStr">
        <is>
          <t>native</t>
        </is>
      </c>
      <c r="O159" s="308" t="inlineStr">
        <is>
          <t>native-only</t>
        </is>
      </c>
      <c r="P159" s="308" t="inlineStr">
        <is>
          <t>native</t>
        </is>
      </c>
      <c r="Q159" s="308" t="inlineStr"/>
      <c r="R159" s="308" t="inlineStr">
        <is>
          <t>native text sufficient</t>
        </is>
      </c>
      <c r="S159" s="308" t="inlineStr"/>
      <c r="T159" s="308" t="inlineStr">
        <is>
          <t>p9:native:36, p9:native:306</t>
        </is>
      </c>
      <c r="U159" s="308" t="n">
        <v>2</v>
      </c>
    </row>
    <row r="160">
      <c r="A160" s="308" t="inlineStr">
        <is>
          <t>Missing in Excel</t>
        </is>
      </c>
      <c r="B160" s="308" t="inlineStr">
        <is>
          <t>DG7010</t>
        </is>
      </c>
      <c r="C160" s="308" t="n">
        <v>9</v>
      </c>
      <c r="D160" s="308" t="inlineStr">
        <is>
          <t>RL7-TNK-101-RV001</t>
        </is>
      </c>
      <c r="E160" s="308" t="inlineStr">
        <is>
          <t>RL7-TNK-101</t>
        </is>
      </c>
      <c r="F160" s="308" t="inlineStr">
        <is>
          <t>RV001</t>
        </is>
      </c>
      <c r="G160" s="308" t="inlineStr">
        <is>
          <t>instrument</t>
        </is>
      </c>
      <c r="H160" s="311" t="n">
        <v>0.57</v>
      </c>
      <c r="I160" s="308" t="inlineStr">
        <is>
          <t>Low</t>
        </is>
      </c>
      <c r="J160" s="308" t="inlineStr">
        <is>
          <t>drawing</t>
        </is>
      </c>
      <c r="K160" s="308" t="inlineStr">
        <is>
          <t>inferred:bare-isa</t>
        </is>
      </c>
      <c r="L160" s="308" t="inlineStr">
        <is>
          <t>drawing zone; process page; mapped sheet</t>
        </is>
      </c>
      <c r="M160" s="308" t="inlineStr">
        <is>
          <t>RL7-TNK-101 / RV</t>
        </is>
      </c>
      <c r="N160" s="308" t="inlineStr">
        <is>
          <t>native</t>
        </is>
      </c>
      <c r="O160" s="308" t="inlineStr">
        <is>
          <t>native-only</t>
        </is>
      </c>
      <c r="P160" s="308" t="inlineStr">
        <is>
          <t>native</t>
        </is>
      </c>
      <c r="Q160" s="308" t="inlineStr"/>
      <c r="R160" s="308" t="inlineStr">
        <is>
          <t>native text sufficient</t>
        </is>
      </c>
      <c r="S160" s="308" t="inlineStr"/>
      <c r="T160" s="308" t="inlineStr">
        <is>
          <t>p9:native:36, p9:native:79</t>
        </is>
      </c>
      <c r="U160" s="308" t="n">
        <v>2</v>
      </c>
    </row>
    <row r="161">
      <c r="A161" s="308" t="inlineStr">
        <is>
          <t>Missing in Excel</t>
        </is>
      </c>
      <c r="B161" s="308" t="inlineStr">
        <is>
          <t>DG7010</t>
        </is>
      </c>
      <c r="C161" s="308" t="n">
        <v>9</v>
      </c>
      <c r="D161" s="308" t="inlineStr">
        <is>
          <t>AH01</t>
        </is>
      </c>
      <c r="E161" s="308" t="inlineStr"/>
      <c r="F161" s="308" t="inlineStr">
        <is>
          <t>AH01</t>
        </is>
      </c>
      <c r="G161" s="308" t="inlineStr">
        <is>
          <t>instrument</t>
        </is>
      </c>
      <c r="H161" s="311" t="n">
        <v>0.51</v>
      </c>
      <c r="I161" s="308" t="inlineStr">
        <is>
          <t>Low</t>
        </is>
      </c>
      <c r="J161" s="308" t="inlineStr">
        <is>
          <t>drawing</t>
        </is>
      </c>
      <c r="K161" s="308" t="inlineStr">
        <is>
          <t>standalone:isa</t>
        </is>
      </c>
      <c r="L161" s="308" t="inlineStr">
        <is>
          <t>drawing zone; process page; mapped sheet</t>
        </is>
      </c>
      <c r="M161" s="308" t="inlineStr">
        <is>
          <t>AH-01</t>
        </is>
      </c>
      <c r="N161" s="308" t="inlineStr">
        <is>
          <t>native</t>
        </is>
      </c>
      <c r="O161" s="308" t="inlineStr">
        <is>
          <t>native-only</t>
        </is>
      </c>
      <c r="P161" s="308" t="inlineStr">
        <is>
          <t>native</t>
        </is>
      </c>
      <c r="Q161" s="308" t="inlineStr"/>
      <c r="R161" s="308" t="inlineStr">
        <is>
          <t>native text sufficient</t>
        </is>
      </c>
      <c r="S161" s="308" t="inlineStr"/>
      <c r="T161" s="308" t="inlineStr">
        <is>
          <t>p9:native:176</t>
        </is>
      </c>
      <c r="U161" s="308" t="n">
        <v>1</v>
      </c>
    </row>
    <row r="162">
      <c r="A162" s="308" t="inlineStr">
        <is>
          <t>Missing in Excel</t>
        </is>
      </c>
      <c r="B162" s="308" t="inlineStr">
        <is>
          <t>DG7010</t>
        </is>
      </c>
      <c r="C162" s="308" t="n">
        <v>9</v>
      </c>
      <c r="D162" s="308" t="inlineStr">
        <is>
          <t>PB01</t>
        </is>
      </c>
      <c r="E162" s="308" t="inlineStr"/>
      <c r="F162" s="308" t="inlineStr">
        <is>
          <t>PB01</t>
        </is>
      </c>
      <c r="G162" s="308" t="inlineStr">
        <is>
          <t>instrument</t>
        </is>
      </c>
      <c r="H162" s="311" t="n">
        <v>0.51</v>
      </c>
      <c r="I162" s="308" t="inlineStr">
        <is>
          <t>Low</t>
        </is>
      </c>
      <c r="J162" s="308" t="inlineStr">
        <is>
          <t>drawing</t>
        </is>
      </c>
      <c r="K162" s="308" t="inlineStr">
        <is>
          <t>standalone:isa</t>
        </is>
      </c>
      <c r="L162" s="308" t="inlineStr">
        <is>
          <t>drawing zone; process page; mapped sheet</t>
        </is>
      </c>
      <c r="M162" s="308" t="inlineStr">
        <is>
          <t>PB-01</t>
        </is>
      </c>
      <c r="N162" s="308" t="inlineStr">
        <is>
          <t>native</t>
        </is>
      </c>
      <c r="O162" s="308" t="inlineStr">
        <is>
          <t>native-only</t>
        </is>
      </c>
      <c r="P162" s="308" t="inlineStr">
        <is>
          <t>native</t>
        </is>
      </c>
      <c r="Q162" s="308" t="inlineStr"/>
      <c r="R162" s="308" t="inlineStr">
        <is>
          <t>native text sufficient</t>
        </is>
      </c>
      <c r="S162" s="308" t="inlineStr"/>
      <c r="T162" s="308" t="inlineStr">
        <is>
          <t>p9:native:165</t>
        </is>
      </c>
      <c r="U162" s="308" t="n">
        <v>1</v>
      </c>
    </row>
    <row r="163">
      <c r="A163" s="308" t="inlineStr">
        <is>
          <t>Missing in Excel</t>
        </is>
      </c>
      <c r="B163" s="308" t="inlineStr">
        <is>
          <t>DG7010</t>
        </is>
      </c>
      <c r="C163" s="308" t="n">
        <v>9</v>
      </c>
      <c r="D163" s="308" t="inlineStr">
        <is>
          <t>PL01G</t>
        </is>
      </c>
      <c r="E163" s="308" t="inlineStr"/>
      <c r="F163" s="308" t="inlineStr">
        <is>
          <t>PL01G</t>
        </is>
      </c>
      <c r="G163" s="308" t="inlineStr">
        <is>
          <t>instrument</t>
        </is>
      </c>
      <c r="H163" s="311" t="n">
        <v>0.51</v>
      </c>
      <c r="I163" s="308" t="inlineStr">
        <is>
          <t>Low</t>
        </is>
      </c>
      <c r="J163" s="308" t="inlineStr">
        <is>
          <t>drawing</t>
        </is>
      </c>
      <c r="K163" s="308" t="inlineStr">
        <is>
          <t>standalone:isa</t>
        </is>
      </c>
      <c r="L163" s="308" t="inlineStr">
        <is>
          <t>drawing zone; process page; mapped sheet</t>
        </is>
      </c>
      <c r="M163" s="308" t="inlineStr">
        <is>
          <t>PL-01G</t>
        </is>
      </c>
      <c r="N163" s="308" t="inlineStr">
        <is>
          <t>native</t>
        </is>
      </c>
      <c r="O163" s="308" t="inlineStr">
        <is>
          <t>native-only</t>
        </is>
      </c>
      <c r="P163" s="308" t="inlineStr">
        <is>
          <t>native</t>
        </is>
      </c>
      <c r="Q163" s="308" t="inlineStr"/>
      <c r="R163" s="308" t="inlineStr">
        <is>
          <t>native text sufficient</t>
        </is>
      </c>
      <c r="S163" s="308" t="inlineStr"/>
      <c r="T163" s="308" t="inlineStr">
        <is>
          <t>p9:native:171</t>
        </is>
      </c>
      <c r="U163" s="308" t="n">
        <v>1</v>
      </c>
    </row>
    <row r="164">
      <c r="A164" s="308" t="inlineStr">
        <is>
          <t>Missing in Excel</t>
        </is>
      </c>
      <c r="B164" s="308" t="inlineStr">
        <is>
          <t>DG7010</t>
        </is>
      </c>
      <c r="C164" s="308" t="n">
        <v>9</v>
      </c>
      <c r="D164" s="308" t="inlineStr">
        <is>
          <t>PL01R</t>
        </is>
      </c>
      <c r="E164" s="308" t="inlineStr"/>
      <c r="F164" s="308" t="inlineStr">
        <is>
          <t>PL01R</t>
        </is>
      </c>
      <c r="G164" s="308" t="inlineStr">
        <is>
          <t>instrument</t>
        </is>
      </c>
      <c r="H164" s="311" t="n">
        <v>0.51</v>
      </c>
      <c r="I164" s="308" t="inlineStr">
        <is>
          <t>Low</t>
        </is>
      </c>
      <c r="J164" s="308" t="inlineStr">
        <is>
          <t>drawing</t>
        </is>
      </c>
      <c r="K164" s="308" t="inlineStr">
        <is>
          <t>standalone:isa</t>
        </is>
      </c>
      <c r="L164" s="308" t="inlineStr">
        <is>
          <t>drawing zone; process page; mapped sheet</t>
        </is>
      </c>
      <c r="M164" s="308" t="inlineStr">
        <is>
          <t>PL-01R</t>
        </is>
      </c>
      <c r="N164" s="308" t="inlineStr">
        <is>
          <t>native</t>
        </is>
      </c>
      <c r="O164" s="308" t="inlineStr">
        <is>
          <t>native-only</t>
        </is>
      </c>
      <c r="P164" s="308" t="inlineStr">
        <is>
          <t>native</t>
        </is>
      </c>
      <c r="Q164" s="308" t="inlineStr"/>
      <c r="R164" s="308" t="inlineStr">
        <is>
          <t>native text sufficient</t>
        </is>
      </c>
      <c r="S164" s="308" t="inlineStr"/>
      <c r="T164" s="308" t="inlineStr">
        <is>
          <t>p9:native:167</t>
        </is>
      </c>
      <c r="U164" s="308" t="n">
        <v>1</v>
      </c>
    </row>
    <row r="165">
      <c r="A165" s="308" t="inlineStr">
        <is>
          <t>Missing in Excel</t>
        </is>
      </c>
      <c r="B165" s="308" t="inlineStr">
        <is>
          <t>DG7010</t>
        </is>
      </c>
      <c r="C165" s="308" t="n">
        <v>9</v>
      </c>
      <c r="D165" s="308" t="inlineStr">
        <is>
          <t>PL01Y</t>
        </is>
      </c>
      <c r="E165" s="308" t="inlineStr"/>
      <c r="F165" s="308" t="inlineStr">
        <is>
          <t>PL01Y</t>
        </is>
      </c>
      <c r="G165" s="308" t="inlineStr">
        <is>
          <t>instrument</t>
        </is>
      </c>
      <c r="H165" s="311" t="n">
        <v>0.51</v>
      </c>
      <c r="I165" s="308" t="inlineStr">
        <is>
          <t>Low</t>
        </is>
      </c>
      <c r="J165" s="308" t="inlineStr">
        <is>
          <t>drawing</t>
        </is>
      </c>
      <c r="K165" s="308" t="inlineStr">
        <is>
          <t>standalone:isa</t>
        </is>
      </c>
      <c r="L165" s="308" t="inlineStr">
        <is>
          <t>drawing zone; process page; mapped sheet</t>
        </is>
      </c>
      <c r="M165" s="308" t="inlineStr">
        <is>
          <t>PL-01Y</t>
        </is>
      </c>
      <c r="N165" s="308" t="inlineStr">
        <is>
          <t>native</t>
        </is>
      </c>
      <c r="O165" s="308" t="inlineStr">
        <is>
          <t>native-only</t>
        </is>
      </c>
      <c r="P165" s="308" t="inlineStr">
        <is>
          <t>native</t>
        </is>
      </c>
      <c r="Q165" s="308" t="inlineStr"/>
      <c r="R165" s="308" t="inlineStr">
        <is>
          <t>native text sufficient</t>
        </is>
      </c>
      <c r="S165" s="308" t="inlineStr"/>
      <c r="T165" s="308" t="inlineStr">
        <is>
          <t>p9:native:169</t>
        </is>
      </c>
      <c r="U165" s="308" t="n">
        <v>1</v>
      </c>
    </row>
    <row r="166">
      <c r="A166" s="308" t="inlineStr">
        <is>
          <t>Missing in Excel</t>
        </is>
      </c>
      <c r="B166" s="308" t="inlineStr">
        <is>
          <t>DG7010</t>
        </is>
      </c>
      <c r="C166" s="308" t="n">
        <v>9</v>
      </c>
      <c r="D166" s="308" t="inlineStr">
        <is>
          <t>1"-CA-12A</t>
        </is>
      </c>
      <c r="E166" s="308" t="inlineStr">
        <is>
          <t>CA</t>
        </is>
      </c>
      <c r="F166" s="308" t="inlineStr">
        <is>
          <t>12A</t>
        </is>
      </c>
      <c r="G166" s="308" t="inlineStr">
        <is>
          <t>line</t>
        </is>
      </c>
      <c r="H166" s="311" t="n">
        <v>0.87</v>
      </c>
      <c r="I166" s="308" t="inlineStr">
        <is>
          <t>Medium</t>
        </is>
      </c>
      <c r="J166" s="308" t="inlineStr">
        <is>
          <t>drawing</t>
        </is>
      </c>
      <c r="K166" s="308" t="inlineStr">
        <is>
          <t>line:size-prefix</t>
        </is>
      </c>
      <c r="L166" s="308" t="inlineStr">
        <is>
          <t>drawing zone; process page; mapped sheet; repeated x5</t>
        </is>
      </c>
      <c r="M166" s="308" t="inlineStr">
        <is>
          <t>1"-CA-12A</t>
        </is>
      </c>
      <c r="N166" s="308" t="inlineStr">
        <is>
          <t>native</t>
        </is>
      </c>
      <c r="O166" s="308" t="inlineStr">
        <is>
          <t>native-only</t>
        </is>
      </c>
      <c r="P166" s="308" t="inlineStr">
        <is>
          <t>native</t>
        </is>
      </c>
      <c r="Q166" s="308" t="inlineStr"/>
      <c r="R166" s="308" t="inlineStr">
        <is>
          <t>native text sufficient</t>
        </is>
      </c>
      <c r="S166" s="308" t="inlineStr"/>
      <c r="T166" s="308" t="inlineStr">
        <is>
          <t>p9:native:91</t>
        </is>
      </c>
      <c r="U166" s="308" t="n">
        <v>1</v>
      </c>
    </row>
    <row r="167">
      <c r="A167" s="308" t="inlineStr">
        <is>
          <t>Missing in Excel</t>
        </is>
      </c>
      <c r="B167" s="308" t="inlineStr">
        <is>
          <t>DG7010</t>
        </is>
      </c>
      <c r="C167" s="308" t="n">
        <v>9</v>
      </c>
      <c r="D167" s="308" t="inlineStr">
        <is>
          <t>1"-CA-12A</t>
        </is>
      </c>
      <c r="E167" s="308" t="inlineStr">
        <is>
          <t>CA</t>
        </is>
      </c>
      <c r="F167" s="308" t="inlineStr">
        <is>
          <t>12A</t>
        </is>
      </c>
      <c r="G167" s="308" t="inlineStr">
        <is>
          <t>line</t>
        </is>
      </c>
      <c r="H167" s="311" t="n">
        <v>0.87</v>
      </c>
      <c r="I167" s="308" t="inlineStr">
        <is>
          <t>Medium</t>
        </is>
      </c>
      <c r="J167" s="308" t="inlineStr">
        <is>
          <t>drawing</t>
        </is>
      </c>
      <c r="K167" s="308" t="inlineStr">
        <is>
          <t>line:size-prefix</t>
        </is>
      </c>
      <c r="L167" s="308" t="inlineStr">
        <is>
          <t>drawing zone; process page; mapped sheet; repeated x5</t>
        </is>
      </c>
      <c r="M167" s="308" t="inlineStr">
        <is>
          <t>1"-CA-12A</t>
        </is>
      </c>
      <c r="N167" s="308" t="inlineStr">
        <is>
          <t>native</t>
        </is>
      </c>
      <c r="O167" s="308" t="inlineStr">
        <is>
          <t>native-only</t>
        </is>
      </c>
      <c r="P167" s="308" t="inlineStr">
        <is>
          <t>native</t>
        </is>
      </c>
      <c r="Q167" s="308" t="inlineStr"/>
      <c r="R167" s="308" t="inlineStr">
        <is>
          <t>native text sufficient</t>
        </is>
      </c>
      <c r="S167" s="308" t="inlineStr"/>
      <c r="T167" s="308" t="inlineStr">
        <is>
          <t>p9:native:273</t>
        </is>
      </c>
      <c r="U167" s="308" t="n">
        <v>1</v>
      </c>
    </row>
    <row r="168">
      <c r="A168" s="308" t="inlineStr">
        <is>
          <t>Missing in Excel</t>
        </is>
      </c>
      <c r="B168" s="308" t="inlineStr">
        <is>
          <t>DG7010</t>
        </is>
      </c>
      <c r="C168" s="308" t="n">
        <v>9</v>
      </c>
      <c r="D168" s="308" t="inlineStr">
        <is>
          <t>1"-CA-12A</t>
        </is>
      </c>
      <c r="E168" s="308" t="inlineStr">
        <is>
          <t>CA</t>
        </is>
      </c>
      <c r="F168" s="308" t="inlineStr">
        <is>
          <t>12A</t>
        </is>
      </c>
      <c r="G168" s="308" t="inlineStr">
        <is>
          <t>line</t>
        </is>
      </c>
      <c r="H168" s="311" t="n">
        <v>0.87</v>
      </c>
      <c r="I168" s="308" t="inlineStr">
        <is>
          <t>Medium</t>
        </is>
      </c>
      <c r="J168" s="308" t="inlineStr">
        <is>
          <t>drawing</t>
        </is>
      </c>
      <c r="K168" s="308" t="inlineStr">
        <is>
          <t>line:size-prefix</t>
        </is>
      </c>
      <c r="L168" s="308" t="inlineStr">
        <is>
          <t>drawing zone; process page; mapped sheet; repeated x5</t>
        </is>
      </c>
      <c r="M168" s="308" t="inlineStr">
        <is>
          <t>1"-CA-12A</t>
        </is>
      </c>
      <c r="N168" s="308" t="inlineStr">
        <is>
          <t>native</t>
        </is>
      </c>
      <c r="O168" s="308" t="inlineStr">
        <is>
          <t>native-only</t>
        </is>
      </c>
      <c r="P168" s="308" t="inlineStr">
        <is>
          <t>native</t>
        </is>
      </c>
      <c r="Q168" s="308" t="inlineStr"/>
      <c r="R168" s="308" t="inlineStr">
        <is>
          <t>native text sufficient</t>
        </is>
      </c>
      <c r="S168" s="308" t="inlineStr"/>
      <c r="T168" s="308" t="inlineStr">
        <is>
          <t>p9:native:292</t>
        </is>
      </c>
      <c r="U168" s="308" t="n">
        <v>1</v>
      </c>
    </row>
    <row r="169">
      <c r="A169" s="308" t="inlineStr">
        <is>
          <t>Missing in Excel</t>
        </is>
      </c>
      <c r="B169" s="308" t="inlineStr">
        <is>
          <t>DG7010</t>
        </is>
      </c>
      <c r="C169" s="308" t="n">
        <v>9</v>
      </c>
      <c r="D169" s="308" t="inlineStr">
        <is>
          <t>1"-CA-12A</t>
        </is>
      </c>
      <c r="E169" s="308" t="inlineStr">
        <is>
          <t>CA</t>
        </is>
      </c>
      <c r="F169" s="308" t="inlineStr">
        <is>
          <t>12A</t>
        </is>
      </c>
      <c r="G169" s="308" t="inlineStr">
        <is>
          <t>line</t>
        </is>
      </c>
      <c r="H169" s="311" t="n">
        <v>0.87</v>
      </c>
      <c r="I169" s="308" t="inlineStr">
        <is>
          <t>Medium</t>
        </is>
      </c>
      <c r="J169" s="308" t="inlineStr">
        <is>
          <t>drawing</t>
        </is>
      </c>
      <c r="K169" s="308" t="inlineStr">
        <is>
          <t>line:size-prefix</t>
        </is>
      </c>
      <c r="L169" s="308" t="inlineStr">
        <is>
          <t>drawing zone; process page; mapped sheet; repeated x5</t>
        </is>
      </c>
      <c r="M169" s="308" t="inlineStr">
        <is>
          <t>1"-CA-12A</t>
        </is>
      </c>
      <c r="N169" s="308" t="inlineStr">
        <is>
          <t>native</t>
        </is>
      </c>
      <c r="O169" s="308" t="inlineStr">
        <is>
          <t>native-only</t>
        </is>
      </c>
      <c r="P169" s="308" t="inlineStr">
        <is>
          <t>native</t>
        </is>
      </c>
      <c r="Q169" s="308" t="inlineStr"/>
      <c r="R169" s="308" t="inlineStr">
        <is>
          <t>native text sufficient</t>
        </is>
      </c>
      <c r="S169" s="308" t="inlineStr"/>
      <c r="T169" s="308" t="inlineStr">
        <is>
          <t>p9:native:293</t>
        </is>
      </c>
      <c r="U169" s="308" t="n">
        <v>1</v>
      </c>
    </row>
    <row r="170">
      <c r="A170" s="308" t="inlineStr">
        <is>
          <t>Missing in Excel</t>
        </is>
      </c>
      <c r="B170" s="308" t="inlineStr">
        <is>
          <t>DG7010</t>
        </is>
      </c>
      <c r="C170" s="308" t="n">
        <v>9</v>
      </c>
      <c r="D170" s="308" t="inlineStr">
        <is>
          <t>1"-CA-12A</t>
        </is>
      </c>
      <c r="E170" s="308" t="inlineStr">
        <is>
          <t>CA</t>
        </is>
      </c>
      <c r="F170" s="308" t="inlineStr">
        <is>
          <t>12A</t>
        </is>
      </c>
      <c r="G170" s="308" t="inlineStr">
        <is>
          <t>line</t>
        </is>
      </c>
      <c r="H170" s="311" t="n">
        <v>0.87</v>
      </c>
      <c r="I170" s="308" t="inlineStr">
        <is>
          <t>Medium</t>
        </is>
      </c>
      <c r="J170" s="308" t="inlineStr">
        <is>
          <t>drawing</t>
        </is>
      </c>
      <c r="K170" s="308" t="inlineStr">
        <is>
          <t>line:size-prefix</t>
        </is>
      </c>
      <c r="L170" s="308" t="inlineStr">
        <is>
          <t>drawing zone; process page; mapped sheet; repeated x5</t>
        </is>
      </c>
      <c r="M170" s="308" t="inlineStr">
        <is>
          <t>1 1"-CA-12A</t>
        </is>
      </c>
      <c r="N170" s="308" t="inlineStr">
        <is>
          <t>native</t>
        </is>
      </c>
      <c r="O170" s="308" t="inlineStr">
        <is>
          <t>native-only</t>
        </is>
      </c>
      <c r="P170" s="308" t="inlineStr">
        <is>
          <t>native</t>
        </is>
      </c>
      <c r="Q170" s="308" t="inlineStr"/>
      <c r="R170" s="308" t="inlineStr">
        <is>
          <t>native text sufficient</t>
        </is>
      </c>
      <c r="S170" s="308" t="inlineStr"/>
      <c r="T170" s="308" t="inlineStr">
        <is>
          <t>p9:native:375, p9:native:293</t>
        </is>
      </c>
      <c r="U170" s="308" t="n">
        <v>2</v>
      </c>
    </row>
    <row r="171">
      <c r="A171" s="308" t="inlineStr">
        <is>
          <t>Missing in Excel</t>
        </is>
      </c>
      <c r="B171" s="308" t="inlineStr">
        <is>
          <t>DG7010</t>
        </is>
      </c>
      <c r="C171" s="308" t="n">
        <v>9</v>
      </c>
      <c r="D171" s="308" t="inlineStr">
        <is>
          <t>3"-GUM-T4</t>
        </is>
      </c>
      <c r="E171" s="308" t="inlineStr">
        <is>
          <t>GUM</t>
        </is>
      </c>
      <c r="F171" s="308" t="inlineStr">
        <is>
          <t>T4</t>
        </is>
      </c>
      <c r="G171" s="308" t="inlineStr">
        <is>
          <t>line</t>
        </is>
      </c>
      <c r="H171" s="311" t="n">
        <v>0.82</v>
      </c>
      <c r="I171" s="308" t="inlineStr">
        <is>
          <t>Medium</t>
        </is>
      </c>
      <c r="J171" s="308" t="inlineStr">
        <is>
          <t>drawing</t>
        </is>
      </c>
      <c r="K171" s="308" t="inlineStr">
        <is>
          <t>line:size-prefix</t>
        </is>
      </c>
      <c r="L171" s="308" t="inlineStr">
        <is>
          <t>drawing zone; process page; mapped sheet; repeated x2</t>
        </is>
      </c>
      <c r="M171" s="308" t="inlineStr">
        <is>
          <t>3"-GUM-T4</t>
        </is>
      </c>
      <c r="N171" s="308" t="inlineStr">
        <is>
          <t>native</t>
        </is>
      </c>
      <c r="O171" s="308" t="inlineStr">
        <is>
          <t>native-only</t>
        </is>
      </c>
      <c r="P171" s="308" t="inlineStr">
        <is>
          <t>native</t>
        </is>
      </c>
      <c r="Q171" s="308" t="inlineStr"/>
      <c r="R171" s="308" t="inlineStr">
        <is>
          <t>native text sufficient</t>
        </is>
      </c>
      <c r="S171" s="308" t="inlineStr"/>
      <c r="T171" s="308" t="inlineStr">
        <is>
          <t>p9:native:146</t>
        </is>
      </c>
      <c r="U171" s="308" t="n">
        <v>1</v>
      </c>
    </row>
    <row r="172">
      <c r="A172" s="308" t="inlineStr">
        <is>
          <t>Missing in Excel</t>
        </is>
      </c>
      <c r="B172" s="308" t="inlineStr">
        <is>
          <t>DG7010</t>
        </is>
      </c>
      <c r="C172" s="308" t="n">
        <v>9</v>
      </c>
      <c r="D172" s="308" t="inlineStr">
        <is>
          <t>3"-GUM-T4</t>
        </is>
      </c>
      <c r="E172" s="308" t="inlineStr">
        <is>
          <t>GUM</t>
        </is>
      </c>
      <c r="F172" s="308" t="inlineStr">
        <is>
          <t>T4</t>
        </is>
      </c>
      <c r="G172" s="308" t="inlineStr">
        <is>
          <t>line</t>
        </is>
      </c>
      <c r="H172" s="311" t="n">
        <v>0.82</v>
      </c>
      <c r="I172" s="308" t="inlineStr">
        <is>
          <t>Medium</t>
        </is>
      </c>
      <c r="J172" s="308" t="inlineStr">
        <is>
          <t>drawing</t>
        </is>
      </c>
      <c r="K172" s="308" t="inlineStr">
        <is>
          <t>line:size-prefix</t>
        </is>
      </c>
      <c r="L172" s="308" t="inlineStr">
        <is>
          <t>drawing zone; process page; mapped sheet; repeated x2</t>
        </is>
      </c>
      <c r="M172" s="308" t="inlineStr">
        <is>
          <t>3"-GUM-T4</t>
        </is>
      </c>
      <c r="N172" s="308" t="inlineStr">
        <is>
          <t>native</t>
        </is>
      </c>
      <c r="O172" s="308" t="inlineStr">
        <is>
          <t>native-only</t>
        </is>
      </c>
      <c r="P172" s="308" t="inlineStr">
        <is>
          <t>native</t>
        </is>
      </c>
      <c r="Q172" s="308" t="inlineStr"/>
      <c r="R172" s="308" t="inlineStr">
        <is>
          <t>native text sufficient</t>
        </is>
      </c>
      <c r="S172" s="308" t="inlineStr"/>
      <c r="T172" s="308" t="inlineStr">
        <is>
          <t>p9:native:149</t>
        </is>
      </c>
      <c r="U172" s="308" t="n">
        <v>1</v>
      </c>
    </row>
    <row r="173">
      <c r="A173" s="308" t="inlineStr">
        <is>
          <t>Missing in Excel</t>
        </is>
      </c>
      <c r="B173" s="308" t="inlineStr">
        <is>
          <t>DG7010</t>
        </is>
      </c>
      <c r="C173" s="308" t="n">
        <v>9</v>
      </c>
      <c r="D173" s="308" t="inlineStr">
        <is>
          <t>1"-PCW-12A</t>
        </is>
      </c>
      <c r="E173" s="308" t="inlineStr">
        <is>
          <t>PCW</t>
        </is>
      </c>
      <c r="F173" s="308" t="inlineStr">
        <is>
          <t>12A</t>
        </is>
      </c>
      <c r="G173" s="308" t="inlineStr">
        <is>
          <t>line</t>
        </is>
      </c>
      <c r="H173" s="311" t="n">
        <v>0.77</v>
      </c>
      <c r="I173" s="308" t="inlineStr">
        <is>
          <t>Medium</t>
        </is>
      </c>
      <c r="J173" s="308" t="inlineStr">
        <is>
          <t>drawing</t>
        </is>
      </c>
      <c r="K173" s="308" t="inlineStr">
        <is>
          <t>line:size-prefix</t>
        </is>
      </c>
      <c r="L173" s="308" t="inlineStr">
        <is>
          <t>drawing zone; process page; mapped sheet</t>
        </is>
      </c>
      <c r="M173" s="308" t="inlineStr">
        <is>
          <t>1"-PCW-12A</t>
        </is>
      </c>
      <c r="N173" s="308" t="inlineStr">
        <is>
          <t>native</t>
        </is>
      </c>
      <c r="O173" s="308" t="inlineStr">
        <is>
          <t>native-only</t>
        </is>
      </c>
      <c r="P173" s="308" t="inlineStr">
        <is>
          <t>native</t>
        </is>
      </c>
      <c r="Q173" s="308" t="inlineStr"/>
      <c r="R173" s="308" t="inlineStr">
        <is>
          <t>native text sufficient</t>
        </is>
      </c>
      <c r="S173" s="308" t="inlineStr"/>
      <c r="T173" s="308" t="inlineStr">
        <is>
          <t>p9:native:122</t>
        </is>
      </c>
      <c r="U173" s="308" t="n">
        <v>1</v>
      </c>
    </row>
    <row r="174">
      <c r="A174" s="308" t="inlineStr">
        <is>
          <t>Missing in Excel</t>
        </is>
      </c>
      <c r="B174" s="308" t="inlineStr">
        <is>
          <t>DG7010</t>
        </is>
      </c>
      <c r="C174" s="308" t="n">
        <v>9</v>
      </c>
      <c r="D174" s="308" t="inlineStr">
        <is>
          <t>1/4"-PCW-FLEX</t>
        </is>
      </c>
      <c r="E174" s="308" t="inlineStr">
        <is>
          <t>PCW</t>
        </is>
      </c>
      <c r="F174" s="308" t="inlineStr">
        <is>
          <t>FLEX</t>
        </is>
      </c>
      <c r="G174" s="308" t="inlineStr">
        <is>
          <t>line</t>
        </is>
      </c>
      <c r="H174" s="311" t="n">
        <v>0.77</v>
      </c>
      <c r="I174" s="308" t="inlineStr">
        <is>
          <t>Medium</t>
        </is>
      </c>
      <c r="J174" s="308" t="inlineStr">
        <is>
          <t>drawing</t>
        </is>
      </c>
      <c r="K174" s="308" t="inlineStr">
        <is>
          <t>line:size-prefix</t>
        </is>
      </c>
      <c r="L174" s="308" t="inlineStr">
        <is>
          <t>drawing zone; process page; mapped sheet</t>
        </is>
      </c>
      <c r="M174" s="308" t="inlineStr">
        <is>
          <t>1/4"-PCW-FLEX TUBING</t>
        </is>
      </c>
      <c r="N174" s="308" t="inlineStr">
        <is>
          <t>native</t>
        </is>
      </c>
      <c r="O174" s="308" t="inlineStr">
        <is>
          <t>native-only</t>
        </is>
      </c>
      <c r="P174" s="308" t="inlineStr">
        <is>
          <t>native</t>
        </is>
      </c>
      <c r="Q174" s="308" t="inlineStr"/>
      <c r="R174" s="308" t="inlineStr">
        <is>
          <t>native text sufficient</t>
        </is>
      </c>
      <c r="S174" s="308" t="inlineStr"/>
      <c r="T174" s="308" t="inlineStr">
        <is>
          <t>p9:native:123</t>
        </is>
      </c>
      <c r="U174" s="308" t="n">
        <v>1</v>
      </c>
    </row>
    <row r="175">
      <c r="A175" s="308" t="inlineStr">
        <is>
          <t>Missing in Excel</t>
        </is>
      </c>
      <c r="B175" s="308" t="inlineStr">
        <is>
          <t>DG7010</t>
        </is>
      </c>
      <c r="C175" s="308" t="n">
        <v>9</v>
      </c>
      <c r="D175" s="308" t="inlineStr">
        <is>
          <t>2"-CIPS-T4</t>
        </is>
      </c>
      <c r="E175" s="308" t="inlineStr">
        <is>
          <t>CIPS</t>
        </is>
      </c>
      <c r="F175" s="308" t="inlineStr">
        <is>
          <t>T4</t>
        </is>
      </c>
      <c r="G175" s="308" t="inlineStr">
        <is>
          <t>line</t>
        </is>
      </c>
      <c r="H175" s="311" t="n">
        <v>0.77</v>
      </c>
      <c r="I175" s="308" t="inlineStr">
        <is>
          <t>Medium</t>
        </is>
      </c>
      <c r="J175" s="308" t="inlineStr">
        <is>
          <t>drawing</t>
        </is>
      </c>
      <c r="K175" s="308" t="inlineStr">
        <is>
          <t>line:size-prefix</t>
        </is>
      </c>
      <c r="L175" s="308" t="inlineStr">
        <is>
          <t>drawing zone; process page; mapped sheet</t>
        </is>
      </c>
      <c r="M175" s="308" t="inlineStr">
        <is>
          <t>2"-CIPS-T4</t>
        </is>
      </c>
      <c r="N175" s="308" t="inlineStr">
        <is>
          <t>native</t>
        </is>
      </c>
      <c r="O175" s="308" t="inlineStr">
        <is>
          <t>native-only</t>
        </is>
      </c>
      <c r="P175" s="308" t="inlineStr">
        <is>
          <t>native</t>
        </is>
      </c>
      <c r="Q175" s="308" t="inlineStr"/>
      <c r="R175" s="308" t="inlineStr">
        <is>
          <t>native text sufficient</t>
        </is>
      </c>
      <c r="S175" s="308" t="inlineStr"/>
      <c r="T175" s="308" t="inlineStr">
        <is>
          <t>p9:native:317</t>
        </is>
      </c>
      <c r="U175" s="308" t="n">
        <v>1</v>
      </c>
    </row>
    <row r="176">
      <c r="A176" s="308" t="inlineStr">
        <is>
          <t>Missing in Excel</t>
        </is>
      </c>
      <c r="B176" s="308" t="inlineStr">
        <is>
          <t>DG7010</t>
        </is>
      </c>
      <c r="C176" s="308" t="n">
        <v>9</v>
      </c>
      <c r="D176" s="308" t="inlineStr">
        <is>
          <t>2"-PCW-12A</t>
        </is>
      </c>
      <c r="E176" s="308" t="inlineStr">
        <is>
          <t>PCW</t>
        </is>
      </c>
      <c r="F176" s="308" t="inlineStr">
        <is>
          <t>12A</t>
        </is>
      </c>
      <c r="G176" s="308" t="inlineStr">
        <is>
          <t>line</t>
        </is>
      </c>
      <c r="H176" s="311" t="n">
        <v>0.77</v>
      </c>
      <c r="I176" s="308" t="inlineStr">
        <is>
          <t>Medium</t>
        </is>
      </c>
      <c r="J176" s="308" t="inlineStr">
        <is>
          <t>drawing</t>
        </is>
      </c>
      <c r="K176" s="308" t="inlineStr">
        <is>
          <t>line:size-prefix</t>
        </is>
      </c>
      <c r="L176" s="308" t="inlineStr">
        <is>
          <t>drawing zone; process page; mapped sheet</t>
        </is>
      </c>
      <c r="M176" s="308" t="inlineStr">
        <is>
          <t>2"-PCW-12A</t>
        </is>
      </c>
      <c r="N176" s="308" t="inlineStr">
        <is>
          <t>native</t>
        </is>
      </c>
      <c r="O176" s="308" t="inlineStr">
        <is>
          <t>native-only</t>
        </is>
      </c>
      <c r="P176" s="308" t="inlineStr">
        <is>
          <t>native</t>
        </is>
      </c>
      <c r="Q176" s="308" t="inlineStr"/>
      <c r="R176" s="308" t="inlineStr">
        <is>
          <t>native text sufficient</t>
        </is>
      </c>
      <c r="S176" s="308" t="inlineStr"/>
      <c r="T176" s="308" t="inlineStr">
        <is>
          <t>p9:native:92</t>
        </is>
      </c>
      <c r="U176" s="308" t="n">
        <v>1</v>
      </c>
    </row>
    <row r="177">
      <c r="A177" s="308" t="inlineStr">
        <is>
          <t>Missing in Excel</t>
        </is>
      </c>
      <c r="B177" s="308" t="inlineStr">
        <is>
          <t>DG7010</t>
        </is>
      </c>
      <c r="C177" s="308" t="n">
        <v>9</v>
      </c>
      <c r="D177" s="308" t="inlineStr">
        <is>
          <t>RL7-CIP-101</t>
        </is>
      </c>
      <c r="E177" s="308" t="inlineStr">
        <is>
          <t>RL7-CIP-101</t>
        </is>
      </c>
      <c r="F177" s="308" t="inlineStr"/>
      <c r="G177" s="308" t="inlineStr">
        <is>
          <t>equipment</t>
        </is>
      </c>
      <c r="H177" s="311" t="n">
        <v>0.49</v>
      </c>
      <c r="I177" s="308" t="inlineStr">
        <is>
          <t>Low</t>
        </is>
      </c>
      <c r="J177" s="308" t="inlineStr">
        <is>
          <t>title-block/right</t>
        </is>
      </c>
      <c r="K177" s="308" t="inlineStr">
        <is>
          <t>standalone:asset</t>
        </is>
      </c>
      <c r="L177" s="308" t="inlineStr">
        <is>
          <t>title-block penalty; process page; mapped sheet</t>
        </is>
      </c>
      <c r="M177" s="308" t="inlineStr">
        <is>
          <t>RL7-CIP-101</t>
        </is>
      </c>
      <c r="N177" s="308" t="inlineStr">
        <is>
          <t>native</t>
        </is>
      </c>
      <c r="O177" s="308" t="inlineStr">
        <is>
          <t>native-only</t>
        </is>
      </c>
      <c r="P177" s="308" t="inlineStr">
        <is>
          <t>native</t>
        </is>
      </c>
      <c r="Q177" s="308" t="inlineStr"/>
      <c r="R177" s="308" t="inlineStr">
        <is>
          <t>native text sufficient</t>
        </is>
      </c>
      <c r="S177" s="308" t="inlineStr"/>
      <c r="T177" s="308" t="inlineStr">
        <is>
          <t>p9:native:320</t>
        </is>
      </c>
      <c r="U177" s="308" t="n">
        <v>1</v>
      </c>
    </row>
    <row r="178">
      <c r="A178" s="308" t="inlineStr">
        <is>
          <t>Missing in Excel</t>
        </is>
      </c>
      <c r="B178" s="308" t="inlineStr">
        <is>
          <t>DG7011</t>
        </is>
      </c>
      <c r="C178" s="308" t="n">
        <v>10</v>
      </c>
      <c r="D178" s="308" t="inlineStr">
        <is>
          <t>RL7-AGC-101</t>
        </is>
      </c>
      <c r="E178" s="308" t="inlineStr">
        <is>
          <t>RL7-AGC-101</t>
        </is>
      </c>
      <c r="F178" s="308" t="inlineStr"/>
      <c r="G178" s="308" t="inlineStr">
        <is>
          <t>equipment</t>
        </is>
      </c>
      <c r="H178" s="311" t="n">
        <v>0.77</v>
      </c>
      <c r="I178" s="308" t="inlineStr">
        <is>
          <t>Medium</t>
        </is>
      </c>
      <c r="J178" s="308" t="inlineStr">
        <is>
          <t>drawing</t>
        </is>
      </c>
      <c r="K178" s="308" t="inlineStr">
        <is>
          <t>standalone:asset</t>
        </is>
      </c>
      <c r="L178" s="308" t="inlineStr">
        <is>
          <t>drawing zone; process page; mapped sheet</t>
        </is>
      </c>
      <c r="M178" s="308" t="inlineStr">
        <is>
          <t>RL7-AGC-101</t>
        </is>
      </c>
      <c r="N178" s="308" t="inlineStr">
        <is>
          <t>native</t>
        </is>
      </c>
      <c r="O178" s="308" t="inlineStr">
        <is>
          <t>native-only</t>
        </is>
      </c>
      <c r="P178" s="308" t="inlineStr">
        <is>
          <t>native</t>
        </is>
      </c>
      <c r="Q178" s="308" t="inlineStr"/>
      <c r="R178" s="308" t="inlineStr">
        <is>
          <t>native text sufficient</t>
        </is>
      </c>
      <c r="S178" s="308" t="inlineStr"/>
      <c r="T178" s="308" t="inlineStr">
        <is>
          <t>p10:native:49</t>
        </is>
      </c>
      <c r="U178" s="308" t="n">
        <v>1</v>
      </c>
    </row>
    <row r="179">
      <c r="A179" s="308" t="inlineStr">
        <is>
          <t>Missing in Excel</t>
        </is>
      </c>
      <c r="B179" s="308" t="inlineStr">
        <is>
          <t>DG7011</t>
        </is>
      </c>
      <c r="C179" s="308" t="n">
        <v>10</v>
      </c>
      <c r="D179" s="308" t="inlineStr">
        <is>
          <t>RL7-AGC-102</t>
        </is>
      </c>
      <c r="E179" s="308" t="inlineStr">
        <is>
          <t>RL7-AGC-102</t>
        </is>
      </c>
      <c r="F179" s="308" t="inlineStr"/>
      <c r="G179" s="308" t="inlineStr">
        <is>
          <t>equipment</t>
        </is>
      </c>
      <c r="H179" s="311" t="n">
        <v>0.77</v>
      </c>
      <c r="I179" s="308" t="inlineStr">
        <is>
          <t>Medium</t>
        </is>
      </c>
      <c r="J179" s="308" t="inlineStr">
        <is>
          <t>drawing</t>
        </is>
      </c>
      <c r="K179" s="308" t="inlineStr">
        <is>
          <t>standalone:asset</t>
        </is>
      </c>
      <c r="L179" s="308" t="inlineStr">
        <is>
          <t>drawing zone; process page; mapped sheet</t>
        </is>
      </c>
      <c r="M179" s="308" t="inlineStr">
        <is>
          <t>RL7-AGC-102</t>
        </is>
      </c>
      <c r="N179" s="308" t="inlineStr">
        <is>
          <t>native</t>
        </is>
      </c>
      <c r="O179" s="308" t="inlineStr">
        <is>
          <t>native-only</t>
        </is>
      </c>
      <c r="P179" s="308" t="inlineStr">
        <is>
          <t>native</t>
        </is>
      </c>
      <c r="Q179" s="308" t="inlineStr"/>
      <c r="R179" s="308" t="inlineStr">
        <is>
          <t>native text sufficient</t>
        </is>
      </c>
      <c r="S179" s="308" t="inlineStr"/>
      <c r="T179" s="308" t="inlineStr">
        <is>
          <t>p10:native:21</t>
        </is>
      </c>
      <c r="U179" s="308" t="n">
        <v>1</v>
      </c>
    </row>
    <row r="180">
      <c r="A180" s="308" t="inlineStr">
        <is>
          <t>Missing in Excel</t>
        </is>
      </c>
      <c r="B180" s="308" t="inlineStr">
        <is>
          <t>DG7011</t>
        </is>
      </c>
      <c r="C180" s="308" t="n">
        <v>10</v>
      </c>
      <c r="D180" s="308" t="inlineStr">
        <is>
          <t>RL7-MLT-104</t>
        </is>
      </c>
      <c r="E180" s="308" t="inlineStr">
        <is>
          <t>RL7-MLT-104</t>
        </is>
      </c>
      <c r="F180" s="308" t="inlineStr"/>
      <c r="G180" s="308" t="inlineStr">
        <is>
          <t>equipment</t>
        </is>
      </c>
      <c r="H180" s="311" t="n">
        <v>0.77</v>
      </c>
      <c r="I180" s="308" t="inlineStr">
        <is>
          <t>Medium</t>
        </is>
      </c>
      <c r="J180" s="308" t="inlineStr">
        <is>
          <t>drawing</t>
        </is>
      </c>
      <c r="K180" s="308" t="inlineStr">
        <is>
          <t>standalone:asset</t>
        </is>
      </c>
      <c r="L180" s="308" t="inlineStr">
        <is>
          <t>drawing zone; process page; mapped sheet</t>
        </is>
      </c>
      <c r="M180" s="308" t="inlineStr">
        <is>
          <t>RL7-MLT-104</t>
        </is>
      </c>
      <c r="N180" s="308" t="inlineStr">
        <is>
          <t>native</t>
        </is>
      </c>
      <c r="O180" s="308" t="inlineStr">
        <is>
          <t>native-only</t>
        </is>
      </c>
      <c r="P180" s="308" t="inlineStr">
        <is>
          <t>native</t>
        </is>
      </c>
      <c r="Q180" s="308" t="inlineStr"/>
      <c r="R180" s="308" t="inlineStr">
        <is>
          <t>native text sufficient</t>
        </is>
      </c>
      <c r="S180" s="308" t="inlineStr"/>
      <c r="T180" s="308" t="inlineStr">
        <is>
          <t>p10:native:152</t>
        </is>
      </c>
      <c r="U180" s="308" t="n">
        <v>1</v>
      </c>
    </row>
    <row r="181">
      <c r="A181" s="308" t="inlineStr">
        <is>
          <t>Missing in Excel</t>
        </is>
      </c>
      <c r="B181" s="308" t="inlineStr">
        <is>
          <t>DG7011</t>
        </is>
      </c>
      <c r="C181" s="308" t="n">
        <v>10</v>
      </c>
      <c r="D181" s="308" t="inlineStr">
        <is>
          <t>RL7-MLT-105</t>
        </is>
      </c>
      <c r="E181" s="308" t="inlineStr">
        <is>
          <t>RL7-MLT-105</t>
        </is>
      </c>
      <c r="F181" s="308" t="inlineStr"/>
      <c r="G181" s="308" t="inlineStr">
        <is>
          <t>equipment</t>
        </is>
      </c>
      <c r="H181" s="311" t="n">
        <v>0.77</v>
      </c>
      <c r="I181" s="308" t="inlineStr">
        <is>
          <t>Medium</t>
        </is>
      </c>
      <c r="J181" s="308" t="inlineStr">
        <is>
          <t>drawing</t>
        </is>
      </c>
      <c r="K181" s="308" t="inlineStr">
        <is>
          <t>standalone:asset</t>
        </is>
      </c>
      <c r="L181" s="308" t="inlineStr">
        <is>
          <t>drawing zone; process page; mapped sheet</t>
        </is>
      </c>
      <c r="M181" s="308" t="inlineStr">
        <is>
          <t>RL7-MLT-105</t>
        </is>
      </c>
      <c r="N181" s="308" t="inlineStr">
        <is>
          <t>native</t>
        </is>
      </c>
      <c r="O181" s="308" t="inlineStr">
        <is>
          <t>native-only</t>
        </is>
      </c>
      <c r="P181" s="308" t="inlineStr">
        <is>
          <t>native</t>
        </is>
      </c>
      <c r="Q181" s="308" t="inlineStr"/>
      <c r="R181" s="308" t="inlineStr">
        <is>
          <t>native text sufficient</t>
        </is>
      </c>
      <c r="S181" s="308" t="inlineStr"/>
      <c r="T181" s="308" t="inlineStr">
        <is>
          <t>p10:native:126</t>
        </is>
      </c>
      <c r="U181" s="308" t="n">
        <v>1</v>
      </c>
    </row>
    <row r="182">
      <c r="A182" s="308" t="inlineStr">
        <is>
          <t>Missing in Excel</t>
        </is>
      </c>
      <c r="B182" s="308" t="inlineStr">
        <is>
          <t>DG7011</t>
        </is>
      </c>
      <c r="C182" s="308" t="n">
        <v>10</v>
      </c>
      <c r="D182" s="308" t="inlineStr">
        <is>
          <t>RL7-AGC-101-WE01</t>
        </is>
      </c>
      <c r="E182" s="308" t="inlineStr">
        <is>
          <t>RL7-AGC-101</t>
        </is>
      </c>
      <c r="F182" s="308" t="inlineStr">
        <is>
          <t>WE01</t>
        </is>
      </c>
      <c r="G182" s="308" t="inlineStr">
        <is>
          <t>instrument</t>
        </is>
      </c>
      <c r="H182" s="311" t="n">
        <v>0.99</v>
      </c>
      <c r="I182" s="308" t="inlineStr">
        <is>
          <t>High</t>
        </is>
      </c>
      <c r="J182" s="308" t="inlineStr">
        <is>
          <t>drawing</t>
        </is>
      </c>
      <c r="K182" s="308" t="inlineStr">
        <is>
          <t>stacked:isa</t>
        </is>
      </c>
      <c r="L182" s="308" t="inlineStr">
        <is>
          <t>drawing zone; process page; mapped sheet</t>
        </is>
      </c>
      <c r="M182" s="308" t="inlineStr">
        <is>
          <t>RL7-AGC-101 / WE-01</t>
        </is>
      </c>
      <c r="N182" s="308" t="inlineStr">
        <is>
          <t>native</t>
        </is>
      </c>
      <c r="O182" s="308" t="inlineStr">
        <is>
          <t>native-only</t>
        </is>
      </c>
      <c r="P182" s="308" t="inlineStr">
        <is>
          <t>native</t>
        </is>
      </c>
      <c r="Q182" s="308" t="inlineStr"/>
      <c r="R182" s="308" t="inlineStr">
        <is>
          <t>native text sufficient</t>
        </is>
      </c>
      <c r="S182" s="308" t="inlineStr"/>
      <c r="T182" s="308" t="inlineStr">
        <is>
          <t>p10:native:49, p10:native:50</t>
        </is>
      </c>
      <c r="U182" s="308" t="n">
        <v>2</v>
      </c>
    </row>
    <row r="183">
      <c r="A183" s="308" t="inlineStr">
        <is>
          <t>Missing in Excel</t>
        </is>
      </c>
      <c r="B183" s="308" t="inlineStr">
        <is>
          <t>DG7011</t>
        </is>
      </c>
      <c r="C183" s="308" t="n">
        <v>10</v>
      </c>
      <c r="D183" s="308" t="inlineStr">
        <is>
          <t>RL7-AGC-101-WIT01</t>
        </is>
      </c>
      <c r="E183" s="308" t="inlineStr">
        <is>
          <t>RL7-AGC-101</t>
        </is>
      </c>
      <c r="F183" s="308" t="inlineStr">
        <is>
          <t>WIT01</t>
        </is>
      </c>
      <c r="G183" s="308" t="inlineStr">
        <is>
          <t>instrument</t>
        </is>
      </c>
      <c r="H183" s="311" t="n">
        <v>0.99</v>
      </c>
      <c r="I183" s="308" t="inlineStr">
        <is>
          <t>High</t>
        </is>
      </c>
      <c r="J183" s="308" t="inlineStr">
        <is>
          <t>drawing</t>
        </is>
      </c>
      <c r="K183" s="308" t="inlineStr">
        <is>
          <t>stacked:isa</t>
        </is>
      </c>
      <c r="L183" s="308" t="inlineStr">
        <is>
          <t>drawing zone; process page; mapped sheet</t>
        </is>
      </c>
      <c r="M183" s="308" t="inlineStr">
        <is>
          <t>RL7-AGC-101 / WIT-01</t>
        </is>
      </c>
      <c r="N183" s="308" t="inlineStr">
        <is>
          <t>native</t>
        </is>
      </c>
      <c r="O183" s="308" t="inlineStr">
        <is>
          <t>native-only</t>
        </is>
      </c>
      <c r="P183" s="308" t="inlineStr">
        <is>
          <t>native</t>
        </is>
      </c>
      <c r="Q183" s="308" t="inlineStr"/>
      <c r="R183" s="308" t="inlineStr">
        <is>
          <t>native text sufficient</t>
        </is>
      </c>
      <c r="S183" s="308" t="inlineStr"/>
      <c r="T183" s="308" t="inlineStr">
        <is>
          <t>p10:native:51, p10:native:52</t>
        </is>
      </c>
      <c r="U183" s="308" t="n">
        <v>2</v>
      </c>
    </row>
    <row r="184">
      <c r="A184" s="308" t="inlineStr">
        <is>
          <t>Missing in Excel</t>
        </is>
      </c>
      <c r="B184" s="308" t="inlineStr">
        <is>
          <t>DG7011</t>
        </is>
      </c>
      <c r="C184" s="308" t="n">
        <v>10</v>
      </c>
      <c r="D184" s="308" t="inlineStr">
        <is>
          <t>RL7-AGC-101-WQ01</t>
        </is>
      </c>
      <c r="E184" s="308" t="inlineStr">
        <is>
          <t>RL7-AGC-101</t>
        </is>
      </c>
      <c r="F184" s="308" t="inlineStr">
        <is>
          <t>WQ01</t>
        </is>
      </c>
      <c r="G184" s="308" t="inlineStr">
        <is>
          <t>instrument</t>
        </is>
      </c>
      <c r="H184" s="311" t="n">
        <v>0.99</v>
      </c>
      <c r="I184" s="308" t="inlineStr">
        <is>
          <t>High</t>
        </is>
      </c>
      <c r="J184" s="308" t="inlineStr">
        <is>
          <t>drawing</t>
        </is>
      </c>
      <c r="K184" s="308" t="inlineStr">
        <is>
          <t>stacked:isa</t>
        </is>
      </c>
      <c r="L184" s="308" t="inlineStr">
        <is>
          <t>drawing zone; process page; mapped sheet</t>
        </is>
      </c>
      <c r="M184" s="308" t="inlineStr">
        <is>
          <t>RL7-AGC-101 / WQ-01</t>
        </is>
      </c>
      <c r="N184" s="308" t="inlineStr">
        <is>
          <t>native</t>
        </is>
      </c>
      <c r="O184" s="308" t="inlineStr">
        <is>
          <t>native-only</t>
        </is>
      </c>
      <c r="P184" s="308" t="inlineStr">
        <is>
          <t>native</t>
        </is>
      </c>
      <c r="Q184" s="308" t="inlineStr"/>
      <c r="R184" s="308" t="inlineStr">
        <is>
          <t>native text sufficient</t>
        </is>
      </c>
      <c r="S184" s="308" t="inlineStr"/>
      <c r="T184" s="308" t="inlineStr">
        <is>
          <t>p10:native:195, p10:native:196</t>
        </is>
      </c>
      <c r="U184" s="308" t="n">
        <v>2</v>
      </c>
    </row>
    <row r="185">
      <c r="A185" s="308" t="inlineStr">
        <is>
          <t>Missing in Excel</t>
        </is>
      </c>
      <c r="B185" s="308" t="inlineStr">
        <is>
          <t>DG7011</t>
        </is>
      </c>
      <c r="C185" s="308" t="n">
        <v>10</v>
      </c>
      <c r="D185" s="308" t="inlineStr">
        <is>
          <t>RL7-AGC-102-WE01</t>
        </is>
      </c>
      <c r="E185" s="308" t="inlineStr">
        <is>
          <t>RL7-AGC-102</t>
        </is>
      </c>
      <c r="F185" s="308" t="inlineStr">
        <is>
          <t>WE01</t>
        </is>
      </c>
      <c r="G185" s="308" t="inlineStr">
        <is>
          <t>instrument</t>
        </is>
      </c>
      <c r="H185" s="311" t="n">
        <v>0.99</v>
      </c>
      <c r="I185" s="308" t="inlineStr">
        <is>
          <t>High</t>
        </is>
      </c>
      <c r="J185" s="308" t="inlineStr">
        <is>
          <t>drawing</t>
        </is>
      </c>
      <c r="K185" s="308" t="inlineStr">
        <is>
          <t>stacked:isa</t>
        </is>
      </c>
      <c r="L185" s="308" t="inlineStr">
        <is>
          <t>drawing zone; process page; mapped sheet</t>
        </is>
      </c>
      <c r="M185" s="308" t="inlineStr">
        <is>
          <t>RL7-AGC-102 / WE-01</t>
        </is>
      </c>
      <c r="N185" s="308" t="inlineStr">
        <is>
          <t>native</t>
        </is>
      </c>
      <c r="O185" s="308" t="inlineStr">
        <is>
          <t>native-only</t>
        </is>
      </c>
      <c r="P185" s="308" t="inlineStr">
        <is>
          <t>native</t>
        </is>
      </c>
      <c r="Q185" s="308" t="inlineStr"/>
      <c r="R185" s="308" t="inlineStr">
        <is>
          <t>native text sufficient</t>
        </is>
      </c>
      <c r="S185" s="308" t="inlineStr"/>
      <c r="T185" s="308" t="inlineStr">
        <is>
          <t>p10:native:21, p10:native:22</t>
        </is>
      </c>
      <c r="U185" s="308" t="n">
        <v>2</v>
      </c>
    </row>
    <row r="186">
      <c r="A186" s="308" t="inlineStr">
        <is>
          <t>Missing in Excel</t>
        </is>
      </c>
      <c r="B186" s="308" t="inlineStr">
        <is>
          <t>DG7011</t>
        </is>
      </c>
      <c r="C186" s="308" t="n">
        <v>10</v>
      </c>
      <c r="D186" s="308" t="inlineStr">
        <is>
          <t>RL7-AGC-102-WIT01</t>
        </is>
      </c>
      <c r="E186" s="308" t="inlineStr">
        <is>
          <t>RL7-AGC-102</t>
        </is>
      </c>
      <c r="F186" s="308" t="inlineStr">
        <is>
          <t>WIT01</t>
        </is>
      </c>
      <c r="G186" s="308" t="inlineStr">
        <is>
          <t>instrument</t>
        </is>
      </c>
      <c r="H186" s="311" t="n">
        <v>0.99</v>
      </c>
      <c r="I186" s="308" t="inlineStr">
        <is>
          <t>High</t>
        </is>
      </c>
      <c r="J186" s="308" t="inlineStr">
        <is>
          <t>drawing</t>
        </is>
      </c>
      <c r="K186" s="308" t="inlineStr">
        <is>
          <t>stacked:isa</t>
        </is>
      </c>
      <c r="L186" s="308" t="inlineStr">
        <is>
          <t>drawing zone; process page; mapped sheet</t>
        </is>
      </c>
      <c r="M186" s="308" t="inlineStr">
        <is>
          <t>RL7-AGC-102 / WIT-01</t>
        </is>
      </c>
      <c r="N186" s="308" t="inlineStr">
        <is>
          <t>native</t>
        </is>
      </c>
      <c r="O186" s="308" t="inlineStr">
        <is>
          <t>native-only</t>
        </is>
      </c>
      <c r="P186" s="308" t="inlineStr">
        <is>
          <t>native</t>
        </is>
      </c>
      <c r="Q186" s="308" t="inlineStr"/>
      <c r="R186" s="308" t="inlineStr">
        <is>
          <t>native text sufficient</t>
        </is>
      </c>
      <c r="S186" s="308" t="inlineStr"/>
      <c r="T186" s="308" t="inlineStr">
        <is>
          <t>p10:native:23, p10:native:24</t>
        </is>
      </c>
      <c r="U186" s="308" t="n">
        <v>2</v>
      </c>
    </row>
    <row r="187">
      <c r="A187" s="308" t="inlineStr">
        <is>
          <t>Missing in Excel</t>
        </is>
      </c>
      <c r="B187" s="308" t="inlineStr">
        <is>
          <t>DG7011</t>
        </is>
      </c>
      <c r="C187" s="308" t="n">
        <v>10</v>
      </c>
      <c r="D187" s="308" t="inlineStr">
        <is>
          <t>RL7-AGC-102-WQ01</t>
        </is>
      </c>
      <c r="E187" s="308" t="inlineStr">
        <is>
          <t>RL7-AGC-102</t>
        </is>
      </c>
      <c r="F187" s="308" t="inlineStr">
        <is>
          <t>WQ01</t>
        </is>
      </c>
      <c r="G187" s="308" t="inlineStr">
        <is>
          <t>instrument</t>
        </is>
      </c>
      <c r="H187" s="311" t="n">
        <v>0.99</v>
      </c>
      <c r="I187" s="308" t="inlineStr">
        <is>
          <t>High</t>
        </is>
      </c>
      <c r="J187" s="308" t="inlineStr">
        <is>
          <t>drawing</t>
        </is>
      </c>
      <c r="K187" s="308" t="inlineStr">
        <is>
          <t>stacked:isa</t>
        </is>
      </c>
      <c r="L187" s="308" t="inlineStr">
        <is>
          <t>drawing zone; process page; mapped sheet</t>
        </is>
      </c>
      <c r="M187" s="308" t="inlineStr">
        <is>
          <t>RL7-AGC-102 / WQ-01</t>
        </is>
      </c>
      <c r="N187" s="308" t="inlineStr">
        <is>
          <t>native</t>
        </is>
      </c>
      <c r="O187" s="308" t="inlineStr">
        <is>
          <t>native-only</t>
        </is>
      </c>
      <c r="P187" s="308" t="inlineStr">
        <is>
          <t>native</t>
        </is>
      </c>
      <c r="Q187" s="308" t="inlineStr"/>
      <c r="R187" s="308" t="inlineStr">
        <is>
          <t>native text sufficient</t>
        </is>
      </c>
      <c r="S187" s="308" t="inlineStr"/>
      <c r="T187" s="308" t="inlineStr">
        <is>
          <t>p10:native:197, p10:native:198</t>
        </is>
      </c>
      <c r="U187" s="308" t="n">
        <v>2</v>
      </c>
    </row>
    <row r="188">
      <c r="A188" s="308" t="inlineStr">
        <is>
          <t>Missing in Excel</t>
        </is>
      </c>
      <c r="B188" s="308" t="inlineStr">
        <is>
          <t>DG7011</t>
        </is>
      </c>
      <c r="C188" s="308" t="n">
        <v>10</v>
      </c>
      <c r="D188" s="308" t="inlineStr">
        <is>
          <t>RL7-MLT-104-XY101</t>
        </is>
      </c>
      <c r="E188" s="308" t="inlineStr">
        <is>
          <t>RL7-MLT-104</t>
        </is>
      </c>
      <c r="F188" s="308" t="inlineStr">
        <is>
          <t>XY101</t>
        </is>
      </c>
      <c r="G188" s="308" t="inlineStr">
        <is>
          <t>instrument</t>
        </is>
      </c>
      <c r="H188" s="311" t="n">
        <v>0.99</v>
      </c>
      <c r="I188" s="308" t="inlineStr">
        <is>
          <t>High</t>
        </is>
      </c>
      <c r="J188" s="308" t="inlineStr">
        <is>
          <t>drawing</t>
        </is>
      </c>
      <c r="K188" s="308" t="inlineStr">
        <is>
          <t>stacked:isa</t>
        </is>
      </c>
      <c r="L188" s="308" t="inlineStr">
        <is>
          <t>drawing zone; process page; mapped sheet</t>
        </is>
      </c>
      <c r="M188" s="308" t="inlineStr">
        <is>
          <t>RL7-MLT-104 / XY-101</t>
        </is>
      </c>
      <c r="N188" s="308" t="inlineStr">
        <is>
          <t>native</t>
        </is>
      </c>
      <c r="O188" s="308" t="inlineStr">
        <is>
          <t>native-only</t>
        </is>
      </c>
      <c r="P188" s="308" t="inlineStr">
        <is>
          <t>native</t>
        </is>
      </c>
      <c r="Q188" s="308" t="inlineStr"/>
      <c r="R188" s="308" t="inlineStr">
        <is>
          <t>native text sufficient</t>
        </is>
      </c>
      <c r="S188" s="308" t="inlineStr"/>
      <c r="T188" s="308" t="inlineStr">
        <is>
          <t>p10:native:252, p10:native:253</t>
        </is>
      </c>
      <c r="U188" s="308" t="n">
        <v>2</v>
      </c>
    </row>
    <row r="189">
      <c r="A189" s="308" t="inlineStr">
        <is>
          <t>Missing in Excel</t>
        </is>
      </c>
      <c r="B189" s="308" t="inlineStr">
        <is>
          <t>DG7011</t>
        </is>
      </c>
      <c r="C189" s="308" t="n">
        <v>10</v>
      </c>
      <c r="D189" s="308" t="inlineStr">
        <is>
          <t>RL7-MLT-104-XY102</t>
        </is>
      </c>
      <c r="E189" s="308" t="inlineStr">
        <is>
          <t>RL7-MLT-104</t>
        </is>
      </c>
      <c r="F189" s="308" t="inlineStr">
        <is>
          <t>XY102</t>
        </is>
      </c>
      <c r="G189" s="308" t="inlineStr">
        <is>
          <t>instrument</t>
        </is>
      </c>
      <c r="H189" s="311" t="n">
        <v>0.99</v>
      </c>
      <c r="I189" s="308" t="inlineStr">
        <is>
          <t>High</t>
        </is>
      </c>
      <c r="J189" s="308" t="inlineStr">
        <is>
          <t>drawing</t>
        </is>
      </c>
      <c r="K189" s="308" t="inlineStr">
        <is>
          <t>stacked:isa</t>
        </is>
      </c>
      <c r="L189" s="308" t="inlineStr">
        <is>
          <t>drawing zone; process page; mapped sheet</t>
        </is>
      </c>
      <c r="M189" s="308" t="inlineStr">
        <is>
          <t>RL7-MLT-104 / XY-102</t>
        </is>
      </c>
      <c r="N189" s="308" t="inlineStr">
        <is>
          <t>native</t>
        </is>
      </c>
      <c r="O189" s="308" t="inlineStr">
        <is>
          <t>native-only</t>
        </is>
      </c>
      <c r="P189" s="308" t="inlineStr">
        <is>
          <t>native</t>
        </is>
      </c>
      <c r="Q189" s="308" t="inlineStr"/>
      <c r="R189" s="308" t="inlineStr">
        <is>
          <t>native text sufficient</t>
        </is>
      </c>
      <c r="S189" s="308" t="inlineStr"/>
      <c r="T189" s="308" t="inlineStr">
        <is>
          <t>p10:native:250, p10:native:251</t>
        </is>
      </c>
      <c r="U189" s="308" t="n">
        <v>2</v>
      </c>
    </row>
    <row r="190">
      <c r="A190" s="308" t="inlineStr">
        <is>
          <t>Missing in Excel</t>
        </is>
      </c>
      <c r="B190" s="308" t="inlineStr">
        <is>
          <t>DG7011</t>
        </is>
      </c>
      <c r="C190" s="308" t="n">
        <v>10</v>
      </c>
      <c r="D190" s="308" t="inlineStr">
        <is>
          <t>RL7-MLT-104-XY103</t>
        </is>
      </c>
      <c r="E190" s="308" t="inlineStr">
        <is>
          <t>RL7-MLT-104</t>
        </is>
      </c>
      <c r="F190" s="308" t="inlineStr">
        <is>
          <t>XY103</t>
        </is>
      </c>
      <c r="G190" s="308" t="inlineStr">
        <is>
          <t>instrument</t>
        </is>
      </c>
      <c r="H190" s="311" t="n">
        <v>0.99</v>
      </c>
      <c r="I190" s="308" t="inlineStr">
        <is>
          <t>High</t>
        </is>
      </c>
      <c r="J190" s="308" t="inlineStr">
        <is>
          <t>drawing</t>
        </is>
      </c>
      <c r="K190" s="308" t="inlineStr">
        <is>
          <t>stacked:isa</t>
        </is>
      </c>
      <c r="L190" s="308" t="inlineStr">
        <is>
          <t>drawing zone; process page; mapped sheet</t>
        </is>
      </c>
      <c r="M190" s="308" t="inlineStr">
        <is>
          <t>RL7-MLT-104 / XY-103</t>
        </is>
      </c>
      <c r="N190" s="308" t="inlineStr">
        <is>
          <t>native</t>
        </is>
      </c>
      <c r="O190" s="308" t="inlineStr">
        <is>
          <t>native-only</t>
        </is>
      </c>
      <c r="P190" s="308" t="inlineStr">
        <is>
          <t>native</t>
        </is>
      </c>
      <c r="Q190" s="308" t="inlineStr"/>
      <c r="R190" s="308" t="inlineStr">
        <is>
          <t>native text sufficient</t>
        </is>
      </c>
      <c r="S190" s="308" t="inlineStr"/>
      <c r="T190" s="308" t="inlineStr">
        <is>
          <t>p10:native:248, p10:native:249</t>
        </is>
      </c>
      <c r="U190" s="308" t="n">
        <v>2</v>
      </c>
    </row>
    <row r="191">
      <c r="A191" s="308" t="inlineStr">
        <is>
          <t>Missing in Excel</t>
        </is>
      </c>
      <c r="B191" s="308" t="inlineStr">
        <is>
          <t>DG7011</t>
        </is>
      </c>
      <c r="C191" s="308" t="n">
        <v>10</v>
      </c>
      <c r="D191" s="308" t="inlineStr">
        <is>
          <t>RL7-MLT-105-XY101</t>
        </is>
      </c>
      <c r="E191" s="308" t="inlineStr">
        <is>
          <t>RL7-MLT-105</t>
        </is>
      </c>
      <c r="F191" s="308" t="inlineStr">
        <is>
          <t>XY101</t>
        </is>
      </c>
      <c r="G191" s="308" t="inlineStr">
        <is>
          <t>instrument</t>
        </is>
      </c>
      <c r="H191" s="311" t="n">
        <v>0.99</v>
      </c>
      <c r="I191" s="308" t="inlineStr">
        <is>
          <t>High</t>
        </is>
      </c>
      <c r="J191" s="308" t="inlineStr">
        <is>
          <t>drawing</t>
        </is>
      </c>
      <c r="K191" s="308" t="inlineStr">
        <is>
          <t>stacked:isa</t>
        </is>
      </c>
      <c r="L191" s="308" t="inlineStr">
        <is>
          <t>drawing zone; process page; mapped sheet</t>
        </is>
      </c>
      <c r="M191" s="308" t="inlineStr">
        <is>
          <t>RL7-MLT-105 / XY-101</t>
        </is>
      </c>
      <c r="N191" s="308" t="inlineStr">
        <is>
          <t>native</t>
        </is>
      </c>
      <c r="O191" s="308" t="inlineStr">
        <is>
          <t>native-only</t>
        </is>
      </c>
      <c r="P191" s="308" t="inlineStr">
        <is>
          <t>native</t>
        </is>
      </c>
      <c r="Q191" s="308" t="inlineStr"/>
      <c r="R191" s="308" t="inlineStr">
        <is>
          <t>native text sufficient</t>
        </is>
      </c>
      <c r="S191" s="308" t="inlineStr"/>
      <c r="T191" s="308" t="inlineStr">
        <is>
          <t>p10:native:181, p10:native:182</t>
        </is>
      </c>
      <c r="U191" s="308" t="n">
        <v>2</v>
      </c>
    </row>
    <row r="192">
      <c r="A192" s="308" t="inlineStr">
        <is>
          <t>Missing in Excel</t>
        </is>
      </c>
      <c r="B192" s="308" t="inlineStr">
        <is>
          <t>DG7011</t>
        </is>
      </c>
      <c r="C192" s="308" t="n">
        <v>10</v>
      </c>
      <c r="D192" s="308" t="inlineStr">
        <is>
          <t>RL7-MLT-105-XY102</t>
        </is>
      </c>
      <c r="E192" s="308" t="inlineStr">
        <is>
          <t>RL7-MLT-105</t>
        </is>
      </c>
      <c r="F192" s="308" t="inlineStr">
        <is>
          <t>XY102</t>
        </is>
      </c>
      <c r="G192" s="308" t="inlineStr">
        <is>
          <t>instrument</t>
        </is>
      </c>
      <c r="H192" s="311" t="n">
        <v>0.99</v>
      </c>
      <c r="I192" s="308" t="inlineStr">
        <is>
          <t>High</t>
        </is>
      </c>
      <c r="J192" s="308" t="inlineStr">
        <is>
          <t>drawing</t>
        </is>
      </c>
      <c r="K192" s="308" t="inlineStr">
        <is>
          <t>stacked:isa</t>
        </is>
      </c>
      <c r="L192" s="308" t="inlineStr">
        <is>
          <t>drawing zone; process page; mapped sheet</t>
        </is>
      </c>
      <c r="M192" s="308" t="inlineStr">
        <is>
          <t>RL7-MLT-105 / XY-102</t>
        </is>
      </c>
      <c r="N192" s="308" t="inlineStr">
        <is>
          <t>native</t>
        </is>
      </c>
      <c r="O192" s="308" t="inlineStr">
        <is>
          <t>native-only</t>
        </is>
      </c>
      <c r="P192" s="308" t="inlineStr">
        <is>
          <t>native</t>
        </is>
      </c>
      <c r="Q192" s="308" t="inlineStr"/>
      <c r="R192" s="308" t="inlineStr">
        <is>
          <t>native text sufficient</t>
        </is>
      </c>
      <c r="S192" s="308" t="inlineStr"/>
      <c r="T192" s="308" t="inlineStr">
        <is>
          <t>p10:native:179, p10:native:180</t>
        </is>
      </c>
      <c r="U192" s="308" t="n">
        <v>2</v>
      </c>
    </row>
    <row r="193">
      <c r="A193" s="308" t="inlineStr">
        <is>
          <t>Missing in Excel</t>
        </is>
      </c>
      <c r="B193" s="308" t="inlineStr">
        <is>
          <t>DG7011</t>
        </is>
      </c>
      <c r="C193" s="308" t="n">
        <v>10</v>
      </c>
      <c r="D193" s="308" t="inlineStr">
        <is>
          <t>RL7-MLT-105-XY103</t>
        </is>
      </c>
      <c r="E193" s="308" t="inlineStr">
        <is>
          <t>RL7-MLT-105</t>
        </is>
      </c>
      <c r="F193" s="308" t="inlineStr">
        <is>
          <t>XY103</t>
        </is>
      </c>
      <c r="G193" s="308" t="inlineStr">
        <is>
          <t>instrument</t>
        </is>
      </c>
      <c r="H193" s="311" t="n">
        <v>0.99</v>
      </c>
      <c r="I193" s="308" t="inlineStr">
        <is>
          <t>High</t>
        </is>
      </c>
      <c r="J193" s="308" t="inlineStr">
        <is>
          <t>drawing</t>
        </is>
      </c>
      <c r="K193" s="308" t="inlineStr">
        <is>
          <t>stacked:isa</t>
        </is>
      </c>
      <c r="L193" s="308" t="inlineStr">
        <is>
          <t>drawing zone; process page; mapped sheet</t>
        </is>
      </c>
      <c r="M193" s="308" t="inlineStr">
        <is>
          <t>RL7-MLT-105 / XY-103</t>
        </is>
      </c>
      <c r="N193" s="308" t="inlineStr">
        <is>
          <t>native</t>
        </is>
      </c>
      <c r="O193" s="308" t="inlineStr">
        <is>
          <t>native-only</t>
        </is>
      </c>
      <c r="P193" s="308" t="inlineStr">
        <is>
          <t>native</t>
        </is>
      </c>
      <c r="Q193" s="308" t="inlineStr"/>
      <c r="R193" s="308" t="inlineStr">
        <is>
          <t>native text sufficient</t>
        </is>
      </c>
      <c r="S193" s="308" t="inlineStr"/>
      <c r="T193" s="308" t="inlineStr">
        <is>
          <t>p10:native:177, p10:native:178</t>
        </is>
      </c>
      <c r="U193" s="308" t="n">
        <v>2</v>
      </c>
    </row>
    <row r="194">
      <c r="A194" s="308" t="inlineStr">
        <is>
          <t>Missing in Excel</t>
        </is>
      </c>
      <c r="B194" s="308" t="inlineStr">
        <is>
          <t>DG7011</t>
        </is>
      </c>
      <c r="C194" s="308" t="n">
        <v>10</v>
      </c>
      <c r="D194" s="308" t="inlineStr">
        <is>
          <t>RL7-MLT-104-HV001</t>
        </is>
      </c>
      <c r="E194" s="308" t="inlineStr">
        <is>
          <t>RL7-MLT-104</t>
        </is>
      </c>
      <c r="F194" s="308" t="inlineStr">
        <is>
          <t>HV001</t>
        </is>
      </c>
      <c r="G194" s="308" t="inlineStr">
        <is>
          <t>instrument</t>
        </is>
      </c>
      <c r="H194" s="311" t="n">
        <v>0.57</v>
      </c>
      <c r="I194" s="308" t="inlineStr">
        <is>
          <t>Low</t>
        </is>
      </c>
      <c r="J194" s="308" t="inlineStr">
        <is>
          <t>drawing</t>
        </is>
      </c>
      <c r="K194" s="308" t="inlineStr">
        <is>
          <t>inferred:bare-isa</t>
        </is>
      </c>
      <c r="L194" s="308" t="inlineStr">
        <is>
          <t>drawing zone; process page; mapped sheet</t>
        </is>
      </c>
      <c r="M194" s="308" t="inlineStr">
        <is>
          <t>RL7-MLT-104 / HV</t>
        </is>
      </c>
      <c r="N194" s="308" t="inlineStr">
        <is>
          <t>native</t>
        </is>
      </c>
      <c r="O194" s="308" t="inlineStr">
        <is>
          <t>native-only</t>
        </is>
      </c>
      <c r="P194" s="308" t="inlineStr">
        <is>
          <t>native</t>
        </is>
      </c>
      <c r="Q194" s="308" t="inlineStr"/>
      <c r="R194" s="308" t="inlineStr">
        <is>
          <t>native text sufficient</t>
        </is>
      </c>
      <c r="S194" s="308" t="inlineStr"/>
      <c r="T194" s="308" t="inlineStr">
        <is>
          <t>p10:native:270, p10:native:84</t>
        </is>
      </c>
      <c r="U194" s="308" t="n">
        <v>2</v>
      </c>
    </row>
    <row r="195">
      <c r="A195" s="308" t="inlineStr">
        <is>
          <t>Missing in Excel</t>
        </is>
      </c>
      <c r="B195" s="308" t="inlineStr">
        <is>
          <t>DG7011</t>
        </is>
      </c>
      <c r="C195" s="308" t="n">
        <v>10</v>
      </c>
      <c r="D195" s="308" t="inlineStr">
        <is>
          <t>RL7-MLT-104-PI001</t>
        </is>
      </c>
      <c r="E195" s="308" t="inlineStr">
        <is>
          <t>RL7-MLT-104</t>
        </is>
      </c>
      <c r="F195" s="308" t="inlineStr">
        <is>
          <t>PI001</t>
        </is>
      </c>
      <c r="G195" s="308" t="inlineStr">
        <is>
          <t>instrument</t>
        </is>
      </c>
      <c r="H195" s="311" t="n">
        <v>0.57</v>
      </c>
      <c r="I195" s="308" t="inlineStr">
        <is>
          <t>Low</t>
        </is>
      </c>
      <c r="J195" s="308" t="inlineStr">
        <is>
          <t>drawing</t>
        </is>
      </c>
      <c r="K195" s="308" t="inlineStr">
        <is>
          <t>inferred:bare-isa</t>
        </is>
      </c>
      <c r="L195" s="308" t="inlineStr">
        <is>
          <t>drawing zone; process page; mapped sheet</t>
        </is>
      </c>
      <c r="M195" s="308" t="inlineStr">
        <is>
          <t>RL7-MLT-104 / PI</t>
        </is>
      </c>
      <c r="N195" s="308" t="inlineStr">
        <is>
          <t>native</t>
        </is>
      </c>
      <c r="O195" s="308" t="inlineStr">
        <is>
          <t>native-only</t>
        </is>
      </c>
      <c r="P195" s="308" t="inlineStr">
        <is>
          <t>native</t>
        </is>
      </c>
      <c r="Q195" s="308" t="inlineStr"/>
      <c r="R195" s="308" t="inlineStr">
        <is>
          <t>native text sufficient</t>
        </is>
      </c>
      <c r="S195" s="308" t="inlineStr"/>
      <c r="T195" s="308" t="inlineStr">
        <is>
          <t>p10:native:270, p10:native:108</t>
        </is>
      </c>
      <c r="U195" s="308" t="n">
        <v>2</v>
      </c>
    </row>
    <row r="196">
      <c r="A196" s="308" t="inlineStr">
        <is>
          <t>Missing in Excel</t>
        </is>
      </c>
      <c r="B196" s="308" t="inlineStr">
        <is>
          <t>DG7011</t>
        </is>
      </c>
      <c r="C196" s="308" t="n">
        <v>10</v>
      </c>
      <c r="D196" s="308" t="inlineStr">
        <is>
          <t>RL7-MLT-104-PI002</t>
        </is>
      </c>
      <c r="E196" s="308" t="inlineStr">
        <is>
          <t>RL7-MLT-104</t>
        </is>
      </c>
      <c r="F196" s="308" t="inlineStr">
        <is>
          <t>PI002</t>
        </is>
      </c>
      <c r="G196" s="308" t="inlineStr">
        <is>
          <t>instrument</t>
        </is>
      </c>
      <c r="H196" s="311" t="n">
        <v>0.57</v>
      </c>
      <c r="I196" s="308" t="inlineStr">
        <is>
          <t>Low</t>
        </is>
      </c>
      <c r="J196" s="308" t="inlineStr">
        <is>
          <t>drawing</t>
        </is>
      </c>
      <c r="K196" s="308" t="inlineStr">
        <is>
          <t>inferred:bare-isa</t>
        </is>
      </c>
      <c r="L196" s="308" t="inlineStr">
        <is>
          <t>drawing zone; process page; mapped sheet</t>
        </is>
      </c>
      <c r="M196" s="308" t="inlineStr">
        <is>
          <t>RL7-MLT-104 / PI</t>
        </is>
      </c>
      <c r="N196" s="308" t="inlineStr">
        <is>
          <t>native</t>
        </is>
      </c>
      <c r="O196" s="308" t="inlineStr">
        <is>
          <t>native-only</t>
        </is>
      </c>
      <c r="P196" s="308" t="inlineStr">
        <is>
          <t>native</t>
        </is>
      </c>
      <c r="Q196" s="308" t="inlineStr"/>
      <c r="R196" s="308" t="inlineStr">
        <is>
          <t>native text sufficient</t>
        </is>
      </c>
      <c r="S196" s="308" t="inlineStr"/>
      <c r="T196" s="308" t="inlineStr">
        <is>
          <t>p10:native:270, p10:native:67</t>
        </is>
      </c>
      <c r="U196" s="308" t="n">
        <v>2</v>
      </c>
    </row>
    <row r="197">
      <c r="A197" s="308" t="inlineStr">
        <is>
          <t>Missing in Excel</t>
        </is>
      </c>
      <c r="B197" s="308" t="inlineStr">
        <is>
          <t>DG7011</t>
        </is>
      </c>
      <c r="C197" s="308" t="n">
        <v>10</v>
      </c>
      <c r="D197" s="308" t="inlineStr">
        <is>
          <t>RL7-MLT-105-HV001</t>
        </is>
      </c>
      <c r="E197" s="308" t="inlineStr">
        <is>
          <t>RL7-MLT-105</t>
        </is>
      </c>
      <c r="F197" s="308" t="inlineStr">
        <is>
          <t>HV001</t>
        </is>
      </c>
      <c r="G197" s="308" t="inlineStr">
        <is>
          <t>instrument</t>
        </is>
      </c>
      <c r="H197" s="311" t="n">
        <v>0.57</v>
      </c>
      <c r="I197" s="308" t="inlineStr">
        <is>
          <t>Low</t>
        </is>
      </c>
      <c r="J197" s="308" t="inlineStr">
        <is>
          <t>drawing</t>
        </is>
      </c>
      <c r="K197" s="308" t="inlineStr">
        <is>
          <t>inferred:bare-isa</t>
        </is>
      </c>
      <c r="L197" s="308" t="inlineStr">
        <is>
          <t>drawing zone; process page; mapped sheet</t>
        </is>
      </c>
      <c r="M197" s="308" t="inlineStr">
        <is>
          <t>RL7-MLT-105 / HV</t>
        </is>
      </c>
      <c r="N197" s="308" t="inlineStr">
        <is>
          <t>native</t>
        </is>
      </c>
      <c r="O197" s="308" t="inlineStr">
        <is>
          <t>native-only</t>
        </is>
      </c>
      <c r="P197" s="308" t="inlineStr">
        <is>
          <t>native</t>
        </is>
      </c>
      <c r="Q197" s="308" t="inlineStr"/>
      <c r="R197" s="308" t="inlineStr">
        <is>
          <t>native text sufficient</t>
        </is>
      </c>
      <c r="S197" s="308" t="inlineStr"/>
      <c r="T197" s="308" t="inlineStr">
        <is>
          <t>p10:native:276, p10:native:336</t>
        </is>
      </c>
      <c r="U197" s="308" t="n">
        <v>2</v>
      </c>
    </row>
    <row r="198">
      <c r="A198" s="308" t="inlineStr">
        <is>
          <t>Missing in Excel</t>
        </is>
      </c>
      <c r="B198" s="308" t="inlineStr">
        <is>
          <t>DG7011</t>
        </is>
      </c>
      <c r="C198" s="308" t="n">
        <v>10</v>
      </c>
      <c r="D198" s="308" t="inlineStr">
        <is>
          <t>RL7-MLT-105-HV002</t>
        </is>
      </c>
      <c r="E198" s="308" t="inlineStr">
        <is>
          <t>RL7-MLT-105</t>
        </is>
      </c>
      <c r="F198" s="308" t="inlineStr">
        <is>
          <t>HV002</t>
        </is>
      </c>
      <c r="G198" s="308" t="inlineStr">
        <is>
          <t>instrument</t>
        </is>
      </c>
      <c r="H198" s="311" t="n">
        <v>0.57</v>
      </c>
      <c r="I198" s="308" t="inlineStr">
        <is>
          <t>Low</t>
        </is>
      </c>
      <c r="J198" s="308" t="inlineStr">
        <is>
          <t>drawing</t>
        </is>
      </c>
      <c r="K198" s="308" t="inlineStr">
        <is>
          <t>inferred:bare-isa</t>
        </is>
      </c>
      <c r="L198" s="308" t="inlineStr">
        <is>
          <t>drawing zone; process page; mapped sheet</t>
        </is>
      </c>
      <c r="M198" s="308" t="inlineStr">
        <is>
          <t>RL7-MLT-105 / HV</t>
        </is>
      </c>
      <c r="N198" s="308" t="inlineStr">
        <is>
          <t>native</t>
        </is>
      </c>
      <c r="O198" s="308" t="inlineStr">
        <is>
          <t>native-only</t>
        </is>
      </c>
      <c r="P198" s="308" t="inlineStr">
        <is>
          <t>native</t>
        </is>
      </c>
      <c r="Q198" s="308" t="inlineStr"/>
      <c r="R198" s="308" t="inlineStr">
        <is>
          <t>native text sufficient</t>
        </is>
      </c>
      <c r="S198" s="308" t="inlineStr"/>
      <c r="T198" s="308" t="inlineStr">
        <is>
          <t>p10:native:276, p10:native:78</t>
        </is>
      </c>
      <c r="U198" s="308" t="n">
        <v>2</v>
      </c>
    </row>
    <row r="199">
      <c r="A199" s="308" t="inlineStr">
        <is>
          <t>Missing in Excel</t>
        </is>
      </c>
      <c r="B199" s="308" t="inlineStr">
        <is>
          <t>DG7011</t>
        </is>
      </c>
      <c r="C199" s="308" t="n">
        <v>10</v>
      </c>
      <c r="D199" s="308" t="inlineStr">
        <is>
          <t>RL7-MLT-105-PI001</t>
        </is>
      </c>
      <c r="E199" s="308" t="inlineStr">
        <is>
          <t>RL7-MLT-105</t>
        </is>
      </c>
      <c r="F199" s="308" t="inlineStr">
        <is>
          <t>PI001</t>
        </is>
      </c>
      <c r="G199" s="308" t="inlineStr">
        <is>
          <t>instrument</t>
        </is>
      </c>
      <c r="H199" s="311" t="n">
        <v>0.57</v>
      </c>
      <c r="I199" s="308" t="inlineStr">
        <is>
          <t>Low</t>
        </is>
      </c>
      <c r="J199" s="308" t="inlineStr">
        <is>
          <t>drawing</t>
        </is>
      </c>
      <c r="K199" s="308" t="inlineStr">
        <is>
          <t>inferred:bare-isa</t>
        </is>
      </c>
      <c r="L199" s="308" t="inlineStr">
        <is>
          <t>drawing zone; process page; mapped sheet</t>
        </is>
      </c>
      <c r="M199" s="308" t="inlineStr">
        <is>
          <t>RL7-MLT-105 / PI</t>
        </is>
      </c>
      <c r="N199" s="308" t="inlineStr">
        <is>
          <t>native</t>
        </is>
      </c>
      <c r="O199" s="308" t="inlineStr">
        <is>
          <t>native-only</t>
        </is>
      </c>
      <c r="P199" s="308" t="inlineStr">
        <is>
          <t>native</t>
        </is>
      </c>
      <c r="Q199" s="308" t="inlineStr"/>
      <c r="R199" s="308" t="inlineStr">
        <is>
          <t>native text sufficient</t>
        </is>
      </c>
      <c r="S199" s="308" t="inlineStr"/>
      <c r="T199" s="308" t="inlineStr">
        <is>
          <t>p10:native:276, p10:native:96</t>
        </is>
      </c>
      <c r="U199" s="308" t="n">
        <v>2</v>
      </c>
    </row>
    <row r="200">
      <c r="A200" s="308" t="inlineStr">
        <is>
          <t>Missing in Excel</t>
        </is>
      </c>
      <c r="B200" s="308" t="inlineStr">
        <is>
          <t>DG7011</t>
        </is>
      </c>
      <c r="C200" s="308" t="n">
        <v>10</v>
      </c>
      <c r="D200" s="308" t="inlineStr">
        <is>
          <t>RL7-MLT-105-PI002</t>
        </is>
      </c>
      <c r="E200" s="308" t="inlineStr">
        <is>
          <t>RL7-MLT-105</t>
        </is>
      </c>
      <c r="F200" s="308" t="inlineStr">
        <is>
          <t>PI002</t>
        </is>
      </c>
      <c r="G200" s="308" t="inlineStr">
        <is>
          <t>instrument</t>
        </is>
      </c>
      <c r="H200" s="311" t="n">
        <v>0.57</v>
      </c>
      <c r="I200" s="308" t="inlineStr">
        <is>
          <t>Low</t>
        </is>
      </c>
      <c r="J200" s="308" t="inlineStr">
        <is>
          <t>drawing</t>
        </is>
      </c>
      <c r="K200" s="308" t="inlineStr">
        <is>
          <t>inferred:bare-isa</t>
        </is>
      </c>
      <c r="L200" s="308" t="inlineStr">
        <is>
          <t>drawing zone; process page; mapped sheet</t>
        </is>
      </c>
      <c r="M200" s="308" t="inlineStr">
        <is>
          <t>RL7-MLT-105 / PI</t>
        </is>
      </c>
      <c r="N200" s="308" t="inlineStr">
        <is>
          <t>native</t>
        </is>
      </c>
      <c r="O200" s="308" t="inlineStr">
        <is>
          <t>native-only</t>
        </is>
      </c>
      <c r="P200" s="308" t="inlineStr">
        <is>
          <t>native</t>
        </is>
      </c>
      <c r="Q200" s="308" t="inlineStr"/>
      <c r="R200" s="308" t="inlineStr">
        <is>
          <t>native text sufficient</t>
        </is>
      </c>
      <c r="S200" s="308" t="inlineStr"/>
      <c r="T200" s="308" t="inlineStr">
        <is>
          <t>p10:native:276, p10:native:59</t>
        </is>
      </c>
      <c r="U200" s="308" t="n">
        <v>2</v>
      </c>
    </row>
    <row r="201">
      <c r="A201" s="308" t="inlineStr">
        <is>
          <t>Missing in Excel</t>
        </is>
      </c>
      <c r="B201" s="308" t="inlineStr">
        <is>
          <t>DG7011</t>
        </is>
      </c>
      <c r="C201" s="308" t="n">
        <v>10</v>
      </c>
      <c r="D201" s="308" t="inlineStr">
        <is>
          <t>1"-CA-12A</t>
        </is>
      </c>
      <c r="E201" s="308" t="inlineStr">
        <is>
          <t>CA</t>
        </is>
      </c>
      <c r="F201" s="308" t="inlineStr">
        <is>
          <t>12A</t>
        </is>
      </c>
      <c r="G201" s="308" t="inlineStr">
        <is>
          <t>line</t>
        </is>
      </c>
      <c r="H201" s="311" t="n">
        <v>0.87</v>
      </c>
      <c r="I201" s="308" t="inlineStr">
        <is>
          <t>Medium</t>
        </is>
      </c>
      <c r="J201" s="308" t="inlineStr">
        <is>
          <t>drawing</t>
        </is>
      </c>
      <c r="K201" s="308" t="inlineStr">
        <is>
          <t>line:size-prefix</t>
        </is>
      </c>
      <c r="L201" s="308" t="inlineStr">
        <is>
          <t>drawing zone; process page; mapped sheet; repeated x4</t>
        </is>
      </c>
      <c r="M201" s="308" t="inlineStr">
        <is>
          <t>1"-CA-12A</t>
        </is>
      </c>
      <c r="N201" s="308" t="inlineStr">
        <is>
          <t>native</t>
        </is>
      </c>
      <c r="O201" s="308" t="inlineStr">
        <is>
          <t>native-only</t>
        </is>
      </c>
      <c r="P201" s="308" t="inlineStr">
        <is>
          <t>native</t>
        </is>
      </c>
      <c r="Q201" s="308" t="inlineStr"/>
      <c r="R201" s="308" t="inlineStr">
        <is>
          <t>native text sufficient</t>
        </is>
      </c>
      <c r="S201" s="308" t="inlineStr"/>
      <c r="T201" s="308" t="inlineStr">
        <is>
          <t>p10:native:170</t>
        </is>
      </c>
      <c r="U201" s="308" t="n">
        <v>1</v>
      </c>
    </row>
    <row r="202">
      <c r="A202" s="308" t="inlineStr">
        <is>
          <t>Missing in Excel</t>
        </is>
      </c>
      <c r="B202" s="308" t="inlineStr">
        <is>
          <t>DG7011</t>
        </is>
      </c>
      <c r="C202" s="308" t="n">
        <v>10</v>
      </c>
      <c r="D202" s="308" t="inlineStr">
        <is>
          <t>1"-CA-12A</t>
        </is>
      </c>
      <c r="E202" s="308" t="inlineStr">
        <is>
          <t>CA</t>
        </is>
      </c>
      <c r="F202" s="308" t="inlineStr">
        <is>
          <t>12A</t>
        </is>
      </c>
      <c r="G202" s="308" t="inlineStr">
        <is>
          <t>line</t>
        </is>
      </c>
      <c r="H202" s="311" t="n">
        <v>0.87</v>
      </c>
      <c r="I202" s="308" t="inlineStr">
        <is>
          <t>Medium</t>
        </is>
      </c>
      <c r="J202" s="308" t="inlineStr">
        <is>
          <t>drawing</t>
        </is>
      </c>
      <c r="K202" s="308" t="inlineStr">
        <is>
          <t>line:size-prefix</t>
        </is>
      </c>
      <c r="L202" s="308" t="inlineStr">
        <is>
          <t>drawing zone; process page; mapped sheet; repeated x4</t>
        </is>
      </c>
      <c r="M202" s="308" t="inlineStr">
        <is>
          <t>1"-CA-12A</t>
        </is>
      </c>
      <c r="N202" s="308" t="inlineStr">
        <is>
          <t>native</t>
        </is>
      </c>
      <c r="O202" s="308" t="inlineStr">
        <is>
          <t>native-only</t>
        </is>
      </c>
      <c r="P202" s="308" t="inlineStr">
        <is>
          <t>native</t>
        </is>
      </c>
      <c r="Q202" s="308" t="inlineStr"/>
      <c r="R202" s="308" t="inlineStr">
        <is>
          <t>native text sufficient</t>
        </is>
      </c>
      <c r="S202" s="308" t="inlineStr"/>
      <c r="T202" s="308" t="inlineStr">
        <is>
          <t>p10:native:171</t>
        </is>
      </c>
      <c r="U202" s="308" t="n">
        <v>1</v>
      </c>
    </row>
    <row r="203">
      <c r="A203" s="308" t="inlineStr">
        <is>
          <t>Missing in Excel</t>
        </is>
      </c>
      <c r="B203" s="308" t="inlineStr">
        <is>
          <t>DG7011</t>
        </is>
      </c>
      <c r="C203" s="308" t="n">
        <v>10</v>
      </c>
      <c r="D203" s="308" t="inlineStr">
        <is>
          <t>1"-CA-12A</t>
        </is>
      </c>
      <c r="E203" s="308" t="inlineStr">
        <is>
          <t>CA</t>
        </is>
      </c>
      <c r="F203" s="308" t="inlineStr">
        <is>
          <t>12A</t>
        </is>
      </c>
      <c r="G203" s="308" t="inlineStr">
        <is>
          <t>line</t>
        </is>
      </c>
      <c r="H203" s="311" t="n">
        <v>0.87</v>
      </c>
      <c r="I203" s="308" t="inlineStr">
        <is>
          <t>Medium</t>
        </is>
      </c>
      <c r="J203" s="308" t="inlineStr">
        <is>
          <t>drawing</t>
        </is>
      </c>
      <c r="K203" s="308" t="inlineStr">
        <is>
          <t>line:size-prefix</t>
        </is>
      </c>
      <c r="L203" s="308" t="inlineStr">
        <is>
          <t>drawing zone; process page; mapped sheet; repeated x4</t>
        </is>
      </c>
      <c r="M203" s="308" t="inlineStr">
        <is>
          <t>1"-CA-12A</t>
        </is>
      </c>
      <c r="N203" s="308" t="inlineStr">
        <is>
          <t>native</t>
        </is>
      </c>
      <c r="O203" s="308" t="inlineStr">
        <is>
          <t>native-only</t>
        </is>
      </c>
      <c r="P203" s="308" t="inlineStr">
        <is>
          <t>native</t>
        </is>
      </c>
      <c r="Q203" s="308" t="inlineStr"/>
      <c r="R203" s="308" t="inlineStr">
        <is>
          <t>native text sufficient</t>
        </is>
      </c>
      <c r="S203" s="308" t="inlineStr"/>
      <c r="T203" s="308" t="inlineStr">
        <is>
          <t>p10:native:331</t>
        </is>
      </c>
      <c r="U203" s="308" t="n">
        <v>1</v>
      </c>
    </row>
    <row r="204">
      <c r="A204" s="308" t="inlineStr">
        <is>
          <t>Missing in Excel</t>
        </is>
      </c>
      <c r="B204" s="308" t="inlineStr">
        <is>
          <t>DG7011</t>
        </is>
      </c>
      <c r="C204" s="308" t="n">
        <v>10</v>
      </c>
      <c r="D204" s="308" t="inlineStr">
        <is>
          <t>1"-CA-12A</t>
        </is>
      </c>
      <c r="E204" s="308" t="inlineStr">
        <is>
          <t>CA</t>
        </is>
      </c>
      <c r="F204" s="308" t="inlineStr">
        <is>
          <t>12A</t>
        </is>
      </c>
      <c r="G204" s="308" t="inlineStr">
        <is>
          <t>line</t>
        </is>
      </c>
      <c r="H204" s="311" t="n">
        <v>0.87</v>
      </c>
      <c r="I204" s="308" t="inlineStr">
        <is>
          <t>Medium</t>
        </is>
      </c>
      <c r="J204" s="308" t="inlineStr">
        <is>
          <t>drawing</t>
        </is>
      </c>
      <c r="K204" s="308" t="inlineStr">
        <is>
          <t>line:size-prefix</t>
        </is>
      </c>
      <c r="L204" s="308" t="inlineStr">
        <is>
          <t>drawing zone; process page; mapped sheet; repeated x4</t>
        </is>
      </c>
      <c r="M204" s="308" t="inlineStr">
        <is>
          <t>002 1"-CA-12A</t>
        </is>
      </c>
      <c r="N204" s="308" t="inlineStr">
        <is>
          <t>native</t>
        </is>
      </c>
      <c r="O204" s="308" t="inlineStr">
        <is>
          <t>native-only</t>
        </is>
      </c>
      <c r="P204" s="308" t="inlineStr">
        <is>
          <t>native</t>
        </is>
      </c>
      <c r="Q204" s="308" t="inlineStr"/>
      <c r="R204" s="308" t="inlineStr">
        <is>
          <t>native text sufficient</t>
        </is>
      </c>
      <c r="S204" s="308" t="inlineStr"/>
      <c r="T204" s="308" t="inlineStr">
        <is>
          <t>p10:native:337, p10:native:331</t>
        </is>
      </c>
      <c r="U204" s="308" t="n">
        <v>2</v>
      </c>
    </row>
    <row r="205">
      <c r="A205" s="308" t="inlineStr">
        <is>
          <t>Missing in Excel</t>
        </is>
      </c>
      <c r="B205" s="308" t="inlineStr">
        <is>
          <t>DG7011</t>
        </is>
      </c>
      <c r="C205" s="308" t="n">
        <v>10</v>
      </c>
      <c r="D205" s="308" t="inlineStr">
        <is>
          <t>4"-RAW-T4</t>
        </is>
      </c>
      <c r="E205" s="308" t="inlineStr">
        <is>
          <t>RAW</t>
        </is>
      </c>
      <c r="F205" s="308" t="inlineStr">
        <is>
          <t>T4</t>
        </is>
      </c>
      <c r="G205" s="308" t="inlineStr">
        <is>
          <t>line</t>
        </is>
      </c>
      <c r="H205" s="311" t="n">
        <v>0.82</v>
      </c>
      <c r="I205" s="308" t="inlineStr">
        <is>
          <t>Medium</t>
        </is>
      </c>
      <c r="J205" s="308" t="inlineStr">
        <is>
          <t>drawing</t>
        </is>
      </c>
      <c r="K205" s="308" t="inlineStr">
        <is>
          <t>line:size-prefix</t>
        </is>
      </c>
      <c r="L205" s="308" t="inlineStr">
        <is>
          <t>drawing zone; process page; mapped sheet; repeated x2</t>
        </is>
      </c>
      <c r="M205" s="308" t="inlineStr">
        <is>
          <t>4"-RAW-T4</t>
        </is>
      </c>
      <c r="N205" s="308" t="inlineStr">
        <is>
          <t>native</t>
        </is>
      </c>
      <c r="O205" s="308" t="inlineStr">
        <is>
          <t>native-only</t>
        </is>
      </c>
      <c r="P205" s="308" t="inlineStr">
        <is>
          <t>native</t>
        </is>
      </c>
      <c r="Q205" s="308" t="inlineStr"/>
      <c r="R205" s="308" t="inlineStr">
        <is>
          <t>native text sufficient</t>
        </is>
      </c>
      <c r="S205" s="308" t="inlineStr"/>
      <c r="T205" s="308" t="inlineStr">
        <is>
          <t>p10:native:172</t>
        </is>
      </c>
      <c r="U205" s="308" t="n">
        <v>1</v>
      </c>
    </row>
    <row r="206">
      <c r="A206" s="308" t="inlineStr">
        <is>
          <t>Missing in Excel</t>
        </is>
      </c>
      <c r="B206" s="308" t="inlineStr">
        <is>
          <t>DG7011</t>
        </is>
      </c>
      <c r="C206" s="308" t="n">
        <v>10</v>
      </c>
      <c r="D206" s="308" t="inlineStr">
        <is>
          <t>4"-RAW-T4</t>
        </is>
      </c>
      <c r="E206" s="308" t="inlineStr">
        <is>
          <t>RAW</t>
        </is>
      </c>
      <c r="F206" s="308" t="inlineStr">
        <is>
          <t>T4</t>
        </is>
      </c>
      <c r="G206" s="308" t="inlineStr">
        <is>
          <t>line</t>
        </is>
      </c>
      <c r="H206" s="311" t="n">
        <v>0.82</v>
      </c>
      <c r="I206" s="308" t="inlineStr">
        <is>
          <t>Medium</t>
        </is>
      </c>
      <c r="J206" s="308" t="inlineStr">
        <is>
          <t>drawing</t>
        </is>
      </c>
      <c r="K206" s="308" t="inlineStr">
        <is>
          <t>line:size-prefix</t>
        </is>
      </c>
      <c r="L206" s="308" t="inlineStr">
        <is>
          <t>drawing zone; process page; mapped sheet; repeated x2</t>
        </is>
      </c>
      <c r="M206" s="308" t="inlineStr">
        <is>
          <t>4"-RAW-T4</t>
        </is>
      </c>
      <c r="N206" s="308" t="inlineStr">
        <is>
          <t>native</t>
        </is>
      </c>
      <c r="O206" s="308" t="inlineStr">
        <is>
          <t>native-only</t>
        </is>
      </c>
      <c r="P206" s="308" t="inlineStr">
        <is>
          <t>native</t>
        </is>
      </c>
      <c r="Q206" s="308" t="inlineStr"/>
      <c r="R206" s="308" t="inlineStr">
        <is>
          <t>native text sufficient</t>
        </is>
      </c>
      <c r="S206" s="308" t="inlineStr"/>
      <c r="T206" s="308" t="inlineStr">
        <is>
          <t>p10:native:173</t>
        </is>
      </c>
      <c r="U206" s="308" t="n">
        <v>1</v>
      </c>
    </row>
    <row r="207">
      <c r="A207" s="308" t="inlineStr">
        <is>
          <t>Missing in Excel</t>
        </is>
      </c>
      <c r="B207" s="308" t="inlineStr">
        <is>
          <t>DG7011</t>
        </is>
      </c>
      <c r="C207" s="308" t="n">
        <v>10</v>
      </c>
      <c r="D207" s="308" t="inlineStr">
        <is>
          <t>RL7-PRM-101</t>
        </is>
      </c>
      <c r="E207" s="308" t="inlineStr">
        <is>
          <t>RL7-PRM-101</t>
        </is>
      </c>
      <c r="F207" s="308" t="inlineStr"/>
      <c r="G207" s="308" t="inlineStr">
        <is>
          <t>equipment</t>
        </is>
      </c>
      <c r="H207" s="311" t="n">
        <v>0.49</v>
      </c>
      <c r="I207" s="308" t="inlineStr">
        <is>
          <t>Low</t>
        </is>
      </c>
      <c r="J207" s="308" t="inlineStr">
        <is>
          <t>title-block/right</t>
        </is>
      </c>
      <c r="K207" s="308" t="inlineStr">
        <is>
          <t>standalone:asset</t>
        </is>
      </c>
      <c r="L207" s="308" t="inlineStr">
        <is>
          <t>title-block penalty; process page; mapped sheet</t>
        </is>
      </c>
      <c r="M207" s="308" t="inlineStr">
        <is>
          <t>RL7-PRM-101</t>
        </is>
      </c>
      <c r="N207" s="308" t="inlineStr">
        <is>
          <t>native</t>
        </is>
      </c>
      <c r="O207" s="308" t="inlineStr">
        <is>
          <t>native-only</t>
        </is>
      </c>
      <c r="P207" s="308" t="inlineStr">
        <is>
          <t>native</t>
        </is>
      </c>
      <c r="Q207" s="308" t="inlineStr"/>
      <c r="R207" s="308" t="inlineStr">
        <is>
          <t>native text sufficient</t>
        </is>
      </c>
      <c r="S207" s="308" t="inlineStr"/>
      <c r="T207" s="308" t="inlineStr">
        <is>
          <t>p10:native:62</t>
        </is>
      </c>
      <c r="U207" s="308" t="n">
        <v>1</v>
      </c>
    </row>
    <row r="208">
      <c r="A208" s="308" t="inlineStr">
        <is>
          <t>Missing in Excel</t>
        </is>
      </c>
      <c r="B208" s="308" t="inlineStr">
        <is>
          <t>DG7012</t>
        </is>
      </c>
      <c r="C208" s="308" t="n">
        <v>11</v>
      </c>
      <c r="D208" s="308" t="inlineStr">
        <is>
          <t>RL-CIP-200</t>
        </is>
      </c>
      <c r="E208" s="308" t="inlineStr">
        <is>
          <t>RL-CIP-200</t>
        </is>
      </c>
      <c r="F208" s="308" t="inlineStr"/>
      <c r="G208" s="308" t="inlineStr">
        <is>
          <t>equipment</t>
        </is>
      </c>
      <c r="H208" s="311" t="n">
        <v>0.77</v>
      </c>
      <c r="I208" s="308" t="inlineStr">
        <is>
          <t>Medium</t>
        </is>
      </c>
      <c r="J208" s="308" t="inlineStr">
        <is>
          <t>drawing</t>
        </is>
      </c>
      <c r="K208" s="308" t="inlineStr">
        <is>
          <t>standalone:asset</t>
        </is>
      </c>
      <c r="L208" s="308" t="inlineStr">
        <is>
          <t>drawing zone; process page; mapped sheet</t>
        </is>
      </c>
      <c r="M208" s="308" t="inlineStr">
        <is>
          <t>RL-CIP-200</t>
        </is>
      </c>
      <c r="N208" s="308" t="inlineStr">
        <is>
          <t>native</t>
        </is>
      </c>
      <c r="O208" s="308" t="inlineStr">
        <is>
          <t>native-only</t>
        </is>
      </c>
      <c r="P208" s="308" t="inlineStr">
        <is>
          <t>native</t>
        </is>
      </c>
      <c r="Q208" s="308" t="inlineStr"/>
      <c r="R208" s="308" t="inlineStr">
        <is>
          <t>native text sufficient</t>
        </is>
      </c>
      <c r="S208" s="308" t="inlineStr"/>
      <c r="T208" s="308" t="inlineStr">
        <is>
          <t>p11:native:127</t>
        </is>
      </c>
      <c r="U208" s="308" t="n">
        <v>1</v>
      </c>
    </row>
    <row r="209">
      <c r="A209" s="308" t="inlineStr">
        <is>
          <t>Missing in Excel</t>
        </is>
      </c>
      <c r="B209" s="308" t="inlineStr">
        <is>
          <t>DG7012</t>
        </is>
      </c>
      <c r="C209" s="308" t="n">
        <v>11</v>
      </c>
      <c r="D209" s="308" t="inlineStr">
        <is>
          <t>RL7-AGC-101</t>
        </is>
      </c>
      <c r="E209" s="308" t="inlineStr">
        <is>
          <t>RL7-AGC-101</t>
        </is>
      </c>
      <c r="F209" s="308" t="inlineStr"/>
      <c r="G209" s="308" t="inlineStr">
        <is>
          <t>equipment</t>
        </is>
      </c>
      <c r="H209" s="311" t="n">
        <v>0.77</v>
      </c>
      <c r="I209" s="308" t="inlineStr">
        <is>
          <t>Medium</t>
        </is>
      </c>
      <c r="J209" s="308" t="inlineStr">
        <is>
          <t>drawing</t>
        </is>
      </c>
      <c r="K209" s="308" t="inlineStr">
        <is>
          <t>standalone:asset</t>
        </is>
      </c>
      <c r="L209" s="308" t="inlineStr">
        <is>
          <t>drawing zone; process page; mapped sheet</t>
        </is>
      </c>
      <c r="M209" s="308" t="inlineStr">
        <is>
          <t>RL7-AGC-101</t>
        </is>
      </c>
      <c r="N209" s="308" t="inlineStr">
        <is>
          <t>native</t>
        </is>
      </c>
      <c r="O209" s="308" t="inlineStr">
        <is>
          <t>native-only</t>
        </is>
      </c>
      <c r="P209" s="308" t="inlineStr">
        <is>
          <t>native</t>
        </is>
      </c>
      <c r="Q209" s="308" t="inlineStr"/>
      <c r="R209" s="308" t="inlineStr">
        <is>
          <t>native text sufficient</t>
        </is>
      </c>
      <c r="S209" s="308" t="inlineStr"/>
      <c r="T209" s="308" t="inlineStr">
        <is>
          <t>p11:native:68</t>
        </is>
      </c>
      <c r="U209" s="308" t="n">
        <v>1</v>
      </c>
    </row>
    <row r="210">
      <c r="A210" s="308" t="inlineStr">
        <is>
          <t>Missing in Excel</t>
        </is>
      </c>
      <c r="B210" s="308" t="inlineStr">
        <is>
          <t>DG7012</t>
        </is>
      </c>
      <c r="C210" s="308" t="n">
        <v>11</v>
      </c>
      <c r="D210" s="308" t="inlineStr">
        <is>
          <t>RL7-AGC-102</t>
        </is>
      </c>
      <c r="E210" s="308" t="inlineStr">
        <is>
          <t>RL7-AGC-102</t>
        </is>
      </c>
      <c r="F210" s="308" t="inlineStr"/>
      <c r="G210" s="308" t="inlineStr">
        <is>
          <t>equipment</t>
        </is>
      </c>
      <c r="H210" s="311" t="n">
        <v>0.77</v>
      </c>
      <c r="I210" s="308" t="inlineStr">
        <is>
          <t>Medium</t>
        </is>
      </c>
      <c r="J210" s="308" t="inlineStr">
        <is>
          <t>drawing</t>
        </is>
      </c>
      <c r="K210" s="308" t="inlineStr">
        <is>
          <t>standalone:asset</t>
        </is>
      </c>
      <c r="L210" s="308" t="inlineStr">
        <is>
          <t>drawing zone; process page; mapped sheet</t>
        </is>
      </c>
      <c r="M210" s="308" t="inlineStr">
        <is>
          <t>RL7-AGC-102</t>
        </is>
      </c>
      <c r="N210" s="308" t="inlineStr">
        <is>
          <t>native</t>
        </is>
      </c>
      <c r="O210" s="308" t="inlineStr">
        <is>
          <t>native-only</t>
        </is>
      </c>
      <c r="P210" s="308" t="inlineStr">
        <is>
          <t>native</t>
        </is>
      </c>
      <c r="Q210" s="308" t="inlineStr"/>
      <c r="R210" s="308" t="inlineStr">
        <is>
          <t>native text sufficient</t>
        </is>
      </c>
      <c r="S210" s="308" t="inlineStr"/>
      <c r="T210" s="308" t="inlineStr">
        <is>
          <t>p11:native:64</t>
        </is>
      </c>
      <c r="U210" s="308" t="n">
        <v>1</v>
      </c>
    </row>
    <row r="211">
      <c r="A211" s="308" t="inlineStr">
        <is>
          <t>Missing in Excel</t>
        </is>
      </c>
      <c r="B211" s="308" t="inlineStr">
        <is>
          <t>DG7012</t>
        </is>
      </c>
      <c r="C211" s="308" t="n">
        <v>11</v>
      </c>
      <c r="D211" s="308" t="inlineStr">
        <is>
          <t>RL7-MLT-106</t>
        </is>
      </c>
      <c r="E211" s="308" t="inlineStr">
        <is>
          <t>RL7-MLT-106</t>
        </is>
      </c>
      <c r="F211" s="308" t="inlineStr"/>
      <c r="G211" s="308" t="inlineStr">
        <is>
          <t>equipment</t>
        </is>
      </c>
      <c r="H211" s="311" t="n">
        <v>0.77</v>
      </c>
      <c r="I211" s="308" t="inlineStr">
        <is>
          <t>Medium</t>
        </is>
      </c>
      <c r="J211" s="308" t="inlineStr">
        <is>
          <t>drawing</t>
        </is>
      </c>
      <c r="K211" s="308" t="inlineStr">
        <is>
          <t>standalone:asset</t>
        </is>
      </c>
      <c r="L211" s="308" t="inlineStr">
        <is>
          <t>drawing zone; process page; mapped sheet</t>
        </is>
      </c>
      <c r="M211" s="308" t="inlineStr">
        <is>
          <t>RL7-MLT-106</t>
        </is>
      </c>
      <c r="N211" s="308" t="inlineStr">
        <is>
          <t>native</t>
        </is>
      </c>
      <c r="O211" s="308" t="inlineStr">
        <is>
          <t>native-only</t>
        </is>
      </c>
      <c r="P211" s="308" t="inlineStr">
        <is>
          <t>native</t>
        </is>
      </c>
      <c r="Q211" s="308" t="inlineStr"/>
      <c r="R211" s="308" t="inlineStr">
        <is>
          <t>native text sufficient</t>
        </is>
      </c>
      <c r="S211" s="308" t="inlineStr"/>
      <c r="T211" s="308" t="inlineStr">
        <is>
          <t>p11:native:87</t>
        </is>
      </c>
      <c r="U211" s="308" t="n">
        <v>1</v>
      </c>
    </row>
    <row r="212">
      <c r="A212" s="308" t="inlineStr">
        <is>
          <t>Missing in Excel</t>
        </is>
      </c>
      <c r="B212" s="308" t="inlineStr">
        <is>
          <t>DG7012</t>
        </is>
      </c>
      <c r="C212" s="308" t="n">
        <v>11</v>
      </c>
      <c r="D212" s="308" t="inlineStr">
        <is>
          <t>RL7-PRM-101</t>
        </is>
      </c>
      <c r="E212" s="308" t="inlineStr">
        <is>
          <t>RL7-PRM-101</t>
        </is>
      </c>
      <c r="F212" s="308" t="inlineStr"/>
      <c r="G212" s="308" t="inlineStr">
        <is>
          <t>equipment</t>
        </is>
      </c>
      <c r="H212" s="311" t="n">
        <v>0.77</v>
      </c>
      <c r="I212" s="308" t="inlineStr">
        <is>
          <t>Medium</t>
        </is>
      </c>
      <c r="J212" s="308" t="inlineStr">
        <is>
          <t>drawing</t>
        </is>
      </c>
      <c r="K212" s="308" t="inlineStr">
        <is>
          <t>standalone:asset</t>
        </is>
      </c>
      <c r="L212" s="308" t="inlineStr">
        <is>
          <t>drawing zone; process page; mapped sheet</t>
        </is>
      </c>
      <c r="M212" s="308" t="inlineStr">
        <is>
          <t>RL7-PRM-101</t>
        </is>
      </c>
      <c r="N212" s="308" t="inlineStr">
        <is>
          <t>native</t>
        </is>
      </c>
      <c r="O212" s="308" t="inlineStr">
        <is>
          <t>native-only</t>
        </is>
      </c>
      <c r="P212" s="308" t="inlineStr">
        <is>
          <t>native</t>
        </is>
      </c>
      <c r="Q212" s="308" t="inlineStr"/>
      <c r="R212" s="308" t="inlineStr">
        <is>
          <t>native text sufficient</t>
        </is>
      </c>
      <c r="S212" s="308" t="inlineStr"/>
      <c r="T212" s="308" t="inlineStr">
        <is>
          <t>p11:native:16</t>
        </is>
      </c>
      <c r="U212" s="308" t="n">
        <v>1</v>
      </c>
    </row>
    <row r="213">
      <c r="A213" s="308" t="inlineStr">
        <is>
          <t>Missing in Excel</t>
        </is>
      </c>
      <c r="B213" s="308" t="inlineStr">
        <is>
          <t>DG7012</t>
        </is>
      </c>
      <c r="C213" s="308" t="n">
        <v>11</v>
      </c>
      <c r="D213" s="308" t="inlineStr">
        <is>
          <t>RL7-PRM-101-FE01</t>
        </is>
      </c>
      <c r="E213" s="308" t="inlineStr">
        <is>
          <t>RL7-PRM-101</t>
        </is>
      </c>
      <c r="F213" s="308" t="inlineStr">
        <is>
          <t>FE01</t>
        </is>
      </c>
      <c r="G213" s="308" t="inlineStr">
        <is>
          <t>instrument</t>
        </is>
      </c>
      <c r="H213" s="311" t="n">
        <v>0.99</v>
      </c>
      <c r="I213" s="308" t="inlineStr">
        <is>
          <t>High</t>
        </is>
      </c>
      <c r="J213" s="308" t="inlineStr">
        <is>
          <t>drawing</t>
        </is>
      </c>
      <c r="K213" s="308" t="inlineStr">
        <is>
          <t>stacked:isa</t>
        </is>
      </c>
      <c r="L213" s="308" t="inlineStr">
        <is>
          <t>drawing zone; process page; mapped sheet</t>
        </is>
      </c>
      <c r="M213" s="308" t="inlineStr">
        <is>
          <t>RL7-PRM-101 / FE-01</t>
        </is>
      </c>
      <c r="N213" s="308" t="inlineStr">
        <is>
          <t>native</t>
        </is>
      </c>
      <c r="O213" s="308" t="inlineStr">
        <is>
          <t>native-only</t>
        </is>
      </c>
      <c r="P213" s="308" t="inlineStr">
        <is>
          <t>native</t>
        </is>
      </c>
      <c r="Q213" s="308" t="inlineStr"/>
      <c r="R213" s="308" t="inlineStr">
        <is>
          <t>native text sufficient</t>
        </is>
      </c>
      <c r="S213" s="308" t="inlineStr"/>
      <c r="T213" s="308" t="inlineStr">
        <is>
          <t>p11:native:217, p11:native:218</t>
        </is>
      </c>
      <c r="U213" s="308" t="n">
        <v>2</v>
      </c>
    </row>
    <row r="214">
      <c r="A214" s="308" t="inlineStr">
        <is>
          <t>Missing in Excel</t>
        </is>
      </c>
      <c r="B214" s="308" t="inlineStr">
        <is>
          <t>DG7012</t>
        </is>
      </c>
      <c r="C214" s="308" t="n">
        <v>11</v>
      </c>
      <c r="D214" s="308" t="inlineStr">
        <is>
          <t>RL7-PRM-101-WE01</t>
        </is>
      </c>
      <c r="E214" s="308" t="inlineStr">
        <is>
          <t>RL7-PRM-101</t>
        </is>
      </c>
      <c r="F214" s="308" t="inlineStr">
        <is>
          <t>WE01</t>
        </is>
      </c>
      <c r="G214" s="308" t="inlineStr">
        <is>
          <t>instrument</t>
        </is>
      </c>
      <c r="H214" s="311" t="n">
        <v>0.99</v>
      </c>
      <c r="I214" s="308" t="inlineStr">
        <is>
          <t>High</t>
        </is>
      </c>
      <c r="J214" s="308" t="inlineStr">
        <is>
          <t>drawing</t>
        </is>
      </c>
      <c r="K214" s="308" t="inlineStr">
        <is>
          <t>stacked:isa</t>
        </is>
      </c>
      <c r="L214" s="308" t="inlineStr">
        <is>
          <t>drawing zone; process page; mapped sheet</t>
        </is>
      </c>
      <c r="M214" s="308" t="inlineStr">
        <is>
          <t>RL7-PRM-101 / WE-01</t>
        </is>
      </c>
      <c r="N214" s="308" t="inlineStr">
        <is>
          <t>native</t>
        </is>
      </c>
      <c r="O214" s="308" t="inlineStr">
        <is>
          <t>native-only</t>
        </is>
      </c>
      <c r="P214" s="308" t="inlineStr">
        <is>
          <t>native</t>
        </is>
      </c>
      <c r="Q214" s="308" t="inlineStr"/>
      <c r="R214" s="308" t="inlineStr">
        <is>
          <t>native text sufficient</t>
        </is>
      </c>
      <c r="S214" s="308" t="inlineStr"/>
      <c r="T214" s="308" t="inlineStr">
        <is>
          <t>p11:native:16, p11:native:17</t>
        </is>
      </c>
      <c r="U214" s="308" t="n">
        <v>2</v>
      </c>
    </row>
    <row r="215">
      <c r="A215" s="308" t="inlineStr">
        <is>
          <t>Missing in Excel</t>
        </is>
      </c>
      <c r="B215" s="308" t="inlineStr">
        <is>
          <t>DG7012</t>
        </is>
      </c>
      <c r="C215" s="308" t="n">
        <v>11</v>
      </c>
      <c r="D215" s="308" t="inlineStr">
        <is>
          <t>RL7-PRM-101-WIT01</t>
        </is>
      </c>
      <c r="E215" s="308" t="inlineStr">
        <is>
          <t>RL7-PRM-101</t>
        </is>
      </c>
      <c r="F215" s="308" t="inlineStr">
        <is>
          <t>WIT01</t>
        </is>
      </c>
      <c r="G215" s="308" t="inlineStr">
        <is>
          <t>instrument</t>
        </is>
      </c>
      <c r="H215" s="311" t="n">
        <v>0.99</v>
      </c>
      <c r="I215" s="308" t="inlineStr">
        <is>
          <t>High</t>
        </is>
      </c>
      <c r="J215" s="308" t="inlineStr">
        <is>
          <t>drawing</t>
        </is>
      </c>
      <c r="K215" s="308" t="inlineStr">
        <is>
          <t>stacked:isa</t>
        </is>
      </c>
      <c r="L215" s="308" t="inlineStr">
        <is>
          <t>drawing zone; process page; mapped sheet</t>
        </is>
      </c>
      <c r="M215" s="308" t="inlineStr">
        <is>
          <t>RL7-PRM-101 / WIT-01</t>
        </is>
      </c>
      <c r="N215" s="308" t="inlineStr">
        <is>
          <t>native</t>
        </is>
      </c>
      <c r="O215" s="308" t="inlineStr">
        <is>
          <t>native-only</t>
        </is>
      </c>
      <c r="P215" s="308" t="inlineStr">
        <is>
          <t>native</t>
        </is>
      </c>
      <c r="Q215" s="308" t="inlineStr"/>
      <c r="R215" s="308" t="inlineStr">
        <is>
          <t>native text sufficient</t>
        </is>
      </c>
      <c r="S215" s="308" t="inlineStr"/>
      <c r="T215" s="308" t="inlineStr">
        <is>
          <t>p11:native:18, p11:native:19</t>
        </is>
      </c>
      <c r="U215" s="308" t="n">
        <v>2</v>
      </c>
    </row>
    <row r="216">
      <c r="A216" s="308" t="inlineStr">
        <is>
          <t>Missing in Excel</t>
        </is>
      </c>
      <c r="B216" s="308" t="inlineStr">
        <is>
          <t>DG7012</t>
        </is>
      </c>
      <c r="C216" s="308" t="n">
        <v>11</v>
      </c>
      <c r="D216" s="308" t="inlineStr">
        <is>
          <t>RL7-PRM-101-WQ01</t>
        </is>
      </c>
      <c r="E216" s="308" t="inlineStr">
        <is>
          <t>RL7-PRM-101</t>
        </is>
      </c>
      <c r="F216" s="308" t="inlineStr">
        <is>
          <t>WQ01</t>
        </is>
      </c>
      <c r="G216" s="308" t="inlineStr">
        <is>
          <t>instrument</t>
        </is>
      </c>
      <c r="H216" s="311" t="n">
        <v>0.99</v>
      </c>
      <c r="I216" s="308" t="inlineStr">
        <is>
          <t>High</t>
        </is>
      </c>
      <c r="J216" s="308" t="inlineStr">
        <is>
          <t>drawing</t>
        </is>
      </c>
      <c r="K216" s="308" t="inlineStr">
        <is>
          <t>stacked:isa</t>
        </is>
      </c>
      <c r="L216" s="308" t="inlineStr">
        <is>
          <t>drawing zone; process page; mapped sheet</t>
        </is>
      </c>
      <c r="M216" s="308" t="inlineStr">
        <is>
          <t>RL7-PRM-101 / WQ-01</t>
        </is>
      </c>
      <c r="N216" s="308" t="inlineStr">
        <is>
          <t>native</t>
        </is>
      </c>
      <c r="O216" s="308" t="inlineStr">
        <is>
          <t>native-only</t>
        </is>
      </c>
      <c r="P216" s="308" t="inlineStr">
        <is>
          <t>native</t>
        </is>
      </c>
      <c r="Q216" s="308" t="inlineStr"/>
      <c r="R216" s="308" t="inlineStr">
        <is>
          <t>native text sufficient</t>
        </is>
      </c>
      <c r="S216" s="308" t="inlineStr"/>
      <c r="T216" s="308" t="inlineStr">
        <is>
          <t>p11:native:113, p11:native:114</t>
        </is>
      </c>
      <c r="U216" s="308" t="n">
        <v>2</v>
      </c>
    </row>
    <row r="217">
      <c r="A217" s="308" t="inlineStr">
        <is>
          <t>Missing in Excel</t>
        </is>
      </c>
      <c r="B217" s="308" t="inlineStr">
        <is>
          <t>DG7012</t>
        </is>
      </c>
      <c r="C217" s="308" t="n">
        <v>11</v>
      </c>
      <c r="D217" s="308" t="inlineStr">
        <is>
          <t>RL7-MLT-106-HV001</t>
        </is>
      </c>
      <c r="E217" s="308" t="inlineStr">
        <is>
          <t>RL7-MLT-106</t>
        </is>
      </c>
      <c r="F217" s="308" t="inlineStr">
        <is>
          <t>HV001</t>
        </is>
      </c>
      <c r="G217" s="308" t="inlineStr">
        <is>
          <t>instrument</t>
        </is>
      </c>
      <c r="H217" s="311" t="n">
        <v>0.57</v>
      </c>
      <c r="I217" s="308" t="inlineStr">
        <is>
          <t>Low</t>
        </is>
      </c>
      <c r="J217" s="308" t="inlineStr">
        <is>
          <t>drawing</t>
        </is>
      </c>
      <c r="K217" s="308" t="inlineStr">
        <is>
          <t>inferred:bare-isa</t>
        </is>
      </c>
      <c r="L217" s="308" t="inlineStr">
        <is>
          <t>drawing zone; process page; mapped sheet</t>
        </is>
      </c>
      <c r="M217" s="308" t="inlineStr">
        <is>
          <t>RL7-MLT-106 / HV</t>
        </is>
      </c>
      <c r="N217" s="308" t="inlineStr">
        <is>
          <t>native</t>
        </is>
      </c>
      <c r="O217" s="308" t="inlineStr">
        <is>
          <t>native-only</t>
        </is>
      </c>
      <c r="P217" s="308" t="inlineStr">
        <is>
          <t>native</t>
        </is>
      </c>
      <c r="Q217" s="308" t="inlineStr"/>
      <c r="R217" s="308" t="inlineStr">
        <is>
          <t>native text sufficient</t>
        </is>
      </c>
      <c r="S217" s="308" t="inlineStr"/>
      <c r="T217" s="308" t="inlineStr">
        <is>
          <t>p11:native:87, p11:native:29</t>
        </is>
      </c>
      <c r="U217" s="308" t="n">
        <v>2</v>
      </c>
    </row>
    <row r="218">
      <c r="A218" s="308" t="inlineStr">
        <is>
          <t>Missing in Excel</t>
        </is>
      </c>
      <c r="B218" s="308" t="inlineStr">
        <is>
          <t>DG7012</t>
        </is>
      </c>
      <c r="C218" s="308" t="n">
        <v>11</v>
      </c>
      <c r="D218" s="308" t="inlineStr">
        <is>
          <t>RL7-MLT-106-PI001</t>
        </is>
      </c>
      <c r="E218" s="308" t="inlineStr">
        <is>
          <t>RL7-MLT-106</t>
        </is>
      </c>
      <c r="F218" s="308" t="inlineStr">
        <is>
          <t>PI001</t>
        </is>
      </c>
      <c r="G218" s="308" t="inlineStr">
        <is>
          <t>instrument</t>
        </is>
      </c>
      <c r="H218" s="311" t="n">
        <v>0.57</v>
      </c>
      <c r="I218" s="308" t="inlineStr">
        <is>
          <t>Low</t>
        </is>
      </c>
      <c r="J218" s="308" t="inlineStr">
        <is>
          <t>drawing</t>
        </is>
      </c>
      <c r="K218" s="308" t="inlineStr">
        <is>
          <t>inferred:bare-isa</t>
        </is>
      </c>
      <c r="L218" s="308" t="inlineStr">
        <is>
          <t>drawing zone; process page; mapped sheet</t>
        </is>
      </c>
      <c r="M218" s="308" t="inlineStr">
        <is>
          <t>RL7-MLT-106 / PI</t>
        </is>
      </c>
      <c r="N218" s="308" t="inlineStr">
        <is>
          <t>native</t>
        </is>
      </c>
      <c r="O218" s="308" t="inlineStr">
        <is>
          <t>native-only</t>
        </is>
      </c>
      <c r="P218" s="308" t="inlineStr">
        <is>
          <t>native</t>
        </is>
      </c>
      <c r="Q218" s="308" t="inlineStr"/>
      <c r="R218" s="308" t="inlineStr">
        <is>
          <t>native text sufficient</t>
        </is>
      </c>
      <c r="S218" s="308" t="inlineStr"/>
      <c r="T218" s="308" t="inlineStr">
        <is>
          <t>p11:native:87, p11:native:47</t>
        </is>
      </c>
      <c r="U218" s="308" t="n">
        <v>2</v>
      </c>
    </row>
    <row r="219">
      <c r="A219" s="308" t="inlineStr">
        <is>
          <t>Missing in Excel</t>
        </is>
      </c>
      <c r="B219" s="308" t="inlineStr">
        <is>
          <t>DG7012</t>
        </is>
      </c>
      <c r="C219" s="308" t="n">
        <v>11</v>
      </c>
      <c r="D219" s="308" t="inlineStr">
        <is>
          <t>RL7-MLT-106-PI002</t>
        </is>
      </c>
      <c r="E219" s="308" t="inlineStr">
        <is>
          <t>RL7-MLT-106</t>
        </is>
      </c>
      <c r="F219" s="308" t="inlineStr">
        <is>
          <t>PI002</t>
        </is>
      </c>
      <c r="G219" s="308" t="inlineStr">
        <is>
          <t>instrument</t>
        </is>
      </c>
      <c r="H219" s="311" t="n">
        <v>0.57</v>
      </c>
      <c r="I219" s="308" t="inlineStr">
        <is>
          <t>Low</t>
        </is>
      </c>
      <c r="J219" s="308" t="inlineStr">
        <is>
          <t>drawing</t>
        </is>
      </c>
      <c r="K219" s="308" t="inlineStr">
        <is>
          <t>inferred:bare-isa</t>
        </is>
      </c>
      <c r="L219" s="308" t="inlineStr">
        <is>
          <t>drawing zone; process page; mapped sheet</t>
        </is>
      </c>
      <c r="M219" s="308" t="inlineStr">
        <is>
          <t>RL7-MLT-106 / PI</t>
        </is>
      </c>
      <c r="N219" s="308" t="inlineStr">
        <is>
          <t>native</t>
        </is>
      </c>
      <c r="O219" s="308" t="inlineStr">
        <is>
          <t>native-only</t>
        </is>
      </c>
      <c r="P219" s="308" t="inlineStr">
        <is>
          <t>native</t>
        </is>
      </c>
      <c r="Q219" s="308" t="inlineStr"/>
      <c r="R219" s="308" t="inlineStr">
        <is>
          <t>native text sufficient</t>
        </is>
      </c>
      <c r="S219" s="308" t="inlineStr"/>
      <c r="T219" s="308" t="inlineStr">
        <is>
          <t>p11:native:87, p11:native:15</t>
        </is>
      </c>
      <c r="U219" s="308" t="n">
        <v>2</v>
      </c>
    </row>
    <row r="220">
      <c r="A220" s="308" t="inlineStr">
        <is>
          <t>Missing in Excel</t>
        </is>
      </c>
      <c r="B220" s="308" t="inlineStr">
        <is>
          <t>DG7012</t>
        </is>
      </c>
      <c r="C220" s="308" t="n">
        <v>11</v>
      </c>
      <c r="D220" s="308" t="inlineStr">
        <is>
          <t>RL7-PRM-101-HV001</t>
        </is>
      </c>
      <c r="E220" s="308" t="inlineStr">
        <is>
          <t>RL7-PRM-101</t>
        </is>
      </c>
      <c r="F220" s="308" t="inlineStr">
        <is>
          <t>HV001</t>
        </is>
      </c>
      <c r="G220" s="308" t="inlineStr">
        <is>
          <t>instrument</t>
        </is>
      </c>
      <c r="H220" s="311" t="n">
        <v>0.57</v>
      </c>
      <c r="I220" s="308" t="inlineStr">
        <is>
          <t>Low</t>
        </is>
      </c>
      <c r="J220" s="308" t="inlineStr">
        <is>
          <t>drawing</t>
        </is>
      </c>
      <c r="K220" s="308" t="inlineStr">
        <is>
          <t>inferred:bare-isa</t>
        </is>
      </c>
      <c r="L220" s="308" t="inlineStr">
        <is>
          <t>drawing zone; process page; mapped sheet</t>
        </is>
      </c>
      <c r="M220" s="308" t="inlineStr">
        <is>
          <t>RL7-PRM-101 / HV</t>
        </is>
      </c>
      <c r="N220" s="308" t="inlineStr">
        <is>
          <t>native</t>
        </is>
      </c>
      <c r="O220" s="308" t="inlineStr">
        <is>
          <t>native-only</t>
        </is>
      </c>
      <c r="P220" s="308" t="inlineStr">
        <is>
          <t>native</t>
        </is>
      </c>
      <c r="Q220" s="308" t="inlineStr"/>
      <c r="R220" s="308" t="inlineStr">
        <is>
          <t>native text sufficient</t>
        </is>
      </c>
      <c r="S220" s="308" t="inlineStr"/>
      <c r="T220" s="308" t="inlineStr">
        <is>
          <t>p11:native:279, p11:native:35</t>
        </is>
      </c>
      <c r="U220" s="308" t="n">
        <v>2</v>
      </c>
    </row>
    <row r="221">
      <c r="A221" s="308" t="inlineStr">
        <is>
          <t>Missing in Excel</t>
        </is>
      </c>
      <c r="B221" s="308" t="inlineStr">
        <is>
          <t>DG7012</t>
        </is>
      </c>
      <c r="C221" s="308" t="n">
        <v>11</v>
      </c>
      <c r="D221" s="308" t="inlineStr">
        <is>
          <t>RL7-PRM-101-HV002</t>
        </is>
      </c>
      <c r="E221" s="308" t="inlineStr">
        <is>
          <t>RL7-PRM-101</t>
        </is>
      </c>
      <c r="F221" s="308" t="inlineStr">
        <is>
          <t>HV002</t>
        </is>
      </c>
      <c r="G221" s="308" t="inlineStr">
        <is>
          <t>instrument</t>
        </is>
      </c>
      <c r="H221" s="311" t="n">
        <v>0.57</v>
      </c>
      <c r="I221" s="308" t="inlineStr">
        <is>
          <t>Low</t>
        </is>
      </c>
      <c r="J221" s="308" t="inlineStr">
        <is>
          <t>drawing</t>
        </is>
      </c>
      <c r="K221" s="308" t="inlineStr">
        <is>
          <t>inferred:bare-isa</t>
        </is>
      </c>
      <c r="L221" s="308" t="inlineStr">
        <is>
          <t>drawing zone; process page; mapped sheet</t>
        </is>
      </c>
      <c r="M221" s="308" t="inlineStr">
        <is>
          <t>RL7-PRM-101 / HV</t>
        </is>
      </c>
      <c r="N221" s="308" t="inlineStr">
        <is>
          <t>native</t>
        </is>
      </c>
      <c r="O221" s="308" t="inlineStr">
        <is>
          <t>native-only</t>
        </is>
      </c>
      <c r="P221" s="308" t="inlineStr">
        <is>
          <t>native</t>
        </is>
      </c>
      <c r="Q221" s="308" t="inlineStr"/>
      <c r="R221" s="308" t="inlineStr">
        <is>
          <t>native text sufficient</t>
        </is>
      </c>
      <c r="S221" s="308" t="inlineStr"/>
      <c r="T221" s="308" t="inlineStr">
        <is>
          <t>p11:native:262, p11:native:260</t>
        </is>
      </c>
      <c r="U221" s="308" t="n">
        <v>2</v>
      </c>
    </row>
    <row r="222">
      <c r="A222" s="308" t="inlineStr">
        <is>
          <t>Missing in Excel</t>
        </is>
      </c>
      <c r="B222" s="308" t="inlineStr">
        <is>
          <t>DG7012</t>
        </is>
      </c>
      <c r="C222" s="308" t="n">
        <v>11</v>
      </c>
      <c r="D222" s="308" t="inlineStr">
        <is>
          <t>RL7-PRM-101-PI001</t>
        </is>
      </c>
      <c r="E222" s="308" t="inlineStr">
        <is>
          <t>RL7-PRM-101</t>
        </is>
      </c>
      <c r="F222" s="308" t="inlineStr">
        <is>
          <t>PI001</t>
        </is>
      </c>
      <c r="G222" s="308" t="inlineStr">
        <is>
          <t>instrument</t>
        </is>
      </c>
      <c r="H222" s="311" t="n">
        <v>0.57</v>
      </c>
      <c r="I222" s="308" t="inlineStr">
        <is>
          <t>Low</t>
        </is>
      </c>
      <c r="J222" s="308" t="inlineStr">
        <is>
          <t>drawing</t>
        </is>
      </c>
      <c r="K222" s="308" t="inlineStr">
        <is>
          <t>inferred:bare-isa</t>
        </is>
      </c>
      <c r="L222" s="308" t="inlineStr">
        <is>
          <t>drawing zone; process page; mapped sheet</t>
        </is>
      </c>
      <c r="M222" s="308" t="inlineStr">
        <is>
          <t>RL7-PRM-101 / PI</t>
        </is>
      </c>
      <c r="N222" s="308" t="inlineStr">
        <is>
          <t>native</t>
        </is>
      </c>
      <c r="O222" s="308" t="inlineStr">
        <is>
          <t>native-only</t>
        </is>
      </c>
      <c r="P222" s="308" t="inlineStr">
        <is>
          <t>native</t>
        </is>
      </c>
      <c r="Q222" s="308" t="inlineStr"/>
      <c r="R222" s="308" t="inlineStr">
        <is>
          <t>native text sufficient</t>
        </is>
      </c>
      <c r="S222" s="308" t="inlineStr"/>
      <c r="T222" s="308" t="inlineStr">
        <is>
          <t>p11:native:279, p11:native:59</t>
        </is>
      </c>
      <c r="U222" s="308" t="n">
        <v>2</v>
      </c>
    </row>
    <row r="223">
      <c r="A223" s="308" t="inlineStr">
        <is>
          <t>Missing in Excel</t>
        </is>
      </c>
      <c r="B223" s="308" t="inlineStr">
        <is>
          <t>DG7012</t>
        </is>
      </c>
      <c r="C223" s="308" t="n">
        <v>11</v>
      </c>
      <c r="D223" s="308" t="inlineStr">
        <is>
          <t>RL7-PRM-101-PI002</t>
        </is>
      </c>
      <c r="E223" s="308" t="inlineStr">
        <is>
          <t>RL7-PRM-101</t>
        </is>
      </c>
      <c r="F223" s="308" t="inlineStr">
        <is>
          <t>PI002</t>
        </is>
      </c>
      <c r="G223" s="308" t="inlineStr">
        <is>
          <t>instrument</t>
        </is>
      </c>
      <c r="H223" s="311" t="n">
        <v>0.57</v>
      </c>
      <c r="I223" s="308" t="inlineStr">
        <is>
          <t>Low</t>
        </is>
      </c>
      <c r="J223" s="308" t="inlineStr">
        <is>
          <t>drawing</t>
        </is>
      </c>
      <c r="K223" s="308" t="inlineStr">
        <is>
          <t>inferred:bare-isa</t>
        </is>
      </c>
      <c r="L223" s="308" t="inlineStr">
        <is>
          <t>drawing zone; process page; mapped sheet</t>
        </is>
      </c>
      <c r="M223" s="308" t="inlineStr">
        <is>
          <t>RL7-PRM-101 / PI</t>
        </is>
      </c>
      <c r="N223" s="308" t="inlineStr">
        <is>
          <t>native</t>
        </is>
      </c>
      <c r="O223" s="308" t="inlineStr">
        <is>
          <t>native-only</t>
        </is>
      </c>
      <c r="P223" s="308" t="inlineStr">
        <is>
          <t>native</t>
        </is>
      </c>
      <c r="Q223" s="308" t="inlineStr"/>
      <c r="R223" s="308" t="inlineStr">
        <is>
          <t>native text sufficient</t>
        </is>
      </c>
      <c r="S223" s="308" t="inlineStr"/>
      <c r="T223" s="308" t="inlineStr">
        <is>
          <t>p11:native:279, p11:native:14</t>
        </is>
      </c>
      <c r="U223" s="308" t="n">
        <v>2</v>
      </c>
    </row>
    <row r="224">
      <c r="A224" s="308" t="inlineStr">
        <is>
          <t>Missing in Excel</t>
        </is>
      </c>
      <c r="B224" s="308" t="inlineStr">
        <is>
          <t>DG7012</t>
        </is>
      </c>
      <c r="C224" s="308" t="n">
        <v>11</v>
      </c>
      <c r="D224" s="308" t="inlineStr">
        <is>
          <t>4"-RAW-T4</t>
        </is>
      </c>
      <c r="E224" s="308" t="inlineStr">
        <is>
          <t>RAW</t>
        </is>
      </c>
      <c r="F224" s="308" t="inlineStr">
        <is>
          <t>T4</t>
        </is>
      </c>
      <c r="G224" s="308" t="inlineStr">
        <is>
          <t>line</t>
        </is>
      </c>
      <c r="H224" s="311" t="n">
        <v>0.87</v>
      </c>
      <c r="I224" s="308" t="inlineStr">
        <is>
          <t>Medium</t>
        </is>
      </c>
      <c r="J224" s="308" t="inlineStr">
        <is>
          <t>drawing</t>
        </is>
      </c>
      <c r="K224" s="308" t="inlineStr">
        <is>
          <t>line:size-prefix</t>
        </is>
      </c>
      <c r="L224" s="308" t="inlineStr">
        <is>
          <t>drawing zone; process page; mapped sheet; repeated x7</t>
        </is>
      </c>
      <c r="M224" s="308" t="inlineStr">
        <is>
          <t>4"-RAW-T4</t>
        </is>
      </c>
      <c r="N224" s="308" t="inlineStr">
        <is>
          <t>native</t>
        </is>
      </c>
      <c r="O224" s="308" t="inlineStr">
        <is>
          <t>native-only</t>
        </is>
      </c>
      <c r="P224" s="308" t="inlineStr">
        <is>
          <t>native</t>
        </is>
      </c>
      <c r="Q224" s="308" t="inlineStr"/>
      <c r="R224" s="308" t="inlineStr">
        <is>
          <t>native text sufficient</t>
        </is>
      </c>
      <c r="S224" s="308" t="inlineStr"/>
      <c r="T224" s="308" t="inlineStr">
        <is>
          <t>p11:native:105</t>
        </is>
      </c>
      <c r="U224" s="308" t="n">
        <v>1</v>
      </c>
    </row>
    <row r="225">
      <c r="A225" s="308" t="inlineStr">
        <is>
          <t>Missing in Excel</t>
        </is>
      </c>
      <c r="B225" s="308" t="inlineStr">
        <is>
          <t>DG7012</t>
        </is>
      </c>
      <c r="C225" s="308" t="n">
        <v>11</v>
      </c>
      <c r="D225" s="308" t="inlineStr">
        <is>
          <t>4"-RAW-T4</t>
        </is>
      </c>
      <c r="E225" s="308" t="inlineStr">
        <is>
          <t>RAW</t>
        </is>
      </c>
      <c r="F225" s="308" t="inlineStr">
        <is>
          <t>T4</t>
        </is>
      </c>
      <c r="G225" s="308" t="inlineStr">
        <is>
          <t>line</t>
        </is>
      </c>
      <c r="H225" s="311" t="n">
        <v>0.87</v>
      </c>
      <c r="I225" s="308" t="inlineStr">
        <is>
          <t>Medium</t>
        </is>
      </c>
      <c r="J225" s="308" t="inlineStr">
        <is>
          <t>drawing</t>
        </is>
      </c>
      <c r="K225" s="308" t="inlineStr">
        <is>
          <t>line:size-prefix</t>
        </is>
      </c>
      <c r="L225" s="308" t="inlineStr">
        <is>
          <t>drawing zone; process page; mapped sheet; repeated x7</t>
        </is>
      </c>
      <c r="M225" s="308" t="inlineStr">
        <is>
          <t>4"-RAW-T4</t>
        </is>
      </c>
      <c r="N225" s="308" t="inlineStr">
        <is>
          <t>native</t>
        </is>
      </c>
      <c r="O225" s="308" t="inlineStr">
        <is>
          <t>native-only</t>
        </is>
      </c>
      <c r="P225" s="308" t="inlineStr">
        <is>
          <t>native</t>
        </is>
      </c>
      <c r="Q225" s="308" t="inlineStr"/>
      <c r="R225" s="308" t="inlineStr">
        <is>
          <t>native text sufficient</t>
        </is>
      </c>
      <c r="S225" s="308" t="inlineStr"/>
      <c r="T225" s="308" t="inlineStr">
        <is>
          <t>p11:native:179</t>
        </is>
      </c>
      <c r="U225" s="308" t="n">
        <v>1</v>
      </c>
    </row>
    <row r="226">
      <c r="A226" s="308" t="inlineStr">
        <is>
          <t>Missing in Excel</t>
        </is>
      </c>
      <c r="B226" s="308" t="inlineStr">
        <is>
          <t>DG7012</t>
        </is>
      </c>
      <c r="C226" s="308" t="n">
        <v>11</v>
      </c>
      <c r="D226" s="308" t="inlineStr">
        <is>
          <t>4"-RAW-T4</t>
        </is>
      </c>
      <c r="E226" s="308" t="inlineStr">
        <is>
          <t>RAW</t>
        </is>
      </c>
      <c r="F226" s="308" t="inlineStr">
        <is>
          <t>T4</t>
        </is>
      </c>
      <c r="G226" s="308" t="inlineStr">
        <is>
          <t>line</t>
        </is>
      </c>
      <c r="H226" s="311" t="n">
        <v>0.87</v>
      </c>
      <c r="I226" s="308" t="inlineStr">
        <is>
          <t>Medium</t>
        </is>
      </c>
      <c r="J226" s="308" t="inlineStr">
        <is>
          <t>drawing</t>
        </is>
      </c>
      <c r="K226" s="308" t="inlineStr">
        <is>
          <t>line:size-prefix</t>
        </is>
      </c>
      <c r="L226" s="308" t="inlineStr">
        <is>
          <t>drawing zone; process page; mapped sheet; repeated x7</t>
        </is>
      </c>
      <c r="M226" s="308" t="inlineStr">
        <is>
          <t>4"-RAW-T4</t>
        </is>
      </c>
      <c r="N226" s="308" t="inlineStr">
        <is>
          <t>native</t>
        </is>
      </c>
      <c r="O226" s="308" t="inlineStr">
        <is>
          <t>native-only</t>
        </is>
      </c>
      <c r="P226" s="308" t="inlineStr">
        <is>
          <t>native</t>
        </is>
      </c>
      <c r="Q226" s="308" t="inlineStr"/>
      <c r="R226" s="308" t="inlineStr">
        <is>
          <t>native text sufficient</t>
        </is>
      </c>
      <c r="S226" s="308" t="inlineStr"/>
      <c r="T226" s="308" t="inlineStr">
        <is>
          <t>p11:native:180</t>
        </is>
      </c>
      <c r="U226" s="308" t="n">
        <v>1</v>
      </c>
    </row>
    <row r="227">
      <c r="A227" s="308" t="inlineStr">
        <is>
          <t>Missing in Excel</t>
        </is>
      </c>
      <c r="B227" s="308" t="inlineStr">
        <is>
          <t>DG7012</t>
        </is>
      </c>
      <c r="C227" s="308" t="n">
        <v>11</v>
      </c>
      <c r="D227" s="308" t="inlineStr">
        <is>
          <t>4"-RAW-T4</t>
        </is>
      </c>
      <c r="E227" s="308" t="inlineStr">
        <is>
          <t>RAW</t>
        </is>
      </c>
      <c r="F227" s="308" t="inlineStr">
        <is>
          <t>T4</t>
        </is>
      </c>
      <c r="G227" s="308" t="inlineStr">
        <is>
          <t>line</t>
        </is>
      </c>
      <c r="H227" s="311" t="n">
        <v>0.87</v>
      </c>
      <c r="I227" s="308" t="inlineStr">
        <is>
          <t>Medium</t>
        </is>
      </c>
      <c r="J227" s="308" t="inlineStr">
        <is>
          <t>drawing</t>
        </is>
      </c>
      <c r="K227" s="308" t="inlineStr">
        <is>
          <t>line:size-prefix</t>
        </is>
      </c>
      <c r="L227" s="308" t="inlineStr">
        <is>
          <t>drawing zone; process page; mapped sheet; repeated x7</t>
        </is>
      </c>
      <c r="M227" s="308" t="inlineStr">
        <is>
          <t>4"-RAW-T4</t>
        </is>
      </c>
      <c r="N227" s="308" t="inlineStr">
        <is>
          <t>native</t>
        </is>
      </c>
      <c r="O227" s="308" t="inlineStr">
        <is>
          <t>native-only</t>
        </is>
      </c>
      <c r="P227" s="308" t="inlineStr">
        <is>
          <t>native</t>
        </is>
      </c>
      <c r="Q227" s="308" t="inlineStr"/>
      <c r="R227" s="308" t="inlineStr">
        <is>
          <t>native text sufficient</t>
        </is>
      </c>
      <c r="S227" s="308" t="inlineStr"/>
      <c r="T227" s="308" t="inlineStr">
        <is>
          <t>p11:native:181</t>
        </is>
      </c>
      <c r="U227" s="308" t="n">
        <v>1</v>
      </c>
    </row>
    <row r="228">
      <c r="A228" s="308" t="inlineStr">
        <is>
          <t>Missing in Excel</t>
        </is>
      </c>
      <c r="B228" s="308" t="inlineStr">
        <is>
          <t>DG7012</t>
        </is>
      </c>
      <c r="C228" s="308" t="n">
        <v>11</v>
      </c>
      <c r="D228" s="308" t="inlineStr">
        <is>
          <t>4"-RAW-T4</t>
        </is>
      </c>
      <c r="E228" s="308" t="inlineStr">
        <is>
          <t>RAW</t>
        </is>
      </c>
      <c r="F228" s="308" t="inlineStr">
        <is>
          <t>T4</t>
        </is>
      </c>
      <c r="G228" s="308" t="inlineStr">
        <is>
          <t>line</t>
        </is>
      </c>
      <c r="H228" s="311" t="n">
        <v>0.87</v>
      </c>
      <c r="I228" s="308" t="inlineStr">
        <is>
          <t>Medium</t>
        </is>
      </c>
      <c r="J228" s="308" t="inlineStr">
        <is>
          <t>drawing</t>
        </is>
      </c>
      <c r="K228" s="308" t="inlineStr">
        <is>
          <t>line:size-prefix</t>
        </is>
      </c>
      <c r="L228" s="308" t="inlineStr">
        <is>
          <t>drawing zone; process page; mapped sheet; repeated x7</t>
        </is>
      </c>
      <c r="M228" s="308" t="inlineStr">
        <is>
          <t>4"-RAW-T4</t>
        </is>
      </c>
      <c r="N228" s="308" t="inlineStr">
        <is>
          <t>native</t>
        </is>
      </c>
      <c r="O228" s="308" t="inlineStr">
        <is>
          <t>native-only</t>
        </is>
      </c>
      <c r="P228" s="308" t="inlineStr">
        <is>
          <t>native</t>
        </is>
      </c>
      <c r="Q228" s="308" t="inlineStr"/>
      <c r="R228" s="308" t="inlineStr">
        <is>
          <t>native text sufficient</t>
        </is>
      </c>
      <c r="S228" s="308" t="inlineStr"/>
      <c r="T228" s="308" t="inlineStr">
        <is>
          <t>p11:native:186</t>
        </is>
      </c>
      <c r="U228" s="308" t="n">
        <v>1</v>
      </c>
    </row>
    <row r="229">
      <c r="A229" s="308" t="inlineStr">
        <is>
          <t>Missing in Excel</t>
        </is>
      </c>
      <c r="B229" s="308" t="inlineStr">
        <is>
          <t>DG7012</t>
        </is>
      </c>
      <c r="C229" s="308" t="n">
        <v>11</v>
      </c>
      <c r="D229" s="308" t="inlineStr">
        <is>
          <t>4"-RAW-T4</t>
        </is>
      </c>
      <c r="E229" s="308" t="inlineStr">
        <is>
          <t>RAW</t>
        </is>
      </c>
      <c r="F229" s="308" t="inlineStr">
        <is>
          <t>T4</t>
        </is>
      </c>
      <c r="G229" s="308" t="inlineStr">
        <is>
          <t>line</t>
        </is>
      </c>
      <c r="H229" s="311" t="n">
        <v>0.87</v>
      </c>
      <c r="I229" s="308" t="inlineStr">
        <is>
          <t>Medium</t>
        </is>
      </c>
      <c r="J229" s="308" t="inlineStr">
        <is>
          <t>drawing</t>
        </is>
      </c>
      <c r="K229" s="308" t="inlineStr">
        <is>
          <t>line:size-prefix</t>
        </is>
      </c>
      <c r="L229" s="308" t="inlineStr">
        <is>
          <t>drawing zone; process page; mapped sheet; repeated x7</t>
        </is>
      </c>
      <c r="M229" s="308" t="inlineStr">
        <is>
          <t>4"-RAW-T4</t>
        </is>
      </c>
      <c r="N229" s="308" t="inlineStr">
        <is>
          <t>native</t>
        </is>
      </c>
      <c r="O229" s="308" t="inlineStr">
        <is>
          <t>native-only</t>
        </is>
      </c>
      <c r="P229" s="308" t="inlineStr">
        <is>
          <t>native</t>
        </is>
      </c>
      <c r="Q229" s="308" t="inlineStr"/>
      <c r="R229" s="308" t="inlineStr">
        <is>
          <t>native text sufficient</t>
        </is>
      </c>
      <c r="S229" s="308" t="inlineStr"/>
      <c r="T229" s="308" t="inlineStr">
        <is>
          <t>p11:native:255</t>
        </is>
      </c>
      <c r="U229" s="308" t="n">
        <v>1</v>
      </c>
    </row>
    <row r="230">
      <c r="A230" s="308" t="inlineStr">
        <is>
          <t>Missing in Excel</t>
        </is>
      </c>
      <c r="B230" s="308" t="inlineStr">
        <is>
          <t>DG7012</t>
        </is>
      </c>
      <c r="C230" s="308" t="n">
        <v>11</v>
      </c>
      <c r="D230" s="308" t="inlineStr">
        <is>
          <t>4"-RAW-T4</t>
        </is>
      </c>
      <c r="E230" s="308" t="inlineStr">
        <is>
          <t>RAW</t>
        </is>
      </c>
      <c r="F230" s="308" t="inlineStr">
        <is>
          <t>T4</t>
        </is>
      </c>
      <c r="G230" s="308" t="inlineStr">
        <is>
          <t>line</t>
        </is>
      </c>
      <c r="H230" s="311" t="n">
        <v>0.87</v>
      </c>
      <c r="I230" s="308" t="inlineStr">
        <is>
          <t>Medium</t>
        </is>
      </c>
      <c r="J230" s="308" t="inlineStr">
        <is>
          <t>drawing</t>
        </is>
      </c>
      <c r="K230" s="308" t="inlineStr">
        <is>
          <t>line:size-prefix</t>
        </is>
      </c>
      <c r="L230" s="308" t="inlineStr">
        <is>
          <t>drawing zone; process page; mapped sheet; repeated x7</t>
        </is>
      </c>
      <c r="M230" s="308" t="inlineStr">
        <is>
          <t>ZSS-03 4"-RAW-T4</t>
        </is>
      </c>
      <c r="N230" s="308" t="inlineStr">
        <is>
          <t>native</t>
        </is>
      </c>
      <c r="O230" s="308" t="inlineStr">
        <is>
          <t>native-only</t>
        </is>
      </c>
      <c r="P230" s="308" t="inlineStr">
        <is>
          <t>native</t>
        </is>
      </c>
      <c r="Q230" s="308" t="inlineStr"/>
      <c r="R230" s="308" t="inlineStr">
        <is>
          <t>native text sufficient</t>
        </is>
      </c>
      <c r="S230" s="308" t="inlineStr"/>
      <c r="T230" s="308" t="inlineStr">
        <is>
          <t>p11:native:205, p11:native:255</t>
        </is>
      </c>
      <c r="U230" s="308" t="n">
        <v>2</v>
      </c>
    </row>
    <row r="231">
      <c r="A231" s="308" t="inlineStr">
        <is>
          <t>Missing in Excel</t>
        </is>
      </c>
      <c r="B231" s="308" t="inlineStr">
        <is>
          <t>DG7012</t>
        </is>
      </c>
      <c r="C231" s="308" t="n">
        <v>11</v>
      </c>
      <c r="D231" s="308" t="inlineStr">
        <is>
          <t>1"-CA-12A</t>
        </is>
      </c>
      <c r="E231" s="308" t="inlineStr">
        <is>
          <t>CA</t>
        </is>
      </c>
      <c r="F231" s="308" t="inlineStr">
        <is>
          <t>12A</t>
        </is>
      </c>
      <c r="G231" s="308" t="inlineStr">
        <is>
          <t>line</t>
        </is>
      </c>
      <c r="H231" s="311" t="n">
        <v>0.77</v>
      </c>
      <c r="I231" s="308" t="inlineStr">
        <is>
          <t>Medium</t>
        </is>
      </c>
      <c r="J231" s="308" t="inlineStr">
        <is>
          <t>drawing</t>
        </is>
      </c>
      <c r="K231" s="308" t="inlineStr">
        <is>
          <t>line:size-prefix</t>
        </is>
      </c>
      <c r="L231" s="308" t="inlineStr">
        <is>
          <t>drawing zone; process page; mapped sheet</t>
        </is>
      </c>
      <c r="M231" s="308" t="inlineStr">
        <is>
          <t>1"-CA-12A</t>
        </is>
      </c>
      <c r="N231" s="308" t="inlineStr">
        <is>
          <t>native</t>
        </is>
      </c>
      <c r="O231" s="308" t="inlineStr">
        <is>
          <t>native-only</t>
        </is>
      </c>
      <c r="P231" s="308" t="inlineStr">
        <is>
          <t>native</t>
        </is>
      </c>
      <c r="Q231" s="308" t="inlineStr"/>
      <c r="R231" s="308" t="inlineStr">
        <is>
          <t>native text sufficient</t>
        </is>
      </c>
      <c r="S231" s="308" t="inlineStr"/>
      <c r="T231" s="308" t="inlineStr">
        <is>
          <t>p11:native:106</t>
        </is>
      </c>
      <c r="U231" s="308" t="n">
        <v>1</v>
      </c>
    </row>
    <row r="232">
      <c r="A232" s="308" t="inlineStr">
        <is>
          <t>Missing in Excel</t>
        </is>
      </c>
      <c r="B232" s="308" t="inlineStr">
        <is>
          <t>DG7012</t>
        </is>
      </c>
      <c r="C232" s="308" t="n">
        <v>11</v>
      </c>
      <c r="D232" s="308" t="inlineStr">
        <is>
          <t>1.5"-CIPS-T4</t>
        </is>
      </c>
      <c r="E232" s="308" t="inlineStr">
        <is>
          <t>CIPS</t>
        </is>
      </c>
      <c r="F232" s="308" t="inlineStr">
        <is>
          <t>T4</t>
        </is>
      </c>
      <c r="G232" s="308" t="inlineStr">
        <is>
          <t>line</t>
        </is>
      </c>
      <c r="H232" s="311" t="n">
        <v>0.77</v>
      </c>
      <c r="I232" s="308" t="inlineStr">
        <is>
          <t>Medium</t>
        </is>
      </c>
      <c r="J232" s="308" t="inlineStr">
        <is>
          <t>drawing</t>
        </is>
      </c>
      <c r="K232" s="308" t="inlineStr">
        <is>
          <t>line:size-prefix</t>
        </is>
      </c>
      <c r="L232" s="308" t="inlineStr">
        <is>
          <t>drawing zone; process page; mapped sheet</t>
        </is>
      </c>
      <c r="M232" s="308" t="inlineStr">
        <is>
          <t>1.5"-CIPS-T4</t>
        </is>
      </c>
      <c r="N232" s="308" t="inlineStr">
        <is>
          <t>native</t>
        </is>
      </c>
      <c r="O232" s="308" t="inlineStr">
        <is>
          <t>native-only</t>
        </is>
      </c>
      <c r="P232" s="308" t="inlineStr">
        <is>
          <t>native</t>
        </is>
      </c>
      <c r="Q232" s="308" t="inlineStr"/>
      <c r="R232" s="308" t="inlineStr">
        <is>
          <t>native text sufficient</t>
        </is>
      </c>
      <c r="S232" s="308" t="inlineStr"/>
      <c r="T232" s="308" t="inlineStr">
        <is>
          <t>p11:native:129</t>
        </is>
      </c>
      <c r="U232" s="308" t="n">
        <v>1</v>
      </c>
    </row>
    <row r="233">
      <c r="A233" s="308" t="inlineStr">
        <is>
          <t>Missing in Excel</t>
        </is>
      </c>
      <c r="B233" s="308" t="inlineStr">
        <is>
          <t>DG7012</t>
        </is>
      </c>
      <c r="C233" s="308" t="n">
        <v>11</v>
      </c>
      <c r="D233" s="308" t="inlineStr">
        <is>
          <t>3"-CIPR-T4</t>
        </is>
      </c>
      <c r="E233" s="308" t="inlineStr">
        <is>
          <t>CIPR</t>
        </is>
      </c>
      <c r="F233" s="308" t="inlineStr">
        <is>
          <t>T4</t>
        </is>
      </c>
      <c r="G233" s="308" t="inlineStr">
        <is>
          <t>line</t>
        </is>
      </c>
      <c r="H233" s="311" t="n">
        <v>0.77</v>
      </c>
      <c r="I233" s="308" t="inlineStr">
        <is>
          <t>Medium</t>
        </is>
      </c>
      <c r="J233" s="308" t="inlineStr">
        <is>
          <t>drawing</t>
        </is>
      </c>
      <c r="K233" s="308" t="inlineStr">
        <is>
          <t>line:size-prefix</t>
        </is>
      </c>
      <c r="L233" s="308" t="inlineStr">
        <is>
          <t>drawing zone; process page; mapped sheet</t>
        </is>
      </c>
      <c r="M233" s="308" t="inlineStr">
        <is>
          <t>3"-CIPR-T4</t>
        </is>
      </c>
      <c r="N233" s="308" t="inlineStr">
        <is>
          <t>native</t>
        </is>
      </c>
      <c r="O233" s="308" t="inlineStr">
        <is>
          <t>native-only</t>
        </is>
      </c>
      <c r="P233" s="308" t="inlineStr">
        <is>
          <t>native</t>
        </is>
      </c>
      <c r="Q233" s="308" t="inlineStr"/>
      <c r="R233" s="308" t="inlineStr">
        <is>
          <t>native text sufficient</t>
        </is>
      </c>
      <c r="S233" s="308" t="inlineStr"/>
      <c r="T233" s="308" t="inlineStr">
        <is>
          <t>p11:native:254</t>
        </is>
      </c>
      <c r="U233" s="308" t="n">
        <v>1</v>
      </c>
    </row>
    <row r="234">
      <c r="A234" s="308" t="inlineStr">
        <is>
          <t>Missing in Excel</t>
        </is>
      </c>
      <c r="B234" s="308" t="inlineStr">
        <is>
          <t>DG7012</t>
        </is>
      </c>
      <c r="C234" s="308" t="n">
        <v>11</v>
      </c>
      <c r="D234" s="308" t="inlineStr">
        <is>
          <t>3"-GUM-T4</t>
        </is>
      </c>
      <c r="E234" s="308" t="inlineStr">
        <is>
          <t>GUM</t>
        </is>
      </c>
      <c r="F234" s="308" t="inlineStr">
        <is>
          <t>T4</t>
        </is>
      </c>
      <c r="G234" s="308" t="inlineStr">
        <is>
          <t>line</t>
        </is>
      </c>
      <c r="H234" s="311" t="n">
        <v>0.77</v>
      </c>
      <c r="I234" s="308" t="inlineStr">
        <is>
          <t>Medium</t>
        </is>
      </c>
      <c r="J234" s="308" t="inlineStr">
        <is>
          <t>drawing</t>
        </is>
      </c>
      <c r="K234" s="308" t="inlineStr">
        <is>
          <t>line:size-prefix</t>
        </is>
      </c>
      <c r="L234" s="308" t="inlineStr">
        <is>
          <t>drawing zone; process page; mapped sheet</t>
        </is>
      </c>
      <c r="M234" s="308" t="inlineStr">
        <is>
          <t>3"-GUM-T4</t>
        </is>
      </c>
      <c r="N234" s="308" t="inlineStr">
        <is>
          <t>native</t>
        </is>
      </c>
      <c r="O234" s="308" t="inlineStr">
        <is>
          <t>native-only</t>
        </is>
      </c>
      <c r="P234" s="308" t="inlineStr">
        <is>
          <t>native</t>
        </is>
      </c>
      <c r="Q234" s="308" t="inlineStr"/>
      <c r="R234" s="308" t="inlineStr">
        <is>
          <t>native text sufficient</t>
        </is>
      </c>
      <c r="S234" s="308" t="inlineStr"/>
      <c r="T234" s="308" t="inlineStr">
        <is>
          <t>p11:native:107</t>
        </is>
      </c>
      <c r="U234" s="308" t="n">
        <v>1</v>
      </c>
    </row>
    <row r="235">
      <c r="A235" s="308" t="inlineStr">
        <is>
          <t>Missing in Excel</t>
        </is>
      </c>
      <c r="B235" s="308" t="inlineStr">
        <is>
          <t>DG7012</t>
        </is>
      </c>
      <c r="C235" s="308" t="n">
        <v>11</v>
      </c>
      <c r="D235" s="308" t="inlineStr">
        <is>
          <t>RL7-CIP-200</t>
        </is>
      </c>
      <c r="E235" s="308" t="inlineStr">
        <is>
          <t>RL7-CIP-200</t>
        </is>
      </c>
      <c r="F235" s="308" t="inlineStr"/>
      <c r="G235" s="308" t="inlineStr">
        <is>
          <t>equipment</t>
        </is>
      </c>
      <c r="H235" s="311" t="n">
        <v>0.49</v>
      </c>
      <c r="I235" s="308" t="inlineStr">
        <is>
          <t>Low</t>
        </is>
      </c>
      <c r="J235" s="308" t="inlineStr">
        <is>
          <t>title-block/right</t>
        </is>
      </c>
      <c r="K235" s="308" t="inlineStr">
        <is>
          <t>standalone:asset</t>
        </is>
      </c>
      <c r="L235" s="308" t="inlineStr">
        <is>
          <t>title-block penalty; process page; mapped sheet</t>
        </is>
      </c>
      <c r="M235" s="308" t="inlineStr">
        <is>
          <t>RL7-CIP-200</t>
        </is>
      </c>
      <c r="N235" s="308" t="inlineStr">
        <is>
          <t>native</t>
        </is>
      </c>
      <c r="O235" s="308" t="inlineStr">
        <is>
          <t>native-only</t>
        </is>
      </c>
      <c r="P235" s="308" t="inlineStr">
        <is>
          <t>native</t>
        </is>
      </c>
      <c r="Q235" s="308" t="inlineStr"/>
      <c r="R235" s="308" t="inlineStr">
        <is>
          <t>native text sufficient</t>
        </is>
      </c>
      <c r="S235" s="308" t="inlineStr"/>
      <c r="T235" s="308" t="inlineStr">
        <is>
          <t>p11:native:246</t>
        </is>
      </c>
      <c r="U235" s="308" t="n">
        <v>1</v>
      </c>
    </row>
    <row r="236">
      <c r="A236" s="308" t="inlineStr">
        <is>
          <t>Missing in Excel</t>
        </is>
      </c>
      <c r="B236" s="308" t="inlineStr">
        <is>
          <t>DG7012</t>
        </is>
      </c>
      <c r="C236" s="308" t="n">
        <v>11</v>
      </c>
      <c r="D236" s="308" t="inlineStr">
        <is>
          <t>RL7-CKR-101</t>
        </is>
      </c>
      <c r="E236" s="308" t="inlineStr">
        <is>
          <t>RL7-CKR-101</t>
        </is>
      </c>
      <c r="F236" s="308" t="inlineStr"/>
      <c r="G236" s="308" t="inlineStr">
        <is>
          <t>equipment</t>
        </is>
      </c>
      <c r="H236" s="311" t="n">
        <v>0.49</v>
      </c>
      <c r="I236" s="308" t="inlineStr">
        <is>
          <t>Low</t>
        </is>
      </c>
      <c r="J236" s="308" t="inlineStr">
        <is>
          <t>title-block/right</t>
        </is>
      </c>
      <c r="K236" s="308" t="inlineStr">
        <is>
          <t>standalone:asset</t>
        </is>
      </c>
      <c r="L236" s="308" t="inlineStr">
        <is>
          <t>title-block penalty; process page; mapped sheet</t>
        </is>
      </c>
      <c r="M236" s="308" t="inlineStr">
        <is>
          <t>RL7-CKR-101</t>
        </is>
      </c>
      <c r="N236" s="308" t="inlineStr">
        <is>
          <t>native</t>
        </is>
      </c>
      <c r="O236" s="308" t="inlineStr">
        <is>
          <t>native-only</t>
        </is>
      </c>
      <c r="P236" s="308" t="inlineStr">
        <is>
          <t>native</t>
        </is>
      </c>
      <c r="Q236" s="308" t="inlineStr"/>
      <c r="R236" s="308" t="inlineStr">
        <is>
          <t>native text sufficient</t>
        </is>
      </c>
      <c r="S236" s="308" t="inlineStr"/>
      <c r="T236" s="308" t="inlineStr">
        <is>
          <t>p11:native:184</t>
        </is>
      </c>
      <c r="U236" s="308" t="n">
        <v>1</v>
      </c>
    </row>
    <row r="237">
      <c r="A237" s="308" t="inlineStr">
        <is>
          <t>Missing in Excel</t>
        </is>
      </c>
      <c r="B237" s="308" t="inlineStr">
        <is>
          <t>DG7012</t>
        </is>
      </c>
      <c r="C237" s="308" t="n">
        <v>11</v>
      </c>
      <c r="D237" s="308" t="inlineStr">
        <is>
          <t>RL7-CKR-102</t>
        </is>
      </c>
      <c r="E237" s="308" t="inlineStr">
        <is>
          <t>RL7-CKR-102</t>
        </is>
      </c>
      <c r="F237" s="308" t="inlineStr"/>
      <c r="G237" s="308" t="inlineStr">
        <is>
          <t>equipment</t>
        </is>
      </c>
      <c r="H237" s="311" t="n">
        <v>0.49</v>
      </c>
      <c r="I237" s="308" t="inlineStr">
        <is>
          <t>Low</t>
        </is>
      </c>
      <c r="J237" s="308" t="inlineStr">
        <is>
          <t>title-block/right</t>
        </is>
      </c>
      <c r="K237" s="308" t="inlineStr">
        <is>
          <t>standalone:asset</t>
        </is>
      </c>
      <c r="L237" s="308" t="inlineStr">
        <is>
          <t>title-block penalty; process page; mapped sheet</t>
        </is>
      </c>
      <c r="M237" s="308" t="inlineStr">
        <is>
          <t>RL7-CKR-102</t>
        </is>
      </c>
      <c r="N237" s="308" t="inlineStr">
        <is>
          <t>native</t>
        </is>
      </c>
      <c r="O237" s="308" t="inlineStr">
        <is>
          <t>native-only</t>
        </is>
      </c>
      <c r="P237" s="308" t="inlineStr">
        <is>
          <t>native</t>
        </is>
      </c>
      <c r="Q237" s="308" t="inlineStr"/>
      <c r="R237" s="308" t="inlineStr">
        <is>
          <t>native text sufficient</t>
        </is>
      </c>
      <c r="S237" s="308" t="inlineStr"/>
      <c r="T237" s="308" t="inlineStr">
        <is>
          <t>p11:native:189</t>
        </is>
      </c>
      <c r="U237" s="308" t="n">
        <v>1</v>
      </c>
    </row>
    <row r="238">
      <c r="A238" s="308" t="inlineStr">
        <is>
          <t>Missing in Excel</t>
        </is>
      </c>
      <c r="B238" s="308" t="inlineStr">
        <is>
          <t>DG7012</t>
        </is>
      </c>
      <c r="C238" s="308" t="n">
        <v>11</v>
      </c>
      <c r="D238" s="308" t="inlineStr">
        <is>
          <t>RL7-SKD-101</t>
        </is>
      </c>
      <c r="E238" s="308" t="inlineStr">
        <is>
          <t>RL7-SKD-101</t>
        </is>
      </c>
      <c r="F238" s="308" t="inlineStr"/>
      <c r="G238" s="308" t="inlineStr">
        <is>
          <t>equipment</t>
        </is>
      </c>
      <c r="H238" s="311" t="n">
        <v>0.49</v>
      </c>
      <c r="I238" s="308" t="inlineStr">
        <is>
          <t>Low</t>
        </is>
      </c>
      <c r="J238" s="308" t="inlineStr">
        <is>
          <t>title-block/right</t>
        </is>
      </c>
      <c r="K238" s="308" t="inlineStr">
        <is>
          <t>standalone:asset</t>
        </is>
      </c>
      <c r="L238" s="308" t="inlineStr">
        <is>
          <t>title-block penalty; process page; mapped sheet</t>
        </is>
      </c>
      <c r="M238" s="308" t="inlineStr">
        <is>
          <t>RL7-SKD-101</t>
        </is>
      </c>
      <c r="N238" s="308" t="inlineStr">
        <is>
          <t>native</t>
        </is>
      </c>
      <c r="O238" s="308" t="inlineStr">
        <is>
          <t>native-only</t>
        </is>
      </c>
      <c r="P238" s="308" t="inlineStr">
        <is>
          <t>native</t>
        </is>
      </c>
      <c r="Q238" s="308" t="inlineStr"/>
      <c r="R238" s="308" t="inlineStr">
        <is>
          <t>native text sufficient</t>
        </is>
      </c>
      <c r="S238" s="308" t="inlineStr"/>
      <c r="T238" s="308" t="inlineStr">
        <is>
          <t>p11:native:91</t>
        </is>
      </c>
      <c r="U238" s="308" t="n">
        <v>1</v>
      </c>
    </row>
    <row r="239">
      <c r="A239" s="308" t="inlineStr">
        <is>
          <t>Missing in Excel</t>
        </is>
      </c>
      <c r="B239" s="308" t="inlineStr">
        <is>
          <t>DG7020</t>
        </is>
      </c>
      <c r="C239" s="308" t="n">
        <v>12</v>
      </c>
      <c r="D239" s="308" t="inlineStr">
        <is>
          <t>RL7-CIP-200</t>
        </is>
      </c>
      <c r="E239" s="308" t="inlineStr">
        <is>
          <t>RL7-CIP-200</t>
        </is>
      </c>
      <c r="F239" s="308" t="inlineStr"/>
      <c r="G239" s="308" t="inlineStr">
        <is>
          <t>equipment</t>
        </is>
      </c>
      <c r="H239" s="311" t="n">
        <v>0.77</v>
      </c>
      <c r="I239" s="308" t="inlineStr">
        <is>
          <t>Medium</t>
        </is>
      </c>
      <c r="J239" s="308" t="inlineStr">
        <is>
          <t>drawing</t>
        </is>
      </c>
      <c r="K239" s="308" t="inlineStr">
        <is>
          <t>standalone:asset</t>
        </is>
      </c>
      <c r="L239" s="308" t="inlineStr">
        <is>
          <t>drawing zone; process page; mapped sheet</t>
        </is>
      </c>
      <c r="M239" s="308" t="inlineStr">
        <is>
          <t>RL7-CIP-200</t>
        </is>
      </c>
      <c r="N239" s="308" t="inlineStr">
        <is>
          <t>native</t>
        </is>
      </c>
      <c r="O239" s="308" t="inlineStr">
        <is>
          <t>native-only</t>
        </is>
      </c>
      <c r="P239" s="308" t="inlineStr">
        <is>
          <t>native</t>
        </is>
      </c>
      <c r="Q239" s="308" t="inlineStr"/>
      <c r="R239" s="308" t="inlineStr">
        <is>
          <t>native text sufficient</t>
        </is>
      </c>
      <c r="S239" s="308" t="inlineStr"/>
      <c r="T239" s="308" t="inlineStr">
        <is>
          <t>p12:native:32</t>
        </is>
      </c>
      <c r="U239" s="308" t="n">
        <v>1</v>
      </c>
    </row>
    <row r="240">
      <c r="A240" s="308" t="inlineStr">
        <is>
          <t>Missing in Excel</t>
        </is>
      </c>
      <c r="B240" s="308" t="inlineStr">
        <is>
          <t>DG7020</t>
        </is>
      </c>
      <c r="C240" s="308" t="n">
        <v>12</v>
      </c>
      <c r="D240" s="308" t="inlineStr">
        <is>
          <t>RL7-CKR-101</t>
        </is>
      </c>
      <c r="E240" s="308" t="inlineStr">
        <is>
          <t>RL7-CKR-101</t>
        </is>
      </c>
      <c r="F240" s="308" t="inlineStr"/>
      <c r="G240" s="308" t="inlineStr">
        <is>
          <t>equipment</t>
        </is>
      </c>
      <c r="H240" s="311" t="n">
        <v>0.77</v>
      </c>
      <c r="I240" s="308" t="inlineStr">
        <is>
          <t>Medium</t>
        </is>
      </c>
      <c r="J240" s="308" t="inlineStr">
        <is>
          <t>drawing</t>
        </is>
      </c>
      <c r="K240" s="308" t="inlineStr">
        <is>
          <t>standalone:asset</t>
        </is>
      </c>
      <c r="L240" s="308" t="inlineStr">
        <is>
          <t>drawing zone; process page; mapped sheet</t>
        </is>
      </c>
      <c r="M240" s="308" t="inlineStr">
        <is>
          <t>RL7-CKR-101</t>
        </is>
      </c>
      <c r="N240" s="308" t="inlineStr">
        <is>
          <t>native</t>
        </is>
      </c>
      <c r="O240" s="308" t="inlineStr">
        <is>
          <t>native-only</t>
        </is>
      </c>
      <c r="P240" s="308" t="inlineStr">
        <is>
          <t>native</t>
        </is>
      </c>
      <c r="Q240" s="308" t="inlineStr"/>
      <c r="R240" s="308" t="inlineStr">
        <is>
          <t>native text sufficient</t>
        </is>
      </c>
      <c r="S240" s="308" t="inlineStr"/>
      <c r="T240" s="308" t="inlineStr">
        <is>
          <t>p12:native:8</t>
        </is>
      </c>
      <c r="U240" s="308" t="n">
        <v>1</v>
      </c>
    </row>
    <row r="241">
      <c r="A241" s="308" t="inlineStr">
        <is>
          <t>Missing in Excel</t>
        </is>
      </c>
      <c r="B241" s="308" t="inlineStr">
        <is>
          <t>DG7020</t>
        </is>
      </c>
      <c r="C241" s="308" t="n">
        <v>12</v>
      </c>
      <c r="D241" s="308" t="inlineStr">
        <is>
          <t>RL7-CKR-103</t>
        </is>
      </c>
      <c r="E241" s="308" t="inlineStr">
        <is>
          <t>RL7-CKR-103</t>
        </is>
      </c>
      <c r="F241" s="308" t="inlineStr"/>
      <c r="G241" s="308" t="inlineStr">
        <is>
          <t>equipment</t>
        </is>
      </c>
      <c r="H241" s="311" t="n">
        <v>0.77</v>
      </c>
      <c r="I241" s="308" t="inlineStr">
        <is>
          <t>Medium</t>
        </is>
      </c>
      <c r="J241" s="308" t="inlineStr">
        <is>
          <t>drawing</t>
        </is>
      </c>
      <c r="K241" s="308" t="inlineStr">
        <is>
          <t>standalone:asset</t>
        </is>
      </c>
      <c r="L241" s="308" t="inlineStr">
        <is>
          <t>drawing zone; process page; mapped sheet</t>
        </is>
      </c>
      <c r="M241" s="308" t="inlineStr">
        <is>
          <t>RL7-CKR-103</t>
        </is>
      </c>
      <c r="N241" s="308" t="inlineStr">
        <is>
          <t>native</t>
        </is>
      </c>
      <c r="O241" s="308" t="inlineStr">
        <is>
          <t>native-only</t>
        </is>
      </c>
      <c r="P241" s="308" t="inlineStr">
        <is>
          <t>native</t>
        </is>
      </c>
      <c r="Q241" s="308" t="inlineStr"/>
      <c r="R241" s="308" t="inlineStr">
        <is>
          <t>native text sufficient</t>
        </is>
      </c>
      <c r="S241" s="308" t="inlineStr"/>
      <c r="T241" s="308" t="inlineStr">
        <is>
          <t>p12:native:36</t>
        </is>
      </c>
      <c r="U241" s="308" t="n">
        <v>1</v>
      </c>
    </row>
    <row r="242">
      <c r="A242" s="308" t="inlineStr">
        <is>
          <t>Missing in Excel</t>
        </is>
      </c>
      <c r="B242" s="308" t="inlineStr">
        <is>
          <t>DG7020</t>
        </is>
      </c>
      <c r="C242" s="308" t="n">
        <v>12</v>
      </c>
      <c r="D242" s="308" t="inlineStr">
        <is>
          <t>RL7-FAN-101</t>
        </is>
      </c>
      <c r="E242" s="308" t="inlineStr">
        <is>
          <t>RL7-FAN-101</t>
        </is>
      </c>
      <c r="F242" s="308" t="inlineStr"/>
      <c r="G242" s="308" t="inlineStr">
        <is>
          <t>equipment</t>
        </is>
      </c>
      <c r="H242" s="311" t="n">
        <v>0.77</v>
      </c>
      <c r="I242" s="308" t="inlineStr">
        <is>
          <t>Medium</t>
        </is>
      </c>
      <c r="J242" s="308" t="inlineStr">
        <is>
          <t>drawing</t>
        </is>
      </c>
      <c r="K242" s="308" t="inlineStr">
        <is>
          <t>standalone:asset</t>
        </is>
      </c>
      <c r="L242" s="308" t="inlineStr">
        <is>
          <t>drawing zone; process page; mapped sheet</t>
        </is>
      </c>
      <c r="M242" s="308" t="inlineStr">
        <is>
          <t>RL7-FAN-101</t>
        </is>
      </c>
      <c r="N242" s="308" t="inlineStr">
        <is>
          <t>native</t>
        </is>
      </c>
      <c r="O242" s="308" t="inlineStr">
        <is>
          <t>native-only</t>
        </is>
      </c>
      <c r="P242" s="308" t="inlineStr">
        <is>
          <t>native</t>
        </is>
      </c>
      <c r="Q242" s="308" t="inlineStr"/>
      <c r="R242" s="308" t="inlineStr">
        <is>
          <t>native text sufficient</t>
        </is>
      </c>
      <c r="S242" s="308" t="inlineStr"/>
      <c r="T242" s="308" t="inlineStr">
        <is>
          <t>p12:native:158</t>
        </is>
      </c>
      <c r="U242" s="308" t="n">
        <v>1</v>
      </c>
    </row>
    <row r="243">
      <c r="A243" s="308" t="inlineStr">
        <is>
          <t>Missing in Excel</t>
        </is>
      </c>
      <c r="B243" s="308" t="inlineStr">
        <is>
          <t>DG7020</t>
        </is>
      </c>
      <c r="C243" s="308" t="n">
        <v>12</v>
      </c>
      <c r="D243" s="308" t="inlineStr">
        <is>
          <t>RL7-FAN-103</t>
        </is>
      </c>
      <c r="E243" s="308" t="inlineStr">
        <is>
          <t>RL7-FAN-103</t>
        </is>
      </c>
      <c r="F243" s="308" t="inlineStr"/>
      <c r="G243" s="308" t="inlineStr">
        <is>
          <t>equipment</t>
        </is>
      </c>
      <c r="H243" s="311" t="n">
        <v>0.77</v>
      </c>
      <c r="I243" s="308" t="inlineStr">
        <is>
          <t>Medium</t>
        </is>
      </c>
      <c r="J243" s="308" t="inlineStr">
        <is>
          <t>drawing</t>
        </is>
      </c>
      <c r="K243" s="308" t="inlineStr">
        <is>
          <t>standalone:asset</t>
        </is>
      </c>
      <c r="L243" s="308" t="inlineStr">
        <is>
          <t>drawing zone; process page; mapped sheet</t>
        </is>
      </c>
      <c r="M243" s="308" t="inlineStr">
        <is>
          <t>RL7-FAN-103</t>
        </is>
      </c>
      <c r="N243" s="308" t="inlineStr">
        <is>
          <t>native</t>
        </is>
      </c>
      <c r="O243" s="308" t="inlineStr">
        <is>
          <t>native-only</t>
        </is>
      </c>
      <c r="P243" s="308" t="inlineStr">
        <is>
          <t>native</t>
        </is>
      </c>
      <c r="Q243" s="308" t="inlineStr"/>
      <c r="R243" s="308" t="inlineStr">
        <is>
          <t>native text sufficient</t>
        </is>
      </c>
      <c r="S243" s="308" t="inlineStr"/>
      <c r="T243" s="308" t="inlineStr">
        <is>
          <t>p12:native:160</t>
        </is>
      </c>
      <c r="U243" s="308" t="n">
        <v>1</v>
      </c>
    </row>
    <row r="244">
      <c r="A244" s="308" t="inlineStr">
        <is>
          <t>Missing in Excel</t>
        </is>
      </c>
      <c r="B244" s="308" t="inlineStr">
        <is>
          <t>DG7020</t>
        </is>
      </c>
      <c r="C244" s="308" t="n">
        <v>12</v>
      </c>
      <c r="D244" s="308" t="inlineStr">
        <is>
          <t>RL7-MLT-107</t>
        </is>
      </c>
      <c r="E244" s="308" t="inlineStr">
        <is>
          <t>RL7-MLT-107</t>
        </is>
      </c>
      <c r="F244" s="308" t="inlineStr"/>
      <c r="G244" s="308" t="inlineStr">
        <is>
          <t>equipment</t>
        </is>
      </c>
      <c r="H244" s="311" t="n">
        <v>0.77</v>
      </c>
      <c r="I244" s="308" t="inlineStr">
        <is>
          <t>Medium</t>
        </is>
      </c>
      <c r="J244" s="308" t="inlineStr">
        <is>
          <t>drawing</t>
        </is>
      </c>
      <c r="K244" s="308" t="inlineStr">
        <is>
          <t>standalone:asset</t>
        </is>
      </c>
      <c r="L244" s="308" t="inlineStr">
        <is>
          <t>drawing zone; process page; mapped sheet</t>
        </is>
      </c>
      <c r="M244" s="308" t="inlineStr">
        <is>
          <t>RL7-MLT-107</t>
        </is>
      </c>
      <c r="N244" s="308" t="inlineStr">
        <is>
          <t>native</t>
        </is>
      </c>
      <c r="O244" s="308" t="inlineStr">
        <is>
          <t>native-only</t>
        </is>
      </c>
      <c r="P244" s="308" t="inlineStr">
        <is>
          <t>native</t>
        </is>
      </c>
      <c r="Q244" s="308" t="inlineStr"/>
      <c r="R244" s="308" t="inlineStr">
        <is>
          <t>native text sufficient</t>
        </is>
      </c>
      <c r="S244" s="308" t="inlineStr"/>
      <c r="T244" s="308" t="inlineStr">
        <is>
          <t>p12:native:171</t>
        </is>
      </c>
      <c r="U244" s="308" t="n">
        <v>1</v>
      </c>
    </row>
    <row r="245">
      <c r="A245" s="308" t="inlineStr">
        <is>
          <t>Missing in Excel</t>
        </is>
      </c>
      <c r="B245" s="308" t="inlineStr">
        <is>
          <t>DG7020</t>
        </is>
      </c>
      <c r="C245" s="308" t="n">
        <v>12</v>
      </c>
      <c r="D245" s="308" t="inlineStr">
        <is>
          <t>RL7-PMP-104</t>
        </is>
      </c>
      <c r="E245" s="308" t="inlineStr">
        <is>
          <t>RL7-PMP-104</t>
        </is>
      </c>
      <c r="F245" s="308" t="inlineStr"/>
      <c r="G245" s="308" t="inlineStr">
        <is>
          <t>equipment</t>
        </is>
      </c>
      <c r="H245" s="311" t="n">
        <v>0.77</v>
      </c>
      <c r="I245" s="308" t="inlineStr">
        <is>
          <t>Medium</t>
        </is>
      </c>
      <c r="J245" s="308" t="inlineStr">
        <is>
          <t>drawing</t>
        </is>
      </c>
      <c r="K245" s="308" t="inlineStr">
        <is>
          <t>standalone:asset</t>
        </is>
      </c>
      <c r="L245" s="308" t="inlineStr">
        <is>
          <t>drawing zone; process page; mapped sheet</t>
        </is>
      </c>
      <c r="M245" s="308" t="inlineStr">
        <is>
          <t>RL7-PMP-104</t>
        </is>
      </c>
      <c r="N245" s="308" t="inlineStr">
        <is>
          <t>native</t>
        </is>
      </c>
      <c r="O245" s="308" t="inlineStr">
        <is>
          <t>native-only</t>
        </is>
      </c>
      <c r="P245" s="308" t="inlineStr">
        <is>
          <t>native</t>
        </is>
      </c>
      <c r="Q245" s="308" t="inlineStr"/>
      <c r="R245" s="308" t="inlineStr">
        <is>
          <t>native text sufficient</t>
        </is>
      </c>
      <c r="S245" s="308" t="inlineStr"/>
      <c r="T245" s="308" t="inlineStr">
        <is>
          <t>p12:native:14</t>
        </is>
      </c>
      <c r="U245" s="308" t="n">
        <v>1</v>
      </c>
    </row>
    <row r="246">
      <c r="A246" s="308" t="inlineStr">
        <is>
          <t>Missing in Excel</t>
        </is>
      </c>
      <c r="B246" s="308" t="inlineStr">
        <is>
          <t>DG7020</t>
        </is>
      </c>
      <c r="C246" s="308" t="n">
        <v>12</v>
      </c>
      <c r="D246" s="308" t="inlineStr">
        <is>
          <t>RL7-SKD-102</t>
        </is>
      </c>
      <c r="E246" s="308" t="inlineStr">
        <is>
          <t>RL7-SKD-102</t>
        </is>
      </c>
      <c r="F246" s="308" t="inlineStr"/>
      <c r="G246" s="308" t="inlineStr">
        <is>
          <t>equipment</t>
        </is>
      </c>
      <c r="H246" s="311" t="n">
        <v>0.77</v>
      </c>
      <c r="I246" s="308" t="inlineStr">
        <is>
          <t>Medium</t>
        </is>
      </c>
      <c r="J246" s="308" t="inlineStr">
        <is>
          <t>drawing</t>
        </is>
      </c>
      <c r="K246" s="308" t="inlineStr">
        <is>
          <t>standalone:asset</t>
        </is>
      </c>
      <c r="L246" s="308" t="inlineStr">
        <is>
          <t>drawing zone; process page; mapped sheet</t>
        </is>
      </c>
      <c r="M246" s="308" t="inlineStr">
        <is>
          <t>RL7-SKD-102</t>
        </is>
      </c>
      <c r="N246" s="308" t="inlineStr">
        <is>
          <t>native</t>
        </is>
      </c>
      <c r="O246" s="308" t="inlineStr">
        <is>
          <t>native-only</t>
        </is>
      </c>
      <c r="P246" s="308" t="inlineStr">
        <is>
          <t>native</t>
        </is>
      </c>
      <c r="Q246" s="308" t="inlineStr"/>
      <c r="R246" s="308" t="inlineStr">
        <is>
          <t>native text sufficient</t>
        </is>
      </c>
      <c r="S246" s="308" t="inlineStr"/>
      <c r="T246" s="308" t="inlineStr">
        <is>
          <t>p12:native:28</t>
        </is>
      </c>
      <c r="U246" s="308" t="n">
        <v>1</v>
      </c>
    </row>
    <row r="247">
      <c r="A247" s="308" t="inlineStr">
        <is>
          <t>Missing in Excel</t>
        </is>
      </c>
      <c r="B247" s="308" t="inlineStr">
        <is>
          <t>DG7020</t>
        </is>
      </c>
      <c r="C247" s="308" t="n">
        <v>12</v>
      </c>
      <c r="D247" s="308" t="inlineStr">
        <is>
          <t>RL7-CKR-101-FE02</t>
        </is>
      </c>
      <c r="E247" s="308" t="inlineStr">
        <is>
          <t>RL7-CKR-101</t>
        </is>
      </c>
      <c r="F247" s="308" t="inlineStr">
        <is>
          <t>FE02</t>
        </is>
      </c>
      <c r="G247" s="308" t="inlineStr">
        <is>
          <t>instrument</t>
        </is>
      </c>
      <c r="H247" s="311" t="n">
        <v>0.99</v>
      </c>
      <c r="I247" s="308" t="inlineStr">
        <is>
          <t>High</t>
        </is>
      </c>
      <c r="J247" s="308" t="inlineStr">
        <is>
          <t>drawing</t>
        </is>
      </c>
      <c r="K247" s="308" t="inlineStr">
        <is>
          <t>stacked:isa</t>
        </is>
      </c>
      <c r="L247" s="308" t="inlineStr">
        <is>
          <t>drawing zone; process page; mapped sheet</t>
        </is>
      </c>
      <c r="M247" s="308" t="inlineStr">
        <is>
          <t>RL7-CKR-101 / FE-02</t>
        </is>
      </c>
      <c r="N247" s="308" t="inlineStr">
        <is>
          <t>native</t>
        </is>
      </c>
      <c r="O247" s="308" t="inlineStr">
        <is>
          <t>native-only</t>
        </is>
      </c>
      <c r="P247" s="308" t="inlineStr">
        <is>
          <t>native</t>
        </is>
      </c>
      <c r="Q247" s="308" t="inlineStr"/>
      <c r="R247" s="308" t="inlineStr">
        <is>
          <t>native text sufficient</t>
        </is>
      </c>
      <c r="S247" s="308" t="inlineStr"/>
      <c r="T247" s="308" t="inlineStr">
        <is>
          <t>p12:native:210, p12:native:211</t>
        </is>
      </c>
      <c r="U247" s="308" t="n">
        <v>2</v>
      </c>
    </row>
    <row r="248">
      <c r="A248" s="308" t="inlineStr">
        <is>
          <t>Missing in Excel</t>
        </is>
      </c>
      <c r="B248" s="308" t="inlineStr">
        <is>
          <t>DG7020</t>
        </is>
      </c>
      <c r="C248" s="308" t="n">
        <v>12</v>
      </c>
      <c r="D248" s="308" t="inlineStr">
        <is>
          <t>RL7-CKR-101-TE01</t>
        </is>
      </c>
      <c r="E248" s="308" t="inlineStr">
        <is>
          <t>RL7-CKR-101</t>
        </is>
      </c>
      <c r="F248" s="308" t="inlineStr">
        <is>
          <t>TE01</t>
        </is>
      </c>
      <c r="G248" s="308" t="inlineStr">
        <is>
          <t>instrument</t>
        </is>
      </c>
      <c r="H248" s="311" t="n">
        <v>0.99</v>
      </c>
      <c r="I248" s="308" t="inlineStr">
        <is>
          <t>High</t>
        </is>
      </c>
      <c r="J248" s="308" t="inlineStr">
        <is>
          <t>drawing</t>
        </is>
      </c>
      <c r="K248" s="308" t="inlineStr">
        <is>
          <t>stacked:isa</t>
        </is>
      </c>
      <c r="L248" s="308" t="inlineStr">
        <is>
          <t>drawing zone; process page; mapped sheet</t>
        </is>
      </c>
      <c r="M248" s="308" t="inlineStr">
        <is>
          <t>RL7-CKR-101 / TE-01</t>
        </is>
      </c>
      <c r="N248" s="308" t="inlineStr">
        <is>
          <t>native</t>
        </is>
      </c>
      <c r="O248" s="308" t="inlineStr">
        <is>
          <t>native-only</t>
        </is>
      </c>
      <c r="P248" s="308" t="inlineStr">
        <is>
          <t>native</t>
        </is>
      </c>
      <c r="Q248" s="308" t="inlineStr"/>
      <c r="R248" s="308" t="inlineStr">
        <is>
          <t>native text sufficient</t>
        </is>
      </c>
      <c r="S248" s="308" t="inlineStr"/>
      <c r="T248" s="308" t="inlineStr">
        <is>
          <t>p12:native:52, p12:native:53</t>
        </is>
      </c>
      <c r="U248" s="308" t="n">
        <v>2</v>
      </c>
    </row>
    <row r="249">
      <c r="A249" s="308" t="inlineStr">
        <is>
          <t>Missing in Excel</t>
        </is>
      </c>
      <c r="B249" s="308" t="inlineStr">
        <is>
          <t>DG7020</t>
        </is>
      </c>
      <c r="C249" s="308" t="n">
        <v>12</v>
      </c>
      <c r="D249" s="308" t="inlineStr">
        <is>
          <t>RL7-CKR-101-TE02</t>
        </is>
      </c>
      <c r="E249" s="308" t="inlineStr">
        <is>
          <t>RL7-CKR-101</t>
        </is>
      </c>
      <c r="F249" s="308" t="inlineStr">
        <is>
          <t>TE02</t>
        </is>
      </c>
      <c r="G249" s="308" t="inlineStr">
        <is>
          <t>instrument</t>
        </is>
      </c>
      <c r="H249" s="311" t="n">
        <v>0.99</v>
      </c>
      <c r="I249" s="308" t="inlineStr">
        <is>
          <t>High</t>
        </is>
      </c>
      <c r="J249" s="308" t="inlineStr">
        <is>
          <t>drawing</t>
        </is>
      </c>
      <c r="K249" s="308" t="inlineStr">
        <is>
          <t>stacked:isa</t>
        </is>
      </c>
      <c r="L249" s="308" t="inlineStr">
        <is>
          <t>drawing zone; process page; mapped sheet</t>
        </is>
      </c>
      <c r="M249" s="308" t="inlineStr">
        <is>
          <t>RL7-CKR-101 / TE-02</t>
        </is>
      </c>
      <c r="N249" s="308" t="inlineStr">
        <is>
          <t>native</t>
        </is>
      </c>
      <c r="O249" s="308" t="inlineStr">
        <is>
          <t>native-only</t>
        </is>
      </c>
      <c r="P249" s="308" t="inlineStr">
        <is>
          <t>native</t>
        </is>
      </c>
      <c r="Q249" s="308" t="inlineStr"/>
      <c r="R249" s="308" t="inlineStr">
        <is>
          <t>native text sufficient</t>
        </is>
      </c>
      <c r="S249" s="308" t="inlineStr"/>
      <c r="T249" s="308" t="inlineStr">
        <is>
          <t>p12:native:8, p12:native:9</t>
        </is>
      </c>
      <c r="U249" s="308" t="n">
        <v>2</v>
      </c>
    </row>
    <row r="250">
      <c r="A250" s="308" t="inlineStr">
        <is>
          <t>Missing in Excel</t>
        </is>
      </c>
      <c r="B250" s="308" t="inlineStr">
        <is>
          <t>DG7020</t>
        </is>
      </c>
      <c r="C250" s="308" t="n">
        <v>12</v>
      </c>
      <c r="D250" s="308" t="inlineStr">
        <is>
          <t>RL7-CKR-101-WE01</t>
        </is>
      </c>
      <c r="E250" s="308" t="inlineStr">
        <is>
          <t>RL7-CKR-101</t>
        </is>
      </c>
      <c r="F250" s="308" t="inlineStr">
        <is>
          <t>WE01</t>
        </is>
      </c>
      <c r="G250" s="308" t="inlineStr">
        <is>
          <t>instrument</t>
        </is>
      </c>
      <c r="H250" s="311" t="n">
        <v>0.99</v>
      </c>
      <c r="I250" s="308" t="inlineStr">
        <is>
          <t>High</t>
        </is>
      </c>
      <c r="J250" s="308" t="inlineStr">
        <is>
          <t>drawing</t>
        </is>
      </c>
      <c r="K250" s="308" t="inlineStr">
        <is>
          <t>stacked:isa</t>
        </is>
      </c>
      <c r="L250" s="308" t="inlineStr">
        <is>
          <t>drawing zone; process page; mapped sheet</t>
        </is>
      </c>
      <c r="M250" s="308" t="inlineStr">
        <is>
          <t>RL7-CKR-101 / WE-01</t>
        </is>
      </c>
      <c r="N250" s="308" t="inlineStr">
        <is>
          <t>native</t>
        </is>
      </c>
      <c r="O250" s="308" t="inlineStr">
        <is>
          <t>native-only</t>
        </is>
      </c>
      <c r="P250" s="308" t="inlineStr">
        <is>
          <t>native</t>
        </is>
      </c>
      <c r="Q250" s="308" t="inlineStr"/>
      <c r="R250" s="308" t="inlineStr">
        <is>
          <t>native text sufficient</t>
        </is>
      </c>
      <c r="S250" s="308" t="inlineStr"/>
      <c r="T250" s="308" t="inlineStr">
        <is>
          <t>p12:native:42, p12:native:43</t>
        </is>
      </c>
      <c r="U250" s="308" t="n">
        <v>2</v>
      </c>
    </row>
    <row r="251">
      <c r="A251" s="308" t="inlineStr">
        <is>
          <t>Missing in Excel</t>
        </is>
      </c>
      <c r="B251" s="308" t="inlineStr">
        <is>
          <t>DG7020</t>
        </is>
      </c>
      <c r="C251" s="308" t="n">
        <v>12</v>
      </c>
      <c r="D251" s="308" t="inlineStr">
        <is>
          <t>RL7-CKR-101-WIT01</t>
        </is>
      </c>
      <c r="E251" s="308" t="inlineStr">
        <is>
          <t>RL7-CKR-101</t>
        </is>
      </c>
      <c r="F251" s="308" t="inlineStr">
        <is>
          <t>WIT01</t>
        </is>
      </c>
      <c r="G251" s="308" t="inlineStr">
        <is>
          <t>instrument</t>
        </is>
      </c>
      <c r="H251" s="311" t="n">
        <v>0.99</v>
      </c>
      <c r="I251" s="308" t="inlineStr">
        <is>
          <t>High</t>
        </is>
      </c>
      <c r="J251" s="308" t="inlineStr">
        <is>
          <t>drawing</t>
        </is>
      </c>
      <c r="K251" s="308" t="inlineStr">
        <is>
          <t>stacked:isa</t>
        </is>
      </c>
      <c r="L251" s="308" t="inlineStr">
        <is>
          <t>drawing zone; process page; mapped sheet</t>
        </is>
      </c>
      <c r="M251" s="308" t="inlineStr">
        <is>
          <t>RL7-CKR-101 / WIT-01</t>
        </is>
      </c>
      <c r="N251" s="308" t="inlineStr">
        <is>
          <t>native</t>
        </is>
      </c>
      <c r="O251" s="308" t="inlineStr">
        <is>
          <t>native-only</t>
        </is>
      </c>
      <c r="P251" s="308" t="inlineStr">
        <is>
          <t>native</t>
        </is>
      </c>
      <c r="Q251" s="308" t="inlineStr"/>
      <c r="R251" s="308" t="inlineStr">
        <is>
          <t>native text sufficient</t>
        </is>
      </c>
      <c r="S251" s="308" t="inlineStr"/>
      <c r="T251" s="308" t="inlineStr">
        <is>
          <t>p12:native:61, p12:native:62</t>
        </is>
      </c>
      <c r="U251" s="308" t="n">
        <v>2</v>
      </c>
    </row>
    <row r="252">
      <c r="A252" s="308" t="inlineStr">
        <is>
          <t>Missing in Excel</t>
        </is>
      </c>
      <c r="B252" s="308" t="inlineStr">
        <is>
          <t>DG7020</t>
        </is>
      </c>
      <c r="C252" s="308" t="n">
        <v>12</v>
      </c>
      <c r="D252" s="308" t="inlineStr">
        <is>
          <t>RL7-CKR-101-WQ01</t>
        </is>
      </c>
      <c r="E252" s="308" t="inlineStr">
        <is>
          <t>RL7-CKR-101</t>
        </is>
      </c>
      <c r="F252" s="308" t="inlineStr">
        <is>
          <t>WQ01</t>
        </is>
      </c>
      <c r="G252" s="308" t="inlineStr">
        <is>
          <t>instrument</t>
        </is>
      </c>
      <c r="H252" s="311" t="n">
        <v>0.99</v>
      </c>
      <c r="I252" s="308" t="inlineStr">
        <is>
          <t>High</t>
        </is>
      </c>
      <c r="J252" s="308" t="inlineStr">
        <is>
          <t>drawing</t>
        </is>
      </c>
      <c r="K252" s="308" t="inlineStr">
        <is>
          <t>stacked:isa</t>
        </is>
      </c>
      <c r="L252" s="308" t="inlineStr">
        <is>
          <t>drawing zone; process page; mapped sheet</t>
        </is>
      </c>
      <c r="M252" s="308" t="inlineStr">
        <is>
          <t>RL7-CKR-101 / WQ-01</t>
        </is>
      </c>
      <c r="N252" s="308" t="inlineStr">
        <is>
          <t>native</t>
        </is>
      </c>
      <c r="O252" s="308" t="inlineStr">
        <is>
          <t>native-only</t>
        </is>
      </c>
      <c r="P252" s="308" t="inlineStr">
        <is>
          <t>native</t>
        </is>
      </c>
      <c r="Q252" s="308" t="inlineStr"/>
      <c r="R252" s="308" t="inlineStr">
        <is>
          <t>native text sufficient</t>
        </is>
      </c>
      <c r="S252" s="308" t="inlineStr"/>
      <c r="T252" s="308" t="inlineStr">
        <is>
          <t>p12:native:226, p12:native:227</t>
        </is>
      </c>
      <c r="U252" s="308" t="n">
        <v>2</v>
      </c>
    </row>
    <row r="253">
      <c r="A253" s="308" t="inlineStr">
        <is>
          <t>Missing in Excel</t>
        </is>
      </c>
      <c r="B253" s="308" t="inlineStr">
        <is>
          <t>DG7020</t>
        </is>
      </c>
      <c r="C253" s="308" t="n">
        <v>12</v>
      </c>
      <c r="D253" s="308" t="inlineStr">
        <is>
          <t>RL7-CKR-101-XV18</t>
        </is>
      </c>
      <c r="E253" s="308" t="inlineStr">
        <is>
          <t>RL7-CKR-101</t>
        </is>
      </c>
      <c r="F253" s="308" t="inlineStr">
        <is>
          <t>XV18</t>
        </is>
      </c>
      <c r="G253" s="308" t="inlineStr">
        <is>
          <t>instrument</t>
        </is>
      </c>
      <c r="H253" s="311" t="n">
        <v>0.99</v>
      </c>
      <c r="I253" s="308" t="inlineStr">
        <is>
          <t>High</t>
        </is>
      </c>
      <c r="J253" s="308" t="inlineStr">
        <is>
          <t>drawing</t>
        </is>
      </c>
      <c r="K253" s="308" t="inlineStr">
        <is>
          <t>stacked:isa</t>
        </is>
      </c>
      <c r="L253" s="308" t="inlineStr">
        <is>
          <t>drawing zone; process page; mapped sheet</t>
        </is>
      </c>
      <c r="M253" s="308" t="inlineStr">
        <is>
          <t>RL7-CKR-101 / XV-18</t>
        </is>
      </c>
      <c r="N253" s="308" t="inlineStr">
        <is>
          <t>native</t>
        </is>
      </c>
      <c r="O253" s="308" t="inlineStr">
        <is>
          <t>native-only</t>
        </is>
      </c>
      <c r="P253" s="308" t="inlineStr">
        <is>
          <t>native</t>
        </is>
      </c>
      <c r="Q253" s="308" t="inlineStr"/>
      <c r="R253" s="308" t="inlineStr">
        <is>
          <t>native text sufficient</t>
        </is>
      </c>
      <c r="S253" s="308" t="inlineStr"/>
      <c r="T253" s="308" t="inlineStr">
        <is>
          <t>p12:native:441, p12:native:442</t>
        </is>
      </c>
      <c r="U253" s="308" t="n">
        <v>2</v>
      </c>
    </row>
    <row r="254">
      <c r="A254" s="308" t="inlineStr">
        <is>
          <t>Missing in Excel</t>
        </is>
      </c>
      <c r="B254" s="308" t="inlineStr">
        <is>
          <t>DG7020</t>
        </is>
      </c>
      <c r="C254" s="308" t="n">
        <v>12</v>
      </c>
      <c r="D254" s="308" t="inlineStr">
        <is>
          <t>RL7-CKR-101-XV19</t>
        </is>
      </c>
      <c r="E254" s="308" t="inlineStr">
        <is>
          <t>RL7-CKR-101</t>
        </is>
      </c>
      <c r="F254" s="308" t="inlineStr">
        <is>
          <t>XV19</t>
        </is>
      </c>
      <c r="G254" s="308" t="inlineStr">
        <is>
          <t>instrument</t>
        </is>
      </c>
      <c r="H254" s="311" t="n">
        <v>0.99</v>
      </c>
      <c r="I254" s="308" t="inlineStr">
        <is>
          <t>High</t>
        </is>
      </c>
      <c r="J254" s="308" t="inlineStr">
        <is>
          <t>drawing</t>
        </is>
      </c>
      <c r="K254" s="308" t="inlineStr">
        <is>
          <t>stacked:isa</t>
        </is>
      </c>
      <c r="L254" s="308" t="inlineStr">
        <is>
          <t>drawing zone; process page; mapped sheet</t>
        </is>
      </c>
      <c r="M254" s="308" t="inlineStr">
        <is>
          <t>RL7-CKR-101 / XV-19</t>
        </is>
      </c>
      <c r="N254" s="308" t="inlineStr">
        <is>
          <t>native</t>
        </is>
      </c>
      <c r="O254" s="308" t="inlineStr">
        <is>
          <t>native-only</t>
        </is>
      </c>
      <c r="P254" s="308" t="inlineStr">
        <is>
          <t>native</t>
        </is>
      </c>
      <c r="Q254" s="308" t="inlineStr"/>
      <c r="R254" s="308" t="inlineStr">
        <is>
          <t>native text sufficient</t>
        </is>
      </c>
      <c r="S254" s="308" t="inlineStr"/>
      <c r="T254" s="308" t="inlineStr">
        <is>
          <t>p12:native:443, p12:native:444</t>
        </is>
      </c>
      <c r="U254" s="308" t="n">
        <v>2</v>
      </c>
    </row>
    <row r="255">
      <c r="A255" s="308" t="inlineStr">
        <is>
          <t>Missing in Excel</t>
        </is>
      </c>
      <c r="B255" s="308" t="inlineStr">
        <is>
          <t>DG7020</t>
        </is>
      </c>
      <c r="C255" s="308" t="n">
        <v>12</v>
      </c>
      <c r="D255" s="308" t="inlineStr">
        <is>
          <t>RL7-CKR-101-XY19A</t>
        </is>
      </c>
      <c r="E255" s="308" t="inlineStr">
        <is>
          <t>RL7-CKR-101</t>
        </is>
      </c>
      <c r="F255" s="308" t="inlineStr">
        <is>
          <t>XY19A</t>
        </is>
      </c>
      <c r="G255" s="308" t="inlineStr">
        <is>
          <t>instrument</t>
        </is>
      </c>
      <c r="H255" s="311" t="n">
        <v>0.99</v>
      </c>
      <c r="I255" s="308" t="inlineStr">
        <is>
          <t>High</t>
        </is>
      </c>
      <c r="J255" s="308" t="inlineStr">
        <is>
          <t>drawing</t>
        </is>
      </c>
      <c r="K255" s="308" t="inlineStr">
        <is>
          <t>stacked:isa</t>
        </is>
      </c>
      <c r="L255" s="308" t="inlineStr">
        <is>
          <t>drawing zone; process page; mapped sheet; repeated x2</t>
        </is>
      </c>
      <c r="M255" s="308" t="inlineStr">
        <is>
          <t>RL7-CKR-101 / XY-19A</t>
        </is>
      </c>
      <c r="N255" s="308" t="inlineStr">
        <is>
          <t>native</t>
        </is>
      </c>
      <c r="O255" s="308" t="inlineStr">
        <is>
          <t>native-only</t>
        </is>
      </c>
      <c r="P255" s="308" t="inlineStr">
        <is>
          <t>native</t>
        </is>
      </c>
      <c r="Q255" s="308" t="inlineStr"/>
      <c r="R255" s="308" t="inlineStr">
        <is>
          <t>native text sufficient</t>
        </is>
      </c>
      <c r="S255" s="308" t="inlineStr"/>
      <c r="T255" s="308" t="inlineStr">
        <is>
          <t>p12:native:445, p12:native:446</t>
        </is>
      </c>
      <c r="U255" s="308" t="n">
        <v>2</v>
      </c>
    </row>
    <row r="256">
      <c r="A256" s="308" t="inlineStr">
        <is>
          <t>Missing in Excel</t>
        </is>
      </c>
      <c r="B256" s="308" t="inlineStr">
        <is>
          <t>DG7020</t>
        </is>
      </c>
      <c r="C256" s="308" t="n">
        <v>12</v>
      </c>
      <c r="D256" s="308" t="inlineStr">
        <is>
          <t>RL7-CKR-101-XY19A</t>
        </is>
      </c>
      <c r="E256" s="308" t="inlineStr">
        <is>
          <t>RL7-CKR-101</t>
        </is>
      </c>
      <c r="F256" s="308" t="inlineStr">
        <is>
          <t>XY19A</t>
        </is>
      </c>
      <c r="G256" s="308" t="inlineStr">
        <is>
          <t>instrument</t>
        </is>
      </c>
      <c r="H256" s="311" t="n">
        <v>0.99</v>
      </c>
      <c r="I256" s="308" t="inlineStr">
        <is>
          <t>High</t>
        </is>
      </c>
      <c r="J256" s="308" t="inlineStr">
        <is>
          <t>drawing</t>
        </is>
      </c>
      <c r="K256" s="308" t="inlineStr">
        <is>
          <t>stacked:isa</t>
        </is>
      </c>
      <c r="L256" s="308" t="inlineStr">
        <is>
          <t>drawing zone; process page; mapped sheet; repeated x2</t>
        </is>
      </c>
      <c r="M256" s="308" t="inlineStr">
        <is>
          <t>RL7-CKR-101 / XY-19A</t>
        </is>
      </c>
      <c r="N256" s="308" t="inlineStr">
        <is>
          <t>native</t>
        </is>
      </c>
      <c r="O256" s="308" t="inlineStr">
        <is>
          <t>native-only</t>
        </is>
      </c>
      <c r="P256" s="308" t="inlineStr">
        <is>
          <t>native</t>
        </is>
      </c>
      <c r="Q256" s="308" t="inlineStr"/>
      <c r="R256" s="308" t="inlineStr">
        <is>
          <t>native text sufficient</t>
        </is>
      </c>
      <c r="S256" s="308" t="inlineStr"/>
      <c r="T256" s="308" t="inlineStr">
        <is>
          <t>p12:native:449, p12:native:450</t>
        </is>
      </c>
      <c r="U256" s="308" t="n">
        <v>2</v>
      </c>
    </row>
    <row r="257">
      <c r="A257" s="308" t="inlineStr">
        <is>
          <t>Missing in Excel</t>
        </is>
      </c>
      <c r="B257" s="308" t="inlineStr">
        <is>
          <t>DG7020</t>
        </is>
      </c>
      <c r="C257" s="308" t="n">
        <v>12</v>
      </c>
      <c r="D257" s="308" t="inlineStr">
        <is>
          <t>RL7-CKR-101-XY19B</t>
        </is>
      </c>
      <c r="E257" s="308" t="inlineStr">
        <is>
          <t>RL7-CKR-101</t>
        </is>
      </c>
      <c r="F257" s="308" t="inlineStr">
        <is>
          <t>XY19B</t>
        </is>
      </c>
      <c r="G257" s="308" t="inlineStr">
        <is>
          <t>instrument</t>
        </is>
      </c>
      <c r="H257" s="311" t="n">
        <v>0.99</v>
      </c>
      <c r="I257" s="308" t="inlineStr">
        <is>
          <t>High</t>
        </is>
      </c>
      <c r="J257" s="308" t="inlineStr">
        <is>
          <t>drawing</t>
        </is>
      </c>
      <c r="K257" s="308" t="inlineStr">
        <is>
          <t>stacked:isa</t>
        </is>
      </c>
      <c r="L257" s="308" t="inlineStr">
        <is>
          <t>drawing zone; process page; mapped sheet; repeated x2</t>
        </is>
      </c>
      <c r="M257" s="308" t="inlineStr">
        <is>
          <t>RL7-CKR-101 / XY-19B</t>
        </is>
      </c>
      <c r="N257" s="308" t="inlineStr">
        <is>
          <t>native</t>
        </is>
      </c>
      <c r="O257" s="308" t="inlineStr">
        <is>
          <t>native-only</t>
        </is>
      </c>
      <c r="P257" s="308" t="inlineStr">
        <is>
          <t>native</t>
        </is>
      </c>
      <c r="Q257" s="308" t="inlineStr"/>
      <c r="R257" s="308" t="inlineStr">
        <is>
          <t>native text sufficient</t>
        </is>
      </c>
      <c r="S257" s="308" t="inlineStr"/>
      <c r="T257" s="308" t="inlineStr">
        <is>
          <t>p12:native:447, p12:native:448</t>
        </is>
      </c>
      <c r="U257" s="308" t="n">
        <v>2</v>
      </c>
    </row>
    <row r="258">
      <c r="A258" s="308" t="inlineStr">
        <is>
          <t>Missing in Excel</t>
        </is>
      </c>
      <c r="B258" s="308" t="inlineStr">
        <is>
          <t>DG7020</t>
        </is>
      </c>
      <c r="C258" s="308" t="n">
        <v>12</v>
      </c>
      <c r="D258" s="308" t="inlineStr">
        <is>
          <t>RL7-CKR-101-XY19B</t>
        </is>
      </c>
      <c r="E258" s="308" t="inlineStr">
        <is>
          <t>RL7-CKR-101</t>
        </is>
      </c>
      <c r="F258" s="308" t="inlineStr">
        <is>
          <t>XY19B</t>
        </is>
      </c>
      <c r="G258" s="308" t="inlineStr">
        <is>
          <t>instrument</t>
        </is>
      </c>
      <c r="H258" s="311" t="n">
        <v>0.99</v>
      </c>
      <c r="I258" s="308" t="inlineStr">
        <is>
          <t>High</t>
        </is>
      </c>
      <c r="J258" s="308" t="inlineStr">
        <is>
          <t>drawing</t>
        </is>
      </c>
      <c r="K258" s="308" t="inlineStr">
        <is>
          <t>stacked:isa</t>
        </is>
      </c>
      <c r="L258" s="308" t="inlineStr">
        <is>
          <t>drawing zone; process page; mapped sheet; repeated x2</t>
        </is>
      </c>
      <c r="M258" s="308" t="inlineStr">
        <is>
          <t>RL7-CKR-101 / XY-19B</t>
        </is>
      </c>
      <c r="N258" s="308" t="inlineStr">
        <is>
          <t>native</t>
        </is>
      </c>
      <c r="O258" s="308" t="inlineStr">
        <is>
          <t>native-only</t>
        </is>
      </c>
      <c r="P258" s="308" t="inlineStr">
        <is>
          <t>native</t>
        </is>
      </c>
      <c r="Q258" s="308" t="inlineStr"/>
      <c r="R258" s="308" t="inlineStr">
        <is>
          <t>native text sufficient</t>
        </is>
      </c>
      <c r="S258" s="308" t="inlineStr"/>
      <c r="T258" s="308" t="inlineStr">
        <is>
          <t>p12:native:451, p12:native:452</t>
        </is>
      </c>
      <c r="U258" s="308" t="n">
        <v>2</v>
      </c>
    </row>
    <row r="259">
      <c r="A259" s="308" t="inlineStr">
        <is>
          <t>Missing in Excel</t>
        </is>
      </c>
      <c r="B259" s="308" t="inlineStr">
        <is>
          <t>DG7020</t>
        </is>
      </c>
      <c r="C259" s="308" t="n">
        <v>12</v>
      </c>
      <c r="D259" s="308" t="inlineStr">
        <is>
          <t>RL7-SKD-102-FE01</t>
        </is>
      </c>
      <c r="E259" s="308" t="inlineStr">
        <is>
          <t>RL7-SKD-102</t>
        </is>
      </c>
      <c r="F259" s="308" t="inlineStr">
        <is>
          <t>FE01</t>
        </is>
      </c>
      <c r="G259" s="308" t="inlineStr">
        <is>
          <t>instrument</t>
        </is>
      </c>
      <c r="H259" s="311" t="n">
        <v>0.99</v>
      </c>
      <c r="I259" s="308" t="inlineStr">
        <is>
          <t>High</t>
        </is>
      </c>
      <c r="J259" s="308" t="inlineStr">
        <is>
          <t>drawing</t>
        </is>
      </c>
      <c r="K259" s="308" t="inlineStr">
        <is>
          <t>stacked:isa</t>
        </is>
      </c>
      <c r="L259" s="308" t="inlineStr">
        <is>
          <t>drawing zone; process page; mapped sheet</t>
        </is>
      </c>
      <c r="M259" s="308" t="inlineStr">
        <is>
          <t>RL7-SKD-102 / FE-01</t>
        </is>
      </c>
      <c r="N259" s="308" t="inlineStr">
        <is>
          <t>native</t>
        </is>
      </c>
      <c r="O259" s="308" t="inlineStr">
        <is>
          <t>native-only</t>
        </is>
      </c>
      <c r="P259" s="308" t="inlineStr">
        <is>
          <t>native</t>
        </is>
      </c>
      <c r="Q259" s="308" t="inlineStr"/>
      <c r="R259" s="308" t="inlineStr">
        <is>
          <t>native text sufficient</t>
        </is>
      </c>
      <c r="S259" s="308" t="inlineStr"/>
      <c r="T259" s="308" t="inlineStr">
        <is>
          <t>p12:native:352, p12:native:353</t>
        </is>
      </c>
      <c r="U259" s="308" t="n">
        <v>2</v>
      </c>
    </row>
    <row r="260">
      <c r="A260" s="308" t="inlineStr">
        <is>
          <t>Missing in Excel</t>
        </is>
      </c>
      <c r="B260" s="308" t="inlineStr">
        <is>
          <t>DG7020</t>
        </is>
      </c>
      <c r="C260" s="308" t="n">
        <v>12</v>
      </c>
      <c r="D260" s="308" t="inlineStr">
        <is>
          <t>RL7-CKR-101-CV001</t>
        </is>
      </c>
      <c r="E260" s="308" t="inlineStr">
        <is>
          <t>RL7-CKR-101</t>
        </is>
      </c>
      <c r="F260" s="308" t="inlineStr">
        <is>
          <t>CV001</t>
        </is>
      </c>
      <c r="G260" s="308" t="inlineStr">
        <is>
          <t>instrument</t>
        </is>
      </c>
      <c r="H260" s="311" t="n">
        <v>0.57</v>
      </c>
      <c r="I260" s="308" t="inlineStr">
        <is>
          <t>Low</t>
        </is>
      </c>
      <c r="J260" s="308" t="inlineStr">
        <is>
          <t>drawing</t>
        </is>
      </c>
      <c r="K260" s="308" t="inlineStr">
        <is>
          <t>inferred:bare-isa</t>
        </is>
      </c>
      <c r="L260" s="308" t="inlineStr">
        <is>
          <t>drawing zone; process page; mapped sheet</t>
        </is>
      </c>
      <c r="M260" s="308" t="inlineStr">
        <is>
          <t>RL7-CKR-101 / CV</t>
        </is>
      </c>
      <c r="N260" s="308" t="inlineStr">
        <is>
          <t>native</t>
        </is>
      </c>
      <c r="O260" s="308" t="inlineStr">
        <is>
          <t>native-only</t>
        </is>
      </c>
      <c r="P260" s="308" t="inlineStr">
        <is>
          <t>native</t>
        </is>
      </c>
      <c r="Q260" s="308" t="inlineStr"/>
      <c r="R260" s="308" t="inlineStr">
        <is>
          <t>native text sufficient</t>
        </is>
      </c>
      <c r="S260" s="308" t="inlineStr"/>
      <c r="T260" s="308" t="inlineStr">
        <is>
          <t>p12:native:136, p12:native:142</t>
        </is>
      </c>
      <c r="U260" s="308" t="n">
        <v>2</v>
      </c>
    </row>
    <row r="261">
      <c r="A261" s="308" t="inlineStr">
        <is>
          <t>Missing in Excel</t>
        </is>
      </c>
      <c r="B261" s="308" t="inlineStr">
        <is>
          <t>DG7020</t>
        </is>
      </c>
      <c r="C261" s="308" t="n">
        <v>12</v>
      </c>
      <c r="D261" s="308" t="inlineStr">
        <is>
          <t>RL7-CKR-101-FLT001</t>
        </is>
      </c>
      <c r="E261" s="308" t="inlineStr">
        <is>
          <t>RL7-CKR-101</t>
        </is>
      </c>
      <c r="F261" s="308" t="inlineStr">
        <is>
          <t>FLT001</t>
        </is>
      </c>
      <c r="G261" s="308" t="inlineStr">
        <is>
          <t>instrument</t>
        </is>
      </c>
      <c r="H261" s="311" t="n">
        <v>0.57</v>
      </c>
      <c r="I261" s="308" t="inlineStr">
        <is>
          <t>Low</t>
        </is>
      </c>
      <c r="J261" s="308" t="inlineStr">
        <is>
          <t>drawing</t>
        </is>
      </c>
      <c r="K261" s="308" t="inlineStr">
        <is>
          <t>inferred:bare-isa</t>
        </is>
      </c>
      <c r="L261" s="308" t="inlineStr">
        <is>
          <t>drawing zone; process page; mapped sheet</t>
        </is>
      </c>
      <c r="M261" s="308" t="inlineStr">
        <is>
          <t>RL7-CKR-101 / FLT</t>
        </is>
      </c>
      <c r="N261" s="308" t="inlineStr">
        <is>
          <t>native</t>
        </is>
      </c>
      <c r="O261" s="308" t="inlineStr">
        <is>
          <t>native-only</t>
        </is>
      </c>
      <c r="P261" s="308" t="inlineStr">
        <is>
          <t>native</t>
        </is>
      </c>
      <c r="Q261" s="308" t="inlineStr"/>
      <c r="R261" s="308" t="inlineStr">
        <is>
          <t>native text sufficient</t>
        </is>
      </c>
      <c r="S261" s="308" t="inlineStr"/>
      <c r="T261" s="308" t="inlineStr">
        <is>
          <t>p12:native:201, p12:native:419</t>
        </is>
      </c>
      <c r="U261" s="308" t="n">
        <v>2</v>
      </c>
    </row>
    <row r="262">
      <c r="A262" s="308" t="inlineStr">
        <is>
          <t>Missing in Excel</t>
        </is>
      </c>
      <c r="B262" s="308" t="inlineStr">
        <is>
          <t>DG7020</t>
        </is>
      </c>
      <c r="C262" s="308" t="n">
        <v>12</v>
      </c>
      <c r="D262" s="308" t="inlineStr">
        <is>
          <t>RL7-CKR-101-FLT002</t>
        </is>
      </c>
      <c r="E262" s="308" t="inlineStr">
        <is>
          <t>RL7-CKR-101</t>
        </is>
      </c>
      <c r="F262" s="308" t="inlineStr">
        <is>
          <t>FLT002</t>
        </is>
      </c>
      <c r="G262" s="308" t="inlineStr">
        <is>
          <t>instrument</t>
        </is>
      </c>
      <c r="H262" s="311" t="n">
        <v>0.57</v>
      </c>
      <c r="I262" s="308" t="inlineStr">
        <is>
          <t>Low</t>
        </is>
      </c>
      <c r="J262" s="308" t="inlineStr">
        <is>
          <t>drawing</t>
        </is>
      </c>
      <c r="K262" s="308" t="inlineStr">
        <is>
          <t>inferred:bare-isa</t>
        </is>
      </c>
      <c r="L262" s="308" t="inlineStr">
        <is>
          <t>drawing zone; process page; mapped sheet</t>
        </is>
      </c>
      <c r="M262" s="308" t="inlineStr">
        <is>
          <t>RL7-CKR-101 / FLT</t>
        </is>
      </c>
      <c r="N262" s="308" t="inlineStr">
        <is>
          <t>native</t>
        </is>
      </c>
      <c r="O262" s="308" t="inlineStr">
        <is>
          <t>native-only</t>
        </is>
      </c>
      <c r="P262" s="308" t="inlineStr">
        <is>
          <t>native</t>
        </is>
      </c>
      <c r="Q262" s="308" t="inlineStr"/>
      <c r="R262" s="308" t="inlineStr">
        <is>
          <t>native text sufficient</t>
        </is>
      </c>
      <c r="S262" s="308" t="inlineStr"/>
      <c r="T262" s="308" t="inlineStr">
        <is>
          <t>p12:native:136, p12:native:426</t>
        </is>
      </c>
      <c r="U262" s="308" t="n">
        <v>2</v>
      </c>
    </row>
    <row r="263">
      <c r="A263" s="308" t="inlineStr">
        <is>
          <t>Missing in Excel</t>
        </is>
      </c>
      <c r="B263" s="308" t="inlineStr">
        <is>
          <t>DG7020</t>
        </is>
      </c>
      <c r="C263" s="308" t="n">
        <v>12</v>
      </c>
      <c r="D263" s="308" t="inlineStr">
        <is>
          <t>RL7-CKR-101-HV001</t>
        </is>
      </c>
      <c r="E263" s="308" t="inlineStr">
        <is>
          <t>RL7-CKR-101</t>
        </is>
      </c>
      <c r="F263" s="308" t="inlineStr">
        <is>
          <t>HV001</t>
        </is>
      </c>
      <c r="G263" s="308" t="inlineStr">
        <is>
          <t>instrument</t>
        </is>
      </c>
      <c r="H263" s="311" t="n">
        <v>0.57</v>
      </c>
      <c r="I263" s="308" t="inlineStr">
        <is>
          <t>Low</t>
        </is>
      </c>
      <c r="J263" s="308" t="inlineStr">
        <is>
          <t>drawing</t>
        </is>
      </c>
      <c r="K263" s="308" t="inlineStr">
        <is>
          <t>inferred:bare-isa</t>
        </is>
      </c>
      <c r="L263" s="308" t="inlineStr">
        <is>
          <t>drawing zone; process page; mapped sheet</t>
        </is>
      </c>
      <c r="M263" s="308" t="inlineStr">
        <is>
          <t>RL7-CKR-101 / HV</t>
        </is>
      </c>
      <c r="N263" s="308" t="inlineStr">
        <is>
          <t>native</t>
        </is>
      </c>
      <c r="O263" s="308" t="inlineStr">
        <is>
          <t>native-only</t>
        </is>
      </c>
      <c r="P263" s="308" t="inlineStr">
        <is>
          <t>native</t>
        </is>
      </c>
      <c r="Q263" s="308" t="inlineStr"/>
      <c r="R263" s="308" t="inlineStr">
        <is>
          <t>native text sufficient</t>
        </is>
      </c>
      <c r="S263" s="308" t="inlineStr"/>
      <c r="T263" s="308" t="inlineStr">
        <is>
          <t>p12:native:220, p12:native:383</t>
        </is>
      </c>
      <c r="U263" s="308" t="n">
        <v>2</v>
      </c>
    </row>
    <row r="264">
      <c r="A264" s="308" t="inlineStr">
        <is>
          <t>Missing in Excel</t>
        </is>
      </c>
      <c r="B264" s="308" t="inlineStr">
        <is>
          <t>DG7020</t>
        </is>
      </c>
      <c r="C264" s="308" t="n">
        <v>12</v>
      </c>
      <c r="D264" s="308" t="inlineStr">
        <is>
          <t>RL7-CKR-101-HV002</t>
        </is>
      </c>
      <c r="E264" s="308" t="inlineStr">
        <is>
          <t>RL7-CKR-101</t>
        </is>
      </c>
      <c r="F264" s="308" t="inlineStr">
        <is>
          <t>HV002</t>
        </is>
      </c>
      <c r="G264" s="308" t="inlineStr">
        <is>
          <t>instrument</t>
        </is>
      </c>
      <c r="H264" s="311" t="n">
        <v>0.57</v>
      </c>
      <c r="I264" s="308" t="inlineStr">
        <is>
          <t>Low</t>
        </is>
      </c>
      <c r="J264" s="308" t="inlineStr">
        <is>
          <t>drawing</t>
        </is>
      </c>
      <c r="K264" s="308" t="inlineStr">
        <is>
          <t>inferred:bare-isa</t>
        </is>
      </c>
      <c r="L264" s="308" t="inlineStr">
        <is>
          <t>drawing zone; process page; mapped sheet</t>
        </is>
      </c>
      <c r="M264" s="308" t="inlineStr">
        <is>
          <t>RL7-CKR-101 / HV</t>
        </is>
      </c>
      <c r="N264" s="308" t="inlineStr">
        <is>
          <t>native</t>
        </is>
      </c>
      <c r="O264" s="308" t="inlineStr">
        <is>
          <t>native-only</t>
        </is>
      </c>
      <c r="P264" s="308" t="inlineStr">
        <is>
          <t>native</t>
        </is>
      </c>
      <c r="Q264" s="308" t="inlineStr"/>
      <c r="R264" s="308" t="inlineStr">
        <is>
          <t>native text sufficient</t>
        </is>
      </c>
      <c r="S264" s="308" t="inlineStr"/>
      <c r="T264" s="308" t="inlineStr">
        <is>
          <t>p12:native:214, p12:native:389</t>
        </is>
      </c>
      <c r="U264" s="308" t="n">
        <v>2</v>
      </c>
    </row>
    <row r="265">
      <c r="A265" s="308" t="inlineStr">
        <is>
          <t>Missing in Excel</t>
        </is>
      </c>
      <c r="B265" s="308" t="inlineStr">
        <is>
          <t>DG7020</t>
        </is>
      </c>
      <c r="C265" s="308" t="n">
        <v>12</v>
      </c>
      <c r="D265" s="308" t="inlineStr">
        <is>
          <t>RL7-CKR-101-HV003</t>
        </is>
      </c>
      <c r="E265" s="308" t="inlineStr">
        <is>
          <t>RL7-CKR-101</t>
        </is>
      </c>
      <c r="F265" s="308" t="inlineStr">
        <is>
          <t>HV003</t>
        </is>
      </c>
      <c r="G265" s="308" t="inlineStr">
        <is>
          <t>instrument</t>
        </is>
      </c>
      <c r="H265" s="311" t="n">
        <v>0.57</v>
      </c>
      <c r="I265" s="308" t="inlineStr">
        <is>
          <t>Low</t>
        </is>
      </c>
      <c r="J265" s="308" t="inlineStr">
        <is>
          <t>drawing</t>
        </is>
      </c>
      <c r="K265" s="308" t="inlineStr">
        <is>
          <t>inferred:bare-isa</t>
        </is>
      </c>
      <c r="L265" s="308" t="inlineStr">
        <is>
          <t>drawing zone; process page; mapped sheet</t>
        </is>
      </c>
      <c r="M265" s="308" t="inlineStr">
        <is>
          <t>RL7-CKR-101 / HV</t>
        </is>
      </c>
      <c r="N265" s="308" t="inlineStr">
        <is>
          <t>native</t>
        </is>
      </c>
      <c r="O265" s="308" t="inlineStr">
        <is>
          <t>native-only</t>
        </is>
      </c>
      <c r="P265" s="308" t="inlineStr">
        <is>
          <t>native</t>
        </is>
      </c>
      <c r="Q265" s="308" t="inlineStr"/>
      <c r="R265" s="308" t="inlineStr">
        <is>
          <t>native text sufficient</t>
        </is>
      </c>
      <c r="S265" s="308" t="inlineStr"/>
      <c r="T265" s="308" t="inlineStr">
        <is>
          <t>p12:native:438, p12:native:80</t>
        </is>
      </c>
      <c r="U265" s="308" t="n">
        <v>2</v>
      </c>
    </row>
    <row r="266">
      <c r="A266" s="308" t="inlineStr">
        <is>
          <t>Missing in Excel</t>
        </is>
      </c>
      <c r="B266" s="308" t="inlineStr">
        <is>
          <t>DG7020</t>
        </is>
      </c>
      <c r="C266" s="308" t="n">
        <v>12</v>
      </c>
      <c r="D266" s="308" t="inlineStr">
        <is>
          <t>RL7-CKR-101-HV004</t>
        </is>
      </c>
      <c r="E266" s="308" t="inlineStr">
        <is>
          <t>RL7-CKR-101</t>
        </is>
      </c>
      <c r="F266" s="308" t="inlineStr">
        <is>
          <t>HV004</t>
        </is>
      </c>
      <c r="G266" s="308" t="inlineStr">
        <is>
          <t>instrument</t>
        </is>
      </c>
      <c r="H266" s="311" t="n">
        <v>0.57</v>
      </c>
      <c r="I266" s="308" t="inlineStr">
        <is>
          <t>Low</t>
        </is>
      </c>
      <c r="J266" s="308" t="inlineStr">
        <is>
          <t>drawing</t>
        </is>
      </c>
      <c r="K266" s="308" t="inlineStr">
        <is>
          <t>inferred:bare-isa</t>
        </is>
      </c>
      <c r="L266" s="308" t="inlineStr">
        <is>
          <t>drawing zone; process page; mapped sheet</t>
        </is>
      </c>
      <c r="M266" s="308" t="inlineStr">
        <is>
          <t>RL7-CKR-101 / HV</t>
        </is>
      </c>
      <c r="N266" s="308" t="inlineStr">
        <is>
          <t>native</t>
        </is>
      </c>
      <c r="O266" s="308" t="inlineStr">
        <is>
          <t>native-only</t>
        </is>
      </c>
      <c r="P266" s="308" t="inlineStr">
        <is>
          <t>native</t>
        </is>
      </c>
      <c r="Q266" s="308" t="inlineStr"/>
      <c r="R266" s="308" t="inlineStr">
        <is>
          <t>native text sufficient</t>
        </is>
      </c>
      <c r="S266" s="308" t="inlineStr"/>
      <c r="T266" s="308" t="inlineStr">
        <is>
          <t>p12:native:453, p12:native:86</t>
        </is>
      </c>
      <c r="U266" s="308" t="n">
        <v>2</v>
      </c>
    </row>
    <row r="267">
      <c r="A267" s="308" t="inlineStr">
        <is>
          <t>Missing in Excel</t>
        </is>
      </c>
      <c r="B267" s="308" t="inlineStr">
        <is>
          <t>DG7020</t>
        </is>
      </c>
      <c r="C267" s="308" t="n">
        <v>12</v>
      </c>
      <c r="D267" s="308" t="inlineStr">
        <is>
          <t>RL7-CKR-101-HV005</t>
        </is>
      </c>
      <c r="E267" s="308" t="inlineStr">
        <is>
          <t>RL7-CKR-101</t>
        </is>
      </c>
      <c r="F267" s="308" t="inlineStr">
        <is>
          <t>HV005</t>
        </is>
      </c>
      <c r="G267" s="308" t="inlineStr">
        <is>
          <t>instrument</t>
        </is>
      </c>
      <c r="H267" s="311" t="n">
        <v>0.57</v>
      </c>
      <c r="I267" s="308" t="inlineStr">
        <is>
          <t>Low</t>
        </is>
      </c>
      <c r="J267" s="308" t="inlineStr">
        <is>
          <t>drawing</t>
        </is>
      </c>
      <c r="K267" s="308" t="inlineStr">
        <is>
          <t>inferred:bare-isa</t>
        </is>
      </c>
      <c r="L267" s="308" t="inlineStr">
        <is>
          <t>drawing zone; process page; mapped sheet</t>
        </is>
      </c>
      <c r="M267" s="308" t="inlineStr">
        <is>
          <t>RL7-CKR-101 / HV</t>
        </is>
      </c>
      <c r="N267" s="308" t="inlineStr">
        <is>
          <t>native</t>
        </is>
      </c>
      <c r="O267" s="308" t="inlineStr">
        <is>
          <t>native-only</t>
        </is>
      </c>
      <c r="P267" s="308" t="inlineStr">
        <is>
          <t>native</t>
        </is>
      </c>
      <c r="Q267" s="308" t="inlineStr"/>
      <c r="R267" s="308" t="inlineStr">
        <is>
          <t>native text sufficient</t>
        </is>
      </c>
      <c r="S267" s="308" t="inlineStr"/>
      <c r="T267" s="308" t="inlineStr">
        <is>
          <t>p12:native:136, p12:native:104</t>
        </is>
      </c>
      <c r="U267" s="308" t="n">
        <v>2</v>
      </c>
    </row>
    <row r="268">
      <c r="A268" s="308" t="inlineStr">
        <is>
          <t>Missing in Excel</t>
        </is>
      </c>
      <c r="B268" s="308" t="inlineStr">
        <is>
          <t>DG7020</t>
        </is>
      </c>
      <c r="C268" s="308" t="n">
        <v>12</v>
      </c>
      <c r="D268" s="308" t="inlineStr">
        <is>
          <t>RL7-CKR-101-HV006</t>
        </is>
      </c>
      <c r="E268" s="308" t="inlineStr">
        <is>
          <t>RL7-CKR-101</t>
        </is>
      </c>
      <c r="F268" s="308" t="inlineStr">
        <is>
          <t>HV006</t>
        </is>
      </c>
      <c r="G268" s="308" t="inlineStr">
        <is>
          <t>instrument</t>
        </is>
      </c>
      <c r="H268" s="311" t="n">
        <v>0.57</v>
      </c>
      <c r="I268" s="308" t="inlineStr">
        <is>
          <t>Low</t>
        </is>
      </c>
      <c r="J268" s="308" t="inlineStr">
        <is>
          <t>drawing</t>
        </is>
      </c>
      <c r="K268" s="308" t="inlineStr">
        <is>
          <t>inferred:bare-isa</t>
        </is>
      </c>
      <c r="L268" s="308" t="inlineStr">
        <is>
          <t>drawing zone; process page; mapped sheet</t>
        </is>
      </c>
      <c r="M268" s="308" t="inlineStr">
        <is>
          <t>RL7-CKR-101 / HV</t>
        </is>
      </c>
      <c r="N268" s="308" t="inlineStr">
        <is>
          <t>native</t>
        </is>
      </c>
      <c r="O268" s="308" t="inlineStr">
        <is>
          <t>native-only</t>
        </is>
      </c>
      <c r="P268" s="308" t="inlineStr">
        <is>
          <t>native</t>
        </is>
      </c>
      <c r="Q268" s="308" t="inlineStr"/>
      <c r="R268" s="308" t="inlineStr">
        <is>
          <t>native text sufficient</t>
        </is>
      </c>
      <c r="S268" s="308" t="inlineStr"/>
      <c r="T268" s="308" t="inlineStr">
        <is>
          <t>p12:native:197, p12:native:92</t>
        </is>
      </c>
      <c r="U268" s="308" t="n">
        <v>2</v>
      </c>
    </row>
    <row r="269">
      <c r="A269" s="308" t="inlineStr">
        <is>
          <t>Missing in Excel</t>
        </is>
      </c>
      <c r="B269" s="308" t="inlineStr">
        <is>
          <t>DG7020</t>
        </is>
      </c>
      <c r="C269" s="308" t="n">
        <v>12</v>
      </c>
      <c r="D269" s="308" t="inlineStr">
        <is>
          <t>RL7-CKR-101-HV007</t>
        </is>
      </c>
      <c r="E269" s="308" t="inlineStr">
        <is>
          <t>RL7-CKR-101</t>
        </is>
      </c>
      <c r="F269" s="308" t="inlineStr">
        <is>
          <t>HV007</t>
        </is>
      </c>
      <c r="G269" s="308" t="inlineStr">
        <is>
          <t>instrument</t>
        </is>
      </c>
      <c r="H269" s="311" t="n">
        <v>0.57</v>
      </c>
      <c r="I269" s="308" t="inlineStr">
        <is>
          <t>Low</t>
        </is>
      </c>
      <c r="J269" s="308" t="inlineStr">
        <is>
          <t>drawing</t>
        </is>
      </c>
      <c r="K269" s="308" t="inlineStr">
        <is>
          <t>inferred:bare-isa</t>
        </is>
      </c>
      <c r="L269" s="308" t="inlineStr">
        <is>
          <t>drawing zone; process page; mapped sheet</t>
        </is>
      </c>
      <c r="M269" s="308" t="inlineStr">
        <is>
          <t>RL7-CKR-101 / HV</t>
        </is>
      </c>
      <c r="N269" s="308" t="inlineStr">
        <is>
          <t>native</t>
        </is>
      </c>
      <c r="O269" s="308" t="inlineStr">
        <is>
          <t>native-only</t>
        </is>
      </c>
      <c r="P269" s="308" t="inlineStr">
        <is>
          <t>native</t>
        </is>
      </c>
      <c r="Q269" s="308" t="inlineStr"/>
      <c r="R269" s="308" t="inlineStr">
        <is>
          <t>native text sufficient</t>
        </is>
      </c>
      <c r="S269" s="308" t="inlineStr"/>
      <c r="T269" s="308" t="inlineStr">
        <is>
          <t>p12:native:235, p12:native:110</t>
        </is>
      </c>
      <c r="U269" s="308" t="n">
        <v>2</v>
      </c>
    </row>
    <row r="270">
      <c r="A270" s="308" t="inlineStr">
        <is>
          <t>Missing in Excel</t>
        </is>
      </c>
      <c r="B270" s="308" t="inlineStr">
        <is>
          <t>DG7020</t>
        </is>
      </c>
      <c r="C270" s="308" t="n">
        <v>12</v>
      </c>
      <c r="D270" s="308" t="inlineStr">
        <is>
          <t>RL7-CKR-101-HV008</t>
        </is>
      </c>
      <c r="E270" s="308" t="inlineStr">
        <is>
          <t>RL7-CKR-101</t>
        </is>
      </c>
      <c r="F270" s="308" t="inlineStr">
        <is>
          <t>HV008</t>
        </is>
      </c>
      <c r="G270" s="308" t="inlineStr">
        <is>
          <t>instrument</t>
        </is>
      </c>
      <c r="H270" s="311" t="n">
        <v>0.57</v>
      </c>
      <c r="I270" s="308" t="inlineStr">
        <is>
          <t>Low</t>
        </is>
      </c>
      <c r="J270" s="308" t="inlineStr">
        <is>
          <t>drawing</t>
        </is>
      </c>
      <c r="K270" s="308" t="inlineStr">
        <is>
          <t>inferred:bare-isa</t>
        </is>
      </c>
      <c r="L270" s="308" t="inlineStr">
        <is>
          <t>drawing zone; process page; mapped sheet</t>
        </is>
      </c>
      <c r="M270" s="308" t="inlineStr">
        <is>
          <t>RL7-CKR-101 / HV</t>
        </is>
      </c>
      <c r="N270" s="308" t="inlineStr">
        <is>
          <t>native</t>
        </is>
      </c>
      <c r="O270" s="308" t="inlineStr">
        <is>
          <t>native-only</t>
        </is>
      </c>
      <c r="P270" s="308" t="inlineStr">
        <is>
          <t>native</t>
        </is>
      </c>
      <c r="Q270" s="308" t="inlineStr"/>
      <c r="R270" s="308" t="inlineStr">
        <is>
          <t>native text sufficient</t>
        </is>
      </c>
      <c r="S270" s="308" t="inlineStr"/>
      <c r="T270" s="308" t="inlineStr">
        <is>
          <t>p12:native:136, p12:native:155</t>
        </is>
      </c>
      <c r="U270" s="308" t="n">
        <v>2</v>
      </c>
    </row>
    <row r="271">
      <c r="A271" s="308" t="inlineStr">
        <is>
          <t>Missing in Excel</t>
        </is>
      </c>
      <c r="B271" s="308" t="inlineStr">
        <is>
          <t>DG7020</t>
        </is>
      </c>
      <c r="C271" s="308" t="n">
        <v>12</v>
      </c>
      <c r="D271" s="308" t="inlineStr">
        <is>
          <t>RL7-CKR-101-HV009</t>
        </is>
      </c>
      <c r="E271" s="308" t="inlineStr">
        <is>
          <t>RL7-CKR-101</t>
        </is>
      </c>
      <c r="F271" s="308" t="inlineStr">
        <is>
          <t>HV009</t>
        </is>
      </c>
      <c r="G271" s="308" t="inlineStr">
        <is>
          <t>instrument</t>
        </is>
      </c>
      <c r="H271" s="311" t="n">
        <v>0.57</v>
      </c>
      <c r="I271" s="308" t="inlineStr">
        <is>
          <t>Low</t>
        </is>
      </c>
      <c r="J271" s="308" t="inlineStr">
        <is>
          <t>drawing</t>
        </is>
      </c>
      <c r="K271" s="308" t="inlineStr">
        <is>
          <t>inferred:bare-isa</t>
        </is>
      </c>
      <c r="L271" s="308" t="inlineStr">
        <is>
          <t>drawing zone; process page; mapped sheet</t>
        </is>
      </c>
      <c r="M271" s="308" t="inlineStr">
        <is>
          <t>RL7-CKR-101 / HV</t>
        </is>
      </c>
      <c r="N271" s="308" t="inlineStr">
        <is>
          <t>native</t>
        </is>
      </c>
      <c r="O271" s="308" t="inlineStr">
        <is>
          <t>native-only</t>
        </is>
      </c>
      <c r="P271" s="308" t="inlineStr">
        <is>
          <t>native</t>
        </is>
      </c>
      <c r="Q271" s="308" t="inlineStr"/>
      <c r="R271" s="308" t="inlineStr">
        <is>
          <t>native text sufficient</t>
        </is>
      </c>
      <c r="S271" s="308" t="inlineStr"/>
      <c r="T271" s="308" t="inlineStr">
        <is>
          <t>p12:native:136, p12:native:149</t>
        </is>
      </c>
      <c r="U271" s="308" t="n">
        <v>2</v>
      </c>
    </row>
    <row r="272">
      <c r="A272" s="308" t="inlineStr">
        <is>
          <t>Missing in Excel</t>
        </is>
      </c>
      <c r="B272" s="308" t="inlineStr">
        <is>
          <t>DG7020</t>
        </is>
      </c>
      <c r="C272" s="308" t="n">
        <v>12</v>
      </c>
      <c r="D272" s="308" t="inlineStr">
        <is>
          <t>RL7-CKR-101-PI001</t>
        </is>
      </c>
      <c r="E272" s="308" t="inlineStr">
        <is>
          <t>RL7-CKR-101</t>
        </is>
      </c>
      <c r="F272" s="308" t="inlineStr">
        <is>
          <t>PI001</t>
        </is>
      </c>
      <c r="G272" s="308" t="inlineStr">
        <is>
          <t>instrument</t>
        </is>
      </c>
      <c r="H272" s="311" t="n">
        <v>0.57</v>
      </c>
      <c r="I272" s="308" t="inlineStr">
        <is>
          <t>Low</t>
        </is>
      </c>
      <c r="J272" s="308" t="inlineStr">
        <is>
          <t>drawing</t>
        </is>
      </c>
      <c r="K272" s="308" t="inlineStr">
        <is>
          <t>inferred:bare-isa</t>
        </is>
      </c>
      <c r="L272" s="308" t="inlineStr">
        <is>
          <t>drawing zone; process page; mapped sheet</t>
        </is>
      </c>
      <c r="M272" s="308" t="inlineStr">
        <is>
          <t>RL7-CKR-101 / PI</t>
        </is>
      </c>
      <c r="N272" s="308" t="inlineStr">
        <is>
          <t>native</t>
        </is>
      </c>
      <c r="O272" s="308" t="inlineStr">
        <is>
          <t>native-only</t>
        </is>
      </c>
      <c r="P272" s="308" t="inlineStr">
        <is>
          <t>native</t>
        </is>
      </c>
      <c r="Q272" s="308" t="inlineStr"/>
      <c r="R272" s="308" t="inlineStr">
        <is>
          <t>native text sufficient</t>
        </is>
      </c>
      <c r="S272" s="308" t="inlineStr"/>
      <c r="T272" s="308" t="inlineStr">
        <is>
          <t>p12:native:214, p12:native:373</t>
        </is>
      </c>
      <c r="U272" s="308" t="n">
        <v>2</v>
      </c>
    </row>
    <row r="273">
      <c r="A273" s="308" t="inlineStr">
        <is>
          <t>Missing in Excel</t>
        </is>
      </c>
      <c r="B273" s="308" t="inlineStr">
        <is>
          <t>DG7020</t>
        </is>
      </c>
      <c r="C273" s="308" t="n">
        <v>12</v>
      </c>
      <c r="D273" s="308" t="inlineStr">
        <is>
          <t>RL7-CKR-101-PI002</t>
        </is>
      </c>
      <c r="E273" s="308" t="inlineStr">
        <is>
          <t>RL7-CKR-101</t>
        </is>
      </c>
      <c r="F273" s="308" t="inlineStr">
        <is>
          <t>PI002</t>
        </is>
      </c>
      <c r="G273" s="308" t="inlineStr">
        <is>
          <t>instrument</t>
        </is>
      </c>
      <c r="H273" s="311" t="n">
        <v>0.57</v>
      </c>
      <c r="I273" s="308" t="inlineStr">
        <is>
          <t>Low</t>
        </is>
      </c>
      <c r="J273" s="308" t="inlineStr">
        <is>
          <t>drawing</t>
        </is>
      </c>
      <c r="K273" s="308" t="inlineStr">
        <is>
          <t>inferred:bare-isa</t>
        </is>
      </c>
      <c r="L273" s="308" t="inlineStr">
        <is>
          <t>drawing zone; process page; mapped sheet</t>
        </is>
      </c>
      <c r="M273" s="308" t="inlineStr">
        <is>
          <t>RL7-CKR-101 / PI</t>
        </is>
      </c>
      <c r="N273" s="308" t="inlineStr">
        <is>
          <t>native</t>
        </is>
      </c>
      <c r="O273" s="308" t="inlineStr">
        <is>
          <t>native-only</t>
        </is>
      </c>
      <c r="P273" s="308" t="inlineStr">
        <is>
          <t>native</t>
        </is>
      </c>
      <c r="Q273" s="308" t="inlineStr"/>
      <c r="R273" s="308" t="inlineStr">
        <is>
          <t>native text sufficient</t>
        </is>
      </c>
      <c r="S273" s="308" t="inlineStr"/>
      <c r="T273" s="308" t="inlineStr">
        <is>
          <t>p12:native:220, p12:native:362</t>
        </is>
      </c>
      <c r="U273" s="308" t="n">
        <v>2</v>
      </c>
    </row>
    <row r="274">
      <c r="A274" s="308" t="inlineStr">
        <is>
          <t>Missing in Excel</t>
        </is>
      </c>
      <c r="B274" s="308" t="inlineStr">
        <is>
          <t>DG7020</t>
        </is>
      </c>
      <c r="C274" s="308" t="n">
        <v>12</v>
      </c>
      <c r="D274" s="308" t="inlineStr">
        <is>
          <t>RL7-CKR-101-TR001</t>
        </is>
      </c>
      <c r="E274" s="308" t="inlineStr">
        <is>
          <t>RL7-CKR-101</t>
        </is>
      </c>
      <c r="F274" s="308" t="inlineStr">
        <is>
          <t>TR001</t>
        </is>
      </c>
      <c r="G274" s="308" t="inlineStr">
        <is>
          <t>instrument</t>
        </is>
      </c>
      <c r="H274" s="311" t="n">
        <v>0.57</v>
      </c>
      <c r="I274" s="308" t="inlineStr">
        <is>
          <t>Low</t>
        </is>
      </c>
      <c r="J274" s="308" t="inlineStr">
        <is>
          <t>drawing</t>
        </is>
      </c>
      <c r="K274" s="308" t="inlineStr">
        <is>
          <t>inferred:bare-isa</t>
        </is>
      </c>
      <c r="L274" s="308" t="inlineStr">
        <is>
          <t>drawing zone; process page; mapped sheet</t>
        </is>
      </c>
      <c r="M274" s="308" t="inlineStr">
        <is>
          <t>RL7-CKR-101 / TR</t>
        </is>
      </c>
      <c r="N274" s="308" t="inlineStr">
        <is>
          <t>native</t>
        </is>
      </c>
      <c r="O274" s="308" t="inlineStr">
        <is>
          <t>native-only</t>
        </is>
      </c>
      <c r="P274" s="308" t="inlineStr">
        <is>
          <t>native</t>
        </is>
      </c>
      <c r="Q274" s="308" t="inlineStr"/>
      <c r="R274" s="308" t="inlineStr">
        <is>
          <t>native text sufficient</t>
        </is>
      </c>
      <c r="S274" s="308" t="inlineStr"/>
      <c r="T274" s="308" t="inlineStr">
        <is>
          <t>p12:native:197, p12:native:131</t>
        </is>
      </c>
      <c r="U274" s="308" t="n">
        <v>2</v>
      </c>
    </row>
    <row r="275">
      <c r="A275" s="308" t="inlineStr">
        <is>
          <t>Missing in Excel</t>
        </is>
      </c>
      <c r="B275" s="308" t="inlineStr">
        <is>
          <t>DG7020</t>
        </is>
      </c>
      <c r="C275" s="308" t="n">
        <v>12</v>
      </c>
      <c r="D275" s="308" t="inlineStr">
        <is>
          <t>RL7-SKD-102-HV001</t>
        </is>
      </c>
      <c r="E275" s="308" t="inlineStr">
        <is>
          <t>RL7-SKD-102</t>
        </is>
      </c>
      <c r="F275" s="308" t="inlineStr">
        <is>
          <t>HV001</t>
        </is>
      </c>
      <c r="G275" s="308" t="inlineStr">
        <is>
          <t>instrument</t>
        </is>
      </c>
      <c r="H275" s="311" t="n">
        <v>0.57</v>
      </c>
      <c r="I275" s="308" t="inlineStr">
        <is>
          <t>Low</t>
        </is>
      </c>
      <c r="J275" s="308" t="inlineStr">
        <is>
          <t>drawing</t>
        </is>
      </c>
      <c r="K275" s="308" t="inlineStr">
        <is>
          <t>inferred:bare-isa</t>
        </is>
      </c>
      <c r="L275" s="308" t="inlineStr">
        <is>
          <t>drawing zone; process page; mapped sheet</t>
        </is>
      </c>
      <c r="M275" s="308" t="inlineStr">
        <is>
          <t>RL7-SKD-102 / HV</t>
        </is>
      </c>
      <c r="N275" s="308" t="inlineStr">
        <is>
          <t>native</t>
        </is>
      </c>
      <c r="O275" s="308" t="inlineStr">
        <is>
          <t>native-only</t>
        </is>
      </c>
      <c r="P275" s="308" t="inlineStr">
        <is>
          <t>native</t>
        </is>
      </c>
      <c r="Q275" s="308" t="inlineStr"/>
      <c r="R275" s="308" t="inlineStr">
        <is>
          <t>native text sufficient</t>
        </is>
      </c>
      <c r="S275" s="308" t="inlineStr"/>
      <c r="T275" s="308" t="inlineStr">
        <is>
          <t>p12:native:28, p12:native:74</t>
        </is>
      </c>
      <c r="U275" s="308" t="n">
        <v>2</v>
      </c>
    </row>
    <row r="276">
      <c r="A276" s="308" t="inlineStr">
        <is>
          <t>Missing in Excel</t>
        </is>
      </c>
      <c r="B276" s="308" t="inlineStr">
        <is>
          <t>DG7020</t>
        </is>
      </c>
      <c r="C276" s="308" t="n">
        <v>12</v>
      </c>
      <c r="D276" s="308" t="inlineStr">
        <is>
          <t>RL7-SKD-102-HV002</t>
        </is>
      </c>
      <c r="E276" s="308" t="inlineStr">
        <is>
          <t>RL7-SKD-102</t>
        </is>
      </c>
      <c r="F276" s="308" t="inlineStr">
        <is>
          <t>HV002</t>
        </is>
      </c>
      <c r="G276" s="308" t="inlineStr">
        <is>
          <t>instrument</t>
        </is>
      </c>
      <c r="H276" s="311" t="n">
        <v>0.57</v>
      </c>
      <c r="I276" s="308" t="inlineStr">
        <is>
          <t>Low</t>
        </is>
      </c>
      <c r="J276" s="308" t="inlineStr">
        <is>
          <t>drawing</t>
        </is>
      </c>
      <c r="K276" s="308" t="inlineStr">
        <is>
          <t>inferred:bare-isa</t>
        </is>
      </c>
      <c r="L276" s="308" t="inlineStr">
        <is>
          <t>drawing zone; process page; mapped sheet</t>
        </is>
      </c>
      <c r="M276" s="308" t="inlineStr">
        <is>
          <t>RL7-SKD-102 / HV</t>
        </is>
      </c>
      <c r="N276" s="308" t="inlineStr">
        <is>
          <t>native</t>
        </is>
      </c>
      <c r="O276" s="308" t="inlineStr">
        <is>
          <t>native-only</t>
        </is>
      </c>
      <c r="P276" s="308" t="inlineStr">
        <is>
          <t>native</t>
        </is>
      </c>
      <c r="Q276" s="308" t="inlineStr"/>
      <c r="R276" s="308" t="inlineStr">
        <is>
          <t>native text sufficient</t>
        </is>
      </c>
      <c r="S276" s="308" t="inlineStr"/>
      <c r="T276" s="308" t="inlineStr">
        <is>
          <t>p12:native:28, p12:native:397</t>
        </is>
      </c>
      <c r="U276" s="308" t="n">
        <v>2</v>
      </c>
    </row>
    <row r="277">
      <c r="A277" s="308" t="inlineStr">
        <is>
          <t>Missing in Excel</t>
        </is>
      </c>
      <c r="B277" s="308" t="inlineStr">
        <is>
          <t>DG7020</t>
        </is>
      </c>
      <c r="C277" s="308" t="n">
        <v>12</v>
      </c>
      <c r="D277" s="308" t="inlineStr">
        <is>
          <t>RL7-SKD-102-PI001</t>
        </is>
      </c>
      <c r="E277" s="308" t="inlineStr">
        <is>
          <t>RL7-SKD-102</t>
        </is>
      </c>
      <c r="F277" s="308" t="inlineStr">
        <is>
          <t>PI001</t>
        </is>
      </c>
      <c r="G277" s="308" t="inlineStr">
        <is>
          <t>instrument</t>
        </is>
      </c>
      <c r="H277" s="311" t="n">
        <v>0.57</v>
      </c>
      <c r="I277" s="308" t="inlineStr">
        <is>
          <t>Low</t>
        </is>
      </c>
      <c r="J277" s="308" t="inlineStr">
        <is>
          <t>drawing</t>
        </is>
      </c>
      <c r="K277" s="308" t="inlineStr">
        <is>
          <t>inferred:bare-isa</t>
        </is>
      </c>
      <c r="L277" s="308" t="inlineStr">
        <is>
          <t>drawing zone; process page; mapped sheet</t>
        </is>
      </c>
      <c r="M277" s="308" t="inlineStr">
        <is>
          <t>RL7-SKD-102 / PI</t>
        </is>
      </c>
      <c r="N277" s="308" t="inlineStr">
        <is>
          <t>native</t>
        </is>
      </c>
      <c r="O277" s="308" t="inlineStr">
        <is>
          <t>native-only</t>
        </is>
      </c>
      <c r="P277" s="308" t="inlineStr">
        <is>
          <t>native</t>
        </is>
      </c>
      <c r="Q277" s="308" t="inlineStr"/>
      <c r="R277" s="308" t="inlineStr">
        <is>
          <t>native text sufficient</t>
        </is>
      </c>
      <c r="S277" s="308" t="inlineStr"/>
      <c r="T277" s="308" t="inlineStr">
        <is>
          <t>p12:native:358, p12:native:123</t>
        </is>
      </c>
      <c r="U277" s="308" t="n">
        <v>2</v>
      </c>
    </row>
    <row r="278">
      <c r="A278" s="308" t="inlineStr">
        <is>
          <t>Missing in Excel</t>
        </is>
      </c>
      <c r="B278" s="308" t="inlineStr">
        <is>
          <t>DG7020</t>
        </is>
      </c>
      <c r="C278" s="308" t="n">
        <v>12</v>
      </c>
      <c r="D278" s="308" t="inlineStr">
        <is>
          <t>RL7-SKD-102-PI002</t>
        </is>
      </c>
      <c r="E278" s="308" t="inlineStr">
        <is>
          <t>RL7-SKD-102</t>
        </is>
      </c>
      <c r="F278" s="308" t="inlineStr">
        <is>
          <t>PI002</t>
        </is>
      </c>
      <c r="G278" s="308" t="inlineStr">
        <is>
          <t>instrument</t>
        </is>
      </c>
      <c r="H278" s="311" t="n">
        <v>0.57</v>
      </c>
      <c r="I278" s="308" t="inlineStr">
        <is>
          <t>Low</t>
        </is>
      </c>
      <c r="J278" s="308" t="inlineStr">
        <is>
          <t>drawing</t>
        </is>
      </c>
      <c r="K278" s="308" t="inlineStr">
        <is>
          <t>inferred:bare-isa</t>
        </is>
      </c>
      <c r="L278" s="308" t="inlineStr">
        <is>
          <t>drawing zone; process page; mapped sheet</t>
        </is>
      </c>
      <c r="M278" s="308" t="inlineStr">
        <is>
          <t>RL7-SKD-102 / PI</t>
        </is>
      </c>
      <c r="N278" s="308" t="inlineStr">
        <is>
          <t>native</t>
        </is>
      </c>
      <c r="O278" s="308" t="inlineStr">
        <is>
          <t>native-only</t>
        </is>
      </c>
      <c r="P278" s="308" t="inlineStr">
        <is>
          <t>native</t>
        </is>
      </c>
      <c r="Q278" s="308" t="inlineStr"/>
      <c r="R278" s="308" t="inlineStr">
        <is>
          <t>native text sufficient</t>
        </is>
      </c>
      <c r="S278" s="308" t="inlineStr"/>
      <c r="T278" s="308" t="inlineStr">
        <is>
          <t>p12:native:360, p12:native:63</t>
        </is>
      </c>
      <c r="U278" s="308" t="n">
        <v>2</v>
      </c>
    </row>
    <row r="279">
      <c r="A279" s="308" t="inlineStr">
        <is>
          <t>Missing in Excel</t>
        </is>
      </c>
      <c r="B279" s="308" t="inlineStr">
        <is>
          <t>DG7020</t>
        </is>
      </c>
      <c r="C279" s="308" t="n">
        <v>12</v>
      </c>
      <c r="D279" s="308" t="inlineStr">
        <is>
          <t>1"-CA-12A</t>
        </is>
      </c>
      <c r="E279" s="308" t="inlineStr">
        <is>
          <t>CA</t>
        </is>
      </c>
      <c r="F279" s="308" t="inlineStr">
        <is>
          <t>12A</t>
        </is>
      </c>
      <c r="G279" s="308" t="inlineStr">
        <is>
          <t>line</t>
        </is>
      </c>
      <c r="H279" s="311" t="n">
        <v>0.87</v>
      </c>
      <c r="I279" s="308" t="inlineStr">
        <is>
          <t>Medium</t>
        </is>
      </c>
      <c r="J279" s="308" t="inlineStr">
        <is>
          <t>drawing</t>
        </is>
      </c>
      <c r="K279" s="308" t="inlineStr">
        <is>
          <t>line:size-prefix</t>
        </is>
      </c>
      <c r="L279" s="308" t="inlineStr">
        <is>
          <t>drawing zone; process page; mapped sheet; repeated x8</t>
        </is>
      </c>
      <c r="M279" s="308" t="inlineStr">
        <is>
          <t>1"-CA-12A</t>
        </is>
      </c>
      <c r="N279" s="308" t="inlineStr">
        <is>
          <t>native</t>
        </is>
      </c>
      <c r="O279" s="308" t="inlineStr">
        <is>
          <t>native-only</t>
        </is>
      </c>
      <c r="P279" s="308" t="inlineStr">
        <is>
          <t>native</t>
        </is>
      </c>
      <c r="Q279" s="308" t="inlineStr"/>
      <c r="R279" s="308" t="inlineStr">
        <is>
          <t>native text sufficient</t>
        </is>
      </c>
      <c r="S279" s="308" t="inlineStr"/>
      <c r="T279" s="308" t="inlineStr">
        <is>
          <t>p12:native:203</t>
        </is>
      </c>
      <c r="U279" s="308" t="n">
        <v>1</v>
      </c>
    </row>
    <row r="280">
      <c r="A280" s="308" t="inlineStr">
        <is>
          <t>Missing in Excel</t>
        </is>
      </c>
      <c r="B280" s="308" t="inlineStr">
        <is>
          <t>DG7020</t>
        </is>
      </c>
      <c r="C280" s="308" t="n">
        <v>12</v>
      </c>
      <c r="D280" s="308" t="inlineStr">
        <is>
          <t>1"-CA-12A</t>
        </is>
      </c>
      <c r="E280" s="308" t="inlineStr">
        <is>
          <t>CA</t>
        </is>
      </c>
      <c r="F280" s="308" t="inlineStr">
        <is>
          <t>12A</t>
        </is>
      </c>
      <c r="G280" s="308" t="inlineStr">
        <is>
          <t>line</t>
        </is>
      </c>
      <c r="H280" s="311" t="n">
        <v>0.87</v>
      </c>
      <c r="I280" s="308" t="inlineStr">
        <is>
          <t>Medium</t>
        </is>
      </c>
      <c r="J280" s="308" t="inlineStr">
        <is>
          <t>drawing</t>
        </is>
      </c>
      <c r="K280" s="308" t="inlineStr">
        <is>
          <t>line:size-prefix</t>
        </is>
      </c>
      <c r="L280" s="308" t="inlineStr">
        <is>
          <t>drawing zone; process page; mapped sheet; repeated x8</t>
        </is>
      </c>
      <c r="M280" s="308" t="inlineStr">
        <is>
          <t>1"-CA-12A</t>
        </is>
      </c>
      <c r="N280" s="308" t="inlineStr">
        <is>
          <t>native</t>
        </is>
      </c>
      <c r="O280" s="308" t="inlineStr">
        <is>
          <t>native-only</t>
        </is>
      </c>
      <c r="P280" s="308" t="inlineStr">
        <is>
          <t>native</t>
        </is>
      </c>
      <c r="Q280" s="308" t="inlineStr"/>
      <c r="R280" s="308" t="inlineStr">
        <is>
          <t>native text sufficient</t>
        </is>
      </c>
      <c r="S280" s="308" t="inlineStr"/>
      <c r="T280" s="308" t="inlineStr">
        <is>
          <t>p12:native:345</t>
        </is>
      </c>
      <c r="U280" s="308" t="n">
        <v>1</v>
      </c>
    </row>
    <row r="281">
      <c r="A281" s="308" t="inlineStr">
        <is>
          <t>Missing in Excel</t>
        </is>
      </c>
      <c r="B281" s="308" t="inlineStr">
        <is>
          <t>DG7020</t>
        </is>
      </c>
      <c r="C281" s="308" t="n">
        <v>12</v>
      </c>
      <c r="D281" s="308" t="inlineStr">
        <is>
          <t>1"-CA-12A</t>
        </is>
      </c>
      <c r="E281" s="308" t="inlineStr">
        <is>
          <t>CA</t>
        </is>
      </c>
      <c r="F281" s="308" t="inlineStr">
        <is>
          <t>12A</t>
        </is>
      </c>
      <c r="G281" s="308" t="inlineStr">
        <is>
          <t>line</t>
        </is>
      </c>
      <c r="H281" s="311" t="n">
        <v>0.87</v>
      </c>
      <c r="I281" s="308" t="inlineStr">
        <is>
          <t>Medium</t>
        </is>
      </c>
      <c r="J281" s="308" t="inlineStr">
        <is>
          <t>drawing</t>
        </is>
      </c>
      <c r="K281" s="308" t="inlineStr">
        <is>
          <t>line:size-prefix</t>
        </is>
      </c>
      <c r="L281" s="308" t="inlineStr">
        <is>
          <t>drawing zone; process page; mapped sheet; repeated x8</t>
        </is>
      </c>
      <c r="M281" s="308" t="inlineStr">
        <is>
          <t>1"-CA-12A</t>
        </is>
      </c>
      <c r="N281" s="308" t="inlineStr">
        <is>
          <t>native</t>
        </is>
      </c>
      <c r="O281" s="308" t="inlineStr">
        <is>
          <t>native-only</t>
        </is>
      </c>
      <c r="P281" s="308" t="inlineStr">
        <is>
          <t>native</t>
        </is>
      </c>
      <c r="Q281" s="308" t="inlineStr"/>
      <c r="R281" s="308" t="inlineStr">
        <is>
          <t>native text sufficient</t>
        </is>
      </c>
      <c r="S281" s="308" t="inlineStr"/>
      <c r="T281" s="308" t="inlineStr">
        <is>
          <t>p12:native:412</t>
        </is>
      </c>
      <c r="U281" s="308" t="n">
        <v>1</v>
      </c>
    </row>
    <row r="282">
      <c r="A282" s="308" t="inlineStr">
        <is>
          <t>Missing in Excel</t>
        </is>
      </c>
      <c r="B282" s="308" t="inlineStr">
        <is>
          <t>DG7020</t>
        </is>
      </c>
      <c r="C282" s="308" t="n">
        <v>12</v>
      </c>
      <c r="D282" s="308" t="inlineStr">
        <is>
          <t>1"-CA-12A</t>
        </is>
      </c>
      <c r="E282" s="308" t="inlineStr">
        <is>
          <t>CA</t>
        </is>
      </c>
      <c r="F282" s="308" t="inlineStr">
        <is>
          <t>12A</t>
        </is>
      </c>
      <c r="G282" s="308" t="inlineStr">
        <is>
          <t>line</t>
        </is>
      </c>
      <c r="H282" s="311" t="n">
        <v>0.87</v>
      </c>
      <c r="I282" s="308" t="inlineStr">
        <is>
          <t>Medium</t>
        </is>
      </c>
      <c r="J282" s="308" t="inlineStr">
        <is>
          <t>drawing</t>
        </is>
      </c>
      <c r="K282" s="308" t="inlineStr">
        <is>
          <t>line:size-prefix</t>
        </is>
      </c>
      <c r="L282" s="308" t="inlineStr">
        <is>
          <t>drawing zone; process page; mapped sheet; repeated x8</t>
        </is>
      </c>
      <c r="M282" s="308" t="inlineStr">
        <is>
          <t>1"-CA-12A</t>
        </is>
      </c>
      <c r="N282" s="308" t="inlineStr">
        <is>
          <t>native</t>
        </is>
      </c>
      <c r="O282" s="308" t="inlineStr">
        <is>
          <t>native-only</t>
        </is>
      </c>
      <c r="P282" s="308" t="inlineStr">
        <is>
          <t>native</t>
        </is>
      </c>
      <c r="Q282" s="308" t="inlineStr"/>
      <c r="R282" s="308" t="inlineStr">
        <is>
          <t>native text sufficient</t>
        </is>
      </c>
      <c r="S282" s="308" t="inlineStr"/>
      <c r="T282" s="308" t="inlineStr">
        <is>
          <t>p12:native:413</t>
        </is>
      </c>
      <c r="U282" s="308" t="n">
        <v>1</v>
      </c>
    </row>
    <row r="283">
      <c r="A283" s="308" t="inlineStr">
        <is>
          <t>Missing in Excel</t>
        </is>
      </c>
      <c r="B283" s="308" t="inlineStr">
        <is>
          <t>DG7020</t>
        </is>
      </c>
      <c r="C283" s="308" t="n">
        <v>12</v>
      </c>
      <c r="D283" s="308" t="inlineStr">
        <is>
          <t>1"-CA-12A</t>
        </is>
      </c>
      <c r="E283" s="308" t="inlineStr">
        <is>
          <t>CA</t>
        </is>
      </c>
      <c r="F283" s="308" t="inlineStr">
        <is>
          <t>12A</t>
        </is>
      </c>
      <c r="G283" s="308" t="inlineStr">
        <is>
          <t>line</t>
        </is>
      </c>
      <c r="H283" s="311" t="n">
        <v>0.87</v>
      </c>
      <c r="I283" s="308" t="inlineStr">
        <is>
          <t>Medium</t>
        </is>
      </c>
      <c r="J283" s="308" t="inlineStr">
        <is>
          <t>drawing</t>
        </is>
      </c>
      <c r="K283" s="308" t="inlineStr">
        <is>
          <t>line:size-prefix</t>
        </is>
      </c>
      <c r="L283" s="308" t="inlineStr">
        <is>
          <t>drawing zone; process page; mapped sheet; repeated x8</t>
        </is>
      </c>
      <c r="M283" s="308" t="inlineStr">
        <is>
          <t>1"-CA-12A</t>
        </is>
      </c>
      <c r="N283" s="308" t="inlineStr">
        <is>
          <t>native</t>
        </is>
      </c>
      <c r="O283" s="308" t="inlineStr">
        <is>
          <t>native-only</t>
        </is>
      </c>
      <c r="P283" s="308" t="inlineStr">
        <is>
          <t>native</t>
        </is>
      </c>
      <c r="Q283" s="308" t="inlineStr"/>
      <c r="R283" s="308" t="inlineStr">
        <is>
          <t>native text sufficient</t>
        </is>
      </c>
      <c r="S283" s="308" t="inlineStr"/>
      <c r="T283" s="308" t="inlineStr">
        <is>
          <t>p12:native:460</t>
        </is>
      </c>
      <c r="U283" s="308" t="n">
        <v>1</v>
      </c>
    </row>
    <row r="284">
      <c r="A284" s="308" t="inlineStr">
        <is>
          <t>Missing in Excel</t>
        </is>
      </c>
      <c r="B284" s="308" t="inlineStr">
        <is>
          <t>DG7020</t>
        </is>
      </c>
      <c r="C284" s="308" t="n">
        <v>12</v>
      </c>
      <c r="D284" s="308" t="inlineStr">
        <is>
          <t>1"-CA-12A</t>
        </is>
      </c>
      <c r="E284" s="308" t="inlineStr">
        <is>
          <t>CA</t>
        </is>
      </c>
      <c r="F284" s="308" t="inlineStr">
        <is>
          <t>12A</t>
        </is>
      </c>
      <c r="G284" s="308" t="inlineStr">
        <is>
          <t>line</t>
        </is>
      </c>
      <c r="H284" s="311" t="n">
        <v>0.87</v>
      </c>
      <c r="I284" s="308" t="inlineStr">
        <is>
          <t>Medium</t>
        </is>
      </c>
      <c r="J284" s="308" t="inlineStr">
        <is>
          <t>drawing</t>
        </is>
      </c>
      <c r="K284" s="308" t="inlineStr">
        <is>
          <t>line:size-prefix</t>
        </is>
      </c>
      <c r="L284" s="308" t="inlineStr">
        <is>
          <t>drawing zone; process page; mapped sheet; repeated x8</t>
        </is>
      </c>
      <c r="M284" s="308" t="inlineStr">
        <is>
          <t>1"-CA-12A</t>
        </is>
      </c>
      <c r="N284" s="308" t="inlineStr">
        <is>
          <t>native</t>
        </is>
      </c>
      <c r="O284" s="308" t="inlineStr">
        <is>
          <t>native-only</t>
        </is>
      </c>
      <c r="P284" s="308" t="inlineStr">
        <is>
          <t>native</t>
        </is>
      </c>
      <c r="Q284" s="308" t="inlineStr"/>
      <c r="R284" s="308" t="inlineStr">
        <is>
          <t>native text sufficient</t>
        </is>
      </c>
      <c r="S284" s="308" t="inlineStr"/>
      <c r="T284" s="308" t="inlineStr">
        <is>
          <t>p12:native:463</t>
        </is>
      </c>
      <c r="U284" s="308" t="n">
        <v>1</v>
      </c>
    </row>
    <row r="285">
      <c r="A285" s="308" t="inlineStr">
        <is>
          <t>Missing in Excel</t>
        </is>
      </c>
      <c r="B285" s="308" t="inlineStr">
        <is>
          <t>DG7020</t>
        </is>
      </c>
      <c r="C285" s="308" t="n">
        <v>12</v>
      </c>
      <c r="D285" s="308" t="inlineStr">
        <is>
          <t>1"-CA-12A</t>
        </is>
      </c>
      <c r="E285" s="308" t="inlineStr">
        <is>
          <t>CA</t>
        </is>
      </c>
      <c r="F285" s="308" t="inlineStr">
        <is>
          <t>12A</t>
        </is>
      </c>
      <c r="G285" s="308" t="inlineStr">
        <is>
          <t>line</t>
        </is>
      </c>
      <c r="H285" s="311" t="n">
        <v>0.87</v>
      </c>
      <c r="I285" s="308" t="inlineStr">
        <is>
          <t>Medium</t>
        </is>
      </c>
      <c r="J285" s="308" t="inlineStr">
        <is>
          <t>drawing</t>
        </is>
      </c>
      <c r="K285" s="308" t="inlineStr">
        <is>
          <t>line:size-prefix</t>
        </is>
      </c>
      <c r="L285" s="308" t="inlineStr">
        <is>
          <t>drawing zone; process page; mapped sheet; repeated x8</t>
        </is>
      </c>
      <c r="M285" s="308" t="inlineStr">
        <is>
          <t>1"-CA-12A CA FOR</t>
        </is>
      </c>
      <c r="N285" s="308" t="inlineStr">
        <is>
          <t>native</t>
        </is>
      </c>
      <c r="O285" s="308" t="inlineStr">
        <is>
          <t>native-only</t>
        </is>
      </c>
      <c r="P285" s="308" t="inlineStr">
        <is>
          <t>native</t>
        </is>
      </c>
      <c r="Q285" s="308" t="inlineStr"/>
      <c r="R285" s="308" t="inlineStr">
        <is>
          <t>native text sufficient</t>
        </is>
      </c>
      <c r="S285" s="308" t="inlineStr"/>
      <c r="T285" s="308" t="inlineStr">
        <is>
          <t>p12:native:463, p12:native:461</t>
        </is>
      </c>
      <c r="U285" s="308" t="n">
        <v>2</v>
      </c>
    </row>
    <row r="286">
      <c r="A286" s="308" t="inlineStr">
        <is>
          <t>Missing in Excel</t>
        </is>
      </c>
      <c r="B286" s="308" t="inlineStr">
        <is>
          <t>DG7020</t>
        </is>
      </c>
      <c r="C286" s="308" t="n">
        <v>12</v>
      </c>
      <c r="D286" s="308" t="inlineStr">
        <is>
          <t>1"-CA-12A</t>
        </is>
      </c>
      <c r="E286" s="308" t="inlineStr">
        <is>
          <t>CA</t>
        </is>
      </c>
      <c r="F286" s="308" t="inlineStr">
        <is>
          <t>12A</t>
        </is>
      </c>
      <c r="G286" s="308" t="inlineStr">
        <is>
          <t>line</t>
        </is>
      </c>
      <c r="H286" s="311" t="n">
        <v>0.87</v>
      </c>
      <c r="I286" s="308" t="inlineStr">
        <is>
          <t>Medium</t>
        </is>
      </c>
      <c r="J286" s="308" t="inlineStr">
        <is>
          <t>drawing</t>
        </is>
      </c>
      <c r="K286" s="308" t="inlineStr">
        <is>
          <t>line:size-prefix</t>
        </is>
      </c>
      <c r="L286" s="308" t="inlineStr">
        <is>
          <t>drawing zone; process page; mapped sheet; repeated x8</t>
        </is>
      </c>
      <c r="M286" s="308" t="inlineStr">
        <is>
          <t>1"-CA-12A PI</t>
        </is>
      </c>
      <c r="N286" s="308" t="inlineStr">
        <is>
          <t>native</t>
        </is>
      </c>
      <c r="O286" s="308" t="inlineStr">
        <is>
          <t>native-only</t>
        </is>
      </c>
      <c r="P286" s="308" t="inlineStr">
        <is>
          <t>native</t>
        </is>
      </c>
      <c r="Q286" s="308" t="inlineStr"/>
      <c r="R286" s="308" t="inlineStr">
        <is>
          <t>native text sufficient</t>
        </is>
      </c>
      <c r="S286" s="308" t="inlineStr"/>
      <c r="T286" s="308" t="inlineStr">
        <is>
          <t>p12:native:413, p12:native:362</t>
        </is>
      </c>
      <c r="U286" s="308" t="n">
        <v>2</v>
      </c>
    </row>
    <row r="287">
      <c r="A287" s="308" t="inlineStr">
        <is>
          <t>Missing in Excel</t>
        </is>
      </c>
      <c r="B287" s="308" t="inlineStr">
        <is>
          <t>DG7020</t>
        </is>
      </c>
      <c r="C287" s="308" t="n">
        <v>12</v>
      </c>
      <c r="D287" s="308" t="inlineStr">
        <is>
          <t>3"-PROD-T4</t>
        </is>
      </c>
      <c r="E287" s="308" t="inlineStr">
        <is>
          <t>PROD</t>
        </is>
      </c>
      <c r="F287" s="308" t="inlineStr">
        <is>
          <t>T4</t>
        </is>
      </c>
      <c r="G287" s="308" t="inlineStr">
        <is>
          <t>line</t>
        </is>
      </c>
      <c r="H287" s="311" t="n">
        <v>0.87</v>
      </c>
      <c r="I287" s="308" t="inlineStr">
        <is>
          <t>Medium</t>
        </is>
      </c>
      <c r="J287" s="308" t="inlineStr">
        <is>
          <t>drawing</t>
        </is>
      </c>
      <c r="K287" s="308" t="inlineStr">
        <is>
          <t>line:size-prefix</t>
        </is>
      </c>
      <c r="L287" s="308" t="inlineStr">
        <is>
          <t>drawing zone; process page; mapped sheet; repeated x4</t>
        </is>
      </c>
      <c r="M287" s="308" t="inlineStr">
        <is>
          <t>3"-PROD-T4</t>
        </is>
      </c>
      <c r="N287" s="308" t="inlineStr">
        <is>
          <t>native</t>
        </is>
      </c>
      <c r="O287" s="308" t="inlineStr">
        <is>
          <t>native-only</t>
        </is>
      </c>
      <c r="P287" s="308" t="inlineStr">
        <is>
          <t>native</t>
        </is>
      </c>
      <c r="Q287" s="308" t="inlineStr"/>
      <c r="R287" s="308" t="inlineStr">
        <is>
          <t>native text sufficient</t>
        </is>
      </c>
      <c r="S287" s="308" t="inlineStr"/>
      <c r="T287" s="308" t="inlineStr">
        <is>
          <t>p12:native:64</t>
        </is>
      </c>
      <c r="U287" s="308" t="n">
        <v>1</v>
      </c>
    </row>
    <row r="288">
      <c r="A288" s="308" t="inlineStr">
        <is>
          <t>Missing in Excel</t>
        </is>
      </c>
      <c r="B288" s="308" t="inlineStr">
        <is>
          <t>DG7020</t>
        </is>
      </c>
      <c r="C288" s="308" t="n">
        <v>12</v>
      </c>
      <c r="D288" s="308" t="inlineStr">
        <is>
          <t>3"-PROD-T4</t>
        </is>
      </c>
      <c r="E288" s="308" t="inlineStr">
        <is>
          <t>PROD</t>
        </is>
      </c>
      <c r="F288" s="308" t="inlineStr">
        <is>
          <t>T4</t>
        </is>
      </c>
      <c r="G288" s="308" t="inlineStr">
        <is>
          <t>line</t>
        </is>
      </c>
      <c r="H288" s="311" t="n">
        <v>0.87</v>
      </c>
      <c r="I288" s="308" t="inlineStr">
        <is>
          <t>Medium</t>
        </is>
      </c>
      <c r="J288" s="308" t="inlineStr">
        <is>
          <t>drawing</t>
        </is>
      </c>
      <c r="K288" s="308" t="inlineStr">
        <is>
          <t>line:size-prefix</t>
        </is>
      </c>
      <c r="L288" s="308" t="inlineStr">
        <is>
          <t>drawing zone; process page; mapped sheet; repeated x4</t>
        </is>
      </c>
      <c r="M288" s="308" t="inlineStr">
        <is>
          <t>3"-PROD-T4</t>
        </is>
      </c>
      <c r="N288" s="308" t="inlineStr">
        <is>
          <t>native</t>
        </is>
      </c>
      <c r="O288" s="308" t="inlineStr">
        <is>
          <t>native-only</t>
        </is>
      </c>
      <c r="P288" s="308" t="inlineStr">
        <is>
          <t>native</t>
        </is>
      </c>
      <c r="Q288" s="308" t="inlineStr"/>
      <c r="R288" s="308" t="inlineStr">
        <is>
          <t>native text sufficient</t>
        </is>
      </c>
      <c r="S288" s="308" t="inlineStr"/>
      <c r="T288" s="308" t="inlineStr">
        <is>
          <t>p12:native:222</t>
        </is>
      </c>
      <c r="U288" s="308" t="n">
        <v>1</v>
      </c>
    </row>
    <row r="289">
      <c r="A289" s="308" t="inlineStr">
        <is>
          <t>Missing in Excel</t>
        </is>
      </c>
      <c r="B289" s="308" t="inlineStr">
        <is>
          <t>DG7020</t>
        </is>
      </c>
      <c r="C289" s="308" t="n">
        <v>12</v>
      </c>
      <c r="D289" s="308" t="inlineStr">
        <is>
          <t>3"-PROD-T4</t>
        </is>
      </c>
      <c r="E289" s="308" t="inlineStr">
        <is>
          <t>PROD</t>
        </is>
      </c>
      <c r="F289" s="308" t="inlineStr">
        <is>
          <t>T4</t>
        </is>
      </c>
      <c r="G289" s="308" t="inlineStr">
        <is>
          <t>line</t>
        </is>
      </c>
      <c r="H289" s="311" t="n">
        <v>0.87</v>
      </c>
      <c r="I289" s="308" t="inlineStr">
        <is>
          <t>Medium</t>
        </is>
      </c>
      <c r="J289" s="308" t="inlineStr">
        <is>
          <t>drawing</t>
        </is>
      </c>
      <c r="K289" s="308" t="inlineStr">
        <is>
          <t>line:size-prefix</t>
        </is>
      </c>
      <c r="L289" s="308" t="inlineStr">
        <is>
          <t>drawing zone; process page; mapped sheet; repeated x4</t>
        </is>
      </c>
      <c r="M289" s="308" t="inlineStr">
        <is>
          <t>3"-PROD-T4 CONTRACTOR</t>
        </is>
      </c>
      <c r="N289" s="308" t="inlineStr">
        <is>
          <t>native</t>
        </is>
      </c>
      <c r="O289" s="308" t="inlineStr">
        <is>
          <t>native-only</t>
        </is>
      </c>
      <c r="P289" s="308" t="inlineStr">
        <is>
          <t>native</t>
        </is>
      </c>
      <c r="Q289" s="308" t="inlineStr"/>
      <c r="R289" s="308" t="inlineStr">
        <is>
          <t>native text sufficient</t>
        </is>
      </c>
      <c r="S289" s="308" t="inlineStr"/>
      <c r="T289" s="308" t="inlineStr">
        <is>
          <t>p12:native:222, p12:native:318</t>
        </is>
      </c>
      <c r="U289" s="308" t="n">
        <v>2</v>
      </c>
    </row>
    <row r="290">
      <c r="A290" s="308" t="inlineStr">
        <is>
          <t>Missing in Excel</t>
        </is>
      </c>
      <c r="B290" s="308" t="inlineStr">
        <is>
          <t>DG7020</t>
        </is>
      </c>
      <c r="C290" s="308" t="n">
        <v>12</v>
      </c>
      <c r="D290" s="308" t="inlineStr">
        <is>
          <t>3/4"-GC-1A</t>
        </is>
      </c>
      <c r="E290" s="308" t="inlineStr">
        <is>
          <t>GC</t>
        </is>
      </c>
      <c r="F290" s="308" t="inlineStr">
        <is>
          <t>1A</t>
        </is>
      </c>
      <c r="G290" s="308" t="inlineStr">
        <is>
          <t>line</t>
        </is>
      </c>
      <c r="H290" s="311" t="n">
        <v>0.87</v>
      </c>
      <c r="I290" s="308" t="inlineStr">
        <is>
          <t>Medium</t>
        </is>
      </c>
      <c r="J290" s="308" t="inlineStr">
        <is>
          <t>drawing</t>
        </is>
      </c>
      <c r="K290" s="308" t="inlineStr">
        <is>
          <t>line:size-prefix</t>
        </is>
      </c>
      <c r="L290" s="308" t="inlineStr">
        <is>
          <t>drawing zone; process page; mapped sheet; repeated x4</t>
        </is>
      </c>
      <c r="M290" s="308" t="inlineStr">
        <is>
          <t>3/4"-GC-1A</t>
        </is>
      </c>
      <c r="N290" s="308" t="inlineStr">
        <is>
          <t>native</t>
        </is>
      </c>
      <c r="O290" s="308" t="inlineStr">
        <is>
          <t>native-only</t>
        </is>
      </c>
      <c r="P290" s="308" t="inlineStr">
        <is>
          <t>native</t>
        </is>
      </c>
      <c r="Q290" s="308" t="inlineStr"/>
      <c r="R290" s="308" t="inlineStr">
        <is>
          <t>native text sufficient</t>
        </is>
      </c>
      <c r="S290" s="308" t="inlineStr"/>
      <c r="T290" s="308" t="inlineStr">
        <is>
          <t>p12:native:307</t>
        </is>
      </c>
      <c r="U290" s="308" t="n">
        <v>1</v>
      </c>
    </row>
    <row r="291">
      <c r="A291" s="308" t="inlineStr">
        <is>
          <t>Missing in Excel</t>
        </is>
      </c>
      <c r="B291" s="308" t="inlineStr">
        <is>
          <t>DG7020</t>
        </is>
      </c>
      <c r="C291" s="308" t="n">
        <v>12</v>
      </c>
      <c r="D291" s="308" t="inlineStr">
        <is>
          <t>3/4"-GC-1A</t>
        </is>
      </c>
      <c r="E291" s="308" t="inlineStr">
        <is>
          <t>GC</t>
        </is>
      </c>
      <c r="F291" s="308" t="inlineStr">
        <is>
          <t>1A</t>
        </is>
      </c>
      <c r="G291" s="308" t="inlineStr">
        <is>
          <t>line</t>
        </is>
      </c>
      <c r="H291" s="311" t="n">
        <v>0.87</v>
      </c>
      <c r="I291" s="308" t="inlineStr">
        <is>
          <t>Medium</t>
        </is>
      </c>
      <c r="J291" s="308" t="inlineStr">
        <is>
          <t>drawing</t>
        </is>
      </c>
      <c r="K291" s="308" t="inlineStr">
        <is>
          <t>line:size-prefix</t>
        </is>
      </c>
      <c r="L291" s="308" t="inlineStr">
        <is>
          <t>drawing zone; process page; mapped sheet; repeated x4</t>
        </is>
      </c>
      <c r="M291" s="308" t="inlineStr">
        <is>
          <t>3"X3/4"3/4"-GC-1A</t>
        </is>
      </c>
      <c r="N291" s="308" t="inlineStr">
        <is>
          <t>native</t>
        </is>
      </c>
      <c r="O291" s="308" t="inlineStr">
        <is>
          <t>native-only</t>
        </is>
      </c>
      <c r="P291" s="308" t="inlineStr">
        <is>
          <t>native</t>
        </is>
      </c>
      <c r="Q291" s="308" t="inlineStr"/>
      <c r="R291" s="308" t="inlineStr">
        <is>
          <t>native text sufficient</t>
        </is>
      </c>
      <c r="S291" s="308" t="inlineStr"/>
      <c r="T291" s="308" t="inlineStr">
        <is>
          <t>p12:native:125, p12:native:307</t>
        </is>
      </c>
      <c r="U291" s="308" t="n">
        <v>2</v>
      </c>
    </row>
    <row r="292">
      <c r="A292" s="308" t="inlineStr">
        <is>
          <t>Missing in Excel</t>
        </is>
      </c>
      <c r="B292" s="308" t="inlineStr">
        <is>
          <t>DG7020</t>
        </is>
      </c>
      <c r="C292" s="308" t="n">
        <v>12</v>
      </c>
      <c r="D292" s="308" t="inlineStr">
        <is>
          <t>3/4"-GC-1A</t>
        </is>
      </c>
      <c r="E292" s="308" t="inlineStr">
        <is>
          <t>GC</t>
        </is>
      </c>
      <c r="F292" s="308" t="inlineStr">
        <is>
          <t>1A</t>
        </is>
      </c>
      <c r="G292" s="308" t="inlineStr">
        <is>
          <t>line</t>
        </is>
      </c>
      <c r="H292" s="311" t="n">
        <v>0.87</v>
      </c>
      <c r="I292" s="308" t="inlineStr">
        <is>
          <t>Medium</t>
        </is>
      </c>
      <c r="J292" s="308" t="inlineStr">
        <is>
          <t>drawing</t>
        </is>
      </c>
      <c r="K292" s="308" t="inlineStr">
        <is>
          <t>line:size-prefix</t>
        </is>
      </c>
      <c r="L292" s="308" t="inlineStr">
        <is>
          <t>drawing zone; process page; mapped sheet; repeated x4</t>
        </is>
      </c>
      <c r="M292" s="308" t="inlineStr">
        <is>
          <t>3/4"-GC-1A RL7</t>
        </is>
      </c>
      <c r="N292" s="308" t="inlineStr">
        <is>
          <t>native</t>
        </is>
      </c>
      <c r="O292" s="308" t="inlineStr">
        <is>
          <t>native-only</t>
        </is>
      </c>
      <c r="P292" s="308" t="inlineStr">
        <is>
          <t>native</t>
        </is>
      </c>
      <c r="Q292" s="308" t="inlineStr"/>
      <c r="R292" s="308" t="inlineStr">
        <is>
          <t>native text sufficient</t>
        </is>
      </c>
      <c r="S292" s="308" t="inlineStr"/>
      <c r="T292" s="308" t="inlineStr">
        <is>
          <t>p12:native:307, p12:native:90</t>
        </is>
      </c>
      <c r="U292" s="308" t="n">
        <v>2</v>
      </c>
    </row>
    <row r="293">
      <c r="A293" s="308" t="inlineStr">
        <is>
          <t>Missing in Excel</t>
        </is>
      </c>
      <c r="B293" s="308" t="inlineStr">
        <is>
          <t>DG7020</t>
        </is>
      </c>
      <c r="C293" s="308" t="n">
        <v>12</v>
      </c>
      <c r="D293" s="308" t="inlineStr">
        <is>
          <t>4"-HPS-1A</t>
        </is>
      </c>
      <c r="E293" s="308" t="inlineStr">
        <is>
          <t>HPS</t>
        </is>
      </c>
      <c r="F293" s="308" t="inlineStr">
        <is>
          <t>1A</t>
        </is>
      </c>
      <c r="G293" s="308" t="inlineStr">
        <is>
          <t>line</t>
        </is>
      </c>
      <c r="H293" s="311" t="n">
        <v>0.82</v>
      </c>
      <c r="I293" s="308" t="inlineStr">
        <is>
          <t>Medium</t>
        </is>
      </c>
      <c r="J293" s="308" t="inlineStr">
        <is>
          <t>drawing</t>
        </is>
      </c>
      <c r="K293" s="308" t="inlineStr">
        <is>
          <t>line:size-prefix</t>
        </is>
      </c>
      <c r="L293" s="308" t="inlineStr">
        <is>
          <t>drawing zone; process page; mapped sheet; repeated x2</t>
        </is>
      </c>
      <c r="M293" s="308" t="inlineStr">
        <is>
          <t>4"-HPS-1A</t>
        </is>
      </c>
      <c r="N293" s="308" t="inlineStr">
        <is>
          <t>native</t>
        </is>
      </c>
      <c r="O293" s="308" t="inlineStr">
        <is>
          <t>native-only</t>
        </is>
      </c>
      <c r="P293" s="308" t="inlineStr">
        <is>
          <t>native</t>
        </is>
      </c>
      <c r="Q293" s="308" t="inlineStr"/>
      <c r="R293" s="308" t="inlineStr">
        <is>
          <t>native text sufficient</t>
        </is>
      </c>
      <c r="S293" s="308" t="inlineStr"/>
      <c r="T293" s="308" t="inlineStr">
        <is>
          <t>p12:native:333</t>
        </is>
      </c>
      <c r="U293" s="308" t="n">
        <v>1</v>
      </c>
    </row>
    <row r="294">
      <c r="A294" s="308" t="inlineStr">
        <is>
          <t>Missing in Excel</t>
        </is>
      </c>
      <c r="B294" s="308" t="inlineStr">
        <is>
          <t>DG7020</t>
        </is>
      </c>
      <c r="C294" s="308" t="n">
        <v>12</v>
      </c>
      <c r="D294" s="308" t="inlineStr">
        <is>
          <t>1"-LAC-T4</t>
        </is>
      </c>
      <c r="E294" s="308" t="inlineStr">
        <is>
          <t>LAC</t>
        </is>
      </c>
      <c r="F294" s="308" t="inlineStr">
        <is>
          <t>T4</t>
        </is>
      </c>
      <c r="G294" s="308" t="inlineStr">
        <is>
          <t>line</t>
        </is>
      </c>
      <c r="H294" s="311" t="n">
        <v>0.77</v>
      </c>
      <c r="I294" s="308" t="inlineStr">
        <is>
          <t>Medium</t>
        </is>
      </c>
      <c r="J294" s="308" t="inlineStr">
        <is>
          <t>drawing</t>
        </is>
      </c>
      <c r="K294" s="308" t="inlineStr">
        <is>
          <t>line:size-prefix</t>
        </is>
      </c>
      <c r="L294" s="308" t="inlineStr">
        <is>
          <t>drawing zone; process page; mapped sheet</t>
        </is>
      </c>
      <c r="M294" s="308" t="inlineStr">
        <is>
          <t>1"-LAC-T4</t>
        </is>
      </c>
      <c r="N294" s="308" t="inlineStr">
        <is>
          <t>native</t>
        </is>
      </c>
      <c r="O294" s="308" t="inlineStr">
        <is>
          <t>native-only</t>
        </is>
      </c>
      <c r="P294" s="308" t="inlineStr">
        <is>
          <t>native</t>
        </is>
      </c>
      <c r="Q294" s="308" t="inlineStr"/>
      <c r="R294" s="308" t="inlineStr">
        <is>
          <t>native text sufficient</t>
        </is>
      </c>
      <c r="S294" s="308" t="inlineStr"/>
      <c r="T294" s="308" t="inlineStr">
        <is>
          <t>p12:native:205</t>
        </is>
      </c>
      <c r="U294" s="308" t="n">
        <v>1</v>
      </c>
    </row>
    <row r="295">
      <c r="A295" s="308" t="inlineStr">
        <is>
          <t>Missing in Excel</t>
        </is>
      </c>
      <c r="B295" s="308" t="inlineStr">
        <is>
          <t>DG7020</t>
        </is>
      </c>
      <c r="C295" s="308" t="n">
        <v>12</v>
      </c>
      <c r="D295" s="308" t="inlineStr">
        <is>
          <t>2"-CIPS-T4</t>
        </is>
      </c>
      <c r="E295" s="308" t="inlineStr">
        <is>
          <t>CIPS</t>
        </is>
      </c>
      <c r="F295" s="308" t="inlineStr">
        <is>
          <t>T4</t>
        </is>
      </c>
      <c r="G295" s="308" t="inlineStr">
        <is>
          <t>line</t>
        </is>
      </c>
      <c r="H295" s="311" t="n">
        <v>0.77</v>
      </c>
      <c r="I295" s="308" t="inlineStr">
        <is>
          <t>Medium</t>
        </is>
      </c>
      <c r="J295" s="308" t="inlineStr">
        <is>
          <t>drawing</t>
        </is>
      </c>
      <c r="K295" s="308" t="inlineStr">
        <is>
          <t>line:size-prefix</t>
        </is>
      </c>
      <c r="L295" s="308" t="inlineStr">
        <is>
          <t>drawing zone; process page; mapped sheet</t>
        </is>
      </c>
      <c r="M295" s="308" t="inlineStr">
        <is>
          <t>2"-CIPS-T4</t>
        </is>
      </c>
      <c r="N295" s="308" t="inlineStr">
        <is>
          <t>native</t>
        </is>
      </c>
      <c r="O295" s="308" t="inlineStr">
        <is>
          <t>native-only</t>
        </is>
      </c>
      <c r="P295" s="308" t="inlineStr">
        <is>
          <t>native</t>
        </is>
      </c>
      <c r="Q295" s="308" t="inlineStr"/>
      <c r="R295" s="308" t="inlineStr">
        <is>
          <t>native text sufficient</t>
        </is>
      </c>
      <c r="S295" s="308" t="inlineStr"/>
      <c r="T295" s="308" t="inlineStr">
        <is>
          <t>p12:native:204</t>
        </is>
      </c>
      <c r="U295" s="308" t="n">
        <v>1</v>
      </c>
    </row>
    <row r="296">
      <c r="A296" s="308" t="inlineStr">
        <is>
          <t>Missing in Excel</t>
        </is>
      </c>
      <c r="B296" s="308" t="inlineStr">
        <is>
          <t>DG7020</t>
        </is>
      </c>
      <c r="C296" s="308" t="n">
        <v>12</v>
      </c>
      <c r="D296" s="308" t="inlineStr">
        <is>
          <t>2"-JHWR-12A</t>
        </is>
      </c>
      <c r="E296" s="308" t="inlineStr">
        <is>
          <t>JHWR</t>
        </is>
      </c>
      <c r="F296" s="308" t="inlineStr">
        <is>
          <t>12A</t>
        </is>
      </c>
      <c r="G296" s="308" t="inlineStr">
        <is>
          <t>line</t>
        </is>
      </c>
      <c r="H296" s="311" t="n">
        <v>0.77</v>
      </c>
      <c r="I296" s="308" t="inlineStr">
        <is>
          <t>Medium</t>
        </is>
      </c>
      <c r="J296" s="308" t="inlineStr">
        <is>
          <t>drawing</t>
        </is>
      </c>
      <c r="K296" s="308" t="inlineStr">
        <is>
          <t>line:size-prefix</t>
        </is>
      </c>
      <c r="L296" s="308" t="inlineStr">
        <is>
          <t>drawing zone; process page; mapped sheet</t>
        </is>
      </c>
      <c r="M296" s="308" t="inlineStr">
        <is>
          <t>2"-JHWR-12A</t>
        </is>
      </c>
      <c r="N296" s="308" t="inlineStr">
        <is>
          <t>native</t>
        </is>
      </c>
      <c r="O296" s="308" t="inlineStr">
        <is>
          <t>native-only</t>
        </is>
      </c>
      <c r="P296" s="308" t="inlineStr">
        <is>
          <t>native</t>
        </is>
      </c>
      <c r="Q296" s="308" t="inlineStr"/>
      <c r="R296" s="308" t="inlineStr">
        <is>
          <t>native text sufficient</t>
        </is>
      </c>
      <c r="S296" s="308" t="inlineStr"/>
      <c r="T296" s="308" t="inlineStr">
        <is>
          <t>p12:native:288</t>
        </is>
      </c>
      <c r="U296" s="308" t="n">
        <v>1</v>
      </c>
    </row>
    <row r="297">
      <c r="A297" s="308" t="inlineStr">
        <is>
          <t>Missing in Excel</t>
        </is>
      </c>
      <c r="B297" s="308" t="inlineStr">
        <is>
          <t>DG7020</t>
        </is>
      </c>
      <c r="C297" s="308" t="n">
        <v>12</v>
      </c>
      <c r="D297" s="308" t="inlineStr">
        <is>
          <t>2"-JHWS-12A</t>
        </is>
      </c>
      <c r="E297" s="308" t="inlineStr">
        <is>
          <t>JHWS</t>
        </is>
      </c>
      <c r="F297" s="308" t="inlineStr">
        <is>
          <t>12A</t>
        </is>
      </c>
      <c r="G297" s="308" t="inlineStr">
        <is>
          <t>line</t>
        </is>
      </c>
      <c r="H297" s="311" t="n">
        <v>0.77</v>
      </c>
      <c r="I297" s="308" t="inlineStr">
        <is>
          <t>Medium</t>
        </is>
      </c>
      <c r="J297" s="308" t="inlineStr">
        <is>
          <t>drawing</t>
        </is>
      </c>
      <c r="K297" s="308" t="inlineStr">
        <is>
          <t>line:size-prefix</t>
        </is>
      </c>
      <c r="L297" s="308" t="inlineStr">
        <is>
          <t>drawing zone; process page; mapped sheet</t>
        </is>
      </c>
      <c r="M297" s="308" t="inlineStr">
        <is>
          <t>2"-JHWS-12A</t>
        </is>
      </c>
      <c r="N297" s="308" t="inlineStr">
        <is>
          <t>native</t>
        </is>
      </c>
      <c r="O297" s="308" t="inlineStr">
        <is>
          <t>native-only</t>
        </is>
      </c>
      <c r="P297" s="308" t="inlineStr">
        <is>
          <t>native</t>
        </is>
      </c>
      <c r="Q297" s="308" t="inlineStr"/>
      <c r="R297" s="308" t="inlineStr">
        <is>
          <t>native text sufficient</t>
        </is>
      </c>
      <c r="S297" s="308" t="inlineStr"/>
      <c r="T297" s="308" t="inlineStr">
        <is>
          <t>p12:native:133</t>
        </is>
      </c>
      <c r="U297" s="308" t="n">
        <v>1</v>
      </c>
    </row>
    <row r="298">
      <c r="A298" s="308" t="inlineStr">
        <is>
          <t>Missing in Excel</t>
        </is>
      </c>
      <c r="B298" s="308" t="inlineStr">
        <is>
          <t>DG7020</t>
        </is>
      </c>
      <c r="C298" s="308" t="n">
        <v>12</v>
      </c>
      <c r="D298" s="308" t="inlineStr">
        <is>
          <t>3"-HPS-1A</t>
        </is>
      </c>
      <c r="E298" s="308" t="inlineStr">
        <is>
          <t>HPS</t>
        </is>
      </c>
      <c r="F298" s="308" t="inlineStr">
        <is>
          <t>1A</t>
        </is>
      </c>
      <c r="G298" s="308" t="inlineStr">
        <is>
          <t>line</t>
        </is>
      </c>
      <c r="H298" s="311" t="n">
        <v>0.77</v>
      </c>
      <c r="I298" s="308" t="inlineStr">
        <is>
          <t>Medium</t>
        </is>
      </c>
      <c r="J298" s="308" t="inlineStr">
        <is>
          <t>drawing</t>
        </is>
      </c>
      <c r="K298" s="308" t="inlineStr">
        <is>
          <t>line:size-prefix</t>
        </is>
      </c>
      <c r="L298" s="308" t="inlineStr">
        <is>
          <t>drawing zone; process page; mapped sheet</t>
        </is>
      </c>
      <c r="M298" s="308" t="inlineStr">
        <is>
          <t>3"-HPS-1A</t>
        </is>
      </c>
      <c r="N298" s="308" t="inlineStr">
        <is>
          <t>native</t>
        </is>
      </c>
      <c r="O298" s="308" t="inlineStr">
        <is>
          <t>native-only</t>
        </is>
      </c>
      <c r="P298" s="308" t="inlineStr">
        <is>
          <t>native</t>
        </is>
      </c>
      <c r="Q298" s="308" t="inlineStr"/>
      <c r="R298" s="308" t="inlineStr">
        <is>
          <t>native text sufficient</t>
        </is>
      </c>
      <c r="S298" s="308" t="inlineStr"/>
      <c r="T298" s="308" t="inlineStr">
        <is>
          <t>p12:native:126</t>
        </is>
      </c>
      <c r="U298" s="308" t="n">
        <v>1</v>
      </c>
    </row>
    <row r="299">
      <c r="A299" s="308" t="inlineStr">
        <is>
          <t>Missing in Excel</t>
        </is>
      </c>
      <c r="B299" s="308" t="inlineStr">
        <is>
          <t>DG7020</t>
        </is>
      </c>
      <c r="C299" s="308" t="n">
        <v>12</v>
      </c>
      <c r="D299" s="308" t="inlineStr">
        <is>
          <t>4"-RAW-T4</t>
        </is>
      </c>
      <c r="E299" s="308" t="inlineStr">
        <is>
          <t>RAW</t>
        </is>
      </c>
      <c r="F299" s="308" t="inlineStr">
        <is>
          <t>T4</t>
        </is>
      </c>
      <c r="G299" s="308" t="inlineStr">
        <is>
          <t>line</t>
        </is>
      </c>
      <c r="H299" s="311" t="n">
        <v>0.77</v>
      </c>
      <c r="I299" s="308" t="inlineStr">
        <is>
          <t>Medium</t>
        </is>
      </c>
      <c r="J299" s="308" t="inlineStr">
        <is>
          <t>drawing</t>
        </is>
      </c>
      <c r="K299" s="308" t="inlineStr">
        <is>
          <t>line:size-prefix</t>
        </is>
      </c>
      <c r="L299" s="308" t="inlineStr">
        <is>
          <t>drawing zone; process page; mapped sheet</t>
        </is>
      </c>
      <c r="M299" s="308" t="inlineStr">
        <is>
          <t>4"-RAW-T4</t>
        </is>
      </c>
      <c r="N299" s="308" t="inlineStr">
        <is>
          <t>native</t>
        </is>
      </c>
      <c r="O299" s="308" t="inlineStr">
        <is>
          <t>native-only</t>
        </is>
      </c>
      <c r="P299" s="308" t="inlineStr">
        <is>
          <t>native</t>
        </is>
      </c>
      <c r="Q299" s="308" t="inlineStr"/>
      <c r="R299" s="308" t="inlineStr">
        <is>
          <t>native text sufficient</t>
        </is>
      </c>
      <c r="S299" s="308" t="inlineStr"/>
      <c r="T299" s="308" t="inlineStr">
        <is>
          <t>p12:native:342</t>
        </is>
      </c>
      <c r="U299" s="308" t="n">
        <v>1</v>
      </c>
    </row>
    <row r="300">
      <c r="A300" s="308" t="inlineStr">
        <is>
          <t>Missing in Excel</t>
        </is>
      </c>
      <c r="B300" s="308" t="inlineStr">
        <is>
          <t>DG7020</t>
        </is>
      </c>
      <c r="C300" s="308" t="n">
        <v>12</v>
      </c>
      <c r="D300" s="308" t="inlineStr">
        <is>
          <t>RL7-MDT-102</t>
        </is>
      </c>
      <c r="E300" s="308" t="inlineStr">
        <is>
          <t>RL7-MDT-102</t>
        </is>
      </c>
      <c r="F300" s="308" t="inlineStr"/>
      <c r="G300" s="308" t="inlineStr">
        <is>
          <t>equipment</t>
        </is>
      </c>
      <c r="H300" s="311" t="n">
        <v>0.49</v>
      </c>
      <c r="I300" s="308" t="inlineStr">
        <is>
          <t>Low</t>
        </is>
      </c>
      <c r="J300" s="308" t="inlineStr">
        <is>
          <t>title-block/right</t>
        </is>
      </c>
      <c r="K300" s="308" t="inlineStr">
        <is>
          <t>standalone:asset</t>
        </is>
      </c>
      <c r="L300" s="308" t="inlineStr">
        <is>
          <t>title-block penalty; process page; mapped sheet</t>
        </is>
      </c>
      <c r="M300" s="308" t="inlineStr">
        <is>
          <t>RL7-MDT-102</t>
        </is>
      </c>
      <c r="N300" s="308" t="inlineStr">
        <is>
          <t>native</t>
        </is>
      </c>
      <c r="O300" s="308" t="inlineStr">
        <is>
          <t>native-only</t>
        </is>
      </c>
      <c r="P300" s="308" t="inlineStr">
        <is>
          <t>native</t>
        </is>
      </c>
      <c r="Q300" s="308" t="inlineStr"/>
      <c r="R300" s="308" t="inlineStr">
        <is>
          <t>native text sufficient</t>
        </is>
      </c>
      <c r="S300" s="308" t="inlineStr"/>
      <c r="T300" s="308" t="inlineStr">
        <is>
          <t>p12:native:59</t>
        </is>
      </c>
      <c r="U300" s="308" t="n">
        <v>1</v>
      </c>
    </row>
    <row r="301">
      <c r="A301" s="308" t="inlineStr">
        <is>
          <t>Missing in Excel</t>
        </is>
      </c>
      <c r="B301" s="308" t="inlineStr">
        <is>
          <t>DG7020</t>
        </is>
      </c>
      <c r="C301" s="308" t="n">
        <v>12</v>
      </c>
      <c r="D301" s="308" t="inlineStr">
        <is>
          <t>RL7-PRM-101</t>
        </is>
      </c>
      <c r="E301" s="308" t="inlineStr">
        <is>
          <t>RL7-PRM-101</t>
        </is>
      </c>
      <c r="F301" s="308" t="inlineStr"/>
      <c r="G301" s="308" t="inlineStr">
        <is>
          <t>equipment</t>
        </is>
      </c>
      <c r="H301" s="311" t="n">
        <v>0.49</v>
      </c>
      <c r="I301" s="308" t="inlineStr">
        <is>
          <t>Low</t>
        </is>
      </c>
      <c r="J301" s="308" t="inlineStr">
        <is>
          <t>title-block/right</t>
        </is>
      </c>
      <c r="K301" s="308" t="inlineStr">
        <is>
          <t>standalone:asset</t>
        </is>
      </c>
      <c r="L301" s="308" t="inlineStr">
        <is>
          <t>title-block penalty; process page; mapped sheet</t>
        </is>
      </c>
      <c r="M301" s="308" t="inlineStr">
        <is>
          <t>RL7-PRM-101</t>
        </is>
      </c>
      <c r="N301" s="308" t="inlineStr">
        <is>
          <t>native</t>
        </is>
      </c>
      <c r="O301" s="308" t="inlineStr">
        <is>
          <t>native-only</t>
        </is>
      </c>
      <c r="P301" s="308" t="inlineStr">
        <is>
          <t>native</t>
        </is>
      </c>
      <c r="Q301" s="308" t="inlineStr"/>
      <c r="R301" s="308" t="inlineStr">
        <is>
          <t>native text sufficient</t>
        </is>
      </c>
      <c r="S301" s="308" t="inlineStr"/>
      <c r="T301" s="308" t="inlineStr">
        <is>
          <t>p12:native:340</t>
        </is>
      </c>
      <c r="U301" s="308" t="n">
        <v>1</v>
      </c>
    </row>
    <row r="302">
      <c r="A302" s="308" t="inlineStr">
        <is>
          <t>Missing in Excel</t>
        </is>
      </c>
      <c r="B302" s="308" t="inlineStr">
        <is>
          <t>DG7021</t>
        </is>
      </c>
      <c r="C302" s="308" t="n">
        <v>13</v>
      </c>
      <c r="D302" s="308" t="inlineStr">
        <is>
          <t>RL7-CIP-200</t>
        </is>
      </c>
      <c r="E302" s="308" t="inlineStr">
        <is>
          <t>RL7-CIP-200</t>
        </is>
      </c>
      <c r="F302" s="308" t="inlineStr"/>
      <c r="G302" s="308" t="inlineStr">
        <is>
          <t>equipment</t>
        </is>
      </c>
      <c r="H302" s="311" t="n">
        <v>0.77</v>
      </c>
      <c r="I302" s="308" t="inlineStr">
        <is>
          <t>Medium</t>
        </is>
      </c>
      <c r="J302" s="308" t="inlineStr">
        <is>
          <t>drawing</t>
        </is>
      </c>
      <c r="K302" s="308" t="inlineStr">
        <is>
          <t>standalone:asset</t>
        </is>
      </c>
      <c r="L302" s="308" t="inlineStr">
        <is>
          <t>drawing zone; process page; mapped sheet</t>
        </is>
      </c>
      <c r="M302" s="308" t="inlineStr">
        <is>
          <t>RL7-CIP-200</t>
        </is>
      </c>
      <c r="N302" s="308" t="inlineStr">
        <is>
          <t>native</t>
        </is>
      </c>
      <c r="O302" s="308" t="inlineStr">
        <is>
          <t>native-only</t>
        </is>
      </c>
      <c r="P302" s="308" t="inlineStr">
        <is>
          <t>native</t>
        </is>
      </c>
      <c r="Q302" s="308" t="inlineStr"/>
      <c r="R302" s="308" t="inlineStr">
        <is>
          <t>native text sufficient</t>
        </is>
      </c>
      <c r="S302" s="308" t="inlineStr"/>
      <c r="T302" s="308" t="inlineStr">
        <is>
          <t>p13:native:2</t>
        </is>
      </c>
      <c r="U302" s="308" t="n">
        <v>1</v>
      </c>
    </row>
    <row r="303">
      <c r="A303" s="308" t="inlineStr">
        <is>
          <t>Missing in Excel</t>
        </is>
      </c>
      <c r="B303" s="308" t="inlineStr">
        <is>
          <t>DG7021</t>
        </is>
      </c>
      <c r="C303" s="308" t="n">
        <v>13</v>
      </c>
      <c r="D303" s="308" t="inlineStr">
        <is>
          <t>RL7-CKR-102</t>
        </is>
      </c>
      <c r="E303" s="308" t="inlineStr">
        <is>
          <t>RL7-CKR-102</t>
        </is>
      </c>
      <c r="F303" s="308" t="inlineStr"/>
      <c r="G303" s="308" t="inlineStr">
        <is>
          <t>equipment</t>
        </is>
      </c>
      <c r="H303" s="311" t="n">
        <v>0.77</v>
      </c>
      <c r="I303" s="308" t="inlineStr">
        <is>
          <t>Medium</t>
        </is>
      </c>
      <c r="J303" s="308" t="inlineStr">
        <is>
          <t>drawing</t>
        </is>
      </c>
      <c r="K303" s="308" t="inlineStr">
        <is>
          <t>standalone:asset</t>
        </is>
      </c>
      <c r="L303" s="308" t="inlineStr">
        <is>
          <t>drawing zone; process page; mapped sheet</t>
        </is>
      </c>
      <c r="M303" s="308" t="inlineStr">
        <is>
          <t>RL7-CKR-102</t>
        </is>
      </c>
      <c r="N303" s="308" t="inlineStr">
        <is>
          <t>native</t>
        </is>
      </c>
      <c r="O303" s="308" t="inlineStr">
        <is>
          <t>native-only</t>
        </is>
      </c>
      <c r="P303" s="308" t="inlineStr">
        <is>
          <t>native</t>
        </is>
      </c>
      <c r="Q303" s="308" t="inlineStr"/>
      <c r="R303" s="308" t="inlineStr">
        <is>
          <t>native text sufficient</t>
        </is>
      </c>
      <c r="S303" s="308" t="inlineStr"/>
      <c r="T303" s="308" t="inlineStr">
        <is>
          <t>p13:native:30</t>
        </is>
      </c>
      <c r="U303" s="308" t="n">
        <v>1</v>
      </c>
    </row>
    <row r="304">
      <c r="A304" s="308" t="inlineStr">
        <is>
          <t>Missing in Excel</t>
        </is>
      </c>
      <c r="B304" s="308" t="inlineStr">
        <is>
          <t>DG7021</t>
        </is>
      </c>
      <c r="C304" s="308" t="n">
        <v>13</v>
      </c>
      <c r="D304" s="308" t="inlineStr">
        <is>
          <t>RL7-CKR-103</t>
        </is>
      </c>
      <c r="E304" s="308" t="inlineStr">
        <is>
          <t>RL7-CKR-103</t>
        </is>
      </c>
      <c r="F304" s="308" t="inlineStr"/>
      <c r="G304" s="308" t="inlineStr">
        <is>
          <t>equipment</t>
        </is>
      </c>
      <c r="H304" s="311" t="n">
        <v>0.77</v>
      </c>
      <c r="I304" s="308" t="inlineStr">
        <is>
          <t>Medium</t>
        </is>
      </c>
      <c r="J304" s="308" t="inlineStr">
        <is>
          <t>drawing</t>
        </is>
      </c>
      <c r="K304" s="308" t="inlineStr">
        <is>
          <t>standalone:asset</t>
        </is>
      </c>
      <c r="L304" s="308" t="inlineStr">
        <is>
          <t>drawing zone; process page; mapped sheet</t>
        </is>
      </c>
      <c r="M304" s="308" t="inlineStr">
        <is>
          <t>RL7-CKR-103</t>
        </is>
      </c>
      <c r="N304" s="308" t="inlineStr">
        <is>
          <t>native</t>
        </is>
      </c>
      <c r="O304" s="308" t="inlineStr">
        <is>
          <t>native-only</t>
        </is>
      </c>
      <c r="P304" s="308" t="inlineStr">
        <is>
          <t>native</t>
        </is>
      </c>
      <c r="Q304" s="308" t="inlineStr"/>
      <c r="R304" s="308" t="inlineStr">
        <is>
          <t>native text sufficient</t>
        </is>
      </c>
      <c r="S304" s="308" t="inlineStr"/>
      <c r="T304" s="308" t="inlineStr">
        <is>
          <t>p13:native:6</t>
        </is>
      </c>
      <c r="U304" s="308" t="n">
        <v>1</v>
      </c>
    </row>
    <row r="305">
      <c r="A305" s="308" t="inlineStr">
        <is>
          <t>Missing in Excel</t>
        </is>
      </c>
      <c r="B305" s="308" t="inlineStr">
        <is>
          <t>DG7021</t>
        </is>
      </c>
      <c r="C305" s="308" t="n">
        <v>13</v>
      </c>
      <c r="D305" s="308" t="inlineStr">
        <is>
          <t>RL7-FAN-102</t>
        </is>
      </c>
      <c r="E305" s="308" t="inlineStr">
        <is>
          <t>RL7-FAN-102</t>
        </is>
      </c>
      <c r="F305" s="308" t="inlineStr"/>
      <c r="G305" s="308" t="inlineStr">
        <is>
          <t>equipment</t>
        </is>
      </c>
      <c r="H305" s="311" t="n">
        <v>0.77</v>
      </c>
      <c r="I305" s="308" t="inlineStr">
        <is>
          <t>Medium</t>
        </is>
      </c>
      <c r="J305" s="308" t="inlineStr">
        <is>
          <t>drawing</t>
        </is>
      </c>
      <c r="K305" s="308" t="inlineStr">
        <is>
          <t>standalone:asset</t>
        </is>
      </c>
      <c r="L305" s="308" t="inlineStr">
        <is>
          <t>drawing zone; process page; mapped sheet</t>
        </is>
      </c>
      <c r="M305" s="308" t="inlineStr">
        <is>
          <t>RL7-FAN-102</t>
        </is>
      </c>
      <c r="N305" s="308" t="inlineStr">
        <is>
          <t>native</t>
        </is>
      </c>
      <c r="O305" s="308" t="inlineStr">
        <is>
          <t>native-only</t>
        </is>
      </c>
      <c r="P305" s="308" t="inlineStr">
        <is>
          <t>native</t>
        </is>
      </c>
      <c r="Q305" s="308" t="inlineStr"/>
      <c r="R305" s="308" t="inlineStr">
        <is>
          <t>native text sufficient</t>
        </is>
      </c>
      <c r="S305" s="308" t="inlineStr"/>
      <c r="T305" s="308" t="inlineStr">
        <is>
          <t>p13:native:129</t>
        </is>
      </c>
      <c r="U305" s="308" t="n">
        <v>1</v>
      </c>
    </row>
    <row r="306">
      <c r="A306" s="308" t="inlineStr">
        <is>
          <t>Missing in Excel</t>
        </is>
      </c>
      <c r="B306" s="308" t="inlineStr">
        <is>
          <t>DG7021</t>
        </is>
      </c>
      <c r="C306" s="308" t="n">
        <v>13</v>
      </c>
      <c r="D306" s="308" t="inlineStr">
        <is>
          <t>RL7-FAN-104</t>
        </is>
      </c>
      <c r="E306" s="308" t="inlineStr">
        <is>
          <t>RL7-FAN-104</t>
        </is>
      </c>
      <c r="F306" s="308" t="inlineStr"/>
      <c r="G306" s="308" t="inlineStr">
        <is>
          <t>equipment</t>
        </is>
      </c>
      <c r="H306" s="311" t="n">
        <v>0.77</v>
      </c>
      <c r="I306" s="308" t="inlineStr">
        <is>
          <t>Medium</t>
        </is>
      </c>
      <c r="J306" s="308" t="inlineStr">
        <is>
          <t>drawing</t>
        </is>
      </c>
      <c r="K306" s="308" t="inlineStr">
        <is>
          <t>standalone:asset</t>
        </is>
      </c>
      <c r="L306" s="308" t="inlineStr">
        <is>
          <t>drawing zone; process page; mapped sheet</t>
        </is>
      </c>
      <c r="M306" s="308" t="inlineStr">
        <is>
          <t>RL7-FAN-104</t>
        </is>
      </c>
      <c r="N306" s="308" t="inlineStr">
        <is>
          <t>native</t>
        </is>
      </c>
      <c r="O306" s="308" t="inlineStr">
        <is>
          <t>native-only</t>
        </is>
      </c>
      <c r="P306" s="308" t="inlineStr">
        <is>
          <t>native</t>
        </is>
      </c>
      <c r="Q306" s="308" t="inlineStr"/>
      <c r="R306" s="308" t="inlineStr">
        <is>
          <t>native text sufficient</t>
        </is>
      </c>
      <c r="S306" s="308" t="inlineStr"/>
      <c r="T306" s="308" t="inlineStr">
        <is>
          <t>p13:native:131</t>
        </is>
      </c>
      <c r="U306" s="308" t="n">
        <v>1</v>
      </c>
    </row>
    <row r="307">
      <c r="A307" s="308" t="inlineStr">
        <is>
          <t>Missing in Excel</t>
        </is>
      </c>
      <c r="B307" s="308" t="inlineStr">
        <is>
          <t>DG7021</t>
        </is>
      </c>
      <c r="C307" s="308" t="n">
        <v>13</v>
      </c>
      <c r="D307" s="308" t="inlineStr">
        <is>
          <t>RL7-MLT-108</t>
        </is>
      </c>
      <c r="E307" s="308" t="inlineStr">
        <is>
          <t>RL7-MLT-108</t>
        </is>
      </c>
      <c r="F307" s="308" t="inlineStr"/>
      <c r="G307" s="308" t="inlineStr">
        <is>
          <t>equipment</t>
        </is>
      </c>
      <c r="H307" s="311" t="n">
        <v>0.77</v>
      </c>
      <c r="I307" s="308" t="inlineStr">
        <is>
          <t>Medium</t>
        </is>
      </c>
      <c r="J307" s="308" t="inlineStr">
        <is>
          <t>drawing</t>
        </is>
      </c>
      <c r="K307" s="308" t="inlineStr">
        <is>
          <t>standalone:asset</t>
        </is>
      </c>
      <c r="L307" s="308" t="inlineStr">
        <is>
          <t>drawing zone; process page; mapped sheet</t>
        </is>
      </c>
      <c r="M307" s="308" t="inlineStr">
        <is>
          <t>RL7-MLT-108</t>
        </is>
      </c>
      <c r="N307" s="308" t="inlineStr">
        <is>
          <t>native</t>
        </is>
      </c>
      <c r="O307" s="308" t="inlineStr">
        <is>
          <t>native-only</t>
        </is>
      </c>
      <c r="P307" s="308" t="inlineStr">
        <is>
          <t>native</t>
        </is>
      </c>
      <c r="Q307" s="308" t="inlineStr"/>
      <c r="R307" s="308" t="inlineStr">
        <is>
          <t>native text sufficient</t>
        </is>
      </c>
      <c r="S307" s="308" t="inlineStr"/>
      <c r="T307" s="308" t="inlineStr">
        <is>
          <t>p13:native:142</t>
        </is>
      </c>
      <c r="U307" s="308" t="n">
        <v>1</v>
      </c>
    </row>
    <row r="308">
      <c r="A308" s="308" t="inlineStr">
        <is>
          <t>Missing in Excel</t>
        </is>
      </c>
      <c r="B308" s="308" t="inlineStr">
        <is>
          <t>DG7021</t>
        </is>
      </c>
      <c r="C308" s="308" t="n">
        <v>13</v>
      </c>
      <c r="D308" s="308" t="inlineStr">
        <is>
          <t>RL7-PMP-105</t>
        </is>
      </c>
      <c r="E308" s="308" t="inlineStr">
        <is>
          <t>RL7-PMP-105</t>
        </is>
      </c>
      <c r="F308" s="308" t="inlineStr"/>
      <c r="G308" s="308" t="inlineStr">
        <is>
          <t>equipment</t>
        </is>
      </c>
      <c r="H308" s="311" t="n">
        <v>0.77</v>
      </c>
      <c r="I308" s="308" t="inlineStr">
        <is>
          <t>Medium</t>
        </is>
      </c>
      <c r="J308" s="308" t="inlineStr">
        <is>
          <t>drawing</t>
        </is>
      </c>
      <c r="K308" s="308" t="inlineStr">
        <is>
          <t>standalone:asset</t>
        </is>
      </c>
      <c r="L308" s="308" t="inlineStr">
        <is>
          <t>drawing zone; process page; mapped sheet</t>
        </is>
      </c>
      <c r="M308" s="308" t="inlineStr">
        <is>
          <t>RL7-PMP-105</t>
        </is>
      </c>
      <c r="N308" s="308" t="inlineStr">
        <is>
          <t>native</t>
        </is>
      </c>
      <c r="O308" s="308" t="inlineStr">
        <is>
          <t>native-only</t>
        </is>
      </c>
      <c r="P308" s="308" t="inlineStr">
        <is>
          <t>native</t>
        </is>
      </c>
      <c r="Q308" s="308" t="inlineStr"/>
      <c r="R308" s="308" t="inlineStr">
        <is>
          <t>native text sufficient</t>
        </is>
      </c>
      <c r="S308" s="308" t="inlineStr"/>
      <c r="T308" s="308" t="inlineStr">
        <is>
          <t>p13:native:36</t>
        </is>
      </c>
      <c r="U308" s="308" t="n">
        <v>1</v>
      </c>
    </row>
    <row r="309">
      <c r="A309" s="308" t="inlineStr">
        <is>
          <t>Missing in Excel</t>
        </is>
      </c>
      <c r="B309" s="308" t="inlineStr">
        <is>
          <t>DG7021</t>
        </is>
      </c>
      <c r="C309" s="308" t="n">
        <v>13</v>
      </c>
      <c r="D309" s="308" t="inlineStr">
        <is>
          <t>RL7-SKD-102</t>
        </is>
      </c>
      <c r="E309" s="308" t="inlineStr">
        <is>
          <t>RL7-SKD-102</t>
        </is>
      </c>
      <c r="F309" s="308" t="inlineStr"/>
      <c r="G309" s="308" t="inlineStr">
        <is>
          <t>equipment</t>
        </is>
      </c>
      <c r="H309" s="311" t="n">
        <v>0.77</v>
      </c>
      <c r="I309" s="308" t="inlineStr">
        <is>
          <t>Medium</t>
        </is>
      </c>
      <c r="J309" s="308" t="inlineStr">
        <is>
          <t>drawing</t>
        </is>
      </c>
      <c r="K309" s="308" t="inlineStr">
        <is>
          <t>standalone:asset</t>
        </is>
      </c>
      <c r="L309" s="308" t="inlineStr">
        <is>
          <t>drawing zone; process page; mapped sheet</t>
        </is>
      </c>
      <c r="M309" s="308" t="inlineStr">
        <is>
          <t>RL7-SKD-102</t>
        </is>
      </c>
      <c r="N309" s="308" t="inlineStr">
        <is>
          <t>native</t>
        </is>
      </c>
      <c r="O309" s="308" t="inlineStr">
        <is>
          <t>native-only</t>
        </is>
      </c>
      <c r="P309" s="308" t="inlineStr">
        <is>
          <t>native</t>
        </is>
      </c>
      <c r="Q309" s="308" t="inlineStr"/>
      <c r="R309" s="308" t="inlineStr">
        <is>
          <t>native text sufficient</t>
        </is>
      </c>
      <c r="S309" s="308" t="inlineStr"/>
      <c r="T309" s="308" t="inlineStr">
        <is>
          <t>p13:native:322</t>
        </is>
      </c>
      <c r="U309" s="308" t="n">
        <v>1</v>
      </c>
    </row>
    <row r="310">
      <c r="A310" s="308" t="inlineStr">
        <is>
          <t>Missing in Excel</t>
        </is>
      </c>
      <c r="B310" s="308" t="inlineStr">
        <is>
          <t>DG7021</t>
        </is>
      </c>
      <c r="C310" s="308" t="n">
        <v>13</v>
      </c>
      <c r="D310" s="308" t="inlineStr">
        <is>
          <t>RL7-CKR-102-FE02</t>
        </is>
      </c>
      <c r="E310" s="308" t="inlineStr">
        <is>
          <t>RL7-CKR-102</t>
        </is>
      </c>
      <c r="F310" s="308" t="inlineStr">
        <is>
          <t>FE02</t>
        </is>
      </c>
      <c r="G310" s="308" t="inlineStr">
        <is>
          <t>instrument</t>
        </is>
      </c>
      <c r="H310" s="311" t="n">
        <v>0.99</v>
      </c>
      <c r="I310" s="308" t="inlineStr">
        <is>
          <t>High</t>
        </is>
      </c>
      <c r="J310" s="308" t="inlineStr">
        <is>
          <t>drawing</t>
        </is>
      </c>
      <c r="K310" s="308" t="inlineStr">
        <is>
          <t>stacked:isa</t>
        </is>
      </c>
      <c r="L310" s="308" t="inlineStr">
        <is>
          <t>drawing zone; process page; mapped sheet</t>
        </is>
      </c>
      <c r="M310" s="308" t="inlineStr">
        <is>
          <t>RL7-CKR-102 / FE-02</t>
        </is>
      </c>
      <c r="N310" s="308" t="inlineStr">
        <is>
          <t>native</t>
        </is>
      </c>
      <c r="O310" s="308" t="inlineStr">
        <is>
          <t>native-only</t>
        </is>
      </c>
      <c r="P310" s="308" t="inlineStr">
        <is>
          <t>native</t>
        </is>
      </c>
      <c r="Q310" s="308" t="inlineStr"/>
      <c r="R310" s="308" t="inlineStr">
        <is>
          <t>native text sufficient</t>
        </is>
      </c>
      <c r="S310" s="308" t="inlineStr"/>
      <c r="T310" s="308" t="inlineStr">
        <is>
          <t>p13:native:175, p13:native:176</t>
        </is>
      </c>
      <c r="U310" s="308" t="n">
        <v>2</v>
      </c>
    </row>
    <row r="311">
      <c r="A311" s="308" t="inlineStr">
        <is>
          <t>Missing in Excel</t>
        </is>
      </c>
      <c r="B311" s="308" t="inlineStr">
        <is>
          <t>DG7021</t>
        </is>
      </c>
      <c r="C311" s="308" t="n">
        <v>13</v>
      </c>
      <c r="D311" s="308" t="inlineStr">
        <is>
          <t>RL7-CKR-102-TE01</t>
        </is>
      </c>
      <c r="E311" s="308" t="inlineStr">
        <is>
          <t>RL7-CKR-102</t>
        </is>
      </c>
      <c r="F311" s="308" t="inlineStr">
        <is>
          <t>TE01</t>
        </is>
      </c>
      <c r="G311" s="308" t="inlineStr">
        <is>
          <t>instrument</t>
        </is>
      </c>
      <c r="H311" s="311" t="n">
        <v>0.99</v>
      </c>
      <c r="I311" s="308" t="inlineStr">
        <is>
          <t>High</t>
        </is>
      </c>
      <c r="J311" s="308" t="inlineStr">
        <is>
          <t>drawing</t>
        </is>
      </c>
      <c r="K311" s="308" t="inlineStr">
        <is>
          <t>stacked:isa</t>
        </is>
      </c>
      <c r="L311" s="308" t="inlineStr">
        <is>
          <t>drawing zone; process page; mapped sheet</t>
        </is>
      </c>
      <c r="M311" s="308" t="inlineStr">
        <is>
          <t>RL7-CKR-102 / TE-01</t>
        </is>
      </c>
      <c r="N311" s="308" t="inlineStr">
        <is>
          <t>native</t>
        </is>
      </c>
      <c r="O311" s="308" t="inlineStr">
        <is>
          <t>native-only</t>
        </is>
      </c>
      <c r="P311" s="308" t="inlineStr">
        <is>
          <t>native</t>
        </is>
      </c>
      <c r="Q311" s="308" t="inlineStr"/>
      <c r="R311" s="308" t="inlineStr">
        <is>
          <t>native text sufficient</t>
        </is>
      </c>
      <c r="S311" s="308" t="inlineStr"/>
      <c r="T311" s="308" t="inlineStr">
        <is>
          <t>p13:native:55, p13:native:56</t>
        </is>
      </c>
      <c r="U311" s="308" t="n">
        <v>2</v>
      </c>
    </row>
    <row r="312">
      <c r="A312" s="308" t="inlineStr">
        <is>
          <t>Missing in Excel</t>
        </is>
      </c>
      <c r="B312" s="308" t="inlineStr">
        <is>
          <t>DG7021</t>
        </is>
      </c>
      <c r="C312" s="308" t="n">
        <v>13</v>
      </c>
      <c r="D312" s="308" t="inlineStr">
        <is>
          <t>RL7-CKR-102-TE02</t>
        </is>
      </c>
      <c r="E312" s="308" t="inlineStr">
        <is>
          <t>RL7-CKR-102</t>
        </is>
      </c>
      <c r="F312" s="308" t="inlineStr">
        <is>
          <t>TE02</t>
        </is>
      </c>
      <c r="G312" s="308" t="inlineStr">
        <is>
          <t>instrument</t>
        </is>
      </c>
      <c r="H312" s="311" t="n">
        <v>0.99</v>
      </c>
      <c r="I312" s="308" t="inlineStr">
        <is>
          <t>High</t>
        </is>
      </c>
      <c r="J312" s="308" t="inlineStr">
        <is>
          <t>drawing</t>
        </is>
      </c>
      <c r="K312" s="308" t="inlineStr">
        <is>
          <t>stacked:isa</t>
        </is>
      </c>
      <c r="L312" s="308" t="inlineStr">
        <is>
          <t>drawing zone; process page; mapped sheet</t>
        </is>
      </c>
      <c r="M312" s="308" t="inlineStr">
        <is>
          <t>RL7-CKR-102 / TE-02</t>
        </is>
      </c>
      <c r="N312" s="308" t="inlineStr">
        <is>
          <t>native</t>
        </is>
      </c>
      <c r="O312" s="308" t="inlineStr">
        <is>
          <t>native-only</t>
        </is>
      </c>
      <c r="P312" s="308" t="inlineStr">
        <is>
          <t>native</t>
        </is>
      </c>
      <c r="Q312" s="308" t="inlineStr"/>
      <c r="R312" s="308" t="inlineStr">
        <is>
          <t>native text sufficient</t>
        </is>
      </c>
      <c r="S312" s="308" t="inlineStr"/>
      <c r="T312" s="308" t="inlineStr">
        <is>
          <t>p13:native:30, p13:native:31</t>
        </is>
      </c>
      <c r="U312" s="308" t="n">
        <v>2</v>
      </c>
    </row>
    <row r="313">
      <c r="A313" s="308" t="inlineStr">
        <is>
          <t>Missing in Excel</t>
        </is>
      </c>
      <c r="B313" s="308" t="inlineStr">
        <is>
          <t>DG7021</t>
        </is>
      </c>
      <c r="C313" s="308" t="n">
        <v>13</v>
      </c>
      <c r="D313" s="308" t="inlineStr">
        <is>
          <t>RL7-CKR-102-WE01</t>
        </is>
      </c>
      <c r="E313" s="308" t="inlineStr">
        <is>
          <t>RL7-CKR-102</t>
        </is>
      </c>
      <c r="F313" s="308" t="inlineStr">
        <is>
          <t>WE01</t>
        </is>
      </c>
      <c r="G313" s="308" t="inlineStr">
        <is>
          <t>instrument</t>
        </is>
      </c>
      <c r="H313" s="311" t="n">
        <v>0.99</v>
      </c>
      <c r="I313" s="308" t="inlineStr">
        <is>
          <t>High</t>
        </is>
      </c>
      <c r="J313" s="308" t="inlineStr">
        <is>
          <t>drawing</t>
        </is>
      </c>
      <c r="K313" s="308" t="inlineStr">
        <is>
          <t>stacked:isa</t>
        </is>
      </c>
      <c r="L313" s="308" t="inlineStr">
        <is>
          <t>drawing zone; process page; mapped sheet</t>
        </is>
      </c>
      <c r="M313" s="308" t="inlineStr">
        <is>
          <t>RL7-CKR-102 / WE-01</t>
        </is>
      </c>
      <c r="N313" s="308" t="inlineStr">
        <is>
          <t>native</t>
        </is>
      </c>
      <c r="O313" s="308" t="inlineStr">
        <is>
          <t>native-only</t>
        </is>
      </c>
      <c r="P313" s="308" t="inlineStr">
        <is>
          <t>native</t>
        </is>
      </c>
      <c r="Q313" s="308" t="inlineStr"/>
      <c r="R313" s="308" t="inlineStr">
        <is>
          <t>native text sufficient</t>
        </is>
      </c>
      <c r="S313" s="308" t="inlineStr"/>
      <c r="T313" s="308" t="inlineStr">
        <is>
          <t>p13:native:48, p13:native:49</t>
        </is>
      </c>
      <c r="U313" s="308" t="n">
        <v>2</v>
      </c>
    </row>
    <row r="314">
      <c r="A314" s="308" t="inlineStr">
        <is>
          <t>Missing in Excel</t>
        </is>
      </c>
      <c r="B314" s="308" t="inlineStr">
        <is>
          <t>DG7021</t>
        </is>
      </c>
      <c r="C314" s="308" t="n">
        <v>13</v>
      </c>
      <c r="D314" s="308" t="inlineStr">
        <is>
          <t>RL7-CKR-102-WIT01</t>
        </is>
      </c>
      <c r="E314" s="308" t="inlineStr">
        <is>
          <t>RL7-CKR-102</t>
        </is>
      </c>
      <c r="F314" s="308" t="inlineStr">
        <is>
          <t>WIT01</t>
        </is>
      </c>
      <c r="G314" s="308" t="inlineStr">
        <is>
          <t>instrument</t>
        </is>
      </c>
      <c r="H314" s="311" t="n">
        <v>0.99</v>
      </c>
      <c r="I314" s="308" t="inlineStr">
        <is>
          <t>High</t>
        </is>
      </c>
      <c r="J314" s="308" t="inlineStr">
        <is>
          <t>drawing</t>
        </is>
      </c>
      <c r="K314" s="308" t="inlineStr">
        <is>
          <t>stacked:isa</t>
        </is>
      </c>
      <c r="L314" s="308" t="inlineStr">
        <is>
          <t>drawing zone; process page; mapped sheet</t>
        </is>
      </c>
      <c r="M314" s="308" t="inlineStr">
        <is>
          <t>RL7-CKR-102 / WIT-01</t>
        </is>
      </c>
      <c r="N314" s="308" t="inlineStr">
        <is>
          <t>native</t>
        </is>
      </c>
      <c r="O314" s="308" t="inlineStr">
        <is>
          <t>native-only</t>
        </is>
      </c>
      <c r="P314" s="308" t="inlineStr">
        <is>
          <t>native</t>
        </is>
      </c>
      <c r="Q314" s="308" t="inlineStr"/>
      <c r="R314" s="308" t="inlineStr">
        <is>
          <t>native text sufficient</t>
        </is>
      </c>
      <c r="S314" s="308" t="inlineStr"/>
      <c r="T314" s="308" t="inlineStr">
        <is>
          <t>p13:native:60, p13:native:61</t>
        </is>
      </c>
      <c r="U314" s="308" t="n">
        <v>2</v>
      </c>
    </row>
    <row r="315">
      <c r="A315" s="308" t="inlineStr">
        <is>
          <t>Missing in Excel</t>
        </is>
      </c>
      <c r="B315" s="308" t="inlineStr">
        <is>
          <t>DG7021</t>
        </is>
      </c>
      <c r="C315" s="308" t="n">
        <v>13</v>
      </c>
      <c r="D315" s="308" t="inlineStr">
        <is>
          <t>RL7-CKR-102-WQ01</t>
        </is>
      </c>
      <c r="E315" s="308" t="inlineStr">
        <is>
          <t>RL7-CKR-102</t>
        </is>
      </c>
      <c r="F315" s="308" t="inlineStr">
        <is>
          <t>WQ01</t>
        </is>
      </c>
      <c r="G315" s="308" t="inlineStr">
        <is>
          <t>instrument</t>
        </is>
      </c>
      <c r="H315" s="311" t="n">
        <v>0.99</v>
      </c>
      <c r="I315" s="308" t="inlineStr">
        <is>
          <t>High</t>
        </is>
      </c>
      <c r="J315" s="308" t="inlineStr">
        <is>
          <t>drawing</t>
        </is>
      </c>
      <c r="K315" s="308" t="inlineStr">
        <is>
          <t>stacked:isa</t>
        </is>
      </c>
      <c r="L315" s="308" t="inlineStr">
        <is>
          <t>drawing zone; process page; mapped sheet</t>
        </is>
      </c>
      <c r="M315" s="308" t="inlineStr">
        <is>
          <t>RL7-CKR-102 / WQ-01</t>
        </is>
      </c>
      <c r="N315" s="308" t="inlineStr">
        <is>
          <t>native</t>
        </is>
      </c>
      <c r="O315" s="308" t="inlineStr">
        <is>
          <t>native-only</t>
        </is>
      </c>
      <c r="P315" s="308" t="inlineStr">
        <is>
          <t>native</t>
        </is>
      </c>
      <c r="Q315" s="308" t="inlineStr"/>
      <c r="R315" s="308" t="inlineStr">
        <is>
          <t>native text sufficient</t>
        </is>
      </c>
      <c r="S315" s="308" t="inlineStr"/>
      <c r="T315" s="308" t="inlineStr">
        <is>
          <t>p13:native:188, p13:native:189</t>
        </is>
      </c>
      <c r="U315" s="308" t="n">
        <v>2</v>
      </c>
    </row>
    <row r="316">
      <c r="A316" s="308" t="inlineStr">
        <is>
          <t>Missing in Excel</t>
        </is>
      </c>
      <c r="B316" s="308" t="inlineStr">
        <is>
          <t>DG7021</t>
        </is>
      </c>
      <c r="C316" s="308" t="n">
        <v>13</v>
      </c>
      <c r="D316" s="308" t="inlineStr">
        <is>
          <t>RL7-CKR-102-XV18</t>
        </is>
      </c>
      <c r="E316" s="308" t="inlineStr">
        <is>
          <t>RL7-CKR-102</t>
        </is>
      </c>
      <c r="F316" s="308" t="inlineStr">
        <is>
          <t>XV18</t>
        </is>
      </c>
      <c r="G316" s="308" t="inlineStr">
        <is>
          <t>instrument</t>
        </is>
      </c>
      <c r="H316" s="311" t="n">
        <v>0.99</v>
      </c>
      <c r="I316" s="308" t="inlineStr">
        <is>
          <t>High</t>
        </is>
      </c>
      <c r="J316" s="308" t="inlineStr">
        <is>
          <t>drawing</t>
        </is>
      </c>
      <c r="K316" s="308" t="inlineStr">
        <is>
          <t>stacked:isa</t>
        </is>
      </c>
      <c r="L316" s="308" t="inlineStr">
        <is>
          <t>drawing zone; process page; mapped sheet</t>
        </is>
      </c>
      <c r="M316" s="308" t="inlineStr">
        <is>
          <t>RL7-CKR-102 / XV-18</t>
        </is>
      </c>
      <c r="N316" s="308" t="inlineStr">
        <is>
          <t>native</t>
        </is>
      </c>
      <c r="O316" s="308" t="inlineStr">
        <is>
          <t>native-only</t>
        </is>
      </c>
      <c r="P316" s="308" t="inlineStr">
        <is>
          <t>native</t>
        </is>
      </c>
      <c r="Q316" s="308" t="inlineStr"/>
      <c r="R316" s="308" t="inlineStr">
        <is>
          <t>native text sufficient</t>
        </is>
      </c>
      <c r="S316" s="308" t="inlineStr"/>
      <c r="T316" s="308" t="inlineStr">
        <is>
          <t>p13:native:414, p13:native:415</t>
        </is>
      </c>
      <c r="U316" s="308" t="n">
        <v>2</v>
      </c>
    </row>
    <row r="317">
      <c r="A317" s="308" t="inlineStr">
        <is>
          <t>Missing in Excel</t>
        </is>
      </c>
      <c r="B317" s="308" t="inlineStr">
        <is>
          <t>DG7021</t>
        </is>
      </c>
      <c r="C317" s="308" t="n">
        <v>13</v>
      </c>
      <c r="D317" s="308" t="inlineStr">
        <is>
          <t>RL7-CKR-102-XV19</t>
        </is>
      </c>
      <c r="E317" s="308" t="inlineStr">
        <is>
          <t>RL7-CKR-102</t>
        </is>
      </c>
      <c r="F317" s="308" t="inlineStr">
        <is>
          <t>XV19</t>
        </is>
      </c>
      <c r="G317" s="308" t="inlineStr">
        <is>
          <t>instrument</t>
        </is>
      </c>
      <c r="H317" s="311" t="n">
        <v>0.99</v>
      </c>
      <c r="I317" s="308" t="inlineStr">
        <is>
          <t>High</t>
        </is>
      </c>
      <c r="J317" s="308" t="inlineStr">
        <is>
          <t>drawing</t>
        </is>
      </c>
      <c r="K317" s="308" t="inlineStr">
        <is>
          <t>stacked:isa</t>
        </is>
      </c>
      <c r="L317" s="308" t="inlineStr">
        <is>
          <t>drawing zone; process page; mapped sheet</t>
        </is>
      </c>
      <c r="M317" s="308" t="inlineStr">
        <is>
          <t>RL7-CKR-102 / XV-19</t>
        </is>
      </c>
      <c r="N317" s="308" t="inlineStr">
        <is>
          <t>native</t>
        </is>
      </c>
      <c r="O317" s="308" t="inlineStr">
        <is>
          <t>native-only</t>
        </is>
      </c>
      <c r="P317" s="308" t="inlineStr">
        <is>
          <t>native</t>
        </is>
      </c>
      <c r="Q317" s="308" t="inlineStr"/>
      <c r="R317" s="308" t="inlineStr">
        <is>
          <t>native text sufficient</t>
        </is>
      </c>
      <c r="S317" s="308" t="inlineStr"/>
      <c r="T317" s="308" t="inlineStr">
        <is>
          <t>p13:native:416, p13:native:417</t>
        </is>
      </c>
      <c r="U317" s="308" t="n">
        <v>2</v>
      </c>
    </row>
    <row r="318">
      <c r="A318" s="308" t="inlineStr">
        <is>
          <t>Missing in Excel</t>
        </is>
      </c>
      <c r="B318" s="308" t="inlineStr">
        <is>
          <t>DG7021</t>
        </is>
      </c>
      <c r="C318" s="308" t="n">
        <v>13</v>
      </c>
      <c r="D318" s="308" t="inlineStr">
        <is>
          <t>RL7-SKD-102-FE02</t>
        </is>
      </c>
      <c r="E318" s="308" t="inlineStr">
        <is>
          <t>RL7-SKD-102</t>
        </is>
      </c>
      <c r="F318" s="308" t="inlineStr">
        <is>
          <t>FE02</t>
        </is>
      </c>
      <c r="G318" s="308" t="inlineStr">
        <is>
          <t>instrument</t>
        </is>
      </c>
      <c r="H318" s="311" t="n">
        <v>0.99</v>
      </c>
      <c r="I318" s="308" t="inlineStr">
        <is>
          <t>High</t>
        </is>
      </c>
      <c r="J318" s="308" t="inlineStr">
        <is>
          <t>drawing</t>
        </is>
      </c>
      <c r="K318" s="308" t="inlineStr">
        <is>
          <t>stacked:isa</t>
        </is>
      </c>
      <c r="L318" s="308" t="inlineStr">
        <is>
          <t>drawing zone; process page; mapped sheet</t>
        </is>
      </c>
      <c r="M318" s="308" t="inlineStr">
        <is>
          <t>RL7-SKD-102 / FE-02</t>
        </is>
      </c>
      <c r="N318" s="308" t="inlineStr">
        <is>
          <t>native</t>
        </is>
      </c>
      <c r="O318" s="308" t="inlineStr">
        <is>
          <t>native-only</t>
        </is>
      </c>
      <c r="P318" s="308" t="inlineStr">
        <is>
          <t>native</t>
        </is>
      </c>
      <c r="Q318" s="308" t="inlineStr"/>
      <c r="R318" s="308" t="inlineStr">
        <is>
          <t>native text sufficient</t>
        </is>
      </c>
      <c r="S318" s="308" t="inlineStr"/>
      <c r="T318" s="308" t="inlineStr">
        <is>
          <t>p13:native:322, p13:native:323</t>
        </is>
      </c>
      <c r="U318" s="308" t="n">
        <v>2</v>
      </c>
    </row>
    <row r="319">
      <c r="A319" s="308" t="inlineStr">
        <is>
          <t>Missing in Excel</t>
        </is>
      </c>
      <c r="B319" s="308" t="inlineStr">
        <is>
          <t>DG7021</t>
        </is>
      </c>
      <c r="C319" s="308" t="n">
        <v>13</v>
      </c>
      <c r="D319" s="308" t="inlineStr">
        <is>
          <t>RL7-SKD-102-FIT02</t>
        </is>
      </c>
      <c r="E319" s="308" t="inlineStr">
        <is>
          <t>RL7-SKD-102</t>
        </is>
      </c>
      <c r="F319" s="308" t="inlineStr">
        <is>
          <t>FIT02</t>
        </is>
      </c>
      <c r="G319" s="308" t="inlineStr">
        <is>
          <t>instrument</t>
        </is>
      </c>
      <c r="H319" s="311" t="n">
        <v>0.99</v>
      </c>
      <c r="I319" s="308" t="inlineStr">
        <is>
          <t>High</t>
        </is>
      </c>
      <c r="J319" s="308" t="inlineStr">
        <is>
          <t>drawing</t>
        </is>
      </c>
      <c r="K319" s="308" t="inlineStr">
        <is>
          <t>stacked:isa</t>
        </is>
      </c>
      <c r="L319" s="308" t="inlineStr">
        <is>
          <t>drawing zone; process page; mapped sheet</t>
        </is>
      </c>
      <c r="M319" s="308" t="inlineStr">
        <is>
          <t>RL7-SKD-102 / FIT-02</t>
        </is>
      </c>
      <c r="N319" s="308" t="inlineStr">
        <is>
          <t>native</t>
        </is>
      </c>
      <c r="O319" s="308" t="inlineStr">
        <is>
          <t>native-only</t>
        </is>
      </c>
      <c r="P319" s="308" t="inlineStr">
        <is>
          <t>native</t>
        </is>
      </c>
      <c r="Q319" s="308" t="inlineStr"/>
      <c r="R319" s="308" t="inlineStr">
        <is>
          <t>native text sufficient</t>
        </is>
      </c>
      <c r="S319" s="308" t="inlineStr"/>
      <c r="T319" s="308" t="inlineStr">
        <is>
          <t>p13:native:326, p13:native:327</t>
        </is>
      </c>
      <c r="U319" s="308" t="n">
        <v>2</v>
      </c>
    </row>
    <row r="320">
      <c r="A320" s="308" t="inlineStr">
        <is>
          <t>Missing in Excel</t>
        </is>
      </c>
      <c r="B320" s="308" t="inlineStr">
        <is>
          <t>DG7021</t>
        </is>
      </c>
      <c r="C320" s="308" t="n">
        <v>13</v>
      </c>
      <c r="D320" s="308" t="inlineStr">
        <is>
          <t>RL7-SKD-102-XV02</t>
        </is>
      </c>
      <c r="E320" s="308" t="inlineStr">
        <is>
          <t>RL7-SKD-102</t>
        </is>
      </c>
      <c r="F320" s="308" t="inlineStr">
        <is>
          <t>XV02</t>
        </is>
      </c>
      <c r="G320" s="308" t="inlineStr">
        <is>
          <t>instrument</t>
        </is>
      </c>
      <c r="H320" s="311" t="n">
        <v>0.99</v>
      </c>
      <c r="I320" s="308" t="inlineStr">
        <is>
          <t>High</t>
        </is>
      </c>
      <c r="J320" s="308" t="inlineStr">
        <is>
          <t>drawing</t>
        </is>
      </c>
      <c r="K320" s="308" t="inlineStr">
        <is>
          <t>stacked:isa</t>
        </is>
      </c>
      <c r="L320" s="308" t="inlineStr">
        <is>
          <t>drawing zone; process page; mapped sheet</t>
        </is>
      </c>
      <c r="M320" s="308" t="inlineStr">
        <is>
          <t>RL7-SKD-102 / XV-02</t>
        </is>
      </c>
      <c r="N320" s="308" t="inlineStr">
        <is>
          <t>native</t>
        </is>
      </c>
      <c r="O320" s="308" t="inlineStr">
        <is>
          <t>native-only</t>
        </is>
      </c>
      <c r="P320" s="308" t="inlineStr">
        <is>
          <t>native</t>
        </is>
      </c>
      <c r="Q320" s="308" t="inlineStr"/>
      <c r="R320" s="308" t="inlineStr">
        <is>
          <t>native text sufficient</t>
        </is>
      </c>
      <c r="S320" s="308" t="inlineStr"/>
      <c r="T320" s="308" t="inlineStr">
        <is>
          <t>p13:native:324, p13:native:325</t>
        </is>
      </c>
      <c r="U320" s="308" t="n">
        <v>2</v>
      </c>
    </row>
    <row r="321">
      <c r="A321" s="308" t="inlineStr">
        <is>
          <t>Missing in Excel</t>
        </is>
      </c>
      <c r="B321" s="308" t="inlineStr">
        <is>
          <t>DG7021</t>
        </is>
      </c>
      <c r="C321" s="308" t="n">
        <v>13</v>
      </c>
      <c r="D321" s="308" t="inlineStr">
        <is>
          <t>RL7-SKD-102-ZSC02</t>
        </is>
      </c>
      <c r="E321" s="308" t="inlineStr">
        <is>
          <t>RL7-SKD-102</t>
        </is>
      </c>
      <c r="F321" s="308" t="inlineStr">
        <is>
          <t>ZSC02</t>
        </is>
      </c>
      <c r="G321" s="308" t="inlineStr">
        <is>
          <t>instrument</t>
        </is>
      </c>
      <c r="H321" s="311" t="n">
        <v>0.99</v>
      </c>
      <c r="I321" s="308" t="inlineStr">
        <is>
          <t>High</t>
        </is>
      </c>
      <c r="J321" s="308" t="inlineStr">
        <is>
          <t>drawing</t>
        </is>
      </c>
      <c r="K321" s="308" t="inlineStr">
        <is>
          <t>stacked:isa</t>
        </is>
      </c>
      <c r="L321" s="308" t="inlineStr">
        <is>
          <t>drawing zone; process page; mapped sheet</t>
        </is>
      </c>
      <c r="M321" s="308" t="inlineStr">
        <is>
          <t>RL7-SKD-102 / ZSC-02</t>
        </is>
      </c>
      <c r="N321" s="308" t="inlineStr">
        <is>
          <t>native</t>
        </is>
      </c>
      <c r="O321" s="308" t="inlineStr">
        <is>
          <t>native-only</t>
        </is>
      </c>
      <c r="P321" s="308" t="inlineStr">
        <is>
          <t>native</t>
        </is>
      </c>
      <c r="Q321" s="308" t="inlineStr"/>
      <c r="R321" s="308" t="inlineStr">
        <is>
          <t>native text sufficient</t>
        </is>
      </c>
      <c r="S321" s="308" t="inlineStr"/>
      <c r="T321" s="308" t="inlineStr">
        <is>
          <t>p13:native:396, p13:native:397</t>
        </is>
      </c>
      <c r="U321" s="308" t="n">
        <v>2</v>
      </c>
    </row>
    <row r="322">
      <c r="A322" s="308" t="inlineStr">
        <is>
          <t>Missing in Excel</t>
        </is>
      </c>
      <c r="B322" s="308" t="inlineStr">
        <is>
          <t>DG7021</t>
        </is>
      </c>
      <c r="C322" s="308" t="n">
        <v>13</v>
      </c>
      <c r="D322" s="308" t="inlineStr">
        <is>
          <t>RL7-SKD-102-ZSO02</t>
        </is>
      </c>
      <c r="E322" s="308" t="inlineStr">
        <is>
          <t>RL7-SKD-102</t>
        </is>
      </c>
      <c r="F322" s="308" t="inlineStr">
        <is>
          <t>ZSO02</t>
        </is>
      </c>
      <c r="G322" s="308" t="inlineStr">
        <is>
          <t>instrument</t>
        </is>
      </c>
      <c r="H322" s="311" t="n">
        <v>0.99</v>
      </c>
      <c r="I322" s="308" t="inlineStr">
        <is>
          <t>High</t>
        </is>
      </c>
      <c r="J322" s="308" t="inlineStr">
        <is>
          <t>drawing</t>
        </is>
      </c>
      <c r="K322" s="308" t="inlineStr">
        <is>
          <t>stacked:isa</t>
        </is>
      </c>
      <c r="L322" s="308" t="inlineStr">
        <is>
          <t>drawing zone; process page; mapped sheet</t>
        </is>
      </c>
      <c r="M322" s="308" t="inlineStr">
        <is>
          <t>RL7-SKD-102 / ZSO-02</t>
        </is>
      </c>
      <c r="N322" s="308" t="inlineStr">
        <is>
          <t>native</t>
        </is>
      </c>
      <c r="O322" s="308" t="inlineStr">
        <is>
          <t>native-only</t>
        </is>
      </c>
      <c r="P322" s="308" t="inlineStr">
        <is>
          <t>native</t>
        </is>
      </c>
      <c r="Q322" s="308" t="inlineStr"/>
      <c r="R322" s="308" t="inlineStr">
        <is>
          <t>native text sufficient</t>
        </is>
      </c>
      <c r="S322" s="308" t="inlineStr"/>
      <c r="T322" s="308" t="inlineStr">
        <is>
          <t>p13:native:394, p13:native:395</t>
        </is>
      </c>
      <c r="U322" s="308" t="n">
        <v>2</v>
      </c>
    </row>
    <row r="323">
      <c r="A323" s="308" t="inlineStr">
        <is>
          <t>Missing in Excel</t>
        </is>
      </c>
      <c r="B323" s="308" t="inlineStr">
        <is>
          <t>DG7021</t>
        </is>
      </c>
      <c r="C323" s="308" t="n">
        <v>13</v>
      </c>
      <c r="D323" s="308" t="inlineStr">
        <is>
          <t>RL7-CKR-102-CV001</t>
        </is>
      </c>
      <c r="E323" s="308" t="inlineStr">
        <is>
          <t>RL7-CKR-102</t>
        </is>
      </c>
      <c r="F323" s="308" t="inlineStr">
        <is>
          <t>CV001</t>
        </is>
      </c>
      <c r="G323" s="308" t="inlineStr">
        <is>
          <t>instrument</t>
        </is>
      </c>
      <c r="H323" s="311" t="n">
        <v>0.57</v>
      </c>
      <c r="I323" s="308" t="inlineStr">
        <is>
          <t>Low</t>
        </is>
      </c>
      <c r="J323" s="308" t="inlineStr">
        <is>
          <t>drawing</t>
        </is>
      </c>
      <c r="K323" s="308" t="inlineStr">
        <is>
          <t>inferred:bare-isa</t>
        </is>
      </c>
      <c r="L323" s="308" t="inlineStr">
        <is>
          <t>drawing zone; process page; mapped sheet</t>
        </is>
      </c>
      <c r="M323" s="308" t="inlineStr">
        <is>
          <t>RL7-CKR-102 / CV</t>
        </is>
      </c>
      <c r="N323" s="308" t="inlineStr">
        <is>
          <t>native</t>
        </is>
      </c>
      <c r="O323" s="308" t="inlineStr">
        <is>
          <t>native-only</t>
        </is>
      </c>
      <c r="P323" s="308" t="inlineStr">
        <is>
          <t>native</t>
        </is>
      </c>
      <c r="Q323" s="308" t="inlineStr"/>
      <c r="R323" s="308" t="inlineStr">
        <is>
          <t>native text sufficient</t>
        </is>
      </c>
      <c r="S323" s="308" t="inlineStr"/>
      <c r="T323" s="308" t="inlineStr">
        <is>
          <t>p13:native:356, p13:native:362</t>
        </is>
      </c>
      <c r="U323" s="308" t="n">
        <v>2</v>
      </c>
    </row>
    <row r="324">
      <c r="A324" s="308" t="inlineStr">
        <is>
          <t>Missing in Excel</t>
        </is>
      </c>
      <c r="B324" s="308" t="inlineStr">
        <is>
          <t>DG7021</t>
        </is>
      </c>
      <c r="C324" s="308" t="n">
        <v>13</v>
      </c>
      <c r="D324" s="308" t="inlineStr">
        <is>
          <t>RL7-CKR-102-FLT001</t>
        </is>
      </c>
      <c r="E324" s="308" t="inlineStr">
        <is>
          <t>RL7-CKR-102</t>
        </is>
      </c>
      <c r="F324" s="308" t="inlineStr">
        <is>
          <t>FLT001</t>
        </is>
      </c>
      <c r="G324" s="308" t="inlineStr">
        <is>
          <t>instrument</t>
        </is>
      </c>
      <c r="H324" s="311" t="n">
        <v>0.57</v>
      </c>
      <c r="I324" s="308" t="inlineStr">
        <is>
          <t>Low</t>
        </is>
      </c>
      <c r="J324" s="308" t="inlineStr">
        <is>
          <t>drawing</t>
        </is>
      </c>
      <c r="K324" s="308" t="inlineStr">
        <is>
          <t>inferred:bare-isa</t>
        </is>
      </c>
      <c r="L324" s="308" t="inlineStr">
        <is>
          <t>drawing zone; process page; mapped sheet</t>
        </is>
      </c>
      <c r="M324" s="308" t="inlineStr">
        <is>
          <t>RL7-CKR-102 / FLT</t>
        </is>
      </c>
      <c r="N324" s="308" t="inlineStr">
        <is>
          <t>native</t>
        </is>
      </c>
      <c r="O324" s="308" t="inlineStr">
        <is>
          <t>native-only</t>
        </is>
      </c>
      <c r="P324" s="308" t="inlineStr">
        <is>
          <t>native</t>
        </is>
      </c>
      <c r="Q324" s="308" t="inlineStr"/>
      <c r="R324" s="308" t="inlineStr">
        <is>
          <t>native text sufficient</t>
        </is>
      </c>
      <c r="S324" s="308" t="inlineStr"/>
      <c r="T324" s="308" t="inlineStr">
        <is>
          <t>p13:native:168, p13:native:385</t>
        </is>
      </c>
      <c r="U324" s="308" t="n">
        <v>2</v>
      </c>
    </row>
    <row r="325">
      <c r="A325" s="308" t="inlineStr">
        <is>
          <t>Missing in Excel</t>
        </is>
      </c>
      <c r="B325" s="308" t="inlineStr">
        <is>
          <t>DG7021</t>
        </is>
      </c>
      <c r="C325" s="308" t="n">
        <v>13</v>
      </c>
      <c r="D325" s="308" t="inlineStr">
        <is>
          <t>RL7-CKR-102-FLT002</t>
        </is>
      </c>
      <c r="E325" s="308" t="inlineStr">
        <is>
          <t>RL7-CKR-102</t>
        </is>
      </c>
      <c r="F325" s="308" t="inlineStr">
        <is>
          <t>FLT002</t>
        </is>
      </c>
      <c r="G325" s="308" t="inlineStr">
        <is>
          <t>instrument</t>
        </is>
      </c>
      <c r="H325" s="311" t="n">
        <v>0.57</v>
      </c>
      <c r="I325" s="308" t="inlineStr">
        <is>
          <t>Low</t>
        </is>
      </c>
      <c r="J325" s="308" t="inlineStr">
        <is>
          <t>drawing</t>
        </is>
      </c>
      <c r="K325" s="308" t="inlineStr">
        <is>
          <t>inferred:bare-isa</t>
        </is>
      </c>
      <c r="L325" s="308" t="inlineStr">
        <is>
          <t>drawing zone; process page; mapped sheet</t>
        </is>
      </c>
      <c r="M325" s="308" t="inlineStr">
        <is>
          <t>RL7-CKR-102 / FLT</t>
        </is>
      </c>
      <c r="N325" s="308" t="inlineStr">
        <is>
          <t>native</t>
        </is>
      </c>
      <c r="O325" s="308" t="inlineStr">
        <is>
          <t>native-only</t>
        </is>
      </c>
      <c r="P325" s="308" t="inlineStr">
        <is>
          <t>native</t>
        </is>
      </c>
      <c r="Q325" s="308" t="inlineStr"/>
      <c r="R325" s="308" t="inlineStr">
        <is>
          <t>native text sufficient</t>
        </is>
      </c>
      <c r="S325" s="308" t="inlineStr"/>
      <c r="T325" s="308" t="inlineStr">
        <is>
          <t>p13:native:356, p13:native:392</t>
        </is>
      </c>
      <c r="U325" s="308" t="n">
        <v>2</v>
      </c>
    </row>
    <row r="326">
      <c r="A326" s="308" t="inlineStr">
        <is>
          <t>Missing in Excel</t>
        </is>
      </c>
      <c r="B326" s="308" t="inlineStr">
        <is>
          <t>DG7021</t>
        </is>
      </c>
      <c r="C326" s="308" t="n">
        <v>13</v>
      </c>
      <c r="D326" s="308" t="inlineStr">
        <is>
          <t>RL7-CKR-102-HV001</t>
        </is>
      </c>
      <c r="E326" s="308" t="inlineStr">
        <is>
          <t>RL7-CKR-102</t>
        </is>
      </c>
      <c r="F326" s="308" t="inlineStr">
        <is>
          <t>HV001</t>
        </is>
      </c>
      <c r="G326" s="308" t="inlineStr">
        <is>
          <t>instrument</t>
        </is>
      </c>
      <c r="H326" s="311" t="n">
        <v>0.57</v>
      </c>
      <c r="I326" s="308" t="inlineStr">
        <is>
          <t>Low</t>
        </is>
      </c>
      <c r="J326" s="308" t="inlineStr">
        <is>
          <t>drawing</t>
        </is>
      </c>
      <c r="K326" s="308" t="inlineStr">
        <is>
          <t>inferred:bare-isa</t>
        </is>
      </c>
      <c r="L326" s="308" t="inlineStr">
        <is>
          <t>drawing zone; process page; mapped sheet</t>
        </is>
      </c>
      <c r="M326" s="308" t="inlineStr">
        <is>
          <t>RL7-CKR-102 / HV</t>
        </is>
      </c>
      <c r="N326" s="308" t="inlineStr">
        <is>
          <t>native</t>
        </is>
      </c>
      <c r="O326" s="308" t="inlineStr">
        <is>
          <t>native-only</t>
        </is>
      </c>
      <c r="P326" s="308" t="inlineStr">
        <is>
          <t>native</t>
        </is>
      </c>
      <c r="Q326" s="308" t="inlineStr"/>
      <c r="R326" s="308" t="inlineStr">
        <is>
          <t>native text sufficient</t>
        </is>
      </c>
      <c r="S326" s="308" t="inlineStr"/>
      <c r="T326" s="308" t="inlineStr">
        <is>
          <t>p13:native:185, p13:native:343</t>
        </is>
      </c>
      <c r="U326" s="308" t="n">
        <v>2</v>
      </c>
    </row>
    <row r="327">
      <c r="A327" s="308" t="inlineStr">
        <is>
          <t>Missing in Excel</t>
        </is>
      </c>
      <c r="B327" s="308" t="inlineStr">
        <is>
          <t>DG7021</t>
        </is>
      </c>
      <c r="C327" s="308" t="n">
        <v>13</v>
      </c>
      <c r="D327" s="308" t="inlineStr">
        <is>
          <t>RL7-CKR-102-HV002</t>
        </is>
      </c>
      <c r="E327" s="308" t="inlineStr">
        <is>
          <t>RL7-CKR-102</t>
        </is>
      </c>
      <c r="F327" s="308" t="inlineStr">
        <is>
          <t>HV002</t>
        </is>
      </c>
      <c r="G327" s="308" t="inlineStr">
        <is>
          <t>instrument</t>
        </is>
      </c>
      <c r="H327" s="311" t="n">
        <v>0.57</v>
      </c>
      <c r="I327" s="308" t="inlineStr">
        <is>
          <t>Low</t>
        </is>
      </c>
      <c r="J327" s="308" t="inlineStr">
        <is>
          <t>drawing</t>
        </is>
      </c>
      <c r="K327" s="308" t="inlineStr">
        <is>
          <t>inferred:bare-isa</t>
        </is>
      </c>
      <c r="L327" s="308" t="inlineStr">
        <is>
          <t>drawing zone; process page; mapped sheet</t>
        </is>
      </c>
      <c r="M327" s="308" t="inlineStr">
        <is>
          <t>RL7-CKR-102 / HV</t>
        </is>
      </c>
      <c r="N327" s="308" t="inlineStr">
        <is>
          <t>native</t>
        </is>
      </c>
      <c r="O327" s="308" t="inlineStr">
        <is>
          <t>native-only</t>
        </is>
      </c>
      <c r="P327" s="308" t="inlineStr">
        <is>
          <t>native</t>
        </is>
      </c>
      <c r="Q327" s="308" t="inlineStr"/>
      <c r="R327" s="308" t="inlineStr">
        <is>
          <t>native text sufficient</t>
        </is>
      </c>
      <c r="S327" s="308" t="inlineStr"/>
      <c r="T327" s="308" t="inlineStr">
        <is>
          <t>p13:native:179, p13:native:349</t>
        </is>
      </c>
      <c r="U327" s="308" t="n">
        <v>2</v>
      </c>
    </row>
    <row r="328">
      <c r="A328" s="308" t="inlineStr">
        <is>
          <t>Missing in Excel</t>
        </is>
      </c>
      <c r="B328" s="308" t="inlineStr">
        <is>
          <t>DG7021</t>
        </is>
      </c>
      <c r="C328" s="308" t="n">
        <v>13</v>
      </c>
      <c r="D328" s="308" t="inlineStr">
        <is>
          <t>RL7-CKR-102-HV003</t>
        </is>
      </c>
      <c r="E328" s="308" t="inlineStr">
        <is>
          <t>RL7-CKR-102</t>
        </is>
      </c>
      <c r="F328" s="308" t="inlineStr">
        <is>
          <t>HV003</t>
        </is>
      </c>
      <c r="G328" s="308" t="inlineStr">
        <is>
          <t>instrument</t>
        </is>
      </c>
      <c r="H328" s="311" t="n">
        <v>0.57</v>
      </c>
      <c r="I328" s="308" t="inlineStr">
        <is>
          <t>Low</t>
        </is>
      </c>
      <c r="J328" s="308" t="inlineStr">
        <is>
          <t>drawing</t>
        </is>
      </c>
      <c r="K328" s="308" t="inlineStr">
        <is>
          <t>inferred:bare-isa</t>
        </is>
      </c>
      <c r="L328" s="308" t="inlineStr">
        <is>
          <t>drawing zone; process page; mapped sheet</t>
        </is>
      </c>
      <c r="M328" s="308" t="inlineStr">
        <is>
          <t>RL7-CKR-102 / HV</t>
        </is>
      </c>
      <c r="N328" s="308" t="inlineStr">
        <is>
          <t>native</t>
        </is>
      </c>
      <c r="O328" s="308" t="inlineStr">
        <is>
          <t>native-only</t>
        </is>
      </c>
      <c r="P328" s="308" t="inlineStr">
        <is>
          <t>native</t>
        </is>
      </c>
      <c r="Q328" s="308" t="inlineStr"/>
      <c r="R328" s="308" t="inlineStr">
        <is>
          <t>native text sufficient</t>
        </is>
      </c>
      <c r="S328" s="308" t="inlineStr"/>
      <c r="T328" s="308" t="inlineStr">
        <is>
          <t>p13:native:411, p13:native:72</t>
        </is>
      </c>
      <c r="U328" s="308" t="n">
        <v>2</v>
      </c>
    </row>
    <row r="329">
      <c r="A329" s="308" t="inlineStr">
        <is>
          <t>Missing in Excel</t>
        </is>
      </c>
      <c r="B329" s="308" t="inlineStr">
        <is>
          <t>DG7021</t>
        </is>
      </c>
      <c r="C329" s="308" t="n">
        <v>13</v>
      </c>
      <c r="D329" s="308" t="inlineStr">
        <is>
          <t>RL7-CKR-102-HV004</t>
        </is>
      </c>
      <c r="E329" s="308" t="inlineStr">
        <is>
          <t>RL7-CKR-102</t>
        </is>
      </c>
      <c r="F329" s="308" t="inlineStr">
        <is>
          <t>HV004</t>
        </is>
      </c>
      <c r="G329" s="308" t="inlineStr">
        <is>
          <t>instrument</t>
        </is>
      </c>
      <c r="H329" s="311" t="n">
        <v>0.57</v>
      </c>
      <c r="I329" s="308" t="inlineStr">
        <is>
          <t>Low</t>
        </is>
      </c>
      <c r="J329" s="308" t="inlineStr">
        <is>
          <t>drawing</t>
        </is>
      </c>
      <c r="K329" s="308" t="inlineStr">
        <is>
          <t>inferred:bare-isa</t>
        </is>
      </c>
      <c r="L329" s="308" t="inlineStr">
        <is>
          <t>drawing zone; process page; mapped sheet</t>
        </is>
      </c>
      <c r="M329" s="308" t="inlineStr">
        <is>
          <t>RL7-CKR-102 / HV</t>
        </is>
      </c>
      <c r="N329" s="308" t="inlineStr">
        <is>
          <t>native</t>
        </is>
      </c>
      <c r="O329" s="308" t="inlineStr">
        <is>
          <t>native-only</t>
        </is>
      </c>
      <c r="P329" s="308" t="inlineStr">
        <is>
          <t>native</t>
        </is>
      </c>
      <c r="Q329" s="308" t="inlineStr"/>
      <c r="R329" s="308" t="inlineStr">
        <is>
          <t>native text sufficient</t>
        </is>
      </c>
      <c r="S329" s="308" t="inlineStr"/>
      <c r="T329" s="308" t="inlineStr">
        <is>
          <t>p13:native:428, p13:native:78</t>
        </is>
      </c>
      <c r="U329" s="308" t="n">
        <v>2</v>
      </c>
    </row>
    <row r="330">
      <c r="A330" s="308" t="inlineStr">
        <is>
          <t>Missing in Excel</t>
        </is>
      </c>
      <c r="B330" s="308" t="inlineStr">
        <is>
          <t>DG7021</t>
        </is>
      </c>
      <c r="C330" s="308" t="n">
        <v>13</v>
      </c>
      <c r="D330" s="308" t="inlineStr">
        <is>
          <t>RL7-CKR-102-HV005</t>
        </is>
      </c>
      <c r="E330" s="308" t="inlineStr">
        <is>
          <t>RL7-CKR-102</t>
        </is>
      </c>
      <c r="F330" s="308" t="inlineStr">
        <is>
          <t>HV005</t>
        </is>
      </c>
      <c r="G330" s="308" t="inlineStr">
        <is>
          <t>instrument</t>
        </is>
      </c>
      <c r="H330" s="311" t="n">
        <v>0.57</v>
      </c>
      <c r="I330" s="308" t="inlineStr">
        <is>
          <t>Low</t>
        </is>
      </c>
      <c r="J330" s="308" t="inlineStr">
        <is>
          <t>drawing</t>
        </is>
      </c>
      <c r="K330" s="308" t="inlineStr">
        <is>
          <t>inferred:bare-isa</t>
        </is>
      </c>
      <c r="L330" s="308" t="inlineStr">
        <is>
          <t>drawing zone; process page; mapped sheet</t>
        </is>
      </c>
      <c r="M330" s="308" t="inlineStr">
        <is>
          <t>RL7-CKR-102 / HV</t>
        </is>
      </c>
      <c r="N330" s="308" t="inlineStr">
        <is>
          <t>native</t>
        </is>
      </c>
      <c r="O330" s="308" t="inlineStr">
        <is>
          <t>native-only</t>
        </is>
      </c>
      <c r="P330" s="308" t="inlineStr">
        <is>
          <t>native</t>
        </is>
      </c>
      <c r="Q330" s="308" t="inlineStr"/>
      <c r="R330" s="308" t="inlineStr">
        <is>
          <t>native text sufficient</t>
        </is>
      </c>
      <c r="S330" s="308" t="inlineStr"/>
      <c r="T330" s="308" t="inlineStr">
        <is>
          <t>p13:native:356, p13:native:96</t>
        </is>
      </c>
      <c r="U330" s="308" t="n">
        <v>2</v>
      </c>
    </row>
    <row r="331">
      <c r="A331" s="308" t="inlineStr">
        <is>
          <t>Missing in Excel</t>
        </is>
      </c>
      <c r="B331" s="308" t="inlineStr">
        <is>
          <t>DG7021</t>
        </is>
      </c>
      <c r="C331" s="308" t="n">
        <v>13</v>
      </c>
      <c r="D331" s="308" t="inlineStr">
        <is>
          <t>RL7-CKR-102-HV006</t>
        </is>
      </c>
      <c r="E331" s="308" t="inlineStr">
        <is>
          <t>RL7-CKR-102</t>
        </is>
      </c>
      <c r="F331" s="308" t="inlineStr">
        <is>
          <t>HV006</t>
        </is>
      </c>
      <c r="G331" s="308" t="inlineStr">
        <is>
          <t>instrument</t>
        </is>
      </c>
      <c r="H331" s="311" t="n">
        <v>0.57</v>
      </c>
      <c r="I331" s="308" t="inlineStr">
        <is>
          <t>Low</t>
        </is>
      </c>
      <c r="J331" s="308" t="inlineStr">
        <is>
          <t>drawing</t>
        </is>
      </c>
      <c r="K331" s="308" t="inlineStr">
        <is>
          <t>inferred:bare-isa</t>
        </is>
      </c>
      <c r="L331" s="308" t="inlineStr">
        <is>
          <t>drawing zone; process page; mapped sheet</t>
        </is>
      </c>
      <c r="M331" s="308" t="inlineStr">
        <is>
          <t>RL7-CKR-102 / HV</t>
        </is>
      </c>
      <c r="N331" s="308" t="inlineStr">
        <is>
          <t>native</t>
        </is>
      </c>
      <c r="O331" s="308" t="inlineStr">
        <is>
          <t>native-only</t>
        </is>
      </c>
      <c r="P331" s="308" t="inlineStr">
        <is>
          <t>native</t>
        </is>
      </c>
      <c r="Q331" s="308" t="inlineStr"/>
      <c r="R331" s="308" t="inlineStr">
        <is>
          <t>native text sufficient</t>
        </is>
      </c>
      <c r="S331" s="308" t="inlineStr"/>
      <c r="T331" s="308" t="inlineStr">
        <is>
          <t>p13:native:400, p13:native:84</t>
        </is>
      </c>
      <c r="U331" s="308" t="n">
        <v>2</v>
      </c>
    </row>
    <row r="332">
      <c r="A332" s="308" t="inlineStr">
        <is>
          <t>Missing in Excel</t>
        </is>
      </c>
      <c r="B332" s="308" t="inlineStr">
        <is>
          <t>DG7021</t>
        </is>
      </c>
      <c r="C332" s="308" t="n">
        <v>13</v>
      </c>
      <c r="D332" s="308" t="inlineStr">
        <is>
          <t>RL7-CKR-102-HV007</t>
        </is>
      </c>
      <c r="E332" s="308" t="inlineStr">
        <is>
          <t>RL7-CKR-102</t>
        </is>
      </c>
      <c r="F332" s="308" t="inlineStr">
        <is>
          <t>HV007</t>
        </is>
      </c>
      <c r="G332" s="308" t="inlineStr">
        <is>
          <t>instrument</t>
        </is>
      </c>
      <c r="H332" s="311" t="n">
        <v>0.57</v>
      </c>
      <c r="I332" s="308" t="inlineStr">
        <is>
          <t>Low</t>
        </is>
      </c>
      <c r="J332" s="308" t="inlineStr">
        <is>
          <t>drawing</t>
        </is>
      </c>
      <c r="K332" s="308" t="inlineStr">
        <is>
          <t>inferred:bare-isa</t>
        </is>
      </c>
      <c r="L332" s="308" t="inlineStr">
        <is>
          <t>drawing zone; process page; mapped sheet</t>
        </is>
      </c>
      <c r="M332" s="308" t="inlineStr">
        <is>
          <t>RL7-CKR-102 / HV</t>
        </is>
      </c>
      <c r="N332" s="308" t="inlineStr">
        <is>
          <t>native</t>
        </is>
      </c>
      <c r="O332" s="308" t="inlineStr">
        <is>
          <t>native-only</t>
        </is>
      </c>
      <c r="P332" s="308" t="inlineStr">
        <is>
          <t>native</t>
        </is>
      </c>
      <c r="Q332" s="308" t="inlineStr"/>
      <c r="R332" s="308" t="inlineStr">
        <is>
          <t>native text sufficient</t>
        </is>
      </c>
      <c r="S332" s="308" t="inlineStr"/>
      <c r="T332" s="308" t="inlineStr">
        <is>
          <t>p13:native:197, p13:native:102</t>
        </is>
      </c>
      <c r="U332" s="308" t="n">
        <v>2</v>
      </c>
    </row>
    <row r="333">
      <c r="A333" s="308" t="inlineStr">
        <is>
          <t>Missing in Excel</t>
        </is>
      </c>
      <c r="B333" s="308" t="inlineStr">
        <is>
          <t>DG7021</t>
        </is>
      </c>
      <c r="C333" s="308" t="n">
        <v>13</v>
      </c>
      <c r="D333" s="308" t="inlineStr">
        <is>
          <t>RL7-CKR-102-HV008</t>
        </is>
      </c>
      <c r="E333" s="308" t="inlineStr">
        <is>
          <t>RL7-CKR-102</t>
        </is>
      </c>
      <c r="F333" s="308" t="inlineStr">
        <is>
          <t>HV008</t>
        </is>
      </c>
      <c r="G333" s="308" t="inlineStr">
        <is>
          <t>instrument</t>
        </is>
      </c>
      <c r="H333" s="311" t="n">
        <v>0.57</v>
      </c>
      <c r="I333" s="308" t="inlineStr">
        <is>
          <t>Low</t>
        </is>
      </c>
      <c r="J333" s="308" t="inlineStr">
        <is>
          <t>drawing</t>
        </is>
      </c>
      <c r="K333" s="308" t="inlineStr">
        <is>
          <t>inferred:bare-isa</t>
        </is>
      </c>
      <c r="L333" s="308" t="inlineStr">
        <is>
          <t>drawing zone; process page; mapped sheet</t>
        </is>
      </c>
      <c r="M333" s="308" t="inlineStr">
        <is>
          <t>RL7-CKR-102 / HV</t>
        </is>
      </c>
      <c r="N333" s="308" t="inlineStr">
        <is>
          <t>native</t>
        </is>
      </c>
      <c r="O333" s="308" t="inlineStr">
        <is>
          <t>native-only</t>
        </is>
      </c>
      <c r="P333" s="308" t="inlineStr">
        <is>
          <t>native</t>
        </is>
      </c>
      <c r="Q333" s="308" t="inlineStr"/>
      <c r="R333" s="308" t="inlineStr">
        <is>
          <t>native text sufficient</t>
        </is>
      </c>
      <c r="S333" s="308" t="inlineStr"/>
      <c r="T333" s="308" t="inlineStr">
        <is>
          <t>p13:native:356, p13:native:375</t>
        </is>
      </c>
      <c r="U333" s="308" t="n">
        <v>2</v>
      </c>
    </row>
    <row r="334">
      <c r="A334" s="308" t="inlineStr">
        <is>
          <t>Missing in Excel</t>
        </is>
      </c>
      <c r="B334" s="308" t="inlineStr">
        <is>
          <t>DG7021</t>
        </is>
      </c>
      <c r="C334" s="308" t="n">
        <v>13</v>
      </c>
      <c r="D334" s="308" t="inlineStr">
        <is>
          <t>RL7-CKR-102-HV009</t>
        </is>
      </c>
      <c r="E334" s="308" t="inlineStr">
        <is>
          <t>RL7-CKR-102</t>
        </is>
      </c>
      <c r="F334" s="308" t="inlineStr">
        <is>
          <t>HV009</t>
        </is>
      </c>
      <c r="G334" s="308" t="inlineStr">
        <is>
          <t>instrument</t>
        </is>
      </c>
      <c r="H334" s="311" t="n">
        <v>0.57</v>
      </c>
      <c r="I334" s="308" t="inlineStr">
        <is>
          <t>Low</t>
        </is>
      </c>
      <c r="J334" s="308" t="inlineStr">
        <is>
          <t>drawing</t>
        </is>
      </c>
      <c r="K334" s="308" t="inlineStr">
        <is>
          <t>inferred:bare-isa</t>
        </is>
      </c>
      <c r="L334" s="308" t="inlineStr">
        <is>
          <t>drawing zone; process page; mapped sheet</t>
        </is>
      </c>
      <c r="M334" s="308" t="inlineStr">
        <is>
          <t>RL7-CKR-102 / HV</t>
        </is>
      </c>
      <c r="N334" s="308" t="inlineStr">
        <is>
          <t>native</t>
        </is>
      </c>
      <c r="O334" s="308" t="inlineStr">
        <is>
          <t>native-only</t>
        </is>
      </c>
      <c r="P334" s="308" t="inlineStr">
        <is>
          <t>native</t>
        </is>
      </c>
      <c r="Q334" s="308" t="inlineStr"/>
      <c r="R334" s="308" t="inlineStr">
        <is>
          <t>native text sufficient</t>
        </is>
      </c>
      <c r="S334" s="308" t="inlineStr"/>
      <c r="T334" s="308" t="inlineStr">
        <is>
          <t>p13:native:356, p13:native:369</t>
        </is>
      </c>
      <c r="U334" s="308" t="n">
        <v>2</v>
      </c>
    </row>
    <row r="335">
      <c r="A335" s="308" t="inlineStr">
        <is>
          <t>Missing in Excel</t>
        </is>
      </c>
      <c r="B335" s="308" t="inlineStr">
        <is>
          <t>DG7021</t>
        </is>
      </c>
      <c r="C335" s="308" t="n">
        <v>13</v>
      </c>
      <c r="D335" s="308" t="inlineStr">
        <is>
          <t>RL7-CKR-102-PI001</t>
        </is>
      </c>
      <c r="E335" s="308" t="inlineStr">
        <is>
          <t>RL7-CKR-102</t>
        </is>
      </c>
      <c r="F335" s="308" t="inlineStr">
        <is>
          <t>PI001</t>
        </is>
      </c>
      <c r="G335" s="308" t="inlineStr">
        <is>
          <t>instrument</t>
        </is>
      </c>
      <c r="H335" s="311" t="n">
        <v>0.57</v>
      </c>
      <c r="I335" s="308" t="inlineStr">
        <is>
          <t>Low</t>
        </is>
      </c>
      <c r="J335" s="308" t="inlineStr">
        <is>
          <t>drawing</t>
        </is>
      </c>
      <c r="K335" s="308" t="inlineStr">
        <is>
          <t>inferred:bare-isa</t>
        </is>
      </c>
      <c r="L335" s="308" t="inlineStr">
        <is>
          <t>drawing zone; process page; mapped sheet</t>
        </is>
      </c>
      <c r="M335" s="308" t="inlineStr">
        <is>
          <t>RL7-CKR-102 / PI</t>
        </is>
      </c>
      <c r="N335" s="308" t="inlineStr">
        <is>
          <t>native</t>
        </is>
      </c>
      <c r="O335" s="308" t="inlineStr">
        <is>
          <t>native-only</t>
        </is>
      </c>
      <c r="P335" s="308" t="inlineStr">
        <is>
          <t>native</t>
        </is>
      </c>
      <c r="Q335" s="308" t="inlineStr"/>
      <c r="R335" s="308" t="inlineStr">
        <is>
          <t>native text sufficient</t>
        </is>
      </c>
      <c r="S335" s="308" t="inlineStr"/>
      <c r="T335" s="308" t="inlineStr">
        <is>
          <t>p13:native:179, p13:native:315</t>
        </is>
      </c>
      <c r="U335" s="308" t="n">
        <v>2</v>
      </c>
    </row>
    <row r="336">
      <c r="A336" s="308" t="inlineStr">
        <is>
          <t>Missing in Excel</t>
        </is>
      </c>
      <c r="B336" s="308" t="inlineStr">
        <is>
          <t>DG7021</t>
        </is>
      </c>
      <c r="C336" s="308" t="n">
        <v>13</v>
      </c>
      <c r="D336" s="308" t="inlineStr">
        <is>
          <t>RL7-CKR-102-PI002</t>
        </is>
      </c>
      <c r="E336" s="308" t="inlineStr">
        <is>
          <t>RL7-CKR-102</t>
        </is>
      </c>
      <c r="F336" s="308" t="inlineStr">
        <is>
          <t>PI002</t>
        </is>
      </c>
      <c r="G336" s="308" t="inlineStr">
        <is>
          <t>instrument</t>
        </is>
      </c>
      <c r="H336" s="311" t="n">
        <v>0.57</v>
      </c>
      <c r="I336" s="308" t="inlineStr">
        <is>
          <t>Low</t>
        </is>
      </c>
      <c r="J336" s="308" t="inlineStr">
        <is>
          <t>drawing</t>
        </is>
      </c>
      <c r="K336" s="308" t="inlineStr">
        <is>
          <t>inferred:bare-isa</t>
        </is>
      </c>
      <c r="L336" s="308" t="inlineStr">
        <is>
          <t>drawing zone; process page; mapped sheet</t>
        </is>
      </c>
      <c r="M336" s="308" t="inlineStr">
        <is>
          <t>RL7-CKR-102 / PI</t>
        </is>
      </c>
      <c r="N336" s="308" t="inlineStr">
        <is>
          <t>native</t>
        </is>
      </c>
      <c r="O336" s="308" t="inlineStr">
        <is>
          <t>native-only</t>
        </is>
      </c>
      <c r="P336" s="308" t="inlineStr">
        <is>
          <t>native</t>
        </is>
      </c>
      <c r="Q336" s="308" t="inlineStr"/>
      <c r="R336" s="308" t="inlineStr">
        <is>
          <t>native text sufficient</t>
        </is>
      </c>
      <c r="S336" s="308" t="inlineStr"/>
      <c r="T336" s="308" t="inlineStr">
        <is>
          <t>p13:native:185, p13:native:333</t>
        </is>
      </c>
      <c r="U336" s="308" t="n">
        <v>2</v>
      </c>
    </row>
    <row r="337">
      <c r="A337" s="308" t="inlineStr">
        <is>
          <t>Missing in Excel</t>
        </is>
      </c>
      <c r="B337" s="308" t="inlineStr">
        <is>
          <t>DG7021</t>
        </is>
      </c>
      <c r="C337" s="308" t="n">
        <v>13</v>
      </c>
      <c r="D337" s="308" t="inlineStr">
        <is>
          <t>RL7-CKR-102-TR001</t>
        </is>
      </c>
      <c r="E337" s="308" t="inlineStr">
        <is>
          <t>RL7-CKR-102</t>
        </is>
      </c>
      <c r="F337" s="308" t="inlineStr">
        <is>
          <t>TR001</t>
        </is>
      </c>
      <c r="G337" s="308" t="inlineStr">
        <is>
          <t>instrument</t>
        </is>
      </c>
      <c r="H337" s="311" t="n">
        <v>0.57</v>
      </c>
      <c r="I337" s="308" t="inlineStr">
        <is>
          <t>Low</t>
        </is>
      </c>
      <c r="J337" s="308" t="inlineStr">
        <is>
          <t>drawing</t>
        </is>
      </c>
      <c r="K337" s="308" t="inlineStr">
        <is>
          <t>inferred:bare-isa</t>
        </is>
      </c>
      <c r="L337" s="308" t="inlineStr">
        <is>
          <t>drawing zone; process page; mapped sheet</t>
        </is>
      </c>
      <c r="M337" s="308" t="inlineStr">
        <is>
          <t>RL7-CKR-102 / TR</t>
        </is>
      </c>
      <c r="N337" s="308" t="inlineStr">
        <is>
          <t>native</t>
        </is>
      </c>
      <c r="O337" s="308" t="inlineStr">
        <is>
          <t>native-only</t>
        </is>
      </c>
      <c r="P337" s="308" t="inlineStr">
        <is>
          <t>native</t>
        </is>
      </c>
      <c r="Q337" s="308" t="inlineStr"/>
      <c r="R337" s="308" t="inlineStr">
        <is>
          <t>native text sufficient</t>
        </is>
      </c>
      <c r="S337" s="308" t="inlineStr"/>
      <c r="T337" s="308" t="inlineStr">
        <is>
          <t>p13:native:400, p13:native:123</t>
        </is>
      </c>
      <c r="U337" s="308" t="n">
        <v>2</v>
      </c>
    </row>
    <row r="338">
      <c r="A338" s="308" t="inlineStr">
        <is>
          <t>Missing in Excel</t>
        </is>
      </c>
      <c r="B338" s="308" t="inlineStr">
        <is>
          <t>DG7021</t>
        </is>
      </c>
      <c r="C338" s="308" t="n">
        <v>13</v>
      </c>
      <c r="D338" s="308" t="inlineStr">
        <is>
          <t>RL7-SKD-102-HV001</t>
        </is>
      </c>
      <c r="E338" s="308" t="inlineStr">
        <is>
          <t>RL7-SKD-102</t>
        </is>
      </c>
      <c r="F338" s="308" t="inlineStr">
        <is>
          <t>HV001</t>
        </is>
      </c>
      <c r="G338" s="308" t="inlineStr">
        <is>
          <t>instrument</t>
        </is>
      </c>
      <c r="H338" s="311" t="n">
        <v>0.57</v>
      </c>
      <c r="I338" s="308" t="inlineStr">
        <is>
          <t>Low</t>
        </is>
      </c>
      <c r="J338" s="308" t="inlineStr">
        <is>
          <t>drawing</t>
        </is>
      </c>
      <c r="K338" s="308" t="inlineStr">
        <is>
          <t>inferred:bare-isa</t>
        </is>
      </c>
      <c r="L338" s="308" t="inlineStr">
        <is>
          <t>drawing zone; process page; mapped sheet</t>
        </is>
      </c>
      <c r="M338" s="308" t="inlineStr">
        <is>
          <t>RL7-SKD-102 / HV</t>
        </is>
      </c>
      <c r="N338" s="308" t="inlineStr">
        <is>
          <t>native</t>
        </is>
      </c>
      <c r="O338" s="308" t="inlineStr">
        <is>
          <t>native-only</t>
        </is>
      </c>
      <c r="P338" s="308" t="inlineStr">
        <is>
          <t>native</t>
        </is>
      </c>
      <c r="Q338" s="308" t="inlineStr"/>
      <c r="R338" s="308" t="inlineStr">
        <is>
          <t>native text sufficient</t>
        </is>
      </c>
      <c r="S338" s="308" t="inlineStr"/>
      <c r="T338" s="308" t="inlineStr">
        <is>
          <t>p13:native:433, p13:native:439</t>
        </is>
      </c>
      <c r="U338" s="308" t="n">
        <v>2</v>
      </c>
    </row>
    <row r="339">
      <c r="A339" s="308" t="inlineStr">
        <is>
          <t>Missing in Excel</t>
        </is>
      </c>
      <c r="B339" s="308" t="inlineStr">
        <is>
          <t>DG7021</t>
        </is>
      </c>
      <c r="C339" s="308" t="n">
        <v>13</v>
      </c>
      <c r="D339" s="308" t="inlineStr">
        <is>
          <t>RL7-SKD-102-HV002</t>
        </is>
      </c>
      <c r="E339" s="308" t="inlineStr">
        <is>
          <t>RL7-SKD-102</t>
        </is>
      </c>
      <c r="F339" s="308" t="inlineStr">
        <is>
          <t>HV002</t>
        </is>
      </c>
      <c r="G339" s="308" t="inlineStr">
        <is>
          <t>instrument</t>
        </is>
      </c>
      <c r="H339" s="311" t="n">
        <v>0.57</v>
      </c>
      <c r="I339" s="308" t="inlineStr">
        <is>
          <t>Low</t>
        </is>
      </c>
      <c r="J339" s="308" t="inlineStr">
        <is>
          <t>drawing</t>
        </is>
      </c>
      <c r="K339" s="308" t="inlineStr">
        <is>
          <t>inferred:bare-isa</t>
        </is>
      </c>
      <c r="L339" s="308" t="inlineStr">
        <is>
          <t>drawing zone; process page; mapped sheet</t>
        </is>
      </c>
      <c r="M339" s="308" t="inlineStr">
        <is>
          <t>RL7-SKD-102 / HV</t>
        </is>
      </c>
      <c r="N339" s="308" t="inlineStr">
        <is>
          <t>native</t>
        </is>
      </c>
      <c r="O339" s="308" t="inlineStr">
        <is>
          <t>native-only</t>
        </is>
      </c>
      <c r="P339" s="308" t="inlineStr">
        <is>
          <t>native</t>
        </is>
      </c>
      <c r="Q339" s="308" t="inlineStr"/>
      <c r="R339" s="308" t="inlineStr">
        <is>
          <t>native text sufficient</t>
        </is>
      </c>
      <c r="S339" s="308" t="inlineStr"/>
      <c r="T339" s="308" t="inlineStr">
        <is>
          <t>p13:native:433, p13:native:447</t>
        </is>
      </c>
      <c r="U339" s="308" t="n">
        <v>2</v>
      </c>
    </row>
    <row r="340">
      <c r="A340" s="308" t="inlineStr">
        <is>
          <t>Missing in Excel</t>
        </is>
      </c>
      <c r="B340" s="308" t="inlineStr">
        <is>
          <t>DG7021</t>
        </is>
      </c>
      <c r="C340" s="308" t="n">
        <v>13</v>
      </c>
      <c r="D340" s="308" t="inlineStr">
        <is>
          <t>RL7-SKD-102-PI001</t>
        </is>
      </c>
      <c r="E340" s="308" t="inlineStr">
        <is>
          <t>RL7-SKD-102</t>
        </is>
      </c>
      <c r="F340" s="308" t="inlineStr">
        <is>
          <t>PI001</t>
        </is>
      </c>
      <c r="G340" s="308" t="inlineStr">
        <is>
          <t>instrument</t>
        </is>
      </c>
      <c r="H340" s="311" t="n">
        <v>0.57</v>
      </c>
      <c r="I340" s="308" t="inlineStr">
        <is>
          <t>Low</t>
        </is>
      </c>
      <c r="J340" s="308" t="inlineStr">
        <is>
          <t>drawing</t>
        </is>
      </c>
      <c r="K340" s="308" t="inlineStr">
        <is>
          <t>inferred:bare-isa</t>
        </is>
      </c>
      <c r="L340" s="308" t="inlineStr">
        <is>
          <t>drawing zone; process page; mapped sheet</t>
        </is>
      </c>
      <c r="M340" s="308" t="inlineStr">
        <is>
          <t>RL7-SKD-102 / PI</t>
        </is>
      </c>
      <c r="N340" s="308" t="inlineStr">
        <is>
          <t>native</t>
        </is>
      </c>
      <c r="O340" s="308" t="inlineStr">
        <is>
          <t>native-only</t>
        </is>
      </c>
      <c r="P340" s="308" t="inlineStr">
        <is>
          <t>native</t>
        </is>
      </c>
      <c r="Q340" s="308" t="inlineStr"/>
      <c r="R340" s="308" t="inlineStr">
        <is>
          <t>native text sufficient</t>
        </is>
      </c>
      <c r="S340" s="308" t="inlineStr"/>
      <c r="T340" s="308" t="inlineStr">
        <is>
          <t>p13:native:394, p13:native:115</t>
        </is>
      </c>
      <c r="U340" s="308" t="n">
        <v>2</v>
      </c>
    </row>
    <row r="341">
      <c r="A341" s="308" t="inlineStr">
        <is>
          <t>Missing in Excel</t>
        </is>
      </c>
      <c r="B341" s="308" t="inlineStr">
        <is>
          <t>DG7021</t>
        </is>
      </c>
      <c r="C341" s="308" t="n">
        <v>13</v>
      </c>
      <c r="D341" s="308" t="inlineStr">
        <is>
          <t>RL7-SKD-102-PI002</t>
        </is>
      </c>
      <c r="E341" s="308" t="inlineStr">
        <is>
          <t>RL7-SKD-102</t>
        </is>
      </c>
      <c r="F341" s="308" t="inlineStr">
        <is>
          <t>PI002</t>
        </is>
      </c>
      <c r="G341" s="308" t="inlineStr">
        <is>
          <t>instrument</t>
        </is>
      </c>
      <c r="H341" s="311" t="n">
        <v>0.57</v>
      </c>
      <c r="I341" s="308" t="inlineStr">
        <is>
          <t>Low</t>
        </is>
      </c>
      <c r="J341" s="308" t="inlineStr">
        <is>
          <t>drawing</t>
        </is>
      </c>
      <c r="K341" s="308" t="inlineStr">
        <is>
          <t>inferred:bare-isa</t>
        </is>
      </c>
      <c r="L341" s="308" t="inlineStr">
        <is>
          <t>drawing zone; process page; mapped sheet</t>
        </is>
      </c>
      <c r="M341" s="308" t="inlineStr">
        <is>
          <t>RL7-SKD-102 / PI</t>
        </is>
      </c>
      <c r="N341" s="308" t="inlineStr">
        <is>
          <t>native</t>
        </is>
      </c>
      <c r="O341" s="308" t="inlineStr">
        <is>
          <t>native-only</t>
        </is>
      </c>
      <c r="P341" s="308" t="inlineStr">
        <is>
          <t>native</t>
        </is>
      </c>
      <c r="Q341" s="308" t="inlineStr"/>
      <c r="R341" s="308" t="inlineStr">
        <is>
          <t>native text sufficient</t>
        </is>
      </c>
      <c r="S341" s="308" t="inlineStr"/>
      <c r="T341" s="308" t="inlineStr">
        <is>
          <t>p13:native:396, p13:native:328</t>
        </is>
      </c>
      <c r="U341" s="308" t="n">
        <v>2</v>
      </c>
    </row>
    <row r="342">
      <c r="A342" s="308" t="inlineStr">
        <is>
          <t>Missing in Excel</t>
        </is>
      </c>
      <c r="B342" s="308" t="inlineStr">
        <is>
          <t>DG7021</t>
        </is>
      </c>
      <c r="C342" s="308" t="n">
        <v>13</v>
      </c>
      <c r="D342" s="308" t="inlineStr">
        <is>
          <t>1"-CA-12A</t>
        </is>
      </c>
      <c r="E342" s="308" t="inlineStr">
        <is>
          <t>CA</t>
        </is>
      </c>
      <c r="F342" s="308" t="inlineStr">
        <is>
          <t>12A</t>
        </is>
      </c>
      <c r="G342" s="308" t="inlineStr">
        <is>
          <t>line</t>
        </is>
      </c>
      <c r="H342" s="311" t="n">
        <v>0.87</v>
      </c>
      <c r="I342" s="308" t="inlineStr">
        <is>
          <t>Medium</t>
        </is>
      </c>
      <c r="J342" s="308" t="inlineStr">
        <is>
          <t>drawing</t>
        </is>
      </c>
      <c r="K342" s="308" t="inlineStr">
        <is>
          <t>line:size-prefix</t>
        </is>
      </c>
      <c r="L342" s="308" t="inlineStr">
        <is>
          <t>drawing zone; process page; mapped sheet; repeated x7</t>
        </is>
      </c>
      <c r="M342" s="308" t="inlineStr">
        <is>
          <t>1"-CA-12A</t>
        </is>
      </c>
      <c r="N342" s="308" t="inlineStr">
        <is>
          <t>native</t>
        </is>
      </c>
      <c r="O342" s="308" t="inlineStr">
        <is>
          <t>native-only</t>
        </is>
      </c>
      <c r="P342" s="308" t="inlineStr">
        <is>
          <t>native</t>
        </is>
      </c>
      <c r="Q342" s="308" t="inlineStr"/>
      <c r="R342" s="308" t="inlineStr">
        <is>
          <t>native text sufficient</t>
        </is>
      </c>
      <c r="S342" s="308" t="inlineStr"/>
      <c r="T342" s="308" t="inlineStr">
        <is>
          <t>p13:native:299</t>
        </is>
      </c>
      <c r="U342" s="308" t="n">
        <v>1</v>
      </c>
    </row>
    <row r="343">
      <c r="A343" s="308" t="inlineStr">
        <is>
          <t>Missing in Excel</t>
        </is>
      </c>
      <c r="B343" s="308" t="inlineStr">
        <is>
          <t>DG7021</t>
        </is>
      </c>
      <c r="C343" s="308" t="n">
        <v>13</v>
      </c>
      <c r="D343" s="308" t="inlineStr">
        <is>
          <t>1"-CA-12A</t>
        </is>
      </c>
      <c r="E343" s="308" t="inlineStr">
        <is>
          <t>CA</t>
        </is>
      </c>
      <c r="F343" s="308" t="inlineStr">
        <is>
          <t>12A</t>
        </is>
      </c>
      <c r="G343" s="308" t="inlineStr">
        <is>
          <t>line</t>
        </is>
      </c>
      <c r="H343" s="311" t="n">
        <v>0.87</v>
      </c>
      <c r="I343" s="308" t="inlineStr">
        <is>
          <t>Medium</t>
        </is>
      </c>
      <c r="J343" s="308" t="inlineStr">
        <is>
          <t>drawing</t>
        </is>
      </c>
      <c r="K343" s="308" t="inlineStr">
        <is>
          <t>line:size-prefix</t>
        </is>
      </c>
      <c r="L343" s="308" t="inlineStr">
        <is>
          <t>drawing zone; process page; mapped sheet; repeated x7</t>
        </is>
      </c>
      <c r="M343" s="308" t="inlineStr">
        <is>
          <t>1"-CA-12A</t>
        </is>
      </c>
      <c r="N343" s="308" t="inlineStr">
        <is>
          <t>native</t>
        </is>
      </c>
      <c r="O343" s="308" t="inlineStr">
        <is>
          <t>native-only</t>
        </is>
      </c>
      <c r="P343" s="308" t="inlineStr">
        <is>
          <t>native</t>
        </is>
      </c>
      <c r="Q343" s="308" t="inlineStr"/>
      <c r="R343" s="308" t="inlineStr">
        <is>
          <t>native text sufficient</t>
        </is>
      </c>
      <c r="S343" s="308" t="inlineStr"/>
      <c r="T343" s="308" t="inlineStr">
        <is>
          <t>p13:native:441</t>
        </is>
      </c>
      <c r="U343" s="308" t="n">
        <v>1</v>
      </c>
    </row>
    <row r="344">
      <c r="A344" s="308" t="inlineStr">
        <is>
          <t>Missing in Excel</t>
        </is>
      </c>
      <c r="B344" s="308" t="inlineStr">
        <is>
          <t>DG7021</t>
        </is>
      </c>
      <c r="C344" s="308" t="n">
        <v>13</v>
      </c>
      <c r="D344" s="308" t="inlineStr">
        <is>
          <t>1"-CA-12A</t>
        </is>
      </c>
      <c r="E344" s="308" t="inlineStr">
        <is>
          <t>CA</t>
        </is>
      </c>
      <c r="F344" s="308" t="inlineStr">
        <is>
          <t>12A</t>
        </is>
      </c>
      <c r="G344" s="308" t="inlineStr">
        <is>
          <t>line</t>
        </is>
      </c>
      <c r="H344" s="311" t="n">
        <v>0.87</v>
      </c>
      <c r="I344" s="308" t="inlineStr">
        <is>
          <t>Medium</t>
        </is>
      </c>
      <c r="J344" s="308" t="inlineStr">
        <is>
          <t>drawing</t>
        </is>
      </c>
      <c r="K344" s="308" t="inlineStr">
        <is>
          <t>line:size-prefix</t>
        </is>
      </c>
      <c r="L344" s="308" t="inlineStr">
        <is>
          <t>drawing zone; process page; mapped sheet; repeated x7</t>
        </is>
      </c>
      <c r="M344" s="308" t="inlineStr">
        <is>
          <t>1"-CA-12A</t>
        </is>
      </c>
      <c r="N344" s="308" t="inlineStr">
        <is>
          <t>native</t>
        </is>
      </c>
      <c r="O344" s="308" t="inlineStr">
        <is>
          <t>native-only</t>
        </is>
      </c>
      <c r="P344" s="308" t="inlineStr">
        <is>
          <t>native</t>
        </is>
      </c>
      <c r="Q344" s="308" t="inlineStr"/>
      <c r="R344" s="308" t="inlineStr">
        <is>
          <t>native text sufficient</t>
        </is>
      </c>
      <c r="S344" s="308" t="inlineStr"/>
      <c r="T344" s="308" t="inlineStr">
        <is>
          <t>p13:native:451</t>
        </is>
      </c>
      <c r="U344" s="308" t="n">
        <v>1</v>
      </c>
    </row>
    <row r="345">
      <c r="A345" s="308" t="inlineStr">
        <is>
          <t>Missing in Excel</t>
        </is>
      </c>
      <c r="B345" s="308" t="inlineStr">
        <is>
          <t>DG7021</t>
        </is>
      </c>
      <c r="C345" s="308" t="n">
        <v>13</v>
      </c>
      <c r="D345" s="308" t="inlineStr">
        <is>
          <t>1"-CA-12A</t>
        </is>
      </c>
      <c r="E345" s="308" t="inlineStr">
        <is>
          <t>CA</t>
        </is>
      </c>
      <c r="F345" s="308" t="inlineStr">
        <is>
          <t>12A</t>
        </is>
      </c>
      <c r="G345" s="308" t="inlineStr">
        <is>
          <t>line</t>
        </is>
      </c>
      <c r="H345" s="311" t="n">
        <v>0.87</v>
      </c>
      <c r="I345" s="308" t="inlineStr">
        <is>
          <t>Medium</t>
        </is>
      </c>
      <c r="J345" s="308" t="inlineStr">
        <is>
          <t>drawing</t>
        </is>
      </c>
      <c r="K345" s="308" t="inlineStr">
        <is>
          <t>line:size-prefix</t>
        </is>
      </c>
      <c r="L345" s="308" t="inlineStr">
        <is>
          <t>drawing zone; process page; mapped sheet; repeated x7</t>
        </is>
      </c>
      <c r="M345" s="308" t="inlineStr">
        <is>
          <t>1"-CA-12A</t>
        </is>
      </c>
      <c r="N345" s="308" t="inlineStr">
        <is>
          <t>native</t>
        </is>
      </c>
      <c r="O345" s="308" t="inlineStr">
        <is>
          <t>native-only</t>
        </is>
      </c>
      <c r="P345" s="308" t="inlineStr">
        <is>
          <t>native</t>
        </is>
      </c>
      <c r="Q345" s="308" t="inlineStr"/>
      <c r="R345" s="308" t="inlineStr">
        <is>
          <t>native text sufficient</t>
        </is>
      </c>
      <c r="S345" s="308" t="inlineStr"/>
      <c r="T345" s="308" t="inlineStr">
        <is>
          <t>p13:native:452</t>
        </is>
      </c>
      <c r="U345" s="308" t="n">
        <v>1</v>
      </c>
    </row>
    <row r="346">
      <c r="A346" s="308" t="inlineStr">
        <is>
          <t>Missing in Excel</t>
        </is>
      </c>
      <c r="B346" s="308" t="inlineStr">
        <is>
          <t>DG7021</t>
        </is>
      </c>
      <c r="C346" s="308" t="n">
        <v>13</v>
      </c>
      <c r="D346" s="308" t="inlineStr">
        <is>
          <t>1"-CA-12A</t>
        </is>
      </c>
      <c r="E346" s="308" t="inlineStr">
        <is>
          <t>CA</t>
        </is>
      </c>
      <c r="F346" s="308" t="inlineStr">
        <is>
          <t>12A</t>
        </is>
      </c>
      <c r="G346" s="308" t="inlineStr">
        <is>
          <t>line</t>
        </is>
      </c>
      <c r="H346" s="311" t="n">
        <v>0.87</v>
      </c>
      <c r="I346" s="308" t="inlineStr">
        <is>
          <t>Medium</t>
        </is>
      </c>
      <c r="J346" s="308" t="inlineStr">
        <is>
          <t>drawing</t>
        </is>
      </c>
      <c r="K346" s="308" t="inlineStr">
        <is>
          <t>line:size-prefix</t>
        </is>
      </c>
      <c r="L346" s="308" t="inlineStr">
        <is>
          <t>drawing zone; process page; mapped sheet; repeated x7</t>
        </is>
      </c>
      <c r="M346" s="308" t="inlineStr">
        <is>
          <t>1"-CA-12A</t>
        </is>
      </c>
      <c r="N346" s="308" t="inlineStr">
        <is>
          <t>native</t>
        </is>
      </c>
      <c r="O346" s="308" t="inlineStr">
        <is>
          <t>native-only</t>
        </is>
      </c>
      <c r="P346" s="308" t="inlineStr">
        <is>
          <t>native</t>
        </is>
      </c>
      <c r="Q346" s="308" t="inlineStr"/>
      <c r="R346" s="308" t="inlineStr">
        <is>
          <t>native text sufficient</t>
        </is>
      </c>
      <c r="S346" s="308" t="inlineStr"/>
      <c r="T346" s="308" t="inlineStr">
        <is>
          <t>p13:native:453</t>
        </is>
      </c>
      <c r="U346" s="308" t="n">
        <v>1</v>
      </c>
    </row>
    <row r="347">
      <c r="A347" s="308" t="inlineStr">
        <is>
          <t>Missing in Excel</t>
        </is>
      </c>
      <c r="B347" s="308" t="inlineStr">
        <is>
          <t>DG7021</t>
        </is>
      </c>
      <c r="C347" s="308" t="n">
        <v>13</v>
      </c>
      <c r="D347" s="308" t="inlineStr">
        <is>
          <t>1"-CA-12A</t>
        </is>
      </c>
      <c r="E347" s="308" t="inlineStr">
        <is>
          <t>CA</t>
        </is>
      </c>
      <c r="F347" s="308" t="inlineStr">
        <is>
          <t>12A</t>
        </is>
      </c>
      <c r="G347" s="308" t="inlineStr">
        <is>
          <t>line</t>
        </is>
      </c>
      <c r="H347" s="311" t="n">
        <v>0.87</v>
      </c>
      <c r="I347" s="308" t="inlineStr">
        <is>
          <t>Medium</t>
        </is>
      </c>
      <c r="J347" s="308" t="inlineStr">
        <is>
          <t>drawing</t>
        </is>
      </c>
      <c r="K347" s="308" t="inlineStr">
        <is>
          <t>line:size-prefix</t>
        </is>
      </c>
      <c r="L347" s="308" t="inlineStr">
        <is>
          <t>drawing zone; process page; mapped sheet; repeated x7</t>
        </is>
      </c>
      <c r="M347" s="308" t="inlineStr">
        <is>
          <t>1"-CA-12A</t>
        </is>
      </c>
      <c r="N347" s="308" t="inlineStr">
        <is>
          <t>native</t>
        </is>
      </c>
      <c r="O347" s="308" t="inlineStr">
        <is>
          <t>native-only</t>
        </is>
      </c>
      <c r="P347" s="308" t="inlineStr">
        <is>
          <t>native</t>
        </is>
      </c>
      <c r="Q347" s="308" t="inlineStr"/>
      <c r="R347" s="308" t="inlineStr">
        <is>
          <t>native text sufficient</t>
        </is>
      </c>
      <c r="S347" s="308" t="inlineStr"/>
      <c r="T347" s="308" t="inlineStr">
        <is>
          <t>p13:native:457</t>
        </is>
      </c>
      <c r="U347" s="308" t="n">
        <v>1</v>
      </c>
    </row>
    <row r="348">
      <c r="A348" s="308" t="inlineStr">
        <is>
          <t>Missing in Excel</t>
        </is>
      </c>
      <c r="B348" s="308" t="inlineStr">
        <is>
          <t>DG7021</t>
        </is>
      </c>
      <c r="C348" s="308" t="n">
        <v>13</v>
      </c>
      <c r="D348" s="308" t="inlineStr">
        <is>
          <t>1"-CA-12A</t>
        </is>
      </c>
      <c r="E348" s="308" t="inlineStr">
        <is>
          <t>CA</t>
        </is>
      </c>
      <c r="F348" s="308" t="inlineStr">
        <is>
          <t>12A</t>
        </is>
      </c>
      <c r="G348" s="308" t="inlineStr">
        <is>
          <t>line</t>
        </is>
      </c>
      <c r="H348" s="311" t="n">
        <v>0.87</v>
      </c>
      <c r="I348" s="308" t="inlineStr">
        <is>
          <t>Medium</t>
        </is>
      </c>
      <c r="J348" s="308" t="inlineStr">
        <is>
          <t>drawing</t>
        </is>
      </c>
      <c r="K348" s="308" t="inlineStr">
        <is>
          <t>line:size-prefix</t>
        </is>
      </c>
      <c r="L348" s="308" t="inlineStr">
        <is>
          <t>drawing zone; process page; mapped sheet; repeated x7</t>
        </is>
      </c>
      <c r="M348" s="308" t="inlineStr">
        <is>
          <t>RL7 1"-CA-12A</t>
        </is>
      </c>
      <c r="N348" s="308" t="inlineStr">
        <is>
          <t>native</t>
        </is>
      </c>
      <c r="O348" s="308" t="inlineStr">
        <is>
          <t>native-only</t>
        </is>
      </c>
      <c r="P348" s="308" t="inlineStr">
        <is>
          <t>native</t>
        </is>
      </c>
      <c r="Q348" s="308" t="inlineStr"/>
      <c r="R348" s="308" t="inlineStr">
        <is>
          <t>native text sufficient</t>
        </is>
      </c>
      <c r="S348" s="308" t="inlineStr"/>
      <c r="T348" s="308" t="inlineStr">
        <is>
          <t>p13:native:313, p13:native:452</t>
        </is>
      </c>
      <c r="U348" s="308" t="n">
        <v>2</v>
      </c>
    </row>
    <row r="349">
      <c r="A349" s="308" t="inlineStr">
        <is>
          <t>Missing in Excel</t>
        </is>
      </c>
      <c r="B349" s="308" t="inlineStr">
        <is>
          <t>DG7021</t>
        </is>
      </c>
      <c r="C349" s="308" t="n">
        <v>13</v>
      </c>
      <c r="D349" s="308" t="inlineStr">
        <is>
          <t>3/4"-GC-1A</t>
        </is>
      </c>
      <c r="E349" s="308" t="inlineStr">
        <is>
          <t>GC</t>
        </is>
      </c>
      <c r="F349" s="308" t="inlineStr">
        <is>
          <t>1A</t>
        </is>
      </c>
      <c r="G349" s="308" t="inlineStr">
        <is>
          <t>line</t>
        </is>
      </c>
      <c r="H349" s="311" t="n">
        <v>0.87</v>
      </c>
      <c r="I349" s="308" t="inlineStr">
        <is>
          <t>Medium</t>
        </is>
      </c>
      <c r="J349" s="308" t="inlineStr">
        <is>
          <t>drawing</t>
        </is>
      </c>
      <c r="K349" s="308" t="inlineStr">
        <is>
          <t>line:size-prefix</t>
        </is>
      </c>
      <c r="L349" s="308" t="inlineStr">
        <is>
          <t>drawing zone; process page; mapped sheet; repeated x4</t>
        </is>
      </c>
      <c r="M349" s="308" t="inlineStr">
        <is>
          <t>3/4"-GC-1A</t>
        </is>
      </c>
      <c r="N349" s="308" t="inlineStr">
        <is>
          <t>native</t>
        </is>
      </c>
      <c r="O349" s="308" t="inlineStr">
        <is>
          <t>native-only</t>
        </is>
      </c>
      <c r="P349" s="308" t="inlineStr">
        <is>
          <t>native</t>
        </is>
      </c>
      <c r="Q349" s="308" t="inlineStr"/>
      <c r="R349" s="308" t="inlineStr">
        <is>
          <t>native text sufficient</t>
        </is>
      </c>
      <c r="S349" s="308" t="inlineStr"/>
      <c r="T349" s="308" t="inlineStr">
        <is>
          <t>p13:native:263</t>
        </is>
      </c>
      <c r="U349" s="308" t="n">
        <v>1</v>
      </c>
    </row>
    <row r="350">
      <c r="A350" s="308" t="inlineStr">
        <is>
          <t>Missing in Excel</t>
        </is>
      </c>
      <c r="B350" s="308" t="inlineStr">
        <is>
          <t>DG7021</t>
        </is>
      </c>
      <c r="C350" s="308" t="n">
        <v>13</v>
      </c>
      <c r="D350" s="308" t="inlineStr">
        <is>
          <t>3/4"-GC-1A</t>
        </is>
      </c>
      <c r="E350" s="308" t="inlineStr">
        <is>
          <t>GC</t>
        </is>
      </c>
      <c r="F350" s="308" t="inlineStr">
        <is>
          <t>1A</t>
        </is>
      </c>
      <c r="G350" s="308" t="inlineStr">
        <is>
          <t>line</t>
        </is>
      </c>
      <c r="H350" s="311" t="n">
        <v>0.87</v>
      </c>
      <c r="I350" s="308" t="inlineStr">
        <is>
          <t>Medium</t>
        </is>
      </c>
      <c r="J350" s="308" t="inlineStr">
        <is>
          <t>drawing</t>
        </is>
      </c>
      <c r="K350" s="308" t="inlineStr">
        <is>
          <t>line:size-prefix</t>
        </is>
      </c>
      <c r="L350" s="308" t="inlineStr">
        <is>
          <t>drawing zone; process page; mapped sheet; repeated x4</t>
        </is>
      </c>
      <c r="M350" s="308" t="inlineStr">
        <is>
          <t>3"X3/4"3/4"-GC-1A</t>
        </is>
      </c>
      <c r="N350" s="308" t="inlineStr">
        <is>
          <t>native</t>
        </is>
      </c>
      <c r="O350" s="308" t="inlineStr">
        <is>
          <t>native-only</t>
        </is>
      </c>
      <c r="P350" s="308" t="inlineStr">
        <is>
          <t>native</t>
        </is>
      </c>
      <c r="Q350" s="308" t="inlineStr"/>
      <c r="R350" s="308" t="inlineStr">
        <is>
          <t>native text sufficient</t>
        </is>
      </c>
      <c r="S350" s="308" t="inlineStr"/>
      <c r="T350" s="308" t="inlineStr">
        <is>
          <t>p13:native:117, p13:native:263</t>
        </is>
      </c>
      <c r="U350" s="308" t="n">
        <v>2</v>
      </c>
    </row>
    <row r="351">
      <c r="A351" s="308" t="inlineStr">
        <is>
          <t>Missing in Excel</t>
        </is>
      </c>
      <c r="B351" s="308" t="inlineStr">
        <is>
          <t>DG7021</t>
        </is>
      </c>
      <c r="C351" s="308" t="n">
        <v>13</v>
      </c>
      <c r="D351" s="308" t="inlineStr">
        <is>
          <t>3/4"-GC-1A</t>
        </is>
      </c>
      <c r="E351" s="308" t="inlineStr">
        <is>
          <t>GC</t>
        </is>
      </c>
      <c r="F351" s="308" t="inlineStr">
        <is>
          <t>1A</t>
        </is>
      </c>
      <c r="G351" s="308" t="inlineStr">
        <is>
          <t>line</t>
        </is>
      </c>
      <c r="H351" s="311" t="n">
        <v>0.87</v>
      </c>
      <c r="I351" s="308" t="inlineStr">
        <is>
          <t>Medium</t>
        </is>
      </c>
      <c r="J351" s="308" t="inlineStr">
        <is>
          <t>drawing</t>
        </is>
      </c>
      <c r="K351" s="308" t="inlineStr">
        <is>
          <t>line:size-prefix</t>
        </is>
      </c>
      <c r="L351" s="308" t="inlineStr">
        <is>
          <t>drawing zone; process page; mapped sheet; repeated x4</t>
        </is>
      </c>
      <c r="M351" s="308" t="inlineStr">
        <is>
          <t>3/4"-GC-1A RL7</t>
        </is>
      </c>
      <c r="N351" s="308" t="inlineStr">
        <is>
          <t>native</t>
        </is>
      </c>
      <c r="O351" s="308" t="inlineStr">
        <is>
          <t>native-only</t>
        </is>
      </c>
      <c r="P351" s="308" t="inlineStr">
        <is>
          <t>native</t>
        </is>
      </c>
      <c r="Q351" s="308" t="inlineStr"/>
      <c r="R351" s="308" t="inlineStr">
        <is>
          <t>native text sufficient</t>
        </is>
      </c>
      <c r="S351" s="308" t="inlineStr"/>
      <c r="T351" s="308" t="inlineStr">
        <is>
          <t>p13:native:263, p13:native:82</t>
        </is>
      </c>
      <c r="U351" s="308" t="n">
        <v>2</v>
      </c>
    </row>
    <row r="352">
      <c r="A352" s="308" t="inlineStr">
        <is>
          <t>Missing in Excel</t>
        </is>
      </c>
      <c r="B352" s="308" t="inlineStr">
        <is>
          <t>DG7021</t>
        </is>
      </c>
      <c r="C352" s="308" t="n">
        <v>13</v>
      </c>
      <c r="D352" s="308" t="inlineStr">
        <is>
          <t>3"-PROD-T4</t>
        </is>
      </c>
      <c r="E352" s="308" t="inlineStr">
        <is>
          <t>PROD</t>
        </is>
      </c>
      <c r="F352" s="308" t="inlineStr">
        <is>
          <t>T4</t>
        </is>
      </c>
      <c r="G352" s="308" t="inlineStr">
        <is>
          <t>line</t>
        </is>
      </c>
      <c r="H352" s="311" t="n">
        <v>0.82</v>
      </c>
      <c r="I352" s="308" t="inlineStr">
        <is>
          <t>Medium</t>
        </is>
      </c>
      <c r="J352" s="308" t="inlineStr">
        <is>
          <t>drawing</t>
        </is>
      </c>
      <c r="K352" s="308" t="inlineStr">
        <is>
          <t>line:size-prefix</t>
        </is>
      </c>
      <c r="L352" s="308" t="inlineStr">
        <is>
          <t>drawing zone; process page; mapped sheet; repeated x2</t>
        </is>
      </c>
      <c r="M352" s="308" t="inlineStr">
        <is>
          <t>3"-PROD-T4</t>
        </is>
      </c>
      <c r="N352" s="308" t="inlineStr">
        <is>
          <t>native</t>
        </is>
      </c>
      <c r="O352" s="308" t="inlineStr">
        <is>
          <t>native-only</t>
        </is>
      </c>
      <c r="P352" s="308" t="inlineStr">
        <is>
          <t>native</t>
        </is>
      </c>
      <c r="Q352" s="308" t="inlineStr"/>
      <c r="R352" s="308" t="inlineStr">
        <is>
          <t>native text sufficient</t>
        </is>
      </c>
      <c r="S352" s="308" t="inlineStr"/>
      <c r="T352" s="308" t="inlineStr">
        <is>
          <t>p13:native:62</t>
        </is>
      </c>
      <c r="U352" s="308" t="n">
        <v>1</v>
      </c>
    </row>
    <row r="353">
      <c r="A353" s="308" t="inlineStr">
        <is>
          <t>Missing in Excel</t>
        </is>
      </c>
      <c r="B353" s="308" t="inlineStr">
        <is>
          <t>DG7021</t>
        </is>
      </c>
      <c r="C353" s="308" t="n">
        <v>13</v>
      </c>
      <c r="D353" s="308" t="inlineStr">
        <is>
          <t>3"-PROD-T4</t>
        </is>
      </c>
      <c r="E353" s="308" t="inlineStr">
        <is>
          <t>PROD</t>
        </is>
      </c>
      <c r="F353" s="308" t="inlineStr">
        <is>
          <t>T4</t>
        </is>
      </c>
      <c r="G353" s="308" t="inlineStr">
        <is>
          <t>line</t>
        </is>
      </c>
      <c r="H353" s="311" t="n">
        <v>0.82</v>
      </c>
      <c r="I353" s="308" t="inlineStr">
        <is>
          <t>Medium</t>
        </is>
      </c>
      <c r="J353" s="308" t="inlineStr">
        <is>
          <t>drawing</t>
        </is>
      </c>
      <c r="K353" s="308" t="inlineStr">
        <is>
          <t>line:size-prefix</t>
        </is>
      </c>
      <c r="L353" s="308" t="inlineStr">
        <is>
          <t>drawing zone; process page; mapped sheet; repeated x2</t>
        </is>
      </c>
      <c r="M353" s="308" t="inlineStr">
        <is>
          <t>3"-PROD-T4</t>
        </is>
      </c>
      <c r="N353" s="308" t="inlineStr">
        <is>
          <t>native</t>
        </is>
      </c>
      <c r="O353" s="308" t="inlineStr">
        <is>
          <t>native-only</t>
        </is>
      </c>
      <c r="P353" s="308" t="inlineStr">
        <is>
          <t>native</t>
        </is>
      </c>
      <c r="Q353" s="308" t="inlineStr"/>
      <c r="R353" s="308" t="inlineStr">
        <is>
          <t>native text sufficient</t>
        </is>
      </c>
      <c r="S353" s="308" t="inlineStr"/>
      <c r="T353" s="308" t="inlineStr">
        <is>
          <t>p13:native:187</t>
        </is>
      </c>
      <c r="U353" s="308" t="n">
        <v>1</v>
      </c>
    </row>
    <row r="354">
      <c r="A354" s="308" t="inlineStr">
        <is>
          <t>Missing in Excel</t>
        </is>
      </c>
      <c r="B354" s="308" t="inlineStr">
        <is>
          <t>DG7021</t>
        </is>
      </c>
      <c r="C354" s="308" t="n">
        <v>13</v>
      </c>
      <c r="D354" s="308" t="inlineStr">
        <is>
          <t>4"-HPS-1A</t>
        </is>
      </c>
      <c r="E354" s="308" t="inlineStr">
        <is>
          <t>HPS</t>
        </is>
      </c>
      <c r="F354" s="308" t="inlineStr">
        <is>
          <t>1A</t>
        </is>
      </c>
      <c r="G354" s="308" t="inlineStr">
        <is>
          <t>line</t>
        </is>
      </c>
      <c r="H354" s="311" t="n">
        <v>0.82</v>
      </c>
      <c r="I354" s="308" t="inlineStr">
        <is>
          <t>Medium</t>
        </is>
      </c>
      <c r="J354" s="308" t="inlineStr">
        <is>
          <t>drawing</t>
        </is>
      </c>
      <c r="K354" s="308" t="inlineStr">
        <is>
          <t>line:size-prefix</t>
        </is>
      </c>
      <c r="L354" s="308" t="inlineStr">
        <is>
          <t>drawing zone; process page; mapped sheet; repeated x2</t>
        </is>
      </c>
      <c r="M354" s="308" t="inlineStr">
        <is>
          <t>4"-HPS-1A</t>
        </is>
      </c>
      <c r="N354" s="308" t="inlineStr">
        <is>
          <t>native</t>
        </is>
      </c>
      <c r="O354" s="308" t="inlineStr">
        <is>
          <t>native-only</t>
        </is>
      </c>
      <c r="P354" s="308" t="inlineStr">
        <is>
          <t>native</t>
        </is>
      </c>
      <c r="Q354" s="308" t="inlineStr"/>
      <c r="R354" s="308" t="inlineStr">
        <is>
          <t>native text sufficient</t>
        </is>
      </c>
      <c r="S354" s="308" t="inlineStr"/>
      <c r="T354" s="308" t="inlineStr">
        <is>
          <t>p13:native:287</t>
        </is>
      </c>
      <c r="U354" s="308" t="n">
        <v>1</v>
      </c>
    </row>
    <row r="355">
      <c r="A355" s="308" t="inlineStr">
        <is>
          <t>Missing in Excel</t>
        </is>
      </c>
      <c r="B355" s="308" t="inlineStr">
        <is>
          <t>DG7021</t>
        </is>
      </c>
      <c r="C355" s="308" t="n">
        <v>13</v>
      </c>
      <c r="D355" s="308" t="inlineStr">
        <is>
          <t>1"-LAC-T4</t>
        </is>
      </c>
      <c r="E355" s="308" t="inlineStr">
        <is>
          <t>LAC</t>
        </is>
      </c>
      <c r="F355" s="308" t="inlineStr">
        <is>
          <t>T4</t>
        </is>
      </c>
      <c r="G355" s="308" t="inlineStr">
        <is>
          <t>line</t>
        </is>
      </c>
      <c r="H355" s="311" t="n">
        <v>0.77</v>
      </c>
      <c r="I355" s="308" t="inlineStr">
        <is>
          <t>Medium</t>
        </is>
      </c>
      <c r="J355" s="308" t="inlineStr">
        <is>
          <t>drawing</t>
        </is>
      </c>
      <c r="K355" s="308" t="inlineStr">
        <is>
          <t>line:size-prefix</t>
        </is>
      </c>
      <c r="L355" s="308" t="inlineStr">
        <is>
          <t>drawing zone; process page; mapped sheet</t>
        </is>
      </c>
      <c r="M355" s="308" t="inlineStr">
        <is>
          <t>1"-LAC-T4</t>
        </is>
      </c>
      <c r="N355" s="308" t="inlineStr">
        <is>
          <t>native</t>
        </is>
      </c>
      <c r="O355" s="308" t="inlineStr">
        <is>
          <t>native-only</t>
        </is>
      </c>
      <c r="P355" s="308" t="inlineStr">
        <is>
          <t>native</t>
        </is>
      </c>
      <c r="Q355" s="308" t="inlineStr"/>
      <c r="R355" s="308" t="inlineStr">
        <is>
          <t>native text sufficient</t>
        </is>
      </c>
      <c r="S355" s="308" t="inlineStr"/>
      <c r="T355" s="308" t="inlineStr">
        <is>
          <t>p13:native:442</t>
        </is>
      </c>
      <c r="U355" s="308" t="n">
        <v>1</v>
      </c>
    </row>
    <row r="356">
      <c r="A356" s="308" t="inlineStr">
        <is>
          <t>Missing in Excel</t>
        </is>
      </c>
      <c r="B356" s="308" t="inlineStr">
        <is>
          <t>DG7021</t>
        </is>
      </c>
      <c r="C356" s="308" t="n">
        <v>13</v>
      </c>
      <c r="D356" s="308" t="inlineStr">
        <is>
          <t>2"-CIPS-T4</t>
        </is>
      </c>
      <c r="E356" s="308" t="inlineStr">
        <is>
          <t>CIPS</t>
        </is>
      </c>
      <c r="F356" s="308" t="inlineStr">
        <is>
          <t>T4</t>
        </is>
      </c>
      <c r="G356" s="308" t="inlineStr">
        <is>
          <t>line</t>
        </is>
      </c>
      <c r="H356" s="311" t="n">
        <v>0.77</v>
      </c>
      <c r="I356" s="308" t="inlineStr">
        <is>
          <t>Medium</t>
        </is>
      </c>
      <c r="J356" s="308" t="inlineStr">
        <is>
          <t>drawing</t>
        </is>
      </c>
      <c r="K356" s="308" t="inlineStr">
        <is>
          <t>line:size-prefix</t>
        </is>
      </c>
      <c r="L356" s="308" t="inlineStr">
        <is>
          <t>drawing zone; process page; mapped sheet</t>
        </is>
      </c>
      <c r="M356" s="308" t="inlineStr">
        <is>
          <t>2"-CIPS-T4</t>
        </is>
      </c>
      <c r="N356" s="308" t="inlineStr">
        <is>
          <t>native</t>
        </is>
      </c>
      <c r="O356" s="308" t="inlineStr">
        <is>
          <t>native-only</t>
        </is>
      </c>
      <c r="P356" s="308" t="inlineStr">
        <is>
          <t>native</t>
        </is>
      </c>
      <c r="Q356" s="308" t="inlineStr"/>
      <c r="R356" s="308" t="inlineStr">
        <is>
          <t>native text sufficient</t>
        </is>
      </c>
      <c r="S356" s="308" t="inlineStr"/>
      <c r="T356" s="308" t="inlineStr">
        <is>
          <t>p13:native:170</t>
        </is>
      </c>
      <c r="U356" s="308" t="n">
        <v>1</v>
      </c>
    </row>
    <row r="357">
      <c r="A357" s="308" t="inlineStr">
        <is>
          <t>Missing in Excel</t>
        </is>
      </c>
      <c r="B357" s="308" t="inlineStr">
        <is>
          <t>DG7021</t>
        </is>
      </c>
      <c r="C357" s="308" t="n">
        <v>13</v>
      </c>
      <c r="D357" s="308" t="inlineStr">
        <is>
          <t>2"-JHWR-12A</t>
        </is>
      </c>
      <c r="E357" s="308" t="inlineStr">
        <is>
          <t>JHWR</t>
        </is>
      </c>
      <c r="F357" s="308" t="inlineStr">
        <is>
          <t>12A</t>
        </is>
      </c>
      <c r="G357" s="308" t="inlineStr">
        <is>
          <t>line</t>
        </is>
      </c>
      <c r="H357" s="311" t="n">
        <v>0.77</v>
      </c>
      <c r="I357" s="308" t="inlineStr">
        <is>
          <t>Medium</t>
        </is>
      </c>
      <c r="J357" s="308" t="inlineStr">
        <is>
          <t>drawing</t>
        </is>
      </c>
      <c r="K357" s="308" t="inlineStr">
        <is>
          <t>line:size-prefix</t>
        </is>
      </c>
      <c r="L357" s="308" t="inlineStr">
        <is>
          <t>drawing zone; process page; mapped sheet</t>
        </is>
      </c>
      <c r="M357" s="308" t="inlineStr">
        <is>
          <t>2"-JHWR-12A</t>
        </is>
      </c>
      <c r="N357" s="308" t="inlineStr">
        <is>
          <t>native</t>
        </is>
      </c>
      <c r="O357" s="308" t="inlineStr">
        <is>
          <t>native-only</t>
        </is>
      </c>
      <c r="P357" s="308" t="inlineStr">
        <is>
          <t>native</t>
        </is>
      </c>
      <c r="Q357" s="308" t="inlineStr"/>
      <c r="R357" s="308" t="inlineStr">
        <is>
          <t>native text sufficient</t>
        </is>
      </c>
      <c r="S357" s="308" t="inlineStr"/>
      <c r="T357" s="308" t="inlineStr">
        <is>
          <t>p13:native:250</t>
        </is>
      </c>
      <c r="U357" s="308" t="n">
        <v>1</v>
      </c>
    </row>
    <row r="358">
      <c r="A358" s="308" t="inlineStr">
        <is>
          <t>Missing in Excel</t>
        </is>
      </c>
      <c r="B358" s="308" t="inlineStr">
        <is>
          <t>DG7021</t>
        </is>
      </c>
      <c r="C358" s="308" t="n">
        <v>13</v>
      </c>
      <c r="D358" s="308" t="inlineStr">
        <is>
          <t>2"-JHWS-12A</t>
        </is>
      </c>
      <c r="E358" s="308" t="inlineStr">
        <is>
          <t>JHWS</t>
        </is>
      </c>
      <c r="F358" s="308" t="inlineStr">
        <is>
          <t>12A</t>
        </is>
      </c>
      <c r="G358" s="308" t="inlineStr">
        <is>
          <t>line</t>
        </is>
      </c>
      <c r="H358" s="311" t="n">
        <v>0.77</v>
      </c>
      <c r="I358" s="308" t="inlineStr">
        <is>
          <t>Medium</t>
        </is>
      </c>
      <c r="J358" s="308" t="inlineStr">
        <is>
          <t>drawing</t>
        </is>
      </c>
      <c r="K358" s="308" t="inlineStr">
        <is>
          <t>line:size-prefix</t>
        </is>
      </c>
      <c r="L358" s="308" t="inlineStr">
        <is>
          <t>drawing zone; process page; mapped sheet</t>
        </is>
      </c>
      <c r="M358" s="308" t="inlineStr">
        <is>
          <t>2"-JHWS-12A</t>
        </is>
      </c>
      <c r="N358" s="308" t="inlineStr">
        <is>
          <t>native</t>
        </is>
      </c>
      <c r="O358" s="308" t="inlineStr">
        <is>
          <t>native-only</t>
        </is>
      </c>
      <c r="P358" s="308" t="inlineStr">
        <is>
          <t>native</t>
        </is>
      </c>
      <c r="Q358" s="308" t="inlineStr"/>
      <c r="R358" s="308" t="inlineStr">
        <is>
          <t>native text sufficient</t>
        </is>
      </c>
      <c r="S358" s="308" t="inlineStr"/>
      <c r="T358" s="308" t="inlineStr">
        <is>
          <t>p13:native:125</t>
        </is>
      </c>
      <c r="U358" s="308" t="n">
        <v>1</v>
      </c>
    </row>
    <row r="359">
      <c r="A359" s="308" t="inlineStr">
        <is>
          <t>Missing in Excel</t>
        </is>
      </c>
      <c r="B359" s="308" t="inlineStr">
        <is>
          <t>DG7021</t>
        </is>
      </c>
      <c r="C359" s="308" t="n">
        <v>13</v>
      </c>
      <c r="D359" s="308" t="inlineStr">
        <is>
          <t>3"-HPS-1A</t>
        </is>
      </c>
      <c r="E359" s="308" t="inlineStr">
        <is>
          <t>HPS</t>
        </is>
      </c>
      <c r="F359" s="308" t="inlineStr">
        <is>
          <t>1A</t>
        </is>
      </c>
      <c r="G359" s="308" t="inlineStr">
        <is>
          <t>line</t>
        </is>
      </c>
      <c r="H359" s="311" t="n">
        <v>0.77</v>
      </c>
      <c r="I359" s="308" t="inlineStr">
        <is>
          <t>Medium</t>
        </is>
      </c>
      <c r="J359" s="308" t="inlineStr">
        <is>
          <t>drawing</t>
        </is>
      </c>
      <c r="K359" s="308" t="inlineStr">
        <is>
          <t>line:size-prefix</t>
        </is>
      </c>
      <c r="L359" s="308" t="inlineStr">
        <is>
          <t>drawing zone; process page; mapped sheet</t>
        </is>
      </c>
      <c r="M359" s="308" t="inlineStr">
        <is>
          <t>3"-HPS-1A</t>
        </is>
      </c>
      <c r="N359" s="308" t="inlineStr">
        <is>
          <t>native</t>
        </is>
      </c>
      <c r="O359" s="308" t="inlineStr">
        <is>
          <t>native-only</t>
        </is>
      </c>
      <c r="P359" s="308" t="inlineStr">
        <is>
          <t>native</t>
        </is>
      </c>
      <c r="Q359" s="308" t="inlineStr"/>
      <c r="R359" s="308" t="inlineStr">
        <is>
          <t>native text sufficient</t>
        </is>
      </c>
      <c r="S359" s="308" t="inlineStr"/>
      <c r="T359" s="308" t="inlineStr">
        <is>
          <t>p13:native:118</t>
        </is>
      </c>
      <c r="U359" s="308" t="n">
        <v>1</v>
      </c>
    </row>
    <row r="360">
      <c r="A360" s="308" t="inlineStr">
        <is>
          <t>Missing in Excel</t>
        </is>
      </c>
      <c r="B360" s="308" t="inlineStr">
        <is>
          <t>DG7021</t>
        </is>
      </c>
      <c r="C360" s="308" t="n">
        <v>13</v>
      </c>
      <c r="D360" s="308" t="inlineStr">
        <is>
          <t>4"-RAW-T4</t>
        </is>
      </c>
      <c r="E360" s="308" t="inlineStr">
        <is>
          <t>RAW</t>
        </is>
      </c>
      <c r="F360" s="308" t="inlineStr">
        <is>
          <t>T4</t>
        </is>
      </c>
      <c r="G360" s="308" t="inlineStr">
        <is>
          <t>line</t>
        </is>
      </c>
      <c r="H360" s="311" t="n">
        <v>0.77</v>
      </c>
      <c r="I360" s="308" t="inlineStr">
        <is>
          <t>Medium</t>
        </is>
      </c>
      <c r="J360" s="308" t="inlineStr">
        <is>
          <t>drawing</t>
        </is>
      </c>
      <c r="K360" s="308" t="inlineStr">
        <is>
          <t>line:size-prefix</t>
        </is>
      </c>
      <c r="L360" s="308" t="inlineStr">
        <is>
          <t>drawing zone; process page; mapped sheet</t>
        </is>
      </c>
      <c r="M360" s="308" t="inlineStr">
        <is>
          <t>4"-RAW-T4</t>
        </is>
      </c>
      <c r="N360" s="308" t="inlineStr">
        <is>
          <t>native</t>
        </is>
      </c>
      <c r="O360" s="308" t="inlineStr">
        <is>
          <t>native-only</t>
        </is>
      </c>
      <c r="P360" s="308" t="inlineStr">
        <is>
          <t>native</t>
        </is>
      </c>
      <c r="Q360" s="308" t="inlineStr"/>
      <c r="R360" s="308" t="inlineStr">
        <is>
          <t>native text sufficient</t>
        </is>
      </c>
      <c r="S360" s="308" t="inlineStr"/>
      <c r="T360" s="308" t="inlineStr">
        <is>
          <t>p13:native:296</t>
        </is>
      </c>
      <c r="U360" s="308" t="n">
        <v>1</v>
      </c>
    </row>
    <row r="361">
      <c r="A361" s="308" t="inlineStr">
        <is>
          <t>Missing in Excel</t>
        </is>
      </c>
      <c r="B361" s="308" t="inlineStr">
        <is>
          <t>DG7021</t>
        </is>
      </c>
      <c r="C361" s="308" t="n">
        <v>13</v>
      </c>
      <c r="D361" s="308" t="inlineStr">
        <is>
          <t>RL7-MDT-102</t>
        </is>
      </c>
      <c r="E361" s="308" t="inlineStr">
        <is>
          <t>RL7-MDT-102</t>
        </is>
      </c>
      <c r="F361" s="308" t="inlineStr"/>
      <c r="G361" s="308" t="inlineStr">
        <is>
          <t>equipment</t>
        </is>
      </c>
      <c r="H361" s="311" t="n">
        <v>0.49</v>
      </c>
      <c r="I361" s="308" t="inlineStr">
        <is>
          <t>Low</t>
        </is>
      </c>
      <c r="J361" s="308" t="inlineStr">
        <is>
          <t>title-block/right</t>
        </is>
      </c>
      <c r="K361" s="308" t="inlineStr">
        <is>
          <t>standalone:asset</t>
        </is>
      </c>
      <c r="L361" s="308" t="inlineStr">
        <is>
          <t>title-block penalty; process page; mapped sheet</t>
        </is>
      </c>
      <c r="M361" s="308" t="inlineStr">
        <is>
          <t>RL7-MDT-102</t>
        </is>
      </c>
      <c r="N361" s="308" t="inlineStr">
        <is>
          <t>native</t>
        </is>
      </c>
      <c r="O361" s="308" t="inlineStr">
        <is>
          <t>native-only</t>
        </is>
      </c>
      <c r="P361" s="308" t="inlineStr">
        <is>
          <t>native</t>
        </is>
      </c>
      <c r="Q361" s="308" t="inlineStr"/>
      <c r="R361" s="308" t="inlineStr">
        <is>
          <t>native text sufficient</t>
        </is>
      </c>
      <c r="S361" s="308" t="inlineStr"/>
      <c r="T361" s="308" t="inlineStr">
        <is>
          <t>p13:native:14</t>
        </is>
      </c>
      <c r="U361" s="308" t="n">
        <v>1</v>
      </c>
    </row>
    <row r="362">
      <c r="A362" s="308" t="inlineStr">
        <is>
          <t>Missing in Excel</t>
        </is>
      </c>
      <c r="B362" s="308" t="inlineStr">
        <is>
          <t>DG7021</t>
        </is>
      </c>
      <c r="C362" s="308" t="n">
        <v>13</v>
      </c>
      <c r="D362" s="308" t="inlineStr">
        <is>
          <t>RL7-PRM-101</t>
        </is>
      </c>
      <c r="E362" s="308" t="inlineStr">
        <is>
          <t>RL7-PRM-101</t>
        </is>
      </c>
      <c r="F362" s="308" t="inlineStr"/>
      <c r="G362" s="308" t="inlineStr">
        <is>
          <t>equipment</t>
        </is>
      </c>
      <c r="H362" s="311" t="n">
        <v>0.49</v>
      </c>
      <c r="I362" s="308" t="inlineStr">
        <is>
          <t>Low</t>
        </is>
      </c>
      <c r="J362" s="308" t="inlineStr">
        <is>
          <t>title-block/right</t>
        </is>
      </c>
      <c r="K362" s="308" t="inlineStr">
        <is>
          <t>standalone:asset</t>
        </is>
      </c>
      <c r="L362" s="308" t="inlineStr">
        <is>
          <t>title-block penalty; process page; mapped sheet</t>
        </is>
      </c>
      <c r="M362" s="308" t="inlineStr">
        <is>
          <t>RL7-PRM-101</t>
        </is>
      </c>
      <c r="N362" s="308" t="inlineStr">
        <is>
          <t>native</t>
        </is>
      </c>
      <c r="O362" s="308" t="inlineStr">
        <is>
          <t>native-only</t>
        </is>
      </c>
      <c r="P362" s="308" t="inlineStr">
        <is>
          <t>native</t>
        </is>
      </c>
      <c r="Q362" s="308" t="inlineStr"/>
      <c r="R362" s="308" t="inlineStr">
        <is>
          <t>native text sufficient</t>
        </is>
      </c>
      <c r="S362" s="308" t="inlineStr"/>
      <c r="T362" s="308" t="inlineStr">
        <is>
          <t>p13:native:294</t>
        </is>
      </c>
      <c r="U362" s="308" t="n">
        <v>1</v>
      </c>
    </row>
    <row r="363">
      <c r="A363" s="308" t="inlineStr">
        <is>
          <t>Missing in Excel</t>
        </is>
      </c>
      <c r="B363" s="308" t="inlineStr">
        <is>
          <t>DG7022</t>
        </is>
      </c>
      <c r="C363" s="308" t="n">
        <v>14</v>
      </c>
      <c r="D363" s="308" t="inlineStr">
        <is>
          <t>RL7-CKR-101</t>
        </is>
      </c>
      <c r="E363" s="308" t="inlineStr">
        <is>
          <t>RL7-CKR-101</t>
        </is>
      </c>
      <c r="F363" s="308" t="inlineStr"/>
      <c r="G363" s="308" t="inlineStr">
        <is>
          <t>equipment</t>
        </is>
      </c>
      <c r="H363" s="311" t="n">
        <v>0.77</v>
      </c>
      <c r="I363" s="308" t="inlineStr">
        <is>
          <t>Medium</t>
        </is>
      </c>
      <c r="J363" s="308" t="inlineStr">
        <is>
          <t>drawing</t>
        </is>
      </c>
      <c r="K363" s="308" t="inlineStr">
        <is>
          <t>standalone:asset</t>
        </is>
      </c>
      <c r="L363" s="308" t="inlineStr">
        <is>
          <t>drawing zone; process page; mapped sheet</t>
        </is>
      </c>
      <c r="M363" s="308" t="inlineStr">
        <is>
          <t>RL7-CKR-101</t>
        </is>
      </c>
      <c r="N363" s="308" t="inlineStr">
        <is>
          <t>native</t>
        </is>
      </c>
      <c r="O363" s="308" t="inlineStr">
        <is>
          <t>native-only</t>
        </is>
      </c>
      <c r="P363" s="308" t="inlineStr">
        <is>
          <t>native</t>
        </is>
      </c>
      <c r="Q363" s="308" t="inlineStr"/>
      <c r="R363" s="308" t="inlineStr">
        <is>
          <t>native text sufficient</t>
        </is>
      </c>
      <c r="S363" s="308" t="inlineStr"/>
      <c r="T363" s="308" t="inlineStr">
        <is>
          <t>p14:native:0</t>
        </is>
      </c>
      <c r="U363" s="308" t="n">
        <v>1</v>
      </c>
    </row>
    <row r="364">
      <c r="A364" s="308" t="inlineStr">
        <is>
          <t>Missing in Excel</t>
        </is>
      </c>
      <c r="B364" s="308" t="inlineStr">
        <is>
          <t>DG7022</t>
        </is>
      </c>
      <c r="C364" s="308" t="n">
        <v>14</v>
      </c>
      <c r="D364" s="308" t="inlineStr">
        <is>
          <t>RL7-CKR-102</t>
        </is>
      </c>
      <c r="E364" s="308" t="inlineStr">
        <is>
          <t>RL7-CKR-102</t>
        </is>
      </c>
      <c r="F364" s="308" t="inlineStr"/>
      <c r="G364" s="308" t="inlineStr">
        <is>
          <t>equipment</t>
        </is>
      </c>
      <c r="H364" s="311" t="n">
        <v>0.77</v>
      </c>
      <c r="I364" s="308" t="inlineStr">
        <is>
          <t>Medium</t>
        </is>
      </c>
      <c r="J364" s="308" t="inlineStr">
        <is>
          <t>drawing</t>
        </is>
      </c>
      <c r="K364" s="308" t="inlineStr">
        <is>
          <t>standalone:asset</t>
        </is>
      </c>
      <c r="L364" s="308" t="inlineStr">
        <is>
          <t>drawing zone; process page; mapped sheet</t>
        </is>
      </c>
      <c r="M364" s="308" t="inlineStr">
        <is>
          <t>RL7-CKR-102</t>
        </is>
      </c>
      <c r="N364" s="308" t="inlineStr">
        <is>
          <t>native</t>
        </is>
      </c>
      <c r="O364" s="308" t="inlineStr">
        <is>
          <t>native-only</t>
        </is>
      </c>
      <c r="P364" s="308" t="inlineStr">
        <is>
          <t>native</t>
        </is>
      </c>
      <c r="Q364" s="308" t="inlineStr"/>
      <c r="R364" s="308" t="inlineStr">
        <is>
          <t>native text sufficient</t>
        </is>
      </c>
      <c r="S364" s="308" t="inlineStr"/>
      <c r="T364" s="308" t="inlineStr">
        <is>
          <t>p14:native:32</t>
        </is>
      </c>
      <c r="U364" s="308" t="n">
        <v>1</v>
      </c>
    </row>
    <row r="365">
      <c r="A365" s="308" t="inlineStr">
        <is>
          <t>Missing in Excel</t>
        </is>
      </c>
      <c r="B365" s="308" t="inlineStr">
        <is>
          <t>DG7022</t>
        </is>
      </c>
      <c r="C365" s="308" t="n">
        <v>14</v>
      </c>
      <c r="D365" s="308" t="inlineStr">
        <is>
          <t>RL7-CKR-101-XV03</t>
        </is>
      </c>
      <c r="E365" s="308" t="inlineStr">
        <is>
          <t>RL7-CKR-101</t>
        </is>
      </c>
      <c r="F365" s="308" t="inlineStr">
        <is>
          <t>XV03</t>
        </is>
      </c>
      <c r="G365" s="308" t="inlineStr">
        <is>
          <t>instrument</t>
        </is>
      </c>
      <c r="H365" s="311" t="n">
        <v>0.99</v>
      </c>
      <c r="I365" s="308" t="inlineStr">
        <is>
          <t>High</t>
        </is>
      </c>
      <c r="J365" s="308" t="inlineStr">
        <is>
          <t>drawing</t>
        </is>
      </c>
      <c r="K365" s="308" t="inlineStr">
        <is>
          <t>stacked:isa</t>
        </is>
      </c>
      <c r="L365" s="308" t="inlineStr">
        <is>
          <t>drawing zone; process page; mapped sheet</t>
        </is>
      </c>
      <c r="M365" s="308" t="inlineStr">
        <is>
          <t>RL7-CKR-101 / XV-03</t>
        </is>
      </c>
      <c r="N365" s="308" t="inlineStr">
        <is>
          <t>native</t>
        </is>
      </c>
      <c r="O365" s="308" t="inlineStr">
        <is>
          <t>native-only</t>
        </is>
      </c>
      <c r="P365" s="308" t="inlineStr">
        <is>
          <t>native</t>
        </is>
      </c>
      <c r="Q365" s="308" t="inlineStr"/>
      <c r="R365" s="308" t="inlineStr">
        <is>
          <t>native text sufficient</t>
        </is>
      </c>
      <c r="S365" s="308" t="inlineStr"/>
      <c r="T365" s="308" t="inlineStr">
        <is>
          <t>p14:native:0, p14:native:1</t>
        </is>
      </c>
      <c r="U365" s="308" t="n">
        <v>2</v>
      </c>
    </row>
    <row r="366">
      <c r="A366" s="308" t="inlineStr">
        <is>
          <t>Missing in Excel</t>
        </is>
      </c>
      <c r="B366" s="308" t="inlineStr">
        <is>
          <t>DG7022</t>
        </is>
      </c>
      <c r="C366" s="308" t="n">
        <v>14</v>
      </c>
      <c r="D366" s="308" t="inlineStr">
        <is>
          <t>RL7-CKR-101-XV04</t>
        </is>
      </c>
      <c r="E366" s="308" t="inlineStr">
        <is>
          <t>RL7-CKR-101</t>
        </is>
      </c>
      <c r="F366" s="308" t="inlineStr">
        <is>
          <t>XV04</t>
        </is>
      </c>
      <c r="G366" s="308" t="inlineStr">
        <is>
          <t>instrument</t>
        </is>
      </c>
      <c r="H366" s="311" t="n">
        <v>0.99</v>
      </c>
      <c r="I366" s="308" t="inlineStr">
        <is>
          <t>High</t>
        </is>
      </c>
      <c r="J366" s="308" t="inlineStr">
        <is>
          <t>drawing</t>
        </is>
      </c>
      <c r="K366" s="308" t="inlineStr">
        <is>
          <t>stacked:isa</t>
        </is>
      </c>
      <c r="L366" s="308" t="inlineStr">
        <is>
          <t>drawing zone; process page; mapped sheet</t>
        </is>
      </c>
      <c r="M366" s="308" t="inlineStr">
        <is>
          <t>RL7-CKR-101 / XV-04</t>
        </is>
      </c>
      <c r="N366" s="308" t="inlineStr">
        <is>
          <t>native</t>
        </is>
      </c>
      <c r="O366" s="308" t="inlineStr">
        <is>
          <t>native-only</t>
        </is>
      </c>
      <c r="P366" s="308" t="inlineStr">
        <is>
          <t>native</t>
        </is>
      </c>
      <c r="Q366" s="308" t="inlineStr"/>
      <c r="R366" s="308" t="inlineStr">
        <is>
          <t>native text sufficient</t>
        </is>
      </c>
      <c r="S366" s="308" t="inlineStr"/>
      <c r="T366" s="308" t="inlineStr">
        <is>
          <t>p14:native:2, p14:native:3</t>
        </is>
      </c>
      <c r="U366" s="308" t="n">
        <v>2</v>
      </c>
    </row>
    <row r="367">
      <c r="A367" s="308" t="inlineStr">
        <is>
          <t>Missing in Excel</t>
        </is>
      </c>
      <c r="B367" s="308" t="inlineStr">
        <is>
          <t>DG7022</t>
        </is>
      </c>
      <c r="C367" s="308" t="n">
        <v>14</v>
      </c>
      <c r="D367" s="308" t="inlineStr">
        <is>
          <t>RL7-CKR-101-XV05</t>
        </is>
      </c>
      <c r="E367" s="308" t="inlineStr">
        <is>
          <t>RL7-CKR-101</t>
        </is>
      </c>
      <c r="F367" s="308" t="inlineStr">
        <is>
          <t>XV05</t>
        </is>
      </c>
      <c r="G367" s="308" t="inlineStr">
        <is>
          <t>instrument</t>
        </is>
      </c>
      <c r="H367" s="311" t="n">
        <v>0.99</v>
      </c>
      <c r="I367" s="308" t="inlineStr">
        <is>
          <t>High</t>
        </is>
      </c>
      <c r="J367" s="308" t="inlineStr">
        <is>
          <t>drawing</t>
        </is>
      </c>
      <c r="K367" s="308" t="inlineStr">
        <is>
          <t>stacked:isa</t>
        </is>
      </c>
      <c r="L367" s="308" t="inlineStr">
        <is>
          <t>drawing zone; process page; mapped sheet</t>
        </is>
      </c>
      <c r="M367" s="308" t="inlineStr">
        <is>
          <t>RL7-CKR-101 / XV-05</t>
        </is>
      </c>
      <c r="N367" s="308" t="inlineStr">
        <is>
          <t>native</t>
        </is>
      </c>
      <c r="O367" s="308" t="inlineStr">
        <is>
          <t>native-only</t>
        </is>
      </c>
      <c r="P367" s="308" t="inlineStr">
        <is>
          <t>native</t>
        </is>
      </c>
      <c r="Q367" s="308" t="inlineStr"/>
      <c r="R367" s="308" t="inlineStr">
        <is>
          <t>native text sufficient</t>
        </is>
      </c>
      <c r="S367" s="308" t="inlineStr"/>
      <c r="T367" s="308" t="inlineStr">
        <is>
          <t>p14:native:4, p14:native:5</t>
        </is>
      </c>
      <c r="U367" s="308" t="n">
        <v>2</v>
      </c>
    </row>
    <row r="368">
      <c r="A368" s="308" t="inlineStr">
        <is>
          <t>Missing in Excel</t>
        </is>
      </c>
      <c r="B368" s="308" t="inlineStr">
        <is>
          <t>DG7022</t>
        </is>
      </c>
      <c r="C368" s="308" t="n">
        <v>14</v>
      </c>
      <c r="D368" s="308" t="inlineStr">
        <is>
          <t>RL7-CKR-101-XV06</t>
        </is>
      </c>
      <c r="E368" s="308" t="inlineStr">
        <is>
          <t>RL7-CKR-101</t>
        </is>
      </c>
      <c r="F368" s="308" t="inlineStr">
        <is>
          <t>XV06</t>
        </is>
      </c>
      <c r="G368" s="308" t="inlineStr">
        <is>
          <t>instrument</t>
        </is>
      </c>
      <c r="H368" s="311" t="n">
        <v>0.99</v>
      </c>
      <c r="I368" s="308" t="inlineStr">
        <is>
          <t>High</t>
        </is>
      </c>
      <c r="J368" s="308" t="inlineStr">
        <is>
          <t>drawing</t>
        </is>
      </c>
      <c r="K368" s="308" t="inlineStr">
        <is>
          <t>stacked:isa</t>
        </is>
      </c>
      <c r="L368" s="308" t="inlineStr">
        <is>
          <t>drawing zone; process page; mapped sheet</t>
        </is>
      </c>
      <c r="M368" s="308" t="inlineStr">
        <is>
          <t>RL7-CKR-101 / XV-06</t>
        </is>
      </c>
      <c r="N368" s="308" t="inlineStr">
        <is>
          <t>native</t>
        </is>
      </c>
      <c r="O368" s="308" t="inlineStr">
        <is>
          <t>native-only</t>
        </is>
      </c>
      <c r="P368" s="308" t="inlineStr">
        <is>
          <t>native</t>
        </is>
      </c>
      <c r="Q368" s="308" t="inlineStr"/>
      <c r="R368" s="308" t="inlineStr">
        <is>
          <t>native text sufficient</t>
        </is>
      </c>
      <c r="S368" s="308" t="inlineStr"/>
      <c r="T368" s="308" t="inlineStr">
        <is>
          <t>p14:native:6, p14:native:7</t>
        </is>
      </c>
      <c r="U368" s="308" t="n">
        <v>2</v>
      </c>
    </row>
    <row r="369">
      <c r="A369" s="308" t="inlineStr">
        <is>
          <t>Missing in Excel</t>
        </is>
      </c>
      <c r="B369" s="308" t="inlineStr">
        <is>
          <t>DG7022</t>
        </is>
      </c>
      <c r="C369" s="308" t="n">
        <v>14</v>
      </c>
      <c r="D369" s="308" t="inlineStr">
        <is>
          <t>RL7-CKR-101-XV07</t>
        </is>
      </c>
      <c r="E369" s="308" t="inlineStr">
        <is>
          <t>RL7-CKR-101</t>
        </is>
      </c>
      <c r="F369" s="308" t="inlineStr">
        <is>
          <t>XV07</t>
        </is>
      </c>
      <c r="G369" s="308" t="inlineStr">
        <is>
          <t>instrument</t>
        </is>
      </c>
      <c r="H369" s="311" t="n">
        <v>0.99</v>
      </c>
      <c r="I369" s="308" t="inlineStr">
        <is>
          <t>High</t>
        </is>
      </c>
      <c r="J369" s="308" t="inlineStr">
        <is>
          <t>drawing</t>
        </is>
      </c>
      <c r="K369" s="308" t="inlineStr">
        <is>
          <t>stacked:isa</t>
        </is>
      </c>
      <c r="L369" s="308" t="inlineStr">
        <is>
          <t>drawing zone; process page; mapped sheet</t>
        </is>
      </c>
      <c r="M369" s="308" t="inlineStr">
        <is>
          <t>RL7-CKR-101 / XV-07</t>
        </is>
      </c>
      <c r="N369" s="308" t="inlineStr">
        <is>
          <t>native</t>
        </is>
      </c>
      <c r="O369" s="308" t="inlineStr">
        <is>
          <t>native-only</t>
        </is>
      </c>
      <c r="P369" s="308" t="inlineStr">
        <is>
          <t>native</t>
        </is>
      </c>
      <c r="Q369" s="308" t="inlineStr"/>
      <c r="R369" s="308" t="inlineStr">
        <is>
          <t>native text sufficient</t>
        </is>
      </c>
      <c r="S369" s="308" t="inlineStr"/>
      <c r="T369" s="308" t="inlineStr">
        <is>
          <t>p14:native:8, p14:native:9</t>
        </is>
      </c>
      <c r="U369" s="308" t="n">
        <v>2</v>
      </c>
    </row>
    <row r="370">
      <c r="A370" s="308" t="inlineStr">
        <is>
          <t>Missing in Excel</t>
        </is>
      </c>
      <c r="B370" s="308" t="inlineStr">
        <is>
          <t>DG7022</t>
        </is>
      </c>
      <c r="C370" s="308" t="n">
        <v>14</v>
      </c>
      <c r="D370" s="308" t="inlineStr">
        <is>
          <t>RL7-CKR-101-XV08</t>
        </is>
      </c>
      <c r="E370" s="308" t="inlineStr">
        <is>
          <t>RL7-CKR-101</t>
        </is>
      </c>
      <c r="F370" s="308" t="inlineStr">
        <is>
          <t>XV08</t>
        </is>
      </c>
      <c r="G370" s="308" t="inlineStr">
        <is>
          <t>instrument</t>
        </is>
      </c>
      <c r="H370" s="311" t="n">
        <v>0.99</v>
      </c>
      <c r="I370" s="308" t="inlineStr">
        <is>
          <t>High</t>
        </is>
      </c>
      <c r="J370" s="308" t="inlineStr">
        <is>
          <t>drawing</t>
        </is>
      </c>
      <c r="K370" s="308" t="inlineStr">
        <is>
          <t>stacked:isa</t>
        </is>
      </c>
      <c r="L370" s="308" t="inlineStr">
        <is>
          <t>drawing zone; process page; mapped sheet</t>
        </is>
      </c>
      <c r="M370" s="308" t="inlineStr">
        <is>
          <t>RL7-CKR-101 / XV-08</t>
        </is>
      </c>
      <c r="N370" s="308" t="inlineStr">
        <is>
          <t>native</t>
        </is>
      </c>
      <c r="O370" s="308" t="inlineStr">
        <is>
          <t>native-only</t>
        </is>
      </c>
      <c r="P370" s="308" t="inlineStr">
        <is>
          <t>native</t>
        </is>
      </c>
      <c r="Q370" s="308" t="inlineStr"/>
      <c r="R370" s="308" t="inlineStr">
        <is>
          <t>native text sufficient</t>
        </is>
      </c>
      <c r="S370" s="308" t="inlineStr"/>
      <c r="T370" s="308" t="inlineStr">
        <is>
          <t>p14:native:28, p14:native:29</t>
        </is>
      </c>
      <c r="U370" s="308" t="n">
        <v>2</v>
      </c>
    </row>
    <row r="371">
      <c r="A371" s="308" t="inlineStr">
        <is>
          <t>Missing in Excel</t>
        </is>
      </c>
      <c r="B371" s="308" t="inlineStr">
        <is>
          <t>DG7022</t>
        </is>
      </c>
      <c r="C371" s="308" t="n">
        <v>14</v>
      </c>
      <c r="D371" s="308" t="inlineStr">
        <is>
          <t>RL7-CKR-101-XV09</t>
        </is>
      </c>
      <c r="E371" s="308" t="inlineStr">
        <is>
          <t>RL7-CKR-101</t>
        </is>
      </c>
      <c r="F371" s="308" t="inlineStr">
        <is>
          <t>XV09</t>
        </is>
      </c>
      <c r="G371" s="308" t="inlineStr">
        <is>
          <t>instrument</t>
        </is>
      </c>
      <c r="H371" s="311" t="n">
        <v>0.99</v>
      </c>
      <c r="I371" s="308" t="inlineStr">
        <is>
          <t>High</t>
        </is>
      </c>
      <c r="J371" s="308" t="inlineStr">
        <is>
          <t>drawing</t>
        </is>
      </c>
      <c r="K371" s="308" t="inlineStr">
        <is>
          <t>stacked:isa</t>
        </is>
      </c>
      <c r="L371" s="308" t="inlineStr">
        <is>
          <t>drawing zone; process page; mapped sheet</t>
        </is>
      </c>
      <c r="M371" s="308" t="inlineStr">
        <is>
          <t>RL7-CKR-101 / XV-09</t>
        </is>
      </c>
      <c r="N371" s="308" t="inlineStr">
        <is>
          <t>native</t>
        </is>
      </c>
      <c r="O371" s="308" t="inlineStr">
        <is>
          <t>native-only</t>
        </is>
      </c>
      <c r="P371" s="308" t="inlineStr">
        <is>
          <t>native</t>
        </is>
      </c>
      <c r="Q371" s="308" t="inlineStr"/>
      <c r="R371" s="308" t="inlineStr">
        <is>
          <t>native text sufficient</t>
        </is>
      </c>
      <c r="S371" s="308" t="inlineStr"/>
      <c r="T371" s="308" t="inlineStr">
        <is>
          <t>p14:native:10, p14:native:11</t>
        </is>
      </c>
      <c r="U371" s="308" t="n">
        <v>2</v>
      </c>
    </row>
    <row r="372">
      <c r="A372" s="308" t="inlineStr">
        <is>
          <t>Missing in Excel</t>
        </is>
      </c>
      <c r="B372" s="308" t="inlineStr">
        <is>
          <t>DG7022</t>
        </is>
      </c>
      <c r="C372" s="308" t="n">
        <v>14</v>
      </c>
      <c r="D372" s="308" t="inlineStr">
        <is>
          <t>RL7-CKR-101-XV11</t>
        </is>
      </c>
      <c r="E372" s="308" t="inlineStr">
        <is>
          <t>RL7-CKR-101</t>
        </is>
      </c>
      <c r="F372" s="308" t="inlineStr">
        <is>
          <t>XV11</t>
        </is>
      </c>
      <c r="G372" s="308" t="inlineStr">
        <is>
          <t>instrument</t>
        </is>
      </c>
      <c r="H372" s="311" t="n">
        <v>0.99</v>
      </c>
      <c r="I372" s="308" t="inlineStr">
        <is>
          <t>High</t>
        </is>
      </c>
      <c r="J372" s="308" t="inlineStr">
        <is>
          <t>drawing</t>
        </is>
      </c>
      <c r="K372" s="308" t="inlineStr">
        <is>
          <t>stacked:isa</t>
        </is>
      </c>
      <c r="L372" s="308" t="inlineStr">
        <is>
          <t>drawing zone; process page; mapped sheet</t>
        </is>
      </c>
      <c r="M372" s="308" t="inlineStr">
        <is>
          <t>RL7-CKR-101 / XV-11</t>
        </is>
      </c>
      <c r="N372" s="308" t="inlineStr">
        <is>
          <t>native</t>
        </is>
      </c>
      <c r="O372" s="308" t="inlineStr">
        <is>
          <t>native-only</t>
        </is>
      </c>
      <c r="P372" s="308" t="inlineStr">
        <is>
          <t>native</t>
        </is>
      </c>
      <c r="Q372" s="308" t="inlineStr"/>
      <c r="R372" s="308" t="inlineStr">
        <is>
          <t>native text sufficient</t>
        </is>
      </c>
      <c r="S372" s="308" t="inlineStr"/>
      <c r="T372" s="308" t="inlineStr">
        <is>
          <t>p14:native:16, p14:native:17</t>
        </is>
      </c>
      <c r="U372" s="308" t="n">
        <v>2</v>
      </c>
    </row>
    <row r="373">
      <c r="A373" s="308" t="inlineStr">
        <is>
          <t>Missing in Excel</t>
        </is>
      </c>
      <c r="B373" s="308" t="inlineStr">
        <is>
          <t>DG7022</t>
        </is>
      </c>
      <c r="C373" s="308" t="n">
        <v>14</v>
      </c>
      <c r="D373" s="308" t="inlineStr">
        <is>
          <t>RL7-CKR-101-XV12</t>
        </is>
      </c>
      <c r="E373" s="308" t="inlineStr">
        <is>
          <t>RL7-CKR-101</t>
        </is>
      </c>
      <c r="F373" s="308" t="inlineStr">
        <is>
          <t>XV12</t>
        </is>
      </c>
      <c r="G373" s="308" t="inlineStr">
        <is>
          <t>instrument</t>
        </is>
      </c>
      <c r="H373" s="311" t="n">
        <v>0.99</v>
      </c>
      <c r="I373" s="308" t="inlineStr">
        <is>
          <t>High</t>
        </is>
      </c>
      <c r="J373" s="308" t="inlineStr">
        <is>
          <t>drawing</t>
        </is>
      </c>
      <c r="K373" s="308" t="inlineStr">
        <is>
          <t>stacked:isa</t>
        </is>
      </c>
      <c r="L373" s="308" t="inlineStr">
        <is>
          <t>drawing zone; process page; mapped sheet</t>
        </is>
      </c>
      <c r="M373" s="308" t="inlineStr">
        <is>
          <t>RL7-CKR-101 / XV-12</t>
        </is>
      </c>
      <c r="N373" s="308" t="inlineStr">
        <is>
          <t>native</t>
        </is>
      </c>
      <c r="O373" s="308" t="inlineStr">
        <is>
          <t>native-only</t>
        </is>
      </c>
      <c r="P373" s="308" t="inlineStr">
        <is>
          <t>native</t>
        </is>
      </c>
      <c r="Q373" s="308" t="inlineStr"/>
      <c r="R373" s="308" t="inlineStr">
        <is>
          <t>native text sufficient</t>
        </is>
      </c>
      <c r="S373" s="308" t="inlineStr"/>
      <c r="T373" s="308" t="inlineStr">
        <is>
          <t>p14:native:18, p14:native:19</t>
        </is>
      </c>
      <c r="U373" s="308" t="n">
        <v>2</v>
      </c>
    </row>
    <row r="374">
      <c r="A374" s="308" t="inlineStr">
        <is>
          <t>Missing in Excel</t>
        </is>
      </c>
      <c r="B374" s="308" t="inlineStr">
        <is>
          <t>DG7022</t>
        </is>
      </c>
      <c r="C374" s="308" t="n">
        <v>14</v>
      </c>
      <c r="D374" s="308" t="inlineStr">
        <is>
          <t>RL7-CKR-101-XV13</t>
        </is>
      </c>
      <c r="E374" s="308" t="inlineStr">
        <is>
          <t>RL7-CKR-101</t>
        </is>
      </c>
      <c r="F374" s="308" t="inlineStr">
        <is>
          <t>XV13</t>
        </is>
      </c>
      <c r="G374" s="308" t="inlineStr">
        <is>
          <t>instrument</t>
        </is>
      </c>
      <c r="H374" s="311" t="n">
        <v>0.99</v>
      </c>
      <c r="I374" s="308" t="inlineStr">
        <is>
          <t>High</t>
        </is>
      </c>
      <c r="J374" s="308" t="inlineStr">
        <is>
          <t>drawing</t>
        </is>
      </c>
      <c r="K374" s="308" t="inlineStr">
        <is>
          <t>stacked:isa</t>
        </is>
      </c>
      <c r="L374" s="308" t="inlineStr">
        <is>
          <t>drawing zone; process page; mapped sheet</t>
        </is>
      </c>
      <c r="M374" s="308" t="inlineStr">
        <is>
          <t>RL7-CKR-101 / XV-13</t>
        </is>
      </c>
      <c r="N374" s="308" t="inlineStr">
        <is>
          <t>native</t>
        </is>
      </c>
      <c r="O374" s="308" t="inlineStr">
        <is>
          <t>native-only</t>
        </is>
      </c>
      <c r="P374" s="308" t="inlineStr">
        <is>
          <t>native</t>
        </is>
      </c>
      <c r="Q374" s="308" t="inlineStr"/>
      <c r="R374" s="308" t="inlineStr">
        <is>
          <t>native text sufficient</t>
        </is>
      </c>
      <c r="S374" s="308" t="inlineStr"/>
      <c r="T374" s="308" t="inlineStr">
        <is>
          <t>p14:native:20, p14:native:21</t>
        </is>
      </c>
      <c r="U374" s="308" t="n">
        <v>2</v>
      </c>
    </row>
    <row r="375">
      <c r="A375" s="308" t="inlineStr">
        <is>
          <t>Missing in Excel</t>
        </is>
      </c>
      <c r="B375" s="308" t="inlineStr">
        <is>
          <t>DG7022</t>
        </is>
      </c>
      <c r="C375" s="308" t="n">
        <v>14</v>
      </c>
      <c r="D375" s="308" t="inlineStr">
        <is>
          <t>RL7-CKR-101-XV14</t>
        </is>
      </c>
      <c r="E375" s="308" t="inlineStr">
        <is>
          <t>RL7-CKR-101</t>
        </is>
      </c>
      <c r="F375" s="308" t="inlineStr">
        <is>
          <t>XV14</t>
        </is>
      </c>
      <c r="G375" s="308" t="inlineStr">
        <is>
          <t>instrument</t>
        </is>
      </c>
      <c r="H375" s="311" t="n">
        <v>0.99</v>
      </c>
      <c r="I375" s="308" t="inlineStr">
        <is>
          <t>High</t>
        </is>
      </c>
      <c r="J375" s="308" t="inlineStr">
        <is>
          <t>drawing</t>
        </is>
      </c>
      <c r="K375" s="308" t="inlineStr">
        <is>
          <t>stacked:isa</t>
        </is>
      </c>
      <c r="L375" s="308" t="inlineStr">
        <is>
          <t>drawing zone; process page; mapped sheet</t>
        </is>
      </c>
      <c r="M375" s="308" t="inlineStr">
        <is>
          <t>RL7-CKR-101 / XV-14</t>
        </is>
      </c>
      <c r="N375" s="308" t="inlineStr">
        <is>
          <t>native</t>
        </is>
      </c>
      <c r="O375" s="308" t="inlineStr">
        <is>
          <t>native-only</t>
        </is>
      </c>
      <c r="P375" s="308" t="inlineStr">
        <is>
          <t>native</t>
        </is>
      </c>
      <c r="Q375" s="308" t="inlineStr"/>
      <c r="R375" s="308" t="inlineStr">
        <is>
          <t>native text sufficient</t>
        </is>
      </c>
      <c r="S375" s="308" t="inlineStr"/>
      <c r="T375" s="308" t="inlineStr">
        <is>
          <t>p14:native:22, p14:native:23</t>
        </is>
      </c>
      <c r="U375" s="308" t="n">
        <v>2</v>
      </c>
    </row>
    <row r="376">
      <c r="A376" s="308" t="inlineStr">
        <is>
          <t>Missing in Excel</t>
        </is>
      </c>
      <c r="B376" s="308" t="inlineStr">
        <is>
          <t>DG7022</t>
        </is>
      </c>
      <c r="C376" s="308" t="n">
        <v>14</v>
      </c>
      <c r="D376" s="308" t="inlineStr">
        <is>
          <t>RL7-CKR-101-XV15</t>
        </is>
      </c>
      <c r="E376" s="308" t="inlineStr">
        <is>
          <t>RL7-CKR-101</t>
        </is>
      </c>
      <c r="F376" s="308" t="inlineStr">
        <is>
          <t>XV15</t>
        </is>
      </c>
      <c r="G376" s="308" t="inlineStr">
        <is>
          <t>instrument</t>
        </is>
      </c>
      <c r="H376" s="311" t="n">
        <v>0.99</v>
      </c>
      <c r="I376" s="308" t="inlineStr">
        <is>
          <t>High</t>
        </is>
      </c>
      <c r="J376" s="308" t="inlineStr">
        <is>
          <t>drawing</t>
        </is>
      </c>
      <c r="K376" s="308" t="inlineStr">
        <is>
          <t>stacked:isa</t>
        </is>
      </c>
      <c r="L376" s="308" t="inlineStr">
        <is>
          <t>drawing zone; process page; mapped sheet</t>
        </is>
      </c>
      <c r="M376" s="308" t="inlineStr">
        <is>
          <t>RL7-CKR-101 / XV-15</t>
        </is>
      </c>
      <c r="N376" s="308" t="inlineStr">
        <is>
          <t>native</t>
        </is>
      </c>
      <c r="O376" s="308" t="inlineStr">
        <is>
          <t>native-only</t>
        </is>
      </c>
      <c r="P376" s="308" t="inlineStr">
        <is>
          <t>native</t>
        </is>
      </c>
      <c r="Q376" s="308" t="inlineStr"/>
      <c r="R376" s="308" t="inlineStr">
        <is>
          <t>native text sufficient</t>
        </is>
      </c>
      <c r="S376" s="308" t="inlineStr"/>
      <c r="T376" s="308" t="inlineStr">
        <is>
          <t>p14:native:24, p14:native:25</t>
        </is>
      </c>
      <c r="U376" s="308" t="n">
        <v>2</v>
      </c>
    </row>
    <row r="377">
      <c r="A377" s="308" t="inlineStr">
        <is>
          <t>Missing in Excel</t>
        </is>
      </c>
      <c r="B377" s="308" t="inlineStr">
        <is>
          <t>DG7022</t>
        </is>
      </c>
      <c r="C377" s="308" t="n">
        <v>14</v>
      </c>
      <c r="D377" s="308" t="inlineStr">
        <is>
          <t>RL7-CKR-101-XV16</t>
        </is>
      </c>
      <c r="E377" s="308" t="inlineStr">
        <is>
          <t>RL7-CKR-101</t>
        </is>
      </c>
      <c r="F377" s="308" t="inlineStr">
        <is>
          <t>XV16</t>
        </is>
      </c>
      <c r="G377" s="308" t="inlineStr">
        <is>
          <t>instrument</t>
        </is>
      </c>
      <c r="H377" s="311" t="n">
        <v>0.99</v>
      </c>
      <c r="I377" s="308" t="inlineStr">
        <is>
          <t>High</t>
        </is>
      </c>
      <c r="J377" s="308" t="inlineStr">
        <is>
          <t>drawing</t>
        </is>
      </c>
      <c r="K377" s="308" t="inlineStr">
        <is>
          <t>stacked:isa</t>
        </is>
      </c>
      <c r="L377" s="308" t="inlineStr">
        <is>
          <t>drawing zone; process page; mapped sheet</t>
        </is>
      </c>
      <c r="M377" s="308" t="inlineStr">
        <is>
          <t>RL7-CKR-101 / XV-16</t>
        </is>
      </c>
      <c r="N377" s="308" t="inlineStr">
        <is>
          <t>native</t>
        </is>
      </c>
      <c r="O377" s="308" t="inlineStr">
        <is>
          <t>native-only</t>
        </is>
      </c>
      <c r="P377" s="308" t="inlineStr">
        <is>
          <t>native</t>
        </is>
      </c>
      <c r="Q377" s="308" t="inlineStr"/>
      <c r="R377" s="308" t="inlineStr">
        <is>
          <t>native text sufficient</t>
        </is>
      </c>
      <c r="S377" s="308" t="inlineStr"/>
      <c r="T377" s="308" t="inlineStr">
        <is>
          <t>p14:native:26, p14:native:27</t>
        </is>
      </c>
      <c r="U377" s="308" t="n">
        <v>2</v>
      </c>
    </row>
    <row r="378">
      <c r="A378" s="308" t="inlineStr">
        <is>
          <t>Missing in Excel</t>
        </is>
      </c>
      <c r="B378" s="308" t="inlineStr">
        <is>
          <t>DG7022</t>
        </is>
      </c>
      <c r="C378" s="308" t="n">
        <v>14</v>
      </c>
      <c r="D378" s="308" t="inlineStr">
        <is>
          <t>RL7-CKR-101-XV17</t>
        </is>
      </c>
      <c r="E378" s="308" t="inlineStr">
        <is>
          <t>RL7-CKR-101</t>
        </is>
      </c>
      <c r="F378" s="308" t="inlineStr">
        <is>
          <t>XV17</t>
        </is>
      </c>
      <c r="G378" s="308" t="inlineStr">
        <is>
          <t>instrument</t>
        </is>
      </c>
      <c r="H378" s="311" t="n">
        <v>0.99</v>
      </c>
      <c r="I378" s="308" t="inlineStr">
        <is>
          <t>High</t>
        </is>
      </c>
      <c r="J378" s="308" t="inlineStr">
        <is>
          <t>drawing</t>
        </is>
      </c>
      <c r="K378" s="308" t="inlineStr">
        <is>
          <t>stacked:isa</t>
        </is>
      </c>
      <c r="L378" s="308" t="inlineStr">
        <is>
          <t>drawing zone; process page; mapped sheet</t>
        </is>
      </c>
      <c r="M378" s="308" t="inlineStr">
        <is>
          <t>RL7-CKR-101 / XV-17</t>
        </is>
      </c>
      <c r="N378" s="308" t="inlineStr">
        <is>
          <t>native</t>
        </is>
      </c>
      <c r="O378" s="308" t="inlineStr">
        <is>
          <t>native-only</t>
        </is>
      </c>
      <c r="P378" s="308" t="inlineStr">
        <is>
          <t>native</t>
        </is>
      </c>
      <c r="Q378" s="308" t="inlineStr"/>
      <c r="R378" s="308" t="inlineStr">
        <is>
          <t>native text sufficient</t>
        </is>
      </c>
      <c r="S378" s="308" t="inlineStr"/>
      <c r="T378" s="308" t="inlineStr">
        <is>
          <t>p14:native:30, p14:native:31</t>
        </is>
      </c>
      <c r="U378" s="308" t="n">
        <v>2</v>
      </c>
    </row>
    <row r="379">
      <c r="A379" s="308" t="inlineStr">
        <is>
          <t>Missing in Excel</t>
        </is>
      </c>
      <c r="B379" s="308" t="inlineStr">
        <is>
          <t>DG7022</t>
        </is>
      </c>
      <c r="C379" s="308" t="n">
        <v>14</v>
      </c>
      <c r="D379" s="308" t="inlineStr">
        <is>
          <t>RL7-CKR-102-XV03</t>
        </is>
      </c>
      <c r="E379" s="308" t="inlineStr">
        <is>
          <t>RL7-CKR-102</t>
        </is>
      </c>
      <c r="F379" s="308" t="inlineStr">
        <is>
          <t>XV03</t>
        </is>
      </c>
      <c r="G379" s="308" t="inlineStr">
        <is>
          <t>instrument</t>
        </is>
      </c>
      <c r="H379" s="311" t="n">
        <v>0.99</v>
      </c>
      <c r="I379" s="308" t="inlineStr">
        <is>
          <t>High</t>
        </is>
      </c>
      <c r="J379" s="308" t="inlineStr">
        <is>
          <t>drawing</t>
        </is>
      </c>
      <c r="K379" s="308" t="inlineStr">
        <is>
          <t>stacked:isa</t>
        </is>
      </c>
      <c r="L379" s="308" t="inlineStr">
        <is>
          <t>drawing zone; process page; mapped sheet</t>
        </is>
      </c>
      <c r="M379" s="308" t="inlineStr">
        <is>
          <t>RL7-CKR-102 / XV-03</t>
        </is>
      </c>
      <c r="N379" s="308" t="inlineStr">
        <is>
          <t>native</t>
        </is>
      </c>
      <c r="O379" s="308" t="inlineStr">
        <is>
          <t>native-only</t>
        </is>
      </c>
      <c r="P379" s="308" t="inlineStr">
        <is>
          <t>native</t>
        </is>
      </c>
      <c r="Q379" s="308" t="inlineStr"/>
      <c r="R379" s="308" t="inlineStr">
        <is>
          <t>native text sufficient</t>
        </is>
      </c>
      <c r="S379" s="308" t="inlineStr"/>
      <c r="T379" s="308" t="inlineStr">
        <is>
          <t>p14:native:32, p14:native:33</t>
        </is>
      </c>
      <c r="U379" s="308" t="n">
        <v>2</v>
      </c>
    </row>
    <row r="380">
      <c r="A380" s="308" t="inlineStr">
        <is>
          <t>Missing in Excel</t>
        </is>
      </c>
      <c r="B380" s="308" t="inlineStr">
        <is>
          <t>DG7022</t>
        </is>
      </c>
      <c r="C380" s="308" t="n">
        <v>14</v>
      </c>
      <c r="D380" s="308" t="inlineStr">
        <is>
          <t>RL7-CKR-102-XV04</t>
        </is>
      </c>
      <c r="E380" s="308" t="inlineStr">
        <is>
          <t>RL7-CKR-102</t>
        </is>
      </c>
      <c r="F380" s="308" t="inlineStr">
        <is>
          <t>XV04</t>
        </is>
      </c>
      <c r="G380" s="308" t="inlineStr">
        <is>
          <t>instrument</t>
        </is>
      </c>
      <c r="H380" s="311" t="n">
        <v>0.99</v>
      </c>
      <c r="I380" s="308" t="inlineStr">
        <is>
          <t>High</t>
        </is>
      </c>
      <c r="J380" s="308" t="inlineStr">
        <is>
          <t>drawing</t>
        </is>
      </c>
      <c r="K380" s="308" t="inlineStr">
        <is>
          <t>stacked:isa</t>
        </is>
      </c>
      <c r="L380" s="308" t="inlineStr">
        <is>
          <t>drawing zone; process page; mapped sheet</t>
        </is>
      </c>
      <c r="M380" s="308" t="inlineStr">
        <is>
          <t>RL7-CKR-102 / XV-04</t>
        </is>
      </c>
      <c r="N380" s="308" t="inlineStr">
        <is>
          <t>native</t>
        </is>
      </c>
      <c r="O380" s="308" t="inlineStr">
        <is>
          <t>native-only</t>
        </is>
      </c>
      <c r="P380" s="308" t="inlineStr">
        <is>
          <t>native</t>
        </is>
      </c>
      <c r="Q380" s="308" t="inlineStr"/>
      <c r="R380" s="308" t="inlineStr">
        <is>
          <t>native text sufficient</t>
        </is>
      </c>
      <c r="S380" s="308" t="inlineStr"/>
      <c r="T380" s="308" t="inlineStr">
        <is>
          <t>p14:native:34, p14:native:35</t>
        </is>
      </c>
      <c r="U380" s="308" t="n">
        <v>2</v>
      </c>
    </row>
    <row r="381">
      <c r="A381" s="308" t="inlineStr">
        <is>
          <t>Missing in Excel</t>
        </is>
      </c>
      <c r="B381" s="308" t="inlineStr">
        <is>
          <t>DG7022</t>
        </is>
      </c>
      <c r="C381" s="308" t="n">
        <v>14</v>
      </c>
      <c r="D381" s="308" t="inlineStr">
        <is>
          <t>RL7-CKR-102-XV05</t>
        </is>
      </c>
      <c r="E381" s="308" t="inlineStr">
        <is>
          <t>RL7-CKR-102</t>
        </is>
      </c>
      <c r="F381" s="308" t="inlineStr">
        <is>
          <t>XV05</t>
        </is>
      </c>
      <c r="G381" s="308" t="inlineStr">
        <is>
          <t>instrument</t>
        </is>
      </c>
      <c r="H381" s="311" t="n">
        <v>0.99</v>
      </c>
      <c r="I381" s="308" t="inlineStr">
        <is>
          <t>High</t>
        </is>
      </c>
      <c r="J381" s="308" t="inlineStr">
        <is>
          <t>drawing</t>
        </is>
      </c>
      <c r="K381" s="308" t="inlineStr">
        <is>
          <t>stacked:isa</t>
        </is>
      </c>
      <c r="L381" s="308" t="inlineStr">
        <is>
          <t>drawing zone; process page; mapped sheet</t>
        </is>
      </c>
      <c r="M381" s="308" t="inlineStr">
        <is>
          <t>RL7-CKR-102 / XV-05</t>
        </is>
      </c>
      <c r="N381" s="308" t="inlineStr">
        <is>
          <t>native</t>
        </is>
      </c>
      <c r="O381" s="308" t="inlineStr">
        <is>
          <t>native-only</t>
        </is>
      </c>
      <c r="P381" s="308" t="inlineStr">
        <is>
          <t>native</t>
        </is>
      </c>
      <c r="Q381" s="308" t="inlineStr"/>
      <c r="R381" s="308" t="inlineStr">
        <is>
          <t>native text sufficient</t>
        </is>
      </c>
      <c r="S381" s="308" t="inlineStr"/>
      <c r="T381" s="308" t="inlineStr">
        <is>
          <t>p14:native:36, p14:native:37</t>
        </is>
      </c>
      <c r="U381" s="308" t="n">
        <v>2</v>
      </c>
    </row>
    <row r="382">
      <c r="A382" s="308" t="inlineStr">
        <is>
          <t>Missing in Excel</t>
        </is>
      </c>
      <c r="B382" s="308" t="inlineStr">
        <is>
          <t>DG7022</t>
        </is>
      </c>
      <c r="C382" s="308" t="n">
        <v>14</v>
      </c>
      <c r="D382" s="308" t="inlineStr">
        <is>
          <t>RL7-CKR-102-XV06</t>
        </is>
      </c>
      <c r="E382" s="308" t="inlineStr">
        <is>
          <t>RL7-CKR-102</t>
        </is>
      </c>
      <c r="F382" s="308" t="inlineStr">
        <is>
          <t>XV06</t>
        </is>
      </c>
      <c r="G382" s="308" t="inlineStr">
        <is>
          <t>instrument</t>
        </is>
      </c>
      <c r="H382" s="311" t="n">
        <v>0.99</v>
      </c>
      <c r="I382" s="308" t="inlineStr">
        <is>
          <t>High</t>
        </is>
      </c>
      <c r="J382" s="308" t="inlineStr">
        <is>
          <t>drawing</t>
        </is>
      </c>
      <c r="K382" s="308" t="inlineStr">
        <is>
          <t>stacked:isa</t>
        </is>
      </c>
      <c r="L382" s="308" t="inlineStr">
        <is>
          <t>drawing zone; process page; mapped sheet</t>
        </is>
      </c>
      <c r="M382" s="308" t="inlineStr">
        <is>
          <t>RL7-CKR-102 / XV-06</t>
        </is>
      </c>
      <c r="N382" s="308" t="inlineStr">
        <is>
          <t>native</t>
        </is>
      </c>
      <c r="O382" s="308" t="inlineStr">
        <is>
          <t>native-only</t>
        </is>
      </c>
      <c r="P382" s="308" t="inlineStr">
        <is>
          <t>native</t>
        </is>
      </c>
      <c r="Q382" s="308" t="inlineStr"/>
      <c r="R382" s="308" t="inlineStr">
        <is>
          <t>native text sufficient</t>
        </is>
      </c>
      <c r="S382" s="308" t="inlineStr"/>
      <c r="T382" s="308" t="inlineStr">
        <is>
          <t>p14:native:38, p14:native:39</t>
        </is>
      </c>
      <c r="U382" s="308" t="n">
        <v>2</v>
      </c>
    </row>
    <row r="383">
      <c r="A383" s="308" t="inlineStr">
        <is>
          <t>Missing in Excel</t>
        </is>
      </c>
      <c r="B383" s="308" t="inlineStr">
        <is>
          <t>DG7022</t>
        </is>
      </c>
      <c r="C383" s="308" t="n">
        <v>14</v>
      </c>
      <c r="D383" s="308" t="inlineStr">
        <is>
          <t>RL7-CKR-102-XV07</t>
        </is>
      </c>
      <c r="E383" s="308" t="inlineStr">
        <is>
          <t>RL7-CKR-102</t>
        </is>
      </c>
      <c r="F383" s="308" t="inlineStr">
        <is>
          <t>XV07</t>
        </is>
      </c>
      <c r="G383" s="308" t="inlineStr">
        <is>
          <t>instrument</t>
        </is>
      </c>
      <c r="H383" s="311" t="n">
        <v>0.99</v>
      </c>
      <c r="I383" s="308" t="inlineStr">
        <is>
          <t>High</t>
        </is>
      </c>
      <c r="J383" s="308" t="inlineStr">
        <is>
          <t>drawing</t>
        </is>
      </c>
      <c r="K383" s="308" t="inlineStr">
        <is>
          <t>stacked:isa</t>
        </is>
      </c>
      <c r="L383" s="308" t="inlineStr">
        <is>
          <t>drawing zone; process page; mapped sheet</t>
        </is>
      </c>
      <c r="M383" s="308" t="inlineStr">
        <is>
          <t>RL7-CKR-102 / XV-07</t>
        </is>
      </c>
      <c r="N383" s="308" t="inlineStr">
        <is>
          <t>native</t>
        </is>
      </c>
      <c r="O383" s="308" t="inlineStr">
        <is>
          <t>native-only</t>
        </is>
      </c>
      <c r="P383" s="308" t="inlineStr">
        <is>
          <t>native</t>
        </is>
      </c>
      <c r="Q383" s="308" t="inlineStr"/>
      <c r="R383" s="308" t="inlineStr">
        <is>
          <t>native text sufficient</t>
        </is>
      </c>
      <c r="S383" s="308" t="inlineStr"/>
      <c r="T383" s="308" t="inlineStr">
        <is>
          <t>p14:native:40, p14:native:41</t>
        </is>
      </c>
      <c r="U383" s="308" t="n">
        <v>2</v>
      </c>
    </row>
    <row r="384">
      <c r="A384" s="308" t="inlineStr">
        <is>
          <t>Missing in Excel</t>
        </is>
      </c>
      <c r="B384" s="308" t="inlineStr">
        <is>
          <t>DG7022</t>
        </is>
      </c>
      <c r="C384" s="308" t="n">
        <v>14</v>
      </c>
      <c r="D384" s="308" t="inlineStr">
        <is>
          <t>RL7-CKR-102-XV08</t>
        </is>
      </c>
      <c r="E384" s="308" t="inlineStr">
        <is>
          <t>RL7-CKR-102</t>
        </is>
      </c>
      <c r="F384" s="308" t="inlineStr">
        <is>
          <t>XV08</t>
        </is>
      </c>
      <c r="G384" s="308" t="inlineStr">
        <is>
          <t>instrument</t>
        </is>
      </c>
      <c r="H384" s="311" t="n">
        <v>0.99</v>
      </c>
      <c r="I384" s="308" t="inlineStr">
        <is>
          <t>High</t>
        </is>
      </c>
      <c r="J384" s="308" t="inlineStr">
        <is>
          <t>drawing</t>
        </is>
      </c>
      <c r="K384" s="308" t="inlineStr">
        <is>
          <t>stacked:isa</t>
        </is>
      </c>
      <c r="L384" s="308" t="inlineStr">
        <is>
          <t>drawing zone; process page; mapped sheet</t>
        </is>
      </c>
      <c r="M384" s="308" t="inlineStr">
        <is>
          <t>RL7-CKR-102 / XV-08</t>
        </is>
      </c>
      <c r="N384" s="308" t="inlineStr">
        <is>
          <t>native</t>
        </is>
      </c>
      <c r="O384" s="308" t="inlineStr">
        <is>
          <t>native-only</t>
        </is>
      </c>
      <c r="P384" s="308" t="inlineStr">
        <is>
          <t>native</t>
        </is>
      </c>
      <c r="Q384" s="308" t="inlineStr"/>
      <c r="R384" s="308" t="inlineStr">
        <is>
          <t>native text sufficient</t>
        </is>
      </c>
      <c r="S384" s="308" t="inlineStr"/>
      <c r="T384" s="308" t="inlineStr">
        <is>
          <t>p14:native:60, p14:native:61</t>
        </is>
      </c>
      <c r="U384" s="308" t="n">
        <v>2</v>
      </c>
    </row>
    <row r="385">
      <c r="A385" s="308" t="inlineStr">
        <is>
          <t>Missing in Excel</t>
        </is>
      </c>
      <c r="B385" s="308" t="inlineStr">
        <is>
          <t>DG7022</t>
        </is>
      </c>
      <c r="C385" s="308" t="n">
        <v>14</v>
      </c>
      <c r="D385" s="308" t="inlineStr">
        <is>
          <t>RL7-CKR-102-XV09</t>
        </is>
      </c>
      <c r="E385" s="308" t="inlineStr">
        <is>
          <t>RL7-CKR-102</t>
        </is>
      </c>
      <c r="F385" s="308" t="inlineStr">
        <is>
          <t>XV09</t>
        </is>
      </c>
      <c r="G385" s="308" t="inlineStr">
        <is>
          <t>instrument</t>
        </is>
      </c>
      <c r="H385" s="311" t="n">
        <v>0.99</v>
      </c>
      <c r="I385" s="308" t="inlineStr">
        <is>
          <t>High</t>
        </is>
      </c>
      <c r="J385" s="308" t="inlineStr">
        <is>
          <t>drawing</t>
        </is>
      </c>
      <c r="K385" s="308" t="inlineStr">
        <is>
          <t>stacked:isa</t>
        </is>
      </c>
      <c r="L385" s="308" t="inlineStr">
        <is>
          <t>drawing zone; process page; mapped sheet</t>
        </is>
      </c>
      <c r="M385" s="308" t="inlineStr">
        <is>
          <t>RL7-CKR-102 / XV-09</t>
        </is>
      </c>
      <c r="N385" s="308" t="inlineStr">
        <is>
          <t>native</t>
        </is>
      </c>
      <c r="O385" s="308" t="inlineStr">
        <is>
          <t>native-only</t>
        </is>
      </c>
      <c r="P385" s="308" t="inlineStr">
        <is>
          <t>native</t>
        </is>
      </c>
      <c r="Q385" s="308" t="inlineStr"/>
      <c r="R385" s="308" t="inlineStr">
        <is>
          <t>native text sufficient</t>
        </is>
      </c>
      <c r="S385" s="308" t="inlineStr"/>
      <c r="T385" s="308" t="inlineStr">
        <is>
          <t>p14:native:42, p14:native:43</t>
        </is>
      </c>
      <c r="U385" s="308" t="n">
        <v>2</v>
      </c>
    </row>
    <row r="386">
      <c r="A386" s="308" t="inlineStr">
        <is>
          <t>Missing in Excel</t>
        </is>
      </c>
      <c r="B386" s="308" t="inlineStr">
        <is>
          <t>DG7022</t>
        </is>
      </c>
      <c r="C386" s="308" t="n">
        <v>14</v>
      </c>
      <c r="D386" s="308" t="inlineStr">
        <is>
          <t>RL7-CKR-102-XV11</t>
        </is>
      </c>
      <c r="E386" s="308" t="inlineStr">
        <is>
          <t>RL7-CKR-102</t>
        </is>
      </c>
      <c r="F386" s="308" t="inlineStr">
        <is>
          <t>XV11</t>
        </is>
      </c>
      <c r="G386" s="308" t="inlineStr">
        <is>
          <t>instrument</t>
        </is>
      </c>
      <c r="H386" s="311" t="n">
        <v>0.99</v>
      </c>
      <c r="I386" s="308" t="inlineStr">
        <is>
          <t>High</t>
        </is>
      </c>
      <c r="J386" s="308" t="inlineStr">
        <is>
          <t>drawing</t>
        </is>
      </c>
      <c r="K386" s="308" t="inlineStr">
        <is>
          <t>stacked:isa</t>
        </is>
      </c>
      <c r="L386" s="308" t="inlineStr">
        <is>
          <t>drawing zone; process page; mapped sheet</t>
        </is>
      </c>
      <c r="M386" s="308" t="inlineStr">
        <is>
          <t>RL7-CKR-102 / XV-11</t>
        </is>
      </c>
      <c r="N386" s="308" t="inlineStr">
        <is>
          <t>native</t>
        </is>
      </c>
      <c r="O386" s="308" t="inlineStr">
        <is>
          <t>native-only</t>
        </is>
      </c>
      <c r="P386" s="308" t="inlineStr">
        <is>
          <t>native</t>
        </is>
      </c>
      <c r="Q386" s="308" t="inlineStr"/>
      <c r="R386" s="308" t="inlineStr">
        <is>
          <t>native text sufficient</t>
        </is>
      </c>
      <c r="S386" s="308" t="inlineStr"/>
      <c r="T386" s="308" t="inlineStr">
        <is>
          <t>p14:native:48, p14:native:49</t>
        </is>
      </c>
      <c r="U386" s="308" t="n">
        <v>2</v>
      </c>
    </row>
    <row r="387">
      <c r="A387" s="308" t="inlineStr">
        <is>
          <t>Missing in Excel</t>
        </is>
      </c>
      <c r="B387" s="308" t="inlineStr">
        <is>
          <t>DG7022</t>
        </is>
      </c>
      <c r="C387" s="308" t="n">
        <v>14</v>
      </c>
      <c r="D387" s="308" t="inlineStr">
        <is>
          <t>RL7-CKR-102-XV12</t>
        </is>
      </c>
      <c r="E387" s="308" t="inlineStr">
        <is>
          <t>RL7-CKR-102</t>
        </is>
      </c>
      <c r="F387" s="308" t="inlineStr">
        <is>
          <t>XV12</t>
        </is>
      </c>
      <c r="G387" s="308" t="inlineStr">
        <is>
          <t>instrument</t>
        </is>
      </c>
      <c r="H387" s="311" t="n">
        <v>0.99</v>
      </c>
      <c r="I387" s="308" t="inlineStr">
        <is>
          <t>High</t>
        </is>
      </c>
      <c r="J387" s="308" t="inlineStr">
        <is>
          <t>drawing</t>
        </is>
      </c>
      <c r="K387" s="308" t="inlineStr">
        <is>
          <t>stacked:isa</t>
        </is>
      </c>
      <c r="L387" s="308" t="inlineStr">
        <is>
          <t>drawing zone; process page; mapped sheet</t>
        </is>
      </c>
      <c r="M387" s="308" t="inlineStr">
        <is>
          <t>RL7-CKR-102 / XV-12</t>
        </is>
      </c>
      <c r="N387" s="308" t="inlineStr">
        <is>
          <t>native</t>
        </is>
      </c>
      <c r="O387" s="308" t="inlineStr">
        <is>
          <t>native-only</t>
        </is>
      </c>
      <c r="P387" s="308" t="inlineStr">
        <is>
          <t>native</t>
        </is>
      </c>
      <c r="Q387" s="308" t="inlineStr"/>
      <c r="R387" s="308" t="inlineStr">
        <is>
          <t>native text sufficient</t>
        </is>
      </c>
      <c r="S387" s="308" t="inlineStr"/>
      <c r="T387" s="308" t="inlineStr">
        <is>
          <t>p14:native:50, p14:native:51</t>
        </is>
      </c>
      <c r="U387" s="308" t="n">
        <v>2</v>
      </c>
    </row>
    <row r="388">
      <c r="A388" s="308" t="inlineStr">
        <is>
          <t>Missing in Excel</t>
        </is>
      </c>
      <c r="B388" s="308" t="inlineStr">
        <is>
          <t>DG7022</t>
        </is>
      </c>
      <c r="C388" s="308" t="n">
        <v>14</v>
      </c>
      <c r="D388" s="308" t="inlineStr">
        <is>
          <t>RL7-CKR-102-XV13</t>
        </is>
      </c>
      <c r="E388" s="308" t="inlineStr">
        <is>
          <t>RL7-CKR-102</t>
        </is>
      </c>
      <c r="F388" s="308" t="inlineStr">
        <is>
          <t>XV13</t>
        </is>
      </c>
      <c r="G388" s="308" t="inlineStr">
        <is>
          <t>instrument</t>
        </is>
      </c>
      <c r="H388" s="311" t="n">
        <v>0.99</v>
      </c>
      <c r="I388" s="308" t="inlineStr">
        <is>
          <t>High</t>
        </is>
      </c>
      <c r="J388" s="308" t="inlineStr">
        <is>
          <t>drawing</t>
        </is>
      </c>
      <c r="K388" s="308" t="inlineStr">
        <is>
          <t>stacked:isa</t>
        </is>
      </c>
      <c r="L388" s="308" t="inlineStr">
        <is>
          <t>drawing zone; process page; mapped sheet</t>
        </is>
      </c>
      <c r="M388" s="308" t="inlineStr">
        <is>
          <t>RL7-CKR-102 / XV-13</t>
        </is>
      </c>
      <c r="N388" s="308" t="inlineStr">
        <is>
          <t>native</t>
        </is>
      </c>
      <c r="O388" s="308" t="inlineStr">
        <is>
          <t>native-only</t>
        </is>
      </c>
      <c r="P388" s="308" t="inlineStr">
        <is>
          <t>native</t>
        </is>
      </c>
      <c r="Q388" s="308" t="inlineStr"/>
      <c r="R388" s="308" t="inlineStr">
        <is>
          <t>native text sufficient</t>
        </is>
      </c>
      <c r="S388" s="308" t="inlineStr"/>
      <c r="T388" s="308" t="inlineStr">
        <is>
          <t>p14:native:52, p14:native:53</t>
        </is>
      </c>
      <c r="U388" s="308" t="n">
        <v>2</v>
      </c>
    </row>
    <row r="389">
      <c r="A389" s="308" t="inlineStr">
        <is>
          <t>Missing in Excel</t>
        </is>
      </c>
      <c r="B389" s="308" t="inlineStr">
        <is>
          <t>DG7022</t>
        </is>
      </c>
      <c r="C389" s="308" t="n">
        <v>14</v>
      </c>
      <c r="D389" s="308" t="inlineStr">
        <is>
          <t>RL7-CKR-102-XV14</t>
        </is>
      </c>
      <c r="E389" s="308" t="inlineStr">
        <is>
          <t>RL7-CKR-102</t>
        </is>
      </c>
      <c r="F389" s="308" t="inlineStr">
        <is>
          <t>XV14</t>
        </is>
      </c>
      <c r="G389" s="308" t="inlineStr">
        <is>
          <t>instrument</t>
        </is>
      </c>
      <c r="H389" s="311" t="n">
        <v>0.99</v>
      </c>
      <c r="I389" s="308" t="inlineStr">
        <is>
          <t>High</t>
        </is>
      </c>
      <c r="J389" s="308" t="inlineStr">
        <is>
          <t>drawing</t>
        </is>
      </c>
      <c r="K389" s="308" t="inlineStr">
        <is>
          <t>stacked:isa</t>
        </is>
      </c>
      <c r="L389" s="308" t="inlineStr">
        <is>
          <t>drawing zone; process page; mapped sheet</t>
        </is>
      </c>
      <c r="M389" s="308" t="inlineStr">
        <is>
          <t>RL7-CKR-102 / XV-14</t>
        </is>
      </c>
      <c r="N389" s="308" t="inlineStr">
        <is>
          <t>native</t>
        </is>
      </c>
      <c r="O389" s="308" t="inlineStr">
        <is>
          <t>native-only</t>
        </is>
      </c>
      <c r="P389" s="308" t="inlineStr">
        <is>
          <t>native</t>
        </is>
      </c>
      <c r="Q389" s="308" t="inlineStr"/>
      <c r="R389" s="308" t="inlineStr">
        <is>
          <t>native text sufficient</t>
        </is>
      </c>
      <c r="S389" s="308" t="inlineStr"/>
      <c r="T389" s="308" t="inlineStr">
        <is>
          <t>p14:native:54, p14:native:55</t>
        </is>
      </c>
      <c r="U389" s="308" t="n">
        <v>2</v>
      </c>
    </row>
    <row r="390">
      <c r="A390" s="308" t="inlineStr">
        <is>
          <t>Missing in Excel</t>
        </is>
      </c>
      <c r="B390" s="308" t="inlineStr">
        <is>
          <t>DG7022</t>
        </is>
      </c>
      <c r="C390" s="308" t="n">
        <v>14</v>
      </c>
      <c r="D390" s="308" t="inlineStr">
        <is>
          <t>RL7-CKR-102-XV15</t>
        </is>
      </c>
      <c r="E390" s="308" t="inlineStr">
        <is>
          <t>RL7-CKR-102</t>
        </is>
      </c>
      <c r="F390" s="308" t="inlineStr">
        <is>
          <t>XV15</t>
        </is>
      </c>
      <c r="G390" s="308" t="inlineStr">
        <is>
          <t>instrument</t>
        </is>
      </c>
      <c r="H390" s="311" t="n">
        <v>0.99</v>
      </c>
      <c r="I390" s="308" t="inlineStr">
        <is>
          <t>High</t>
        </is>
      </c>
      <c r="J390" s="308" t="inlineStr">
        <is>
          <t>drawing</t>
        </is>
      </c>
      <c r="K390" s="308" t="inlineStr">
        <is>
          <t>stacked:isa</t>
        </is>
      </c>
      <c r="L390" s="308" t="inlineStr">
        <is>
          <t>drawing zone; process page; mapped sheet</t>
        </is>
      </c>
      <c r="M390" s="308" t="inlineStr">
        <is>
          <t>RL7-CKR-102 / XV-15</t>
        </is>
      </c>
      <c r="N390" s="308" t="inlineStr">
        <is>
          <t>native</t>
        </is>
      </c>
      <c r="O390" s="308" t="inlineStr">
        <is>
          <t>native-only</t>
        </is>
      </c>
      <c r="P390" s="308" t="inlineStr">
        <is>
          <t>native</t>
        </is>
      </c>
      <c r="Q390" s="308" t="inlineStr"/>
      <c r="R390" s="308" t="inlineStr">
        <is>
          <t>native text sufficient</t>
        </is>
      </c>
      <c r="S390" s="308" t="inlineStr"/>
      <c r="T390" s="308" t="inlineStr">
        <is>
          <t>p14:native:56, p14:native:57</t>
        </is>
      </c>
      <c r="U390" s="308" t="n">
        <v>2</v>
      </c>
    </row>
    <row r="391">
      <c r="A391" s="308" t="inlineStr">
        <is>
          <t>Missing in Excel</t>
        </is>
      </c>
      <c r="B391" s="308" t="inlineStr">
        <is>
          <t>DG7022</t>
        </is>
      </c>
      <c r="C391" s="308" t="n">
        <v>14</v>
      </c>
      <c r="D391" s="308" t="inlineStr">
        <is>
          <t>RL7-CKR-102-XV16</t>
        </is>
      </c>
      <c r="E391" s="308" t="inlineStr">
        <is>
          <t>RL7-CKR-102</t>
        </is>
      </c>
      <c r="F391" s="308" t="inlineStr">
        <is>
          <t>XV16</t>
        </is>
      </c>
      <c r="G391" s="308" t="inlineStr">
        <is>
          <t>instrument</t>
        </is>
      </c>
      <c r="H391" s="311" t="n">
        <v>0.99</v>
      </c>
      <c r="I391" s="308" t="inlineStr">
        <is>
          <t>High</t>
        </is>
      </c>
      <c r="J391" s="308" t="inlineStr">
        <is>
          <t>drawing</t>
        </is>
      </c>
      <c r="K391" s="308" t="inlineStr">
        <is>
          <t>stacked:isa</t>
        </is>
      </c>
      <c r="L391" s="308" t="inlineStr">
        <is>
          <t>drawing zone; process page; mapped sheet</t>
        </is>
      </c>
      <c r="M391" s="308" t="inlineStr">
        <is>
          <t>RL7-CKR-102 / XV-16</t>
        </is>
      </c>
      <c r="N391" s="308" t="inlineStr">
        <is>
          <t>native</t>
        </is>
      </c>
      <c r="O391" s="308" t="inlineStr">
        <is>
          <t>native-only</t>
        </is>
      </c>
      <c r="P391" s="308" t="inlineStr">
        <is>
          <t>native</t>
        </is>
      </c>
      <c r="Q391" s="308" t="inlineStr"/>
      <c r="R391" s="308" t="inlineStr">
        <is>
          <t>native text sufficient</t>
        </is>
      </c>
      <c r="S391" s="308" t="inlineStr"/>
      <c r="T391" s="308" t="inlineStr">
        <is>
          <t>p14:native:58, p14:native:59</t>
        </is>
      </c>
      <c r="U391" s="308" t="n">
        <v>2</v>
      </c>
    </row>
    <row r="392">
      <c r="A392" s="308" t="inlineStr">
        <is>
          <t>Missing in Excel</t>
        </is>
      </c>
      <c r="B392" s="308" t="inlineStr">
        <is>
          <t>DG7022</t>
        </is>
      </c>
      <c r="C392" s="308" t="n">
        <v>14</v>
      </c>
      <c r="D392" s="308" t="inlineStr">
        <is>
          <t>RL7-CKR-102-XV17</t>
        </is>
      </c>
      <c r="E392" s="308" t="inlineStr">
        <is>
          <t>RL7-CKR-102</t>
        </is>
      </c>
      <c r="F392" s="308" t="inlineStr">
        <is>
          <t>XV17</t>
        </is>
      </c>
      <c r="G392" s="308" t="inlineStr">
        <is>
          <t>instrument</t>
        </is>
      </c>
      <c r="H392" s="311" t="n">
        <v>0.99</v>
      </c>
      <c r="I392" s="308" t="inlineStr">
        <is>
          <t>High</t>
        </is>
      </c>
      <c r="J392" s="308" t="inlineStr">
        <is>
          <t>drawing</t>
        </is>
      </c>
      <c r="K392" s="308" t="inlineStr">
        <is>
          <t>stacked:isa</t>
        </is>
      </c>
      <c r="L392" s="308" t="inlineStr">
        <is>
          <t>drawing zone; process page; mapped sheet</t>
        </is>
      </c>
      <c r="M392" s="308" t="inlineStr">
        <is>
          <t>RL7-CKR-102 / XV-17</t>
        </is>
      </c>
      <c r="N392" s="308" t="inlineStr">
        <is>
          <t>native</t>
        </is>
      </c>
      <c r="O392" s="308" t="inlineStr">
        <is>
          <t>native-only</t>
        </is>
      </c>
      <c r="P392" s="308" t="inlineStr">
        <is>
          <t>native</t>
        </is>
      </c>
      <c r="Q392" s="308" t="inlineStr"/>
      <c r="R392" s="308" t="inlineStr">
        <is>
          <t>native text sufficient</t>
        </is>
      </c>
      <c r="S392" s="308" t="inlineStr"/>
      <c r="T392" s="308" t="inlineStr">
        <is>
          <t>p14:native:62, p14:native:63</t>
        </is>
      </c>
      <c r="U392" s="308" t="n">
        <v>2</v>
      </c>
    </row>
    <row r="393">
      <c r="A393" s="308" t="inlineStr">
        <is>
          <t>Missing in Excel</t>
        </is>
      </c>
      <c r="B393" s="308" t="inlineStr">
        <is>
          <t>DG7023</t>
        </is>
      </c>
      <c r="C393" s="308" t="n">
        <v>15</v>
      </c>
      <c r="D393" s="308" t="inlineStr">
        <is>
          <t>RL7-MDT-102</t>
        </is>
      </c>
      <c r="E393" s="308" t="inlineStr">
        <is>
          <t>RL7-MDT-102</t>
        </is>
      </c>
      <c r="F393" s="308" t="inlineStr"/>
      <c r="G393" s="308" t="inlineStr">
        <is>
          <t>equipment</t>
        </is>
      </c>
      <c r="H393" s="311" t="n">
        <v>0.77</v>
      </c>
      <c r="I393" s="308" t="inlineStr">
        <is>
          <t>Medium</t>
        </is>
      </c>
      <c r="J393" s="308" t="inlineStr">
        <is>
          <t>drawing</t>
        </is>
      </c>
      <c r="K393" s="308" t="inlineStr">
        <is>
          <t>standalone:asset</t>
        </is>
      </c>
      <c r="L393" s="308" t="inlineStr">
        <is>
          <t>drawing zone; process page; mapped sheet</t>
        </is>
      </c>
      <c r="M393" s="308" t="inlineStr">
        <is>
          <t>RL7-MDT-102</t>
        </is>
      </c>
      <c r="N393" s="308" t="inlineStr">
        <is>
          <t>native</t>
        </is>
      </c>
      <c r="O393" s="308" t="inlineStr">
        <is>
          <t>native-only</t>
        </is>
      </c>
      <c r="P393" s="308" t="inlineStr">
        <is>
          <t>native</t>
        </is>
      </c>
      <c r="Q393" s="308" t="inlineStr"/>
      <c r="R393" s="308" t="inlineStr">
        <is>
          <t>native text sufficient</t>
        </is>
      </c>
      <c r="S393" s="308" t="inlineStr"/>
      <c r="T393" s="308" t="inlineStr">
        <is>
          <t>p15:native:51</t>
        </is>
      </c>
      <c r="U393" s="308" t="n">
        <v>1</v>
      </c>
    </row>
    <row r="394">
      <c r="A394" s="308" t="inlineStr">
        <is>
          <t>Missing in Excel</t>
        </is>
      </c>
      <c r="B394" s="308" t="inlineStr">
        <is>
          <t>DG7023</t>
        </is>
      </c>
      <c r="C394" s="308" t="n">
        <v>15</v>
      </c>
      <c r="D394" s="308" t="inlineStr">
        <is>
          <t>RL7-PMP-104</t>
        </is>
      </c>
      <c r="E394" s="308" t="inlineStr">
        <is>
          <t>RL7-PMP-104</t>
        </is>
      </c>
      <c r="F394" s="308" t="inlineStr"/>
      <c r="G394" s="308" t="inlineStr">
        <is>
          <t>equipment</t>
        </is>
      </c>
      <c r="H394" s="311" t="n">
        <v>0.77</v>
      </c>
      <c r="I394" s="308" t="inlineStr">
        <is>
          <t>Medium</t>
        </is>
      </c>
      <c r="J394" s="308" t="inlineStr">
        <is>
          <t>drawing</t>
        </is>
      </c>
      <c r="K394" s="308" t="inlineStr">
        <is>
          <t>standalone:asset</t>
        </is>
      </c>
      <c r="L394" s="308" t="inlineStr">
        <is>
          <t>drawing zone; process page; mapped sheet</t>
        </is>
      </c>
      <c r="M394" s="308" t="inlineStr">
        <is>
          <t>RL7-PMP-104</t>
        </is>
      </c>
      <c r="N394" s="308" t="inlineStr">
        <is>
          <t>native</t>
        </is>
      </c>
      <c r="O394" s="308" t="inlineStr">
        <is>
          <t>native-only</t>
        </is>
      </c>
      <c r="P394" s="308" t="inlineStr">
        <is>
          <t>native</t>
        </is>
      </c>
      <c r="Q394" s="308" t="inlineStr"/>
      <c r="R394" s="308" t="inlineStr">
        <is>
          <t>native text sufficient</t>
        </is>
      </c>
      <c r="S394" s="308" t="inlineStr"/>
      <c r="T394" s="308" t="inlineStr">
        <is>
          <t>p15:native:13</t>
        </is>
      </c>
      <c r="U394" s="308" t="n">
        <v>1</v>
      </c>
    </row>
    <row r="395">
      <c r="A395" s="308" t="inlineStr">
        <is>
          <t>Missing in Excel</t>
        </is>
      </c>
      <c r="B395" s="308" t="inlineStr">
        <is>
          <t>DG7023</t>
        </is>
      </c>
      <c r="C395" s="308" t="n">
        <v>15</v>
      </c>
      <c r="D395" s="308" t="inlineStr">
        <is>
          <t>RL7-PMP-105</t>
        </is>
      </c>
      <c r="E395" s="308" t="inlineStr">
        <is>
          <t>RL7-PMP-105</t>
        </is>
      </c>
      <c r="F395" s="308" t="inlineStr"/>
      <c r="G395" s="308" t="inlineStr">
        <is>
          <t>equipment</t>
        </is>
      </c>
      <c r="H395" s="311" t="n">
        <v>0.77</v>
      </c>
      <c r="I395" s="308" t="inlineStr">
        <is>
          <t>Medium</t>
        </is>
      </c>
      <c r="J395" s="308" t="inlineStr">
        <is>
          <t>drawing</t>
        </is>
      </c>
      <c r="K395" s="308" t="inlineStr">
        <is>
          <t>standalone:asset</t>
        </is>
      </c>
      <c r="L395" s="308" t="inlineStr">
        <is>
          <t>drawing zone; process page; mapped sheet</t>
        </is>
      </c>
      <c r="M395" s="308" t="inlineStr">
        <is>
          <t>RL7-PMP-105</t>
        </is>
      </c>
      <c r="N395" s="308" t="inlineStr">
        <is>
          <t>native</t>
        </is>
      </c>
      <c r="O395" s="308" t="inlineStr">
        <is>
          <t>native-only</t>
        </is>
      </c>
      <c r="P395" s="308" t="inlineStr">
        <is>
          <t>native</t>
        </is>
      </c>
      <c r="Q395" s="308" t="inlineStr"/>
      <c r="R395" s="308" t="inlineStr">
        <is>
          <t>native text sufficient</t>
        </is>
      </c>
      <c r="S395" s="308" t="inlineStr"/>
      <c r="T395" s="308" t="inlineStr">
        <is>
          <t>p15:native:11</t>
        </is>
      </c>
      <c r="U395" s="308" t="n">
        <v>1</v>
      </c>
    </row>
    <row r="396">
      <c r="A396" s="308" t="inlineStr">
        <is>
          <t>Missing in Excel</t>
        </is>
      </c>
      <c r="B396" s="308" t="inlineStr">
        <is>
          <t>DG7023</t>
        </is>
      </c>
      <c r="C396" s="308" t="n">
        <v>15</v>
      </c>
      <c r="D396" s="308" t="inlineStr">
        <is>
          <t>RL7-MDT-102-XV01</t>
        </is>
      </c>
      <c r="E396" s="308" t="inlineStr">
        <is>
          <t>RL7-MDT-102</t>
        </is>
      </c>
      <c r="F396" s="308" t="inlineStr">
        <is>
          <t>XV01</t>
        </is>
      </c>
      <c r="G396" s="308" t="inlineStr">
        <is>
          <t>instrument</t>
        </is>
      </c>
      <c r="H396" s="311" t="n">
        <v>0.99</v>
      </c>
      <c r="I396" s="308" t="inlineStr">
        <is>
          <t>High</t>
        </is>
      </c>
      <c r="J396" s="308" t="inlineStr">
        <is>
          <t>drawing</t>
        </is>
      </c>
      <c r="K396" s="308" t="inlineStr">
        <is>
          <t>stacked:isa</t>
        </is>
      </c>
      <c r="L396" s="308" t="inlineStr">
        <is>
          <t>drawing zone; process page; mapped sheet</t>
        </is>
      </c>
      <c r="M396" s="308" t="inlineStr">
        <is>
          <t>RL7-MDT-102 / XV-01</t>
        </is>
      </c>
      <c r="N396" s="308" t="inlineStr">
        <is>
          <t>native</t>
        </is>
      </c>
      <c r="O396" s="308" t="inlineStr">
        <is>
          <t>native-only</t>
        </is>
      </c>
      <c r="P396" s="308" t="inlineStr">
        <is>
          <t>native</t>
        </is>
      </c>
      <c r="Q396" s="308" t="inlineStr"/>
      <c r="R396" s="308" t="inlineStr">
        <is>
          <t>native text sufficient</t>
        </is>
      </c>
      <c r="S396" s="308" t="inlineStr"/>
      <c r="T396" s="308" t="inlineStr">
        <is>
          <t>p15:native:51, p15:native:52</t>
        </is>
      </c>
      <c r="U396" s="308" t="n">
        <v>2</v>
      </c>
    </row>
    <row r="397">
      <c r="A397" s="308" t="inlineStr">
        <is>
          <t>Missing in Excel</t>
        </is>
      </c>
      <c r="B397" s="308" t="inlineStr">
        <is>
          <t>DG7023</t>
        </is>
      </c>
      <c r="C397" s="308" t="n">
        <v>15</v>
      </c>
      <c r="D397" s="308" t="inlineStr">
        <is>
          <t>RL7-MDT-102-XV02</t>
        </is>
      </c>
      <c r="E397" s="308" t="inlineStr">
        <is>
          <t>RL7-MDT-102</t>
        </is>
      </c>
      <c r="F397" s="308" t="inlineStr">
        <is>
          <t>XV02</t>
        </is>
      </c>
      <c r="G397" s="308" t="inlineStr">
        <is>
          <t>instrument</t>
        </is>
      </c>
      <c r="H397" s="311" t="n">
        <v>0.99</v>
      </c>
      <c r="I397" s="308" t="inlineStr">
        <is>
          <t>High</t>
        </is>
      </c>
      <c r="J397" s="308" t="inlineStr">
        <is>
          <t>drawing</t>
        </is>
      </c>
      <c r="K397" s="308" t="inlineStr">
        <is>
          <t>stacked:isa</t>
        </is>
      </c>
      <c r="L397" s="308" t="inlineStr">
        <is>
          <t>drawing zone; process page; mapped sheet</t>
        </is>
      </c>
      <c r="M397" s="308" t="inlineStr">
        <is>
          <t>RL7-MDT-102 / XV-02</t>
        </is>
      </c>
      <c r="N397" s="308" t="inlineStr">
        <is>
          <t>native</t>
        </is>
      </c>
      <c r="O397" s="308" t="inlineStr">
        <is>
          <t>native-only</t>
        </is>
      </c>
      <c r="P397" s="308" t="inlineStr">
        <is>
          <t>native</t>
        </is>
      </c>
      <c r="Q397" s="308" t="inlineStr"/>
      <c r="R397" s="308" t="inlineStr">
        <is>
          <t>native text sufficient</t>
        </is>
      </c>
      <c r="S397" s="308" t="inlineStr"/>
      <c r="T397" s="308" t="inlineStr">
        <is>
          <t>p15:native:53, p15:native:54</t>
        </is>
      </c>
      <c r="U397" s="308" t="n">
        <v>2</v>
      </c>
    </row>
    <row r="398">
      <c r="A398" s="308" t="inlineStr">
        <is>
          <t>Missing in Excel</t>
        </is>
      </c>
      <c r="B398" s="308" t="inlineStr">
        <is>
          <t>DG7023</t>
        </is>
      </c>
      <c r="C398" s="308" t="n">
        <v>15</v>
      </c>
      <c r="D398" s="308" t="inlineStr">
        <is>
          <t>RL7-MDT-102-ZSC01</t>
        </is>
      </c>
      <c r="E398" s="308" t="inlineStr">
        <is>
          <t>RL7-MDT-102</t>
        </is>
      </c>
      <c r="F398" s="308" t="inlineStr">
        <is>
          <t>ZSC01</t>
        </is>
      </c>
      <c r="G398" s="308" t="inlineStr">
        <is>
          <t>instrument</t>
        </is>
      </c>
      <c r="H398" s="311" t="n">
        <v>0.99</v>
      </c>
      <c r="I398" s="308" t="inlineStr">
        <is>
          <t>High</t>
        </is>
      </c>
      <c r="J398" s="308" t="inlineStr">
        <is>
          <t>drawing</t>
        </is>
      </c>
      <c r="K398" s="308" t="inlineStr">
        <is>
          <t>stacked:isa</t>
        </is>
      </c>
      <c r="L398" s="308" t="inlineStr">
        <is>
          <t>drawing zone; process page; mapped sheet</t>
        </is>
      </c>
      <c r="M398" s="308" t="inlineStr">
        <is>
          <t>RL7-MDT-102 / ZSC-01</t>
        </is>
      </c>
      <c r="N398" s="308" t="inlineStr">
        <is>
          <t>native</t>
        </is>
      </c>
      <c r="O398" s="308" t="inlineStr">
        <is>
          <t>native-only</t>
        </is>
      </c>
      <c r="P398" s="308" t="inlineStr">
        <is>
          <t>native</t>
        </is>
      </c>
      <c r="Q398" s="308" t="inlineStr"/>
      <c r="R398" s="308" t="inlineStr">
        <is>
          <t>native text sufficient</t>
        </is>
      </c>
      <c r="S398" s="308" t="inlineStr"/>
      <c r="T398" s="308" t="inlineStr">
        <is>
          <t>p15:native:67, p15:native:68</t>
        </is>
      </c>
      <c r="U398" s="308" t="n">
        <v>2</v>
      </c>
    </row>
    <row r="399">
      <c r="A399" s="308" t="inlineStr">
        <is>
          <t>Missing in Excel</t>
        </is>
      </c>
      <c r="B399" s="308" t="inlineStr">
        <is>
          <t>DG7023</t>
        </is>
      </c>
      <c r="C399" s="308" t="n">
        <v>15</v>
      </c>
      <c r="D399" s="308" t="inlineStr">
        <is>
          <t>RL7-MDT-102-ZSO01</t>
        </is>
      </c>
      <c r="E399" s="308" t="inlineStr">
        <is>
          <t>RL7-MDT-102</t>
        </is>
      </c>
      <c r="F399" s="308" t="inlineStr">
        <is>
          <t>ZSO01</t>
        </is>
      </c>
      <c r="G399" s="308" t="inlineStr">
        <is>
          <t>instrument</t>
        </is>
      </c>
      <c r="H399" s="311" t="n">
        <v>0.99</v>
      </c>
      <c r="I399" s="308" t="inlineStr">
        <is>
          <t>High</t>
        </is>
      </c>
      <c r="J399" s="308" t="inlineStr">
        <is>
          <t>drawing</t>
        </is>
      </c>
      <c r="K399" s="308" t="inlineStr">
        <is>
          <t>stacked:isa</t>
        </is>
      </c>
      <c r="L399" s="308" t="inlineStr">
        <is>
          <t>drawing zone; process page; mapped sheet</t>
        </is>
      </c>
      <c r="M399" s="308" t="inlineStr">
        <is>
          <t>RL7-MDT-102 / ZSO-01</t>
        </is>
      </c>
      <c r="N399" s="308" t="inlineStr">
        <is>
          <t>native</t>
        </is>
      </c>
      <c r="O399" s="308" t="inlineStr">
        <is>
          <t>native-only</t>
        </is>
      </c>
      <c r="P399" s="308" t="inlineStr">
        <is>
          <t>native</t>
        </is>
      </c>
      <c r="Q399" s="308" t="inlineStr"/>
      <c r="R399" s="308" t="inlineStr">
        <is>
          <t>native text sufficient</t>
        </is>
      </c>
      <c r="S399" s="308" t="inlineStr"/>
      <c r="T399" s="308" t="inlineStr">
        <is>
          <t>p15:native:69, p15:native:70</t>
        </is>
      </c>
      <c r="U399" s="308" t="n">
        <v>2</v>
      </c>
    </row>
    <row r="400">
      <c r="A400" s="308" t="inlineStr">
        <is>
          <t>Missing in Excel</t>
        </is>
      </c>
      <c r="B400" s="308" t="inlineStr">
        <is>
          <t>DG7023</t>
        </is>
      </c>
      <c r="C400" s="308" t="n">
        <v>15</v>
      </c>
      <c r="D400" s="308" t="inlineStr">
        <is>
          <t>RL7-MDT-102-HV001</t>
        </is>
      </c>
      <c r="E400" s="308" t="inlineStr">
        <is>
          <t>RL7-MDT-102</t>
        </is>
      </c>
      <c r="F400" s="308" t="inlineStr">
        <is>
          <t>HV001</t>
        </is>
      </c>
      <c r="G400" s="308" t="inlineStr">
        <is>
          <t>instrument</t>
        </is>
      </c>
      <c r="H400" s="311" t="n">
        <v>0.57</v>
      </c>
      <c r="I400" s="308" t="inlineStr">
        <is>
          <t>Low</t>
        </is>
      </c>
      <c r="J400" s="308" t="inlineStr">
        <is>
          <t>drawing</t>
        </is>
      </c>
      <c r="K400" s="308" t="inlineStr">
        <is>
          <t>inferred:bare-isa</t>
        </is>
      </c>
      <c r="L400" s="308" t="inlineStr">
        <is>
          <t>drawing zone; process page; mapped sheet</t>
        </is>
      </c>
      <c r="M400" s="308" t="inlineStr">
        <is>
          <t>RL7-MDT-102 / HV</t>
        </is>
      </c>
      <c r="N400" s="308" t="inlineStr">
        <is>
          <t>native</t>
        </is>
      </c>
      <c r="O400" s="308" t="inlineStr">
        <is>
          <t>native-only</t>
        </is>
      </c>
      <c r="P400" s="308" t="inlineStr">
        <is>
          <t>native</t>
        </is>
      </c>
      <c r="Q400" s="308" t="inlineStr"/>
      <c r="R400" s="308" t="inlineStr">
        <is>
          <t>native text sufficient</t>
        </is>
      </c>
      <c r="S400" s="308" t="inlineStr"/>
      <c r="T400" s="308" t="inlineStr">
        <is>
          <t>p15:native:86, p15:native:76</t>
        </is>
      </c>
      <c r="U400" s="308" t="n">
        <v>2</v>
      </c>
    </row>
    <row r="401">
      <c r="A401" s="308" t="inlineStr">
        <is>
          <t>Missing in Excel</t>
        </is>
      </c>
      <c r="B401" s="308" t="inlineStr">
        <is>
          <t>DG7023</t>
        </is>
      </c>
      <c r="C401" s="308" t="n">
        <v>15</v>
      </c>
      <c r="D401" s="308" t="inlineStr">
        <is>
          <t>RL7-MDT-102-HV002</t>
        </is>
      </c>
      <c r="E401" s="308" t="inlineStr">
        <is>
          <t>RL7-MDT-102</t>
        </is>
      </c>
      <c r="F401" s="308" t="inlineStr">
        <is>
          <t>HV002</t>
        </is>
      </c>
      <c r="G401" s="308" t="inlineStr">
        <is>
          <t>instrument</t>
        </is>
      </c>
      <c r="H401" s="311" t="n">
        <v>0.57</v>
      </c>
      <c r="I401" s="308" t="inlineStr">
        <is>
          <t>Low</t>
        </is>
      </c>
      <c r="J401" s="308" t="inlineStr">
        <is>
          <t>drawing</t>
        </is>
      </c>
      <c r="K401" s="308" t="inlineStr">
        <is>
          <t>inferred:bare-isa</t>
        </is>
      </c>
      <c r="L401" s="308" t="inlineStr">
        <is>
          <t>drawing zone; process page; mapped sheet</t>
        </is>
      </c>
      <c r="M401" s="308" t="inlineStr">
        <is>
          <t>RL7-MDT-102 / HV</t>
        </is>
      </c>
      <c r="N401" s="308" t="inlineStr">
        <is>
          <t>native</t>
        </is>
      </c>
      <c r="O401" s="308" t="inlineStr">
        <is>
          <t>native-only</t>
        </is>
      </c>
      <c r="P401" s="308" t="inlineStr">
        <is>
          <t>native</t>
        </is>
      </c>
      <c r="Q401" s="308" t="inlineStr"/>
      <c r="R401" s="308" t="inlineStr">
        <is>
          <t>native text sufficient</t>
        </is>
      </c>
      <c r="S401" s="308" t="inlineStr"/>
      <c r="T401" s="308" t="inlineStr">
        <is>
          <t>p15:native:84, p15:native:82</t>
        </is>
      </c>
      <c r="U401" s="308" t="n">
        <v>2</v>
      </c>
    </row>
    <row r="402">
      <c r="A402" s="308" t="inlineStr">
        <is>
          <t>Missing in Excel</t>
        </is>
      </c>
      <c r="B402" s="308" t="inlineStr">
        <is>
          <t>DG7023</t>
        </is>
      </c>
      <c r="C402" s="308" t="n">
        <v>15</v>
      </c>
      <c r="D402" s="308" t="inlineStr">
        <is>
          <t>3"-PROD-T4</t>
        </is>
      </c>
      <c r="E402" s="308" t="inlineStr">
        <is>
          <t>PROD</t>
        </is>
      </c>
      <c r="F402" s="308" t="inlineStr">
        <is>
          <t>T4</t>
        </is>
      </c>
      <c r="G402" s="308" t="inlineStr">
        <is>
          <t>line</t>
        </is>
      </c>
      <c r="H402" s="311" t="n">
        <v>0.845</v>
      </c>
      <c r="I402" s="308" t="inlineStr">
        <is>
          <t>Medium</t>
        </is>
      </c>
      <c r="J402" s="308" t="inlineStr">
        <is>
          <t>drawing</t>
        </is>
      </c>
      <c r="K402" s="308" t="inlineStr">
        <is>
          <t>line:size-prefix</t>
        </is>
      </c>
      <c r="L402" s="308" t="inlineStr">
        <is>
          <t>drawing zone; process page; mapped sheet; repeated x3</t>
        </is>
      </c>
      <c r="M402" s="308" t="inlineStr">
        <is>
          <t>3"-PROD-T4</t>
        </is>
      </c>
      <c r="N402" s="308" t="inlineStr">
        <is>
          <t>native</t>
        </is>
      </c>
      <c r="O402" s="308" t="inlineStr">
        <is>
          <t>native-only</t>
        </is>
      </c>
      <c r="P402" s="308" t="inlineStr">
        <is>
          <t>native</t>
        </is>
      </c>
      <c r="Q402" s="308" t="inlineStr"/>
      <c r="R402" s="308" t="inlineStr">
        <is>
          <t>native text sufficient</t>
        </is>
      </c>
      <c r="S402" s="308" t="inlineStr"/>
      <c r="T402" s="308" t="inlineStr">
        <is>
          <t>p15:native:64</t>
        </is>
      </c>
      <c r="U402" s="308" t="n">
        <v>1</v>
      </c>
    </row>
    <row r="403">
      <c r="A403" s="308" t="inlineStr">
        <is>
          <t>Missing in Excel</t>
        </is>
      </c>
      <c r="B403" s="308" t="inlineStr">
        <is>
          <t>DG7023</t>
        </is>
      </c>
      <c r="C403" s="308" t="n">
        <v>15</v>
      </c>
      <c r="D403" s="308" t="inlineStr">
        <is>
          <t>3"-PROD-T4</t>
        </is>
      </c>
      <c r="E403" s="308" t="inlineStr">
        <is>
          <t>PROD</t>
        </is>
      </c>
      <c r="F403" s="308" t="inlineStr">
        <is>
          <t>T4</t>
        </is>
      </c>
      <c r="G403" s="308" t="inlineStr">
        <is>
          <t>line</t>
        </is>
      </c>
      <c r="H403" s="311" t="n">
        <v>0.845</v>
      </c>
      <c r="I403" s="308" t="inlineStr">
        <is>
          <t>Medium</t>
        </is>
      </c>
      <c r="J403" s="308" t="inlineStr">
        <is>
          <t>drawing</t>
        </is>
      </c>
      <c r="K403" s="308" t="inlineStr">
        <is>
          <t>line:size-prefix</t>
        </is>
      </c>
      <c r="L403" s="308" t="inlineStr">
        <is>
          <t>drawing zone; process page; mapped sheet; repeated x3</t>
        </is>
      </c>
      <c r="M403" s="308" t="inlineStr">
        <is>
          <t>3"-PROD-T4</t>
        </is>
      </c>
      <c r="N403" s="308" t="inlineStr">
        <is>
          <t>native</t>
        </is>
      </c>
      <c r="O403" s="308" t="inlineStr">
        <is>
          <t>native-only</t>
        </is>
      </c>
      <c r="P403" s="308" t="inlineStr">
        <is>
          <t>native</t>
        </is>
      </c>
      <c r="Q403" s="308" t="inlineStr"/>
      <c r="R403" s="308" t="inlineStr">
        <is>
          <t>native text sufficient</t>
        </is>
      </c>
      <c r="S403" s="308" t="inlineStr"/>
      <c r="T403" s="308" t="inlineStr">
        <is>
          <t>p15:native:65</t>
        </is>
      </c>
      <c r="U403" s="308" t="n">
        <v>1</v>
      </c>
    </row>
    <row r="404">
      <c r="A404" s="308" t="inlineStr">
        <is>
          <t>Missing in Excel</t>
        </is>
      </c>
      <c r="B404" s="308" t="inlineStr">
        <is>
          <t>DG7023</t>
        </is>
      </c>
      <c r="C404" s="308" t="n">
        <v>15</v>
      </c>
      <c r="D404" s="308" t="inlineStr">
        <is>
          <t>3"-PROD-T4</t>
        </is>
      </c>
      <c r="E404" s="308" t="inlineStr">
        <is>
          <t>PROD</t>
        </is>
      </c>
      <c r="F404" s="308" t="inlineStr">
        <is>
          <t>T4</t>
        </is>
      </c>
      <c r="G404" s="308" t="inlineStr">
        <is>
          <t>line</t>
        </is>
      </c>
      <c r="H404" s="311" t="n">
        <v>0.845</v>
      </c>
      <c r="I404" s="308" t="inlineStr">
        <is>
          <t>Medium</t>
        </is>
      </c>
      <c r="J404" s="308" t="inlineStr">
        <is>
          <t>drawing</t>
        </is>
      </c>
      <c r="K404" s="308" t="inlineStr">
        <is>
          <t>line:size-prefix</t>
        </is>
      </c>
      <c r="L404" s="308" t="inlineStr">
        <is>
          <t>drawing zone; process page; mapped sheet; repeated x3</t>
        </is>
      </c>
      <c r="M404" s="308" t="inlineStr">
        <is>
          <t>3"-PROD-T4</t>
        </is>
      </c>
      <c r="N404" s="308" t="inlineStr">
        <is>
          <t>native</t>
        </is>
      </c>
      <c r="O404" s="308" t="inlineStr">
        <is>
          <t>native-only</t>
        </is>
      </c>
      <c r="P404" s="308" t="inlineStr">
        <is>
          <t>native</t>
        </is>
      </c>
      <c r="Q404" s="308" t="inlineStr"/>
      <c r="R404" s="308" t="inlineStr">
        <is>
          <t>native text sufficient</t>
        </is>
      </c>
      <c r="S404" s="308" t="inlineStr"/>
      <c r="T404" s="308" t="inlineStr">
        <is>
          <t>p15:native:66</t>
        </is>
      </c>
      <c r="U404" s="308" t="n">
        <v>1</v>
      </c>
    </row>
    <row r="405">
      <c r="A405" s="308" t="inlineStr">
        <is>
          <t>Missing in Excel</t>
        </is>
      </c>
      <c r="B405" s="308" t="inlineStr">
        <is>
          <t>DG7023</t>
        </is>
      </c>
      <c r="C405" s="308" t="n">
        <v>15</v>
      </c>
      <c r="D405" s="308" t="inlineStr">
        <is>
          <t>1"-CA-12A</t>
        </is>
      </c>
      <c r="E405" s="308" t="inlineStr">
        <is>
          <t>CA</t>
        </is>
      </c>
      <c r="F405" s="308" t="inlineStr">
        <is>
          <t>12A</t>
        </is>
      </c>
      <c r="G405" s="308" t="inlineStr">
        <is>
          <t>line</t>
        </is>
      </c>
      <c r="H405" s="311" t="n">
        <v>0.77</v>
      </c>
      <c r="I405" s="308" t="inlineStr">
        <is>
          <t>Medium</t>
        </is>
      </c>
      <c r="J405" s="308" t="inlineStr">
        <is>
          <t>drawing</t>
        </is>
      </c>
      <c r="K405" s="308" t="inlineStr">
        <is>
          <t>line:size-prefix</t>
        </is>
      </c>
      <c r="L405" s="308" t="inlineStr">
        <is>
          <t>drawing zone; process page; mapped sheet</t>
        </is>
      </c>
      <c r="M405" s="308" t="inlineStr">
        <is>
          <t>1"-CA-12A</t>
        </is>
      </c>
      <c r="N405" s="308" t="inlineStr">
        <is>
          <t>native</t>
        </is>
      </c>
      <c r="O405" s="308" t="inlineStr">
        <is>
          <t>native-only</t>
        </is>
      </c>
      <c r="P405" s="308" t="inlineStr">
        <is>
          <t>native</t>
        </is>
      </c>
      <c r="Q405" s="308" t="inlineStr"/>
      <c r="R405" s="308" t="inlineStr">
        <is>
          <t>native text sufficient</t>
        </is>
      </c>
      <c r="S405" s="308" t="inlineStr"/>
      <c r="T405" s="308" t="inlineStr">
        <is>
          <t>p15:native:63</t>
        </is>
      </c>
      <c r="U405" s="308" t="n">
        <v>1</v>
      </c>
    </row>
    <row r="406">
      <c r="A406" s="308" t="inlineStr">
        <is>
          <t>Missing in Excel</t>
        </is>
      </c>
      <c r="B406" s="308" t="inlineStr">
        <is>
          <t>DG7030</t>
        </is>
      </c>
      <c r="C406" s="308" t="n">
        <v>16</v>
      </c>
      <c r="D406" s="308" t="inlineStr">
        <is>
          <t>RL7-AGC-201</t>
        </is>
      </c>
      <c r="E406" s="308" t="inlineStr">
        <is>
          <t>RL7-AGC-201</t>
        </is>
      </c>
      <c r="F406" s="308" t="inlineStr"/>
      <c r="G406" s="308" t="inlineStr">
        <is>
          <t>equipment</t>
        </is>
      </c>
      <c r="H406" s="311" t="n">
        <v>0.77</v>
      </c>
      <c r="I406" s="308" t="inlineStr">
        <is>
          <t>Medium</t>
        </is>
      </c>
      <c r="J406" s="308" t="inlineStr">
        <is>
          <t>drawing</t>
        </is>
      </c>
      <c r="K406" s="308" t="inlineStr">
        <is>
          <t>standalone:asset</t>
        </is>
      </c>
      <c r="L406" s="308" t="inlineStr">
        <is>
          <t>drawing zone; process page; mapped sheet</t>
        </is>
      </c>
      <c r="M406" s="308" t="inlineStr">
        <is>
          <t>RL7-AGC-201</t>
        </is>
      </c>
      <c r="N406" s="308" t="inlineStr">
        <is>
          <t>native</t>
        </is>
      </c>
      <c r="O406" s="308" t="inlineStr">
        <is>
          <t>native-only</t>
        </is>
      </c>
      <c r="P406" s="308" t="inlineStr">
        <is>
          <t>native</t>
        </is>
      </c>
      <c r="Q406" s="308" t="inlineStr"/>
      <c r="R406" s="308" t="inlineStr">
        <is>
          <t>native text sufficient</t>
        </is>
      </c>
      <c r="S406" s="308" t="inlineStr"/>
      <c r="T406" s="308" t="inlineStr">
        <is>
          <t>p16:native:12</t>
        </is>
      </c>
      <c r="U406" s="308" t="n">
        <v>1</v>
      </c>
    </row>
    <row r="407">
      <c r="A407" s="308" t="inlineStr">
        <is>
          <t>Missing in Excel</t>
        </is>
      </c>
      <c r="B407" s="308" t="inlineStr">
        <is>
          <t>DG7030</t>
        </is>
      </c>
      <c r="C407" s="308" t="n">
        <v>16</v>
      </c>
      <c r="D407" s="308" t="inlineStr">
        <is>
          <t>RL7-CHM-201</t>
        </is>
      </c>
      <c r="E407" s="308" t="inlineStr">
        <is>
          <t>RL7-CHM-201</t>
        </is>
      </c>
      <c r="F407" s="308" t="inlineStr"/>
      <c r="G407" s="308" t="inlineStr">
        <is>
          <t>equipment</t>
        </is>
      </c>
      <c r="H407" s="311" t="n">
        <v>0.77</v>
      </c>
      <c r="I407" s="308" t="inlineStr">
        <is>
          <t>Medium</t>
        </is>
      </c>
      <c r="J407" s="308" t="inlineStr">
        <is>
          <t>drawing</t>
        </is>
      </c>
      <c r="K407" s="308" t="inlineStr">
        <is>
          <t>standalone:asset</t>
        </is>
      </c>
      <c r="L407" s="308" t="inlineStr">
        <is>
          <t>drawing zone; process page; mapped sheet</t>
        </is>
      </c>
      <c r="M407" s="308" t="inlineStr">
        <is>
          <t>RL7-CHM-201</t>
        </is>
      </c>
      <c r="N407" s="308" t="inlineStr">
        <is>
          <t>native</t>
        </is>
      </c>
      <c r="O407" s="308" t="inlineStr">
        <is>
          <t>native-only</t>
        </is>
      </c>
      <c r="P407" s="308" t="inlineStr">
        <is>
          <t>native</t>
        </is>
      </c>
      <c r="Q407" s="308" t="inlineStr"/>
      <c r="R407" s="308" t="inlineStr">
        <is>
          <t>native text sufficient</t>
        </is>
      </c>
      <c r="S407" s="308" t="inlineStr"/>
      <c r="T407" s="308" t="inlineStr">
        <is>
          <t>p16:native:16</t>
        </is>
      </c>
      <c r="U407" s="308" t="n">
        <v>1</v>
      </c>
    </row>
    <row r="408">
      <c r="A408" s="308" t="inlineStr">
        <is>
          <t>Missing in Excel</t>
        </is>
      </c>
      <c r="B408" s="308" t="inlineStr">
        <is>
          <t>DG7030</t>
        </is>
      </c>
      <c r="C408" s="308" t="n">
        <v>16</v>
      </c>
      <c r="D408" s="308" t="inlineStr">
        <is>
          <t>RL7-PMP-208</t>
        </is>
      </c>
      <c r="E408" s="308" t="inlineStr">
        <is>
          <t>RL7-PMP-208</t>
        </is>
      </c>
      <c r="F408" s="308" t="inlineStr"/>
      <c r="G408" s="308" t="inlineStr">
        <is>
          <t>equipment</t>
        </is>
      </c>
      <c r="H408" s="311" t="n">
        <v>0.77</v>
      </c>
      <c r="I408" s="308" t="inlineStr">
        <is>
          <t>Medium</t>
        </is>
      </c>
      <c r="J408" s="308" t="inlineStr">
        <is>
          <t>drawing</t>
        </is>
      </c>
      <c r="K408" s="308" t="inlineStr">
        <is>
          <t>standalone:asset</t>
        </is>
      </c>
      <c r="L408" s="308" t="inlineStr">
        <is>
          <t>drawing zone; process page; mapped sheet</t>
        </is>
      </c>
      <c r="M408" s="308" t="inlineStr">
        <is>
          <t>RL7-PMP-208</t>
        </is>
      </c>
      <c r="N408" s="308" t="inlineStr">
        <is>
          <t>native</t>
        </is>
      </c>
      <c r="O408" s="308" t="inlineStr">
        <is>
          <t>native-only</t>
        </is>
      </c>
      <c r="P408" s="308" t="inlineStr">
        <is>
          <t>native</t>
        </is>
      </c>
      <c r="Q408" s="308" t="inlineStr"/>
      <c r="R408" s="308" t="inlineStr">
        <is>
          <t>native text sufficient</t>
        </is>
      </c>
      <c r="S408" s="308" t="inlineStr"/>
      <c r="T408" s="308" t="inlineStr">
        <is>
          <t>p16:native:140</t>
        </is>
      </c>
      <c r="U408" s="308" t="n">
        <v>1</v>
      </c>
    </row>
    <row r="409">
      <c r="A409" s="308" t="inlineStr">
        <is>
          <t>Missing in Excel</t>
        </is>
      </c>
      <c r="B409" s="308" t="inlineStr">
        <is>
          <t>DG7030</t>
        </is>
      </c>
      <c r="C409" s="308" t="n">
        <v>16</v>
      </c>
      <c r="D409" s="308" t="inlineStr">
        <is>
          <t>RL7-AGC-201-FE02</t>
        </is>
      </c>
      <c r="E409" s="308" t="inlineStr">
        <is>
          <t>RL7-AGC-201</t>
        </is>
      </c>
      <c r="F409" s="308" t="inlineStr">
        <is>
          <t>FE02</t>
        </is>
      </c>
      <c r="G409" s="308" t="inlineStr">
        <is>
          <t>instrument</t>
        </is>
      </c>
      <c r="H409" s="311" t="n">
        <v>0.99</v>
      </c>
      <c r="I409" s="308" t="inlineStr">
        <is>
          <t>High</t>
        </is>
      </c>
      <c r="J409" s="308" t="inlineStr">
        <is>
          <t>drawing</t>
        </is>
      </c>
      <c r="K409" s="308" t="inlineStr">
        <is>
          <t>stacked:isa</t>
        </is>
      </c>
      <c r="L409" s="308" t="inlineStr">
        <is>
          <t>drawing zone; process page; mapped sheet</t>
        </is>
      </c>
      <c r="M409" s="308" t="inlineStr">
        <is>
          <t>RL7-AGC-201 / FE-02</t>
        </is>
      </c>
      <c r="N409" s="308" t="inlineStr">
        <is>
          <t>native</t>
        </is>
      </c>
      <c r="O409" s="308" t="inlineStr">
        <is>
          <t>native-only</t>
        </is>
      </c>
      <c r="P409" s="308" t="inlineStr">
        <is>
          <t>native</t>
        </is>
      </c>
      <c r="Q409" s="308" t="inlineStr"/>
      <c r="R409" s="308" t="inlineStr">
        <is>
          <t>native text sufficient</t>
        </is>
      </c>
      <c r="S409" s="308" t="inlineStr"/>
      <c r="T409" s="308" t="inlineStr">
        <is>
          <t>p16:native:238, p16:native:239</t>
        </is>
      </c>
      <c r="U409" s="308" t="n">
        <v>2</v>
      </c>
    </row>
    <row r="410">
      <c r="A410" s="308" t="inlineStr">
        <is>
          <t>Missing in Excel</t>
        </is>
      </c>
      <c r="B410" s="308" t="inlineStr">
        <is>
          <t>DG7030</t>
        </is>
      </c>
      <c r="C410" s="308" t="n">
        <v>16</v>
      </c>
      <c r="D410" s="308" t="inlineStr">
        <is>
          <t>RL7-AGC-201-PSL01</t>
        </is>
      </c>
      <c r="E410" s="308" t="inlineStr">
        <is>
          <t>RL7-AGC-201</t>
        </is>
      </c>
      <c r="F410" s="308" t="inlineStr">
        <is>
          <t>PSL01</t>
        </is>
      </c>
      <c r="G410" s="308" t="inlineStr">
        <is>
          <t>instrument</t>
        </is>
      </c>
      <c r="H410" s="311" t="n">
        <v>0.99</v>
      </c>
      <c r="I410" s="308" t="inlineStr">
        <is>
          <t>High</t>
        </is>
      </c>
      <c r="J410" s="308" t="inlineStr">
        <is>
          <t>drawing</t>
        </is>
      </c>
      <c r="K410" s="308" t="inlineStr">
        <is>
          <t>stacked:isa</t>
        </is>
      </c>
      <c r="L410" s="308" t="inlineStr">
        <is>
          <t>drawing zone; process page; mapped sheet</t>
        </is>
      </c>
      <c r="M410" s="308" t="inlineStr">
        <is>
          <t>RL7-AGC-201 / PSL-01</t>
        </is>
      </c>
      <c r="N410" s="308" t="inlineStr">
        <is>
          <t>native</t>
        </is>
      </c>
      <c r="O410" s="308" t="inlineStr">
        <is>
          <t>native-only</t>
        </is>
      </c>
      <c r="P410" s="308" t="inlineStr">
        <is>
          <t>native</t>
        </is>
      </c>
      <c r="Q410" s="308" t="inlineStr"/>
      <c r="R410" s="308" t="inlineStr">
        <is>
          <t>native text sufficient</t>
        </is>
      </c>
      <c r="S410" s="308" t="inlineStr"/>
      <c r="T410" s="308" t="inlineStr">
        <is>
          <t>p16:native:302, p16:native:303</t>
        </is>
      </c>
      <c r="U410" s="308" t="n">
        <v>2</v>
      </c>
    </row>
    <row r="411">
      <c r="A411" s="308" t="inlineStr">
        <is>
          <t>Missing in Excel</t>
        </is>
      </c>
      <c r="B411" s="308" t="inlineStr">
        <is>
          <t>DG7030</t>
        </is>
      </c>
      <c r="C411" s="308" t="n">
        <v>16</v>
      </c>
      <c r="D411" s="308" t="inlineStr">
        <is>
          <t>RL7-AGC-201-WE01</t>
        </is>
      </c>
      <c r="E411" s="308" t="inlineStr">
        <is>
          <t>RL7-AGC-201</t>
        </is>
      </c>
      <c r="F411" s="308" t="inlineStr">
        <is>
          <t>WE01</t>
        </is>
      </c>
      <c r="G411" s="308" t="inlineStr">
        <is>
          <t>instrument</t>
        </is>
      </c>
      <c r="H411" s="311" t="n">
        <v>0.99</v>
      </c>
      <c r="I411" s="308" t="inlineStr">
        <is>
          <t>High</t>
        </is>
      </c>
      <c r="J411" s="308" t="inlineStr">
        <is>
          <t>drawing</t>
        </is>
      </c>
      <c r="K411" s="308" t="inlineStr">
        <is>
          <t>stacked:isa</t>
        </is>
      </c>
      <c r="L411" s="308" t="inlineStr">
        <is>
          <t>drawing zone; process page; mapped sheet</t>
        </is>
      </c>
      <c r="M411" s="308" t="inlineStr">
        <is>
          <t>RL7-AGC-201 / WE-01</t>
        </is>
      </c>
      <c r="N411" s="308" t="inlineStr">
        <is>
          <t>native</t>
        </is>
      </c>
      <c r="O411" s="308" t="inlineStr">
        <is>
          <t>native-only</t>
        </is>
      </c>
      <c r="P411" s="308" t="inlineStr">
        <is>
          <t>native</t>
        </is>
      </c>
      <c r="Q411" s="308" t="inlineStr"/>
      <c r="R411" s="308" t="inlineStr">
        <is>
          <t>native text sufficient</t>
        </is>
      </c>
      <c r="S411" s="308" t="inlineStr"/>
      <c r="T411" s="308" t="inlineStr">
        <is>
          <t>p16:native:12, p16:native:13</t>
        </is>
      </c>
      <c r="U411" s="308" t="n">
        <v>2</v>
      </c>
    </row>
    <row r="412">
      <c r="A412" s="308" t="inlineStr">
        <is>
          <t>Missing in Excel</t>
        </is>
      </c>
      <c r="B412" s="308" t="inlineStr">
        <is>
          <t>DG7030</t>
        </is>
      </c>
      <c r="C412" s="308" t="n">
        <v>16</v>
      </c>
      <c r="D412" s="308" t="inlineStr">
        <is>
          <t>RL7-AGC-201-WIT01</t>
        </is>
      </c>
      <c r="E412" s="308" t="inlineStr">
        <is>
          <t>RL7-AGC-201</t>
        </is>
      </c>
      <c r="F412" s="308" t="inlineStr">
        <is>
          <t>WIT01</t>
        </is>
      </c>
      <c r="G412" s="308" t="inlineStr">
        <is>
          <t>instrument</t>
        </is>
      </c>
      <c r="H412" s="311" t="n">
        <v>0.99</v>
      </c>
      <c r="I412" s="308" t="inlineStr">
        <is>
          <t>High</t>
        </is>
      </c>
      <c r="J412" s="308" t="inlineStr">
        <is>
          <t>drawing</t>
        </is>
      </c>
      <c r="K412" s="308" t="inlineStr">
        <is>
          <t>stacked:isa</t>
        </is>
      </c>
      <c r="L412" s="308" t="inlineStr">
        <is>
          <t>drawing zone; process page; mapped sheet</t>
        </is>
      </c>
      <c r="M412" s="308" t="inlineStr">
        <is>
          <t>RL7-AGC-201 / WIT-01</t>
        </is>
      </c>
      <c r="N412" s="308" t="inlineStr">
        <is>
          <t>native</t>
        </is>
      </c>
      <c r="O412" s="308" t="inlineStr">
        <is>
          <t>native-only</t>
        </is>
      </c>
      <c r="P412" s="308" t="inlineStr">
        <is>
          <t>native</t>
        </is>
      </c>
      <c r="Q412" s="308" t="inlineStr"/>
      <c r="R412" s="308" t="inlineStr">
        <is>
          <t>native text sufficient</t>
        </is>
      </c>
      <c r="S412" s="308" t="inlineStr"/>
      <c r="T412" s="308" t="inlineStr">
        <is>
          <t>p16:native:20, p16:native:21</t>
        </is>
      </c>
      <c r="U412" s="308" t="n">
        <v>2</v>
      </c>
    </row>
    <row r="413">
      <c r="A413" s="308" t="inlineStr">
        <is>
          <t>Missing in Excel</t>
        </is>
      </c>
      <c r="B413" s="308" t="inlineStr">
        <is>
          <t>DG7030</t>
        </is>
      </c>
      <c r="C413" s="308" t="n">
        <v>16</v>
      </c>
      <c r="D413" s="308" t="inlineStr">
        <is>
          <t>RL7-AGC-201-ZSS02</t>
        </is>
      </c>
      <c r="E413" s="308" t="inlineStr">
        <is>
          <t>RL7-AGC-201</t>
        </is>
      </c>
      <c r="F413" s="308" t="inlineStr">
        <is>
          <t>ZSS02</t>
        </is>
      </c>
      <c r="G413" s="308" t="inlineStr">
        <is>
          <t>instrument</t>
        </is>
      </c>
      <c r="H413" s="311" t="n">
        <v>0.99</v>
      </c>
      <c r="I413" s="308" t="inlineStr">
        <is>
          <t>High</t>
        </is>
      </c>
      <c r="J413" s="308" t="inlineStr">
        <is>
          <t>drawing</t>
        </is>
      </c>
      <c r="K413" s="308" t="inlineStr">
        <is>
          <t>stacked:isa</t>
        </is>
      </c>
      <c r="L413" s="308" t="inlineStr">
        <is>
          <t>drawing zone; process page; mapped sheet</t>
        </is>
      </c>
      <c r="M413" s="308" t="inlineStr">
        <is>
          <t>RL7-AGC-201 / ZSS-02</t>
        </is>
      </c>
      <c r="N413" s="308" t="inlineStr">
        <is>
          <t>native</t>
        </is>
      </c>
      <c r="O413" s="308" t="inlineStr">
        <is>
          <t>native-only</t>
        </is>
      </c>
      <c r="P413" s="308" t="inlineStr">
        <is>
          <t>native</t>
        </is>
      </c>
      <c r="Q413" s="308" t="inlineStr"/>
      <c r="R413" s="308" t="inlineStr">
        <is>
          <t>native text sufficient</t>
        </is>
      </c>
      <c r="S413" s="308" t="inlineStr"/>
      <c r="T413" s="308" t="inlineStr">
        <is>
          <t>p16:native:73, p16:native:74</t>
        </is>
      </c>
      <c r="U413" s="308" t="n">
        <v>2</v>
      </c>
    </row>
    <row r="414">
      <c r="A414" s="308" t="inlineStr">
        <is>
          <t>Missing in Excel</t>
        </is>
      </c>
      <c r="B414" s="308" t="inlineStr">
        <is>
          <t>DG7030</t>
        </is>
      </c>
      <c r="C414" s="308" t="n">
        <v>16</v>
      </c>
      <c r="D414" s="308" t="inlineStr">
        <is>
          <t>RL7-PMP-208-FVI01</t>
        </is>
      </c>
      <c r="E414" s="308" t="inlineStr">
        <is>
          <t>RL7-PMP-208</t>
        </is>
      </c>
      <c r="F414" s="308" t="inlineStr">
        <is>
          <t>FVI01</t>
        </is>
      </c>
      <c r="G414" s="308" t="inlineStr">
        <is>
          <t>instrument</t>
        </is>
      </c>
      <c r="H414" s="311" t="n">
        <v>0.99</v>
      </c>
      <c r="I414" s="308" t="inlineStr">
        <is>
          <t>High</t>
        </is>
      </c>
      <c r="J414" s="308" t="inlineStr">
        <is>
          <t>drawing</t>
        </is>
      </c>
      <c r="K414" s="308" t="inlineStr">
        <is>
          <t>stacked:isa</t>
        </is>
      </c>
      <c r="L414" s="308" t="inlineStr">
        <is>
          <t>drawing zone; process page; mapped sheet</t>
        </is>
      </c>
      <c r="M414" s="308" t="inlineStr">
        <is>
          <t>RL7-PMP-208 / FVI-01</t>
        </is>
      </c>
      <c r="N414" s="308" t="inlineStr">
        <is>
          <t>native</t>
        </is>
      </c>
      <c r="O414" s="308" t="inlineStr">
        <is>
          <t>native-only</t>
        </is>
      </c>
      <c r="P414" s="308" t="inlineStr">
        <is>
          <t>native</t>
        </is>
      </c>
      <c r="Q414" s="308" t="inlineStr"/>
      <c r="R414" s="308" t="inlineStr">
        <is>
          <t>native text sufficient</t>
        </is>
      </c>
      <c r="S414" s="308" t="inlineStr"/>
      <c r="T414" s="308" t="inlineStr">
        <is>
          <t>p16:native:142, p16:native:143</t>
        </is>
      </c>
      <c r="U414" s="308" t="n">
        <v>2</v>
      </c>
    </row>
    <row r="415">
      <c r="A415" s="308" t="inlineStr">
        <is>
          <t>Missing in Excel</t>
        </is>
      </c>
      <c r="B415" s="308" t="inlineStr">
        <is>
          <t>DG7030</t>
        </is>
      </c>
      <c r="C415" s="308" t="n">
        <v>16</v>
      </c>
      <c r="D415" s="308" t="inlineStr">
        <is>
          <t>RL7-AGC-201-CV001</t>
        </is>
      </c>
      <c r="E415" s="308" t="inlineStr">
        <is>
          <t>RL7-AGC-201</t>
        </is>
      </c>
      <c r="F415" s="308" t="inlineStr">
        <is>
          <t>CV001</t>
        </is>
      </c>
      <c r="G415" s="308" t="inlineStr">
        <is>
          <t>instrument</t>
        </is>
      </c>
      <c r="H415" s="311" t="n">
        <v>0.57</v>
      </c>
      <c r="I415" s="308" t="inlineStr">
        <is>
          <t>Low</t>
        </is>
      </c>
      <c r="J415" s="308" t="inlineStr">
        <is>
          <t>drawing</t>
        </is>
      </c>
      <c r="K415" s="308" t="inlineStr">
        <is>
          <t>inferred:bare-isa</t>
        </is>
      </c>
      <c r="L415" s="308" t="inlineStr">
        <is>
          <t>drawing zone; process page; mapped sheet</t>
        </is>
      </c>
      <c r="M415" s="308" t="inlineStr">
        <is>
          <t>RL7-AGC-201 / CV</t>
        </is>
      </c>
      <c r="N415" s="308" t="inlineStr">
        <is>
          <t>native</t>
        </is>
      </c>
      <c r="O415" s="308" t="inlineStr">
        <is>
          <t>native-only</t>
        </is>
      </c>
      <c r="P415" s="308" t="inlineStr">
        <is>
          <t>native</t>
        </is>
      </c>
      <c r="Q415" s="308" t="inlineStr"/>
      <c r="R415" s="308" t="inlineStr">
        <is>
          <t>native text sufficient</t>
        </is>
      </c>
      <c r="S415" s="308" t="inlineStr"/>
      <c r="T415" s="308" t="inlineStr">
        <is>
          <t>p16:native:240, p16:native:222</t>
        </is>
      </c>
      <c r="U415" s="308" t="n">
        <v>2</v>
      </c>
    </row>
    <row r="416">
      <c r="A416" s="308" t="inlineStr">
        <is>
          <t>Missing in Excel</t>
        </is>
      </c>
      <c r="B416" s="308" t="inlineStr">
        <is>
          <t>DG7030</t>
        </is>
      </c>
      <c r="C416" s="308" t="n">
        <v>16</v>
      </c>
      <c r="D416" s="308" t="inlineStr">
        <is>
          <t>RL7-AGC-201-CV002</t>
        </is>
      </c>
      <c r="E416" s="308" t="inlineStr">
        <is>
          <t>RL7-AGC-201</t>
        </is>
      </c>
      <c r="F416" s="308" t="inlineStr">
        <is>
          <t>CV002</t>
        </is>
      </c>
      <c r="G416" s="308" t="inlineStr">
        <is>
          <t>instrument</t>
        </is>
      </c>
      <c r="H416" s="311" t="n">
        <v>0.57</v>
      </c>
      <c r="I416" s="308" t="inlineStr">
        <is>
          <t>Low</t>
        </is>
      </c>
      <c r="J416" s="308" t="inlineStr">
        <is>
          <t>drawing</t>
        </is>
      </c>
      <c r="K416" s="308" t="inlineStr">
        <is>
          <t>inferred:bare-isa</t>
        </is>
      </c>
      <c r="L416" s="308" t="inlineStr">
        <is>
          <t>drawing zone; process page; mapped sheet</t>
        </is>
      </c>
      <c r="M416" s="308" t="inlineStr">
        <is>
          <t>RL7-AGC-201 / CV</t>
        </is>
      </c>
      <c r="N416" s="308" t="inlineStr">
        <is>
          <t>native</t>
        </is>
      </c>
      <c r="O416" s="308" t="inlineStr">
        <is>
          <t>native-only</t>
        </is>
      </c>
      <c r="P416" s="308" t="inlineStr">
        <is>
          <t>native</t>
        </is>
      </c>
      <c r="Q416" s="308" t="inlineStr"/>
      <c r="R416" s="308" t="inlineStr">
        <is>
          <t>native text sufficient</t>
        </is>
      </c>
      <c r="S416" s="308" t="inlineStr"/>
      <c r="T416" s="308" t="inlineStr">
        <is>
          <t>p16:native:275, p16:native:228</t>
        </is>
      </c>
      <c r="U416" s="308" t="n">
        <v>2</v>
      </c>
    </row>
    <row r="417">
      <c r="A417" s="308" t="inlineStr">
        <is>
          <t>Missing in Excel</t>
        </is>
      </c>
      <c r="B417" s="308" t="inlineStr">
        <is>
          <t>DG7030</t>
        </is>
      </c>
      <c r="C417" s="308" t="n">
        <v>16</v>
      </c>
      <c r="D417" s="308" t="inlineStr">
        <is>
          <t>RL7-AGC-201-HV001</t>
        </is>
      </c>
      <c r="E417" s="308" t="inlineStr">
        <is>
          <t>RL7-AGC-201</t>
        </is>
      </c>
      <c r="F417" s="308" t="inlineStr">
        <is>
          <t>HV001</t>
        </is>
      </c>
      <c r="G417" s="308" t="inlineStr">
        <is>
          <t>instrument</t>
        </is>
      </c>
      <c r="H417" s="311" t="n">
        <v>0.57</v>
      </c>
      <c r="I417" s="308" t="inlineStr">
        <is>
          <t>Low</t>
        </is>
      </c>
      <c r="J417" s="308" t="inlineStr">
        <is>
          <t>drawing</t>
        </is>
      </c>
      <c r="K417" s="308" t="inlineStr">
        <is>
          <t>inferred:bare-isa</t>
        </is>
      </c>
      <c r="L417" s="308" t="inlineStr">
        <is>
          <t>drawing zone; process page; mapped sheet</t>
        </is>
      </c>
      <c r="M417" s="308" t="inlineStr">
        <is>
          <t>RL7-AGC-201 / HV</t>
        </is>
      </c>
      <c r="N417" s="308" t="inlineStr">
        <is>
          <t>native</t>
        </is>
      </c>
      <c r="O417" s="308" t="inlineStr">
        <is>
          <t>native-only</t>
        </is>
      </c>
      <c r="P417" s="308" t="inlineStr">
        <is>
          <t>native</t>
        </is>
      </c>
      <c r="Q417" s="308" t="inlineStr"/>
      <c r="R417" s="308" t="inlineStr">
        <is>
          <t>native text sufficient</t>
        </is>
      </c>
      <c r="S417" s="308" t="inlineStr"/>
      <c r="T417" s="308" t="inlineStr">
        <is>
          <t>p16:native:279, p16:native:263</t>
        </is>
      </c>
      <c r="U417" s="308" t="n">
        <v>2</v>
      </c>
    </row>
    <row r="418">
      <c r="A418" s="308" t="inlineStr">
        <is>
          <t>Missing in Excel</t>
        </is>
      </c>
      <c r="B418" s="308" t="inlineStr">
        <is>
          <t>DG7030</t>
        </is>
      </c>
      <c r="C418" s="308" t="n">
        <v>16</v>
      </c>
      <c r="D418" s="308" t="inlineStr">
        <is>
          <t>RL7-AGC-201-HV002</t>
        </is>
      </c>
      <c r="E418" s="308" t="inlineStr">
        <is>
          <t>RL7-AGC-201</t>
        </is>
      </c>
      <c r="F418" s="308" t="inlineStr">
        <is>
          <t>HV002</t>
        </is>
      </c>
      <c r="G418" s="308" t="inlineStr">
        <is>
          <t>instrument</t>
        </is>
      </c>
      <c r="H418" s="311" t="n">
        <v>0.57</v>
      </c>
      <c r="I418" s="308" t="inlineStr">
        <is>
          <t>Low</t>
        </is>
      </c>
      <c r="J418" s="308" t="inlineStr">
        <is>
          <t>drawing</t>
        </is>
      </c>
      <c r="K418" s="308" t="inlineStr">
        <is>
          <t>inferred:bare-isa</t>
        </is>
      </c>
      <c r="L418" s="308" t="inlineStr">
        <is>
          <t>drawing zone; process page; mapped sheet</t>
        </is>
      </c>
      <c r="M418" s="308" t="inlineStr">
        <is>
          <t>RL7-AGC-201 / HV</t>
        </is>
      </c>
      <c r="N418" s="308" t="inlineStr">
        <is>
          <t>native</t>
        </is>
      </c>
      <c r="O418" s="308" t="inlineStr">
        <is>
          <t>native-only</t>
        </is>
      </c>
      <c r="P418" s="308" t="inlineStr">
        <is>
          <t>native</t>
        </is>
      </c>
      <c r="Q418" s="308" t="inlineStr"/>
      <c r="R418" s="308" t="inlineStr">
        <is>
          <t>native text sufficient</t>
        </is>
      </c>
      <c r="S418" s="308" t="inlineStr"/>
      <c r="T418" s="308" t="inlineStr">
        <is>
          <t>p16:native:79, p16:native:117</t>
        </is>
      </c>
      <c r="U418" s="308" t="n">
        <v>2</v>
      </c>
    </row>
    <row r="419">
      <c r="A419" s="308" t="inlineStr">
        <is>
          <t>Missing in Excel</t>
        </is>
      </c>
      <c r="B419" s="308" t="inlineStr">
        <is>
          <t>DG7030</t>
        </is>
      </c>
      <c r="C419" s="308" t="n">
        <v>16</v>
      </c>
      <c r="D419" s="308" t="inlineStr">
        <is>
          <t>RL7-AGC-201-HV003</t>
        </is>
      </c>
      <c r="E419" s="308" t="inlineStr">
        <is>
          <t>RL7-AGC-201</t>
        </is>
      </c>
      <c r="F419" s="308" t="inlineStr">
        <is>
          <t>HV003</t>
        </is>
      </c>
      <c r="G419" s="308" t="inlineStr">
        <is>
          <t>instrument</t>
        </is>
      </c>
      <c r="H419" s="311" t="n">
        <v>0.57</v>
      </c>
      <c r="I419" s="308" t="inlineStr">
        <is>
          <t>Low</t>
        </is>
      </c>
      <c r="J419" s="308" t="inlineStr">
        <is>
          <t>drawing</t>
        </is>
      </c>
      <c r="K419" s="308" t="inlineStr">
        <is>
          <t>inferred:bare-isa</t>
        </is>
      </c>
      <c r="L419" s="308" t="inlineStr">
        <is>
          <t>drawing zone; process page; mapped sheet</t>
        </is>
      </c>
      <c r="M419" s="308" t="inlineStr">
        <is>
          <t>RL7-AGC-201 / HV</t>
        </is>
      </c>
      <c r="N419" s="308" t="inlineStr">
        <is>
          <t>native</t>
        </is>
      </c>
      <c r="O419" s="308" t="inlineStr">
        <is>
          <t>native-only</t>
        </is>
      </c>
      <c r="P419" s="308" t="inlineStr">
        <is>
          <t>native</t>
        </is>
      </c>
      <c r="Q419" s="308" t="inlineStr"/>
      <c r="R419" s="308" t="inlineStr">
        <is>
          <t>native text sufficient</t>
        </is>
      </c>
      <c r="S419" s="308" t="inlineStr"/>
      <c r="T419" s="308" t="inlineStr">
        <is>
          <t>p16:native:312, p16:native:257</t>
        </is>
      </c>
      <c r="U419" s="308" t="n">
        <v>2</v>
      </c>
    </row>
    <row r="420">
      <c r="A420" s="308" t="inlineStr">
        <is>
          <t>Missing in Excel</t>
        </is>
      </c>
      <c r="B420" s="308" t="inlineStr">
        <is>
          <t>DG7030</t>
        </is>
      </c>
      <c r="C420" s="308" t="n">
        <v>16</v>
      </c>
      <c r="D420" s="308" t="inlineStr">
        <is>
          <t>RL7-AGC-201-HV004</t>
        </is>
      </c>
      <c r="E420" s="308" t="inlineStr">
        <is>
          <t>RL7-AGC-201</t>
        </is>
      </c>
      <c r="F420" s="308" t="inlineStr">
        <is>
          <t>HV004</t>
        </is>
      </c>
      <c r="G420" s="308" t="inlineStr">
        <is>
          <t>instrument</t>
        </is>
      </c>
      <c r="H420" s="311" t="n">
        <v>0.57</v>
      </c>
      <c r="I420" s="308" t="inlineStr">
        <is>
          <t>Low</t>
        </is>
      </c>
      <c r="J420" s="308" t="inlineStr">
        <is>
          <t>drawing</t>
        </is>
      </c>
      <c r="K420" s="308" t="inlineStr">
        <is>
          <t>inferred:bare-isa</t>
        </is>
      </c>
      <c r="L420" s="308" t="inlineStr">
        <is>
          <t>drawing zone; process page; mapped sheet</t>
        </is>
      </c>
      <c r="M420" s="308" t="inlineStr">
        <is>
          <t>RL7-AGC-201 / HV</t>
        </is>
      </c>
      <c r="N420" s="308" t="inlineStr">
        <is>
          <t>native</t>
        </is>
      </c>
      <c r="O420" s="308" t="inlineStr">
        <is>
          <t>native-only</t>
        </is>
      </c>
      <c r="P420" s="308" t="inlineStr">
        <is>
          <t>native</t>
        </is>
      </c>
      <c r="Q420" s="308" t="inlineStr"/>
      <c r="R420" s="308" t="inlineStr">
        <is>
          <t>native text sufficient</t>
        </is>
      </c>
      <c r="S420" s="308" t="inlineStr"/>
      <c r="T420" s="308" t="inlineStr">
        <is>
          <t>p16:native:269, p16:native:33</t>
        </is>
      </c>
      <c r="U420" s="308" t="n">
        <v>2</v>
      </c>
    </row>
    <row r="421">
      <c r="A421" s="308" t="inlineStr">
        <is>
          <t>Missing in Excel</t>
        </is>
      </c>
      <c r="B421" s="308" t="inlineStr">
        <is>
          <t>DG7030</t>
        </is>
      </c>
      <c r="C421" s="308" t="n">
        <v>16</v>
      </c>
      <c r="D421" s="308" t="inlineStr">
        <is>
          <t>RL7-AGC-201-HV005</t>
        </is>
      </c>
      <c r="E421" s="308" t="inlineStr">
        <is>
          <t>RL7-AGC-201</t>
        </is>
      </c>
      <c r="F421" s="308" t="inlineStr">
        <is>
          <t>HV005</t>
        </is>
      </c>
      <c r="G421" s="308" t="inlineStr">
        <is>
          <t>instrument</t>
        </is>
      </c>
      <c r="H421" s="311" t="n">
        <v>0.57</v>
      </c>
      <c r="I421" s="308" t="inlineStr">
        <is>
          <t>Low</t>
        </is>
      </c>
      <c r="J421" s="308" t="inlineStr">
        <is>
          <t>drawing</t>
        </is>
      </c>
      <c r="K421" s="308" t="inlineStr">
        <is>
          <t>inferred:bare-isa</t>
        </is>
      </c>
      <c r="L421" s="308" t="inlineStr">
        <is>
          <t>drawing zone; process page; mapped sheet</t>
        </is>
      </c>
      <c r="M421" s="308" t="inlineStr">
        <is>
          <t>RL7-AGC-201 / HV</t>
        </is>
      </c>
      <c r="N421" s="308" t="inlineStr">
        <is>
          <t>native</t>
        </is>
      </c>
      <c r="O421" s="308" t="inlineStr">
        <is>
          <t>native-only</t>
        </is>
      </c>
      <c r="P421" s="308" t="inlineStr">
        <is>
          <t>native</t>
        </is>
      </c>
      <c r="Q421" s="308" t="inlineStr"/>
      <c r="R421" s="308" t="inlineStr">
        <is>
          <t>native text sufficient</t>
        </is>
      </c>
      <c r="S421" s="308" t="inlineStr"/>
      <c r="T421" s="308" t="inlineStr">
        <is>
          <t>p16:native:12, p16:native:39</t>
        </is>
      </c>
      <c r="U421" s="308" t="n">
        <v>2</v>
      </c>
    </row>
    <row r="422">
      <c r="A422" s="308" t="inlineStr">
        <is>
          <t>Missing in Excel</t>
        </is>
      </c>
      <c r="B422" s="308" t="inlineStr">
        <is>
          <t>DG7030</t>
        </is>
      </c>
      <c r="C422" s="308" t="n">
        <v>16</v>
      </c>
      <c r="D422" s="308" t="inlineStr">
        <is>
          <t>RL7-AGC-201-HV006</t>
        </is>
      </c>
      <c r="E422" s="308" t="inlineStr">
        <is>
          <t>RL7-AGC-201</t>
        </is>
      </c>
      <c r="F422" s="308" t="inlineStr">
        <is>
          <t>HV006</t>
        </is>
      </c>
      <c r="G422" s="308" t="inlineStr">
        <is>
          <t>instrument</t>
        </is>
      </c>
      <c r="H422" s="311" t="n">
        <v>0.57</v>
      </c>
      <c r="I422" s="308" t="inlineStr">
        <is>
          <t>Low</t>
        </is>
      </c>
      <c r="J422" s="308" t="inlineStr">
        <is>
          <t>drawing</t>
        </is>
      </c>
      <c r="K422" s="308" t="inlineStr">
        <is>
          <t>inferred:bare-isa</t>
        </is>
      </c>
      <c r="L422" s="308" t="inlineStr">
        <is>
          <t>drawing zone; process page; mapped sheet</t>
        </is>
      </c>
      <c r="M422" s="308" t="inlineStr">
        <is>
          <t>RL7-AGC-201 / HV</t>
        </is>
      </c>
      <c r="N422" s="308" t="inlineStr">
        <is>
          <t>native</t>
        </is>
      </c>
      <c r="O422" s="308" t="inlineStr">
        <is>
          <t>native-only</t>
        </is>
      </c>
      <c r="P422" s="308" t="inlineStr">
        <is>
          <t>native</t>
        </is>
      </c>
      <c r="Q422" s="308" t="inlineStr"/>
      <c r="R422" s="308" t="inlineStr">
        <is>
          <t>native text sufficient</t>
        </is>
      </c>
      <c r="S422" s="308" t="inlineStr"/>
      <c r="T422" s="308" t="inlineStr">
        <is>
          <t>p16:native:12, p16:native:45</t>
        </is>
      </c>
      <c r="U422" s="308" t="n">
        <v>2</v>
      </c>
    </row>
    <row r="423">
      <c r="A423" s="308" t="inlineStr">
        <is>
          <t>Missing in Excel</t>
        </is>
      </c>
      <c r="B423" s="308" t="inlineStr">
        <is>
          <t>DG7030</t>
        </is>
      </c>
      <c r="C423" s="308" t="n">
        <v>16</v>
      </c>
      <c r="D423" s="308" t="inlineStr">
        <is>
          <t>RL7-AGC-201-HV007</t>
        </is>
      </c>
      <c r="E423" s="308" t="inlineStr">
        <is>
          <t>RL7-AGC-201</t>
        </is>
      </c>
      <c r="F423" s="308" t="inlineStr">
        <is>
          <t>HV007</t>
        </is>
      </c>
      <c r="G423" s="308" t="inlineStr">
        <is>
          <t>instrument</t>
        </is>
      </c>
      <c r="H423" s="311" t="n">
        <v>0.57</v>
      </c>
      <c r="I423" s="308" t="inlineStr">
        <is>
          <t>Low</t>
        </is>
      </c>
      <c r="J423" s="308" t="inlineStr">
        <is>
          <t>drawing</t>
        </is>
      </c>
      <c r="K423" s="308" t="inlineStr">
        <is>
          <t>inferred:bare-isa</t>
        </is>
      </c>
      <c r="L423" s="308" t="inlineStr">
        <is>
          <t>drawing zone; process page; mapped sheet</t>
        </is>
      </c>
      <c r="M423" s="308" t="inlineStr">
        <is>
          <t>RL7-AGC-201 / HV</t>
        </is>
      </c>
      <c r="N423" s="308" t="inlineStr">
        <is>
          <t>native</t>
        </is>
      </c>
      <c r="O423" s="308" t="inlineStr">
        <is>
          <t>native-only</t>
        </is>
      </c>
      <c r="P423" s="308" t="inlineStr">
        <is>
          <t>native</t>
        </is>
      </c>
      <c r="Q423" s="308" t="inlineStr"/>
      <c r="R423" s="308" t="inlineStr">
        <is>
          <t>native text sufficient</t>
        </is>
      </c>
      <c r="S423" s="308" t="inlineStr"/>
      <c r="T423" s="308" t="inlineStr">
        <is>
          <t>p16:native:129, p16:native:193</t>
        </is>
      </c>
      <c r="U423" s="308" t="n">
        <v>2</v>
      </c>
    </row>
    <row r="424">
      <c r="A424" s="308" t="inlineStr">
        <is>
          <t>Missing in Excel</t>
        </is>
      </c>
      <c r="B424" s="308" t="inlineStr">
        <is>
          <t>DG7030</t>
        </is>
      </c>
      <c r="C424" s="308" t="n">
        <v>16</v>
      </c>
      <c r="D424" s="308" t="inlineStr">
        <is>
          <t>RL7-PMP-208-HV001</t>
        </is>
      </c>
      <c r="E424" s="308" t="inlineStr">
        <is>
          <t>RL7-PMP-208</t>
        </is>
      </c>
      <c r="F424" s="308" t="inlineStr">
        <is>
          <t>HV001</t>
        </is>
      </c>
      <c r="G424" s="308" t="inlineStr">
        <is>
          <t>instrument</t>
        </is>
      </c>
      <c r="H424" s="311" t="n">
        <v>0.57</v>
      </c>
      <c r="I424" s="308" t="inlineStr">
        <is>
          <t>Low</t>
        </is>
      </c>
      <c r="J424" s="308" t="inlineStr">
        <is>
          <t>drawing</t>
        </is>
      </c>
      <c r="K424" s="308" t="inlineStr">
        <is>
          <t>inferred:bare-isa</t>
        </is>
      </c>
      <c r="L424" s="308" t="inlineStr">
        <is>
          <t>drawing zone; process page; mapped sheet</t>
        </is>
      </c>
      <c r="M424" s="308" t="inlineStr">
        <is>
          <t>RL7-PMP-208 / HV</t>
        </is>
      </c>
      <c r="N424" s="308" t="inlineStr">
        <is>
          <t>native</t>
        </is>
      </c>
      <c r="O424" s="308" t="inlineStr">
        <is>
          <t>native-only</t>
        </is>
      </c>
      <c r="P424" s="308" t="inlineStr">
        <is>
          <t>native</t>
        </is>
      </c>
      <c r="Q424" s="308" t="inlineStr"/>
      <c r="R424" s="308" t="inlineStr">
        <is>
          <t>native text sufficient</t>
        </is>
      </c>
      <c r="S424" s="308" t="inlineStr"/>
      <c r="T424" s="308" t="inlineStr">
        <is>
          <t>p16:native:142, p16:native:52</t>
        </is>
      </c>
      <c r="U424" s="308" t="n">
        <v>2</v>
      </c>
    </row>
    <row r="425">
      <c r="A425" s="308" t="inlineStr">
        <is>
          <t>Missing in Excel</t>
        </is>
      </c>
      <c r="B425" s="308" t="inlineStr">
        <is>
          <t>DG7030</t>
        </is>
      </c>
      <c r="C425" s="308" t="n">
        <v>16</v>
      </c>
      <c r="D425" s="308" t="inlineStr">
        <is>
          <t>RL7-PMP-208-HV002</t>
        </is>
      </c>
      <c r="E425" s="308" t="inlineStr">
        <is>
          <t>RL7-PMP-208</t>
        </is>
      </c>
      <c r="F425" s="308" t="inlineStr">
        <is>
          <t>HV002</t>
        </is>
      </c>
      <c r="G425" s="308" t="inlineStr">
        <is>
          <t>instrument</t>
        </is>
      </c>
      <c r="H425" s="311" t="n">
        <v>0.57</v>
      </c>
      <c r="I425" s="308" t="inlineStr">
        <is>
          <t>Low</t>
        </is>
      </c>
      <c r="J425" s="308" t="inlineStr">
        <is>
          <t>drawing</t>
        </is>
      </c>
      <c r="K425" s="308" t="inlineStr">
        <is>
          <t>inferred:bare-isa</t>
        </is>
      </c>
      <c r="L425" s="308" t="inlineStr">
        <is>
          <t>drawing zone; process page; mapped sheet</t>
        </is>
      </c>
      <c r="M425" s="308" t="inlineStr">
        <is>
          <t>RL7-PMP-208 / HV</t>
        </is>
      </c>
      <c r="N425" s="308" t="inlineStr">
        <is>
          <t>native</t>
        </is>
      </c>
      <c r="O425" s="308" t="inlineStr">
        <is>
          <t>native-only</t>
        </is>
      </c>
      <c r="P425" s="308" t="inlineStr">
        <is>
          <t>native</t>
        </is>
      </c>
      <c r="Q425" s="308" t="inlineStr"/>
      <c r="R425" s="308" t="inlineStr">
        <is>
          <t>native text sufficient</t>
        </is>
      </c>
      <c r="S425" s="308" t="inlineStr"/>
      <c r="T425" s="308" t="inlineStr">
        <is>
          <t>p16:native:142, p16:native:159</t>
        </is>
      </c>
      <c r="U425" s="308" t="n">
        <v>2</v>
      </c>
    </row>
    <row r="426">
      <c r="A426" s="308" t="inlineStr">
        <is>
          <t>Missing in Excel</t>
        </is>
      </c>
      <c r="B426" s="308" t="inlineStr">
        <is>
          <t>DG7030</t>
        </is>
      </c>
      <c r="C426" s="308" t="n">
        <v>16</v>
      </c>
      <c r="D426" s="308" t="inlineStr">
        <is>
          <t>RL7-PMP-208-PI001</t>
        </is>
      </c>
      <c r="E426" s="308" t="inlineStr">
        <is>
          <t>RL7-PMP-208</t>
        </is>
      </c>
      <c r="F426" s="308" t="inlineStr">
        <is>
          <t>PI001</t>
        </is>
      </c>
      <c r="G426" s="308" t="inlineStr">
        <is>
          <t>instrument</t>
        </is>
      </c>
      <c r="H426" s="311" t="n">
        <v>0.57</v>
      </c>
      <c r="I426" s="308" t="inlineStr">
        <is>
          <t>Low</t>
        </is>
      </c>
      <c r="J426" s="308" t="inlineStr">
        <is>
          <t>drawing</t>
        </is>
      </c>
      <c r="K426" s="308" t="inlineStr">
        <is>
          <t>inferred:bare-isa</t>
        </is>
      </c>
      <c r="L426" s="308" t="inlineStr">
        <is>
          <t>drawing zone; process page; mapped sheet</t>
        </is>
      </c>
      <c r="M426" s="308" t="inlineStr">
        <is>
          <t>RL7-PMP-208 / PI</t>
        </is>
      </c>
      <c r="N426" s="308" t="inlineStr">
        <is>
          <t>native</t>
        </is>
      </c>
      <c r="O426" s="308" t="inlineStr">
        <is>
          <t>native-only</t>
        </is>
      </c>
      <c r="P426" s="308" t="inlineStr">
        <is>
          <t>native</t>
        </is>
      </c>
      <c r="Q426" s="308" t="inlineStr"/>
      <c r="R426" s="308" t="inlineStr">
        <is>
          <t>native text sufficient</t>
        </is>
      </c>
      <c r="S426" s="308" t="inlineStr"/>
      <c r="T426" s="308" t="inlineStr">
        <is>
          <t>p16:native:142, p16:native:64</t>
        </is>
      </c>
      <c r="U426" s="308" t="n">
        <v>2</v>
      </c>
    </row>
    <row r="427">
      <c r="A427" s="308" t="inlineStr">
        <is>
          <t>Missing in Excel</t>
        </is>
      </c>
      <c r="B427" s="308" t="inlineStr">
        <is>
          <t>DG7030</t>
        </is>
      </c>
      <c r="C427" s="308" t="n">
        <v>16</v>
      </c>
      <c r="D427" s="308" t="inlineStr">
        <is>
          <t>RL7-PMP-208-PI002</t>
        </is>
      </c>
      <c r="E427" s="308" t="inlineStr">
        <is>
          <t>RL7-PMP-208</t>
        </is>
      </c>
      <c r="F427" s="308" t="inlineStr">
        <is>
          <t>PI002</t>
        </is>
      </c>
      <c r="G427" s="308" t="inlineStr">
        <is>
          <t>instrument</t>
        </is>
      </c>
      <c r="H427" s="311" t="n">
        <v>0.57</v>
      </c>
      <c r="I427" s="308" t="inlineStr">
        <is>
          <t>Low</t>
        </is>
      </c>
      <c r="J427" s="308" t="inlineStr">
        <is>
          <t>drawing</t>
        </is>
      </c>
      <c r="K427" s="308" t="inlineStr">
        <is>
          <t>inferred:bare-isa</t>
        </is>
      </c>
      <c r="L427" s="308" t="inlineStr">
        <is>
          <t>drawing zone; process page; mapped sheet</t>
        </is>
      </c>
      <c r="M427" s="308" t="inlineStr">
        <is>
          <t>RL7-PMP-208 / PI</t>
        </is>
      </c>
      <c r="N427" s="308" t="inlineStr">
        <is>
          <t>native</t>
        </is>
      </c>
      <c r="O427" s="308" t="inlineStr">
        <is>
          <t>native-only</t>
        </is>
      </c>
      <c r="P427" s="308" t="inlineStr">
        <is>
          <t>native</t>
        </is>
      </c>
      <c r="Q427" s="308" t="inlineStr"/>
      <c r="R427" s="308" t="inlineStr">
        <is>
          <t>native text sufficient</t>
        </is>
      </c>
      <c r="S427" s="308" t="inlineStr"/>
      <c r="T427" s="308" t="inlineStr">
        <is>
          <t>p16:native:142, p16:native:28</t>
        </is>
      </c>
      <c r="U427" s="308" t="n">
        <v>2</v>
      </c>
    </row>
    <row r="428">
      <c r="A428" s="308" t="inlineStr">
        <is>
          <t>Missing in Excel</t>
        </is>
      </c>
      <c r="B428" s="308" t="inlineStr">
        <is>
          <t>DG7030</t>
        </is>
      </c>
      <c r="C428" s="308" t="n">
        <v>16</v>
      </c>
      <c r="D428" s="308" t="inlineStr">
        <is>
          <t>RL7-PMP-208-PI003</t>
        </is>
      </c>
      <c r="E428" s="308" t="inlineStr">
        <is>
          <t>RL7-PMP-208</t>
        </is>
      </c>
      <c r="F428" s="308" t="inlineStr">
        <is>
          <t>PI003</t>
        </is>
      </c>
      <c r="G428" s="308" t="inlineStr">
        <is>
          <t>instrument</t>
        </is>
      </c>
      <c r="H428" s="311" t="n">
        <v>0.57</v>
      </c>
      <c r="I428" s="308" t="inlineStr">
        <is>
          <t>Low</t>
        </is>
      </c>
      <c r="J428" s="308" t="inlineStr">
        <is>
          <t>drawing</t>
        </is>
      </c>
      <c r="K428" s="308" t="inlineStr">
        <is>
          <t>inferred:bare-isa</t>
        </is>
      </c>
      <c r="L428" s="308" t="inlineStr">
        <is>
          <t>drawing zone; process page; mapped sheet</t>
        </is>
      </c>
      <c r="M428" s="308" t="inlineStr">
        <is>
          <t>RL7-PMP-208 / PI</t>
        </is>
      </c>
      <c r="N428" s="308" t="inlineStr">
        <is>
          <t>native</t>
        </is>
      </c>
      <c r="O428" s="308" t="inlineStr">
        <is>
          <t>native-only</t>
        </is>
      </c>
      <c r="P428" s="308" t="inlineStr">
        <is>
          <t>native</t>
        </is>
      </c>
      <c r="Q428" s="308" t="inlineStr"/>
      <c r="R428" s="308" t="inlineStr">
        <is>
          <t>native text sufficient</t>
        </is>
      </c>
      <c r="S428" s="308" t="inlineStr"/>
      <c r="T428" s="308" t="inlineStr">
        <is>
          <t>p16:native:140, p16:native:171</t>
        </is>
      </c>
      <c r="U428" s="308" t="n">
        <v>2</v>
      </c>
    </row>
    <row r="429">
      <c r="A429" s="308" t="inlineStr">
        <is>
          <t>Missing in Excel</t>
        </is>
      </c>
      <c r="B429" s="308" t="inlineStr">
        <is>
          <t>DG7030</t>
        </is>
      </c>
      <c r="C429" s="308" t="n">
        <v>16</v>
      </c>
      <c r="D429" s="308" t="inlineStr">
        <is>
          <t>RL7-PMP-208-PI004</t>
        </is>
      </c>
      <c r="E429" s="308" t="inlineStr">
        <is>
          <t>RL7-PMP-208</t>
        </is>
      </c>
      <c r="F429" s="308" t="inlineStr">
        <is>
          <t>PI004</t>
        </is>
      </c>
      <c r="G429" s="308" t="inlineStr">
        <is>
          <t>instrument</t>
        </is>
      </c>
      <c r="H429" s="311" t="n">
        <v>0.57</v>
      </c>
      <c r="I429" s="308" t="inlineStr">
        <is>
          <t>Low</t>
        </is>
      </c>
      <c r="J429" s="308" t="inlineStr">
        <is>
          <t>drawing</t>
        </is>
      </c>
      <c r="K429" s="308" t="inlineStr">
        <is>
          <t>inferred:bare-isa</t>
        </is>
      </c>
      <c r="L429" s="308" t="inlineStr">
        <is>
          <t>drawing zone; process page; mapped sheet</t>
        </is>
      </c>
      <c r="M429" s="308" t="inlineStr">
        <is>
          <t>RL7-PMP-208 / PI</t>
        </is>
      </c>
      <c r="N429" s="308" t="inlineStr">
        <is>
          <t>native</t>
        </is>
      </c>
      <c r="O429" s="308" t="inlineStr">
        <is>
          <t>native-only</t>
        </is>
      </c>
      <c r="P429" s="308" t="inlineStr">
        <is>
          <t>native</t>
        </is>
      </c>
      <c r="Q429" s="308" t="inlineStr"/>
      <c r="R429" s="308" t="inlineStr">
        <is>
          <t>native text sufficient</t>
        </is>
      </c>
      <c r="S429" s="308" t="inlineStr"/>
      <c r="T429" s="308" t="inlineStr">
        <is>
          <t>p16:native:140, p16:native:154</t>
        </is>
      </c>
      <c r="U429" s="308" t="n">
        <v>2</v>
      </c>
    </row>
    <row r="430">
      <c r="A430" s="308" t="inlineStr">
        <is>
          <t>Missing in Excel</t>
        </is>
      </c>
      <c r="B430" s="308" t="inlineStr">
        <is>
          <t>DG7030</t>
        </is>
      </c>
      <c r="C430" s="308" t="n">
        <v>16</v>
      </c>
      <c r="D430" s="308" t="inlineStr">
        <is>
          <t>PMP208</t>
        </is>
      </c>
      <c r="E430" s="308" t="inlineStr"/>
      <c r="F430" s="308" t="inlineStr">
        <is>
          <t>PMP208</t>
        </is>
      </c>
      <c r="G430" s="308" t="inlineStr">
        <is>
          <t>instrument</t>
        </is>
      </c>
      <c r="H430" s="311" t="n">
        <v>0.445</v>
      </c>
      <c r="I430" s="308" t="inlineStr">
        <is>
          <t>Low</t>
        </is>
      </c>
      <c r="J430" s="308" t="inlineStr">
        <is>
          <t>drawing</t>
        </is>
      </c>
      <c r="K430" s="308" t="inlineStr">
        <is>
          <t>standalone:isa</t>
        </is>
      </c>
      <c r="L430" s="308" t="inlineStr">
        <is>
          <t>drawing zone; process page; mapped sheet; custom code review; repeated x3</t>
        </is>
      </c>
      <c r="M430" s="308" t="inlineStr">
        <is>
          <t>PMP-208</t>
        </is>
      </c>
      <c r="N430" s="308" t="inlineStr">
        <is>
          <t>native</t>
        </is>
      </c>
      <c r="O430" s="308" t="inlineStr">
        <is>
          <t>native-only</t>
        </is>
      </c>
      <c r="P430" s="308" t="inlineStr">
        <is>
          <t>native</t>
        </is>
      </c>
      <c r="Q430" s="308" t="inlineStr"/>
      <c r="R430" s="308" t="inlineStr">
        <is>
          <t>native text sufficient</t>
        </is>
      </c>
      <c r="S430" s="308" t="inlineStr"/>
      <c r="T430" s="308" t="inlineStr">
        <is>
          <t>p16:native:158</t>
        </is>
      </c>
      <c r="U430" s="308" t="n">
        <v>1</v>
      </c>
    </row>
    <row r="431">
      <c r="A431" s="308" t="inlineStr">
        <is>
          <t>Missing in Excel</t>
        </is>
      </c>
      <c r="B431" s="308" t="inlineStr">
        <is>
          <t>DG7030</t>
        </is>
      </c>
      <c r="C431" s="308" t="n">
        <v>16</v>
      </c>
      <c r="D431" s="308" t="inlineStr">
        <is>
          <t>PMP208</t>
        </is>
      </c>
      <c r="E431" s="308" t="inlineStr"/>
      <c r="F431" s="308" t="inlineStr">
        <is>
          <t>PMP208</t>
        </is>
      </c>
      <c r="G431" s="308" t="inlineStr">
        <is>
          <t>instrument</t>
        </is>
      </c>
      <c r="H431" s="311" t="n">
        <v>0.445</v>
      </c>
      <c r="I431" s="308" t="inlineStr">
        <is>
          <t>Low</t>
        </is>
      </c>
      <c r="J431" s="308" t="inlineStr">
        <is>
          <t>drawing</t>
        </is>
      </c>
      <c r="K431" s="308" t="inlineStr">
        <is>
          <t>standalone:isa</t>
        </is>
      </c>
      <c r="L431" s="308" t="inlineStr">
        <is>
          <t>drawing zone; process page; mapped sheet; custom code review; repeated x3</t>
        </is>
      </c>
      <c r="M431" s="308" t="inlineStr">
        <is>
          <t>PMP-208</t>
        </is>
      </c>
      <c r="N431" s="308" t="inlineStr">
        <is>
          <t>native</t>
        </is>
      </c>
      <c r="O431" s="308" t="inlineStr">
        <is>
          <t>native-only</t>
        </is>
      </c>
      <c r="P431" s="308" t="inlineStr">
        <is>
          <t>native</t>
        </is>
      </c>
      <c r="Q431" s="308" t="inlineStr"/>
      <c r="R431" s="308" t="inlineStr">
        <is>
          <t>native text sufficient</t>
        </is>
      </c>
      <c r="S431" s="308" t="inlineStr"/>
      <c r="T431" s="308" t="inlineStr">
        <is>
          <t>p16:native:164</t>
        </is>
      </c>
      <c r="U431" s="308" t="n">
        <v>1</v>
      </c>
    </row>
    <row r="432">
      <c r="A432" s="308" t="inlineStr">
        <is>
          <t>Missing in Excel</t>
        </is>
      </c>
      <c r="B432" s="308" t="inlineStr">
        <is>
          <t>DG7030</t>
        </is>
      </c>
      <c r="C432" s="308" t="n">
        <v>16</v>
      </c>
      <c r="D432" s="308" t="inlineStr">
        <is>
          <t>PMP208</t>
        </is>
      </c>
      <c r="E432" s="308" t="inlineStr"/>
      <c r="F432" s="308" t="inlineStr">
        <is>
          <t>PMP208</t>
        </is>
      </c>
      <c r="G432" s="308" t="inlineStr">
        <is>
          <t>instrument</t>
        </is>
      </c>
      <c r="H432" s="311" t="n">
        <v>0.445</v>
      </c>
      <c r="I432" s="308" t="inlineStr">
        <is>
          <t>Low</t>
        </is>
      </c>
      <c r="J432" s="308" t="inlineStr">
        <is>
          <t>drawing</t>
        </is>
      </c>
      <c r="K432" s="308" t="inlineStr">
        <is>
          <t>standalone:isa</t>
        </is>
      </c>
      <c r="L432" s="308" t="inlineStr">
        <is>
          <t>drawing zone; process page; mapped sheet; custom code review; repeated x3</t>
        </is>
      </c>
      <c r="M432" s="308" t="inlineStr">
        <is>
          <t>PMP-208</t>
        </is>
      </c>
      <c r="N432" s="308" t="inlineStr">
        <is>
          <t>native</t>
        </is>
      </c>
      <c r="O432" s="308" t="inlineStr">
        <is>
          <t>native-only</t>
        </is>
      </c>
      <c r="P432" s="308" t="inlineStr">
        <is>
          <t>native</t>
        </is>
      </c>
      <c r="Q432" s="308" t="inlineStr"/>
      <c r="R432" s="308" t="inlineStr">
        <is>
          <t>native text sufficient</t>
        </is>
      </c>
      <c r="S432" s="308" t="inlineStr"/>
      <c r="T432" s="308" t="inlineStr">
        <is>
          <t>p16:native:170</t>
        </is>
      </c>
      <c r="U432" s="308" t="n">
        <v>1</v>
      </c>
    </row>
    <row r="433">
      <c r="A433" s="308" t="inlineStr">
        <is>
          <t>Missing in Excel</t>
        </is>
      </c>
      <c r="B433" s="308" t="inlineStr">
        <is>
          <t>DG7030</t>
        </is>
      </c>
      <c r="C433" s="308" t="n">
        <v>16</v>
      </c>
      <c r="D433" s="308" t="inlineStr">
        <is>
          <t>2"-JHWS-12A</t>
        </is>
      </c>
      <c r="E433" s="308" t="inlineStr">
        <is>
          <t>JHWS</t>
        </is>
      </c>
      <c r="F433" s="308" t="inlineStr">
        <is>
          <t>12A</t>
        </is>
      </c>
      <c r="G433" s="308" t="inlineStr">
        <is>
          <t>line</t>
        </is>
      </c>
      <c r="H433" s="311" t="n">
        <v>0.82</v>
      </c>
      <c r="I433" s="308" t="inlineStr">
        <is>
          <t>Medium</t>
        </is>
      </c>
      <c r="J433" s="308" t="inlineStr">
        <is>
          <t>drawing</t>
        </is>
      </c>
      <c r="K433" s="308" t="inlineStr">
        <is>
          <t>line:size-prefix</t>
        </is>
      </c>
      <c r="L433" s="308" t="inlineStr">
        <is>
          <t>drawing zone; process page; mapped sheet; repeated x2</t>
        </is>
      </c>
      <c r="M433" s="308" t="inlineStr">
        <is>
          <t>2"-JHWS-12A</t>
        </is>
      </c>
      <c r="N433" s="308" t="inlineStr">
        <is>
          <t>native</t>
        </is>
      </c>
      <c r="O433" s="308" t="inlineStr">
        <is>
          <t>native-only</t>
        </is>
      </c>
      <c r="P433" s="308" t="inlineStr">
        <is>
          <t>native</t>
        </is>
      </c>
      <c r="Q433" s="308" t="inlineStr"/>
      <c r="R433" s="308" t="inlineStr">
        <is>
          <t>native text sufficient</t>
        </is>
      </c>
      <c r="S433" s="308" t="inlineStr"/>
      <c r="T433" s="308" t="inlineStr">
        <is>
          <t>p16:native:284</t>
        </is>
      </c>
      <c r="U433" s="308" t="n">
        <v>1</v>
      </c>
    </row>
    <row r="434">
      <c r="A434" s="308" t="inlineStr">
        <is>
          <t>Missing in Excel</t>
        </is>
      </c>
      <c r="B434" s="308" t="inlineStr">
        <is>
          <t>DG7030</t>
        </is>
      </c>
      <c r="C434" s="308" t="n">
        <v>16</v>
      </c>
      <c r="D434" s="308" t="inlineStr">
        <is>
          <t>2"-JHWS-12A</t>
        </is>
      </c>
      <c r="E434" s="308" t="inlineStr">
        <is>
          <t>JHWS</t>
        </is>
      </c>
      <c r="F434" s="308" t="inlineStr">
        <is>
          <t>12A</t>
        </is>
      </c>
      <c r="G434" s="308" t="inlineStr">
        <is>
          <t>line</t>
        </is>
      </c>
      <c r="H434" s="311" t="n">
        <v>0.82</v>
      </c>
      <c r="I434" s="308" t="inlineStr">
        <is>
          <t>Medium</t>
        </is>
      </c>
      <c r="J434" s="308" t="inlineStr">
        <is>
          <t>drawing</t>
        </is>
      </c>
      <c r="K434" s="308" t="inlineStr">
        <is>
          <t>line:size-prefix</t>
        </is>
      </c>
      <c r="L434" s="308" t="inlineStr">
        <is>
          <t>drawing zone; process page; mapped sheet; repeated x2</t>
        </is>
      </c>
      <c r="M434" s="308" t="inlineStr">
        <is>
          <t>4 INCH 2"-JHWS-12A</t>
        </is>
      </c>
      <c r="N434" s="308" t="inlineStr">
        <is>
          <t>native</t>
        </is>
      </c>
      <c r="O434" s="308" t="inlineStr">
        <is>
          <t>native-only</t>
        </is>
      </c>
      <c r="P434" s="308" t="inlineStr">
        <is>
          <t>native</t>
        </is>
      </c>
      <c r="Q434" s="308" t="inlineStr"/>
      <c r="R434" s="308" t="inlineStr">
        <is>
          <t>native text sufficient</t>
        </is>
      </c>
      <c r="S434" s="308" t="inlineStr"/>
      <c r="T434" s="308" t="inlineStr">
        <is>
          <t>p16:native:24, p16:native:284</t>
        </is>
      </c>
      <c r="U434" s="308" t="n">
        <v>2</v>
      </c>
    </row>
    <row r="435">
      <c r="A435" s="308" t="inlineStr">
        <is>
          <t>Missing in Excel</t>
        </is>
      </c>
      <c r="B435" s="308" t="inlineStr">
        <is>
          <t>DG7030</t>
        </is>
      </c>
      <c r="C435" s="308" t="n">
        <v>16</v>
      </c>
      <c r="D435" s="308" t="inlineStr">
        <is>
          <t>1"-CA-12A</t>
        </is>
      </c>
      <c r="E435" s="308" t="inlineStr">
        <is>
          <t>CA</t>
        </is>
      </c>
      <c r="F435" s="308" t="inlineStr">
        <is>
          <t>12A</t>
        </is>
      </c>
      <c r="G435" s="308" t="inlineStr">
        <is>
          <t>line</t>
        </is>
      </c>
      <c r="H435" s="311" t="n">
        <v>0.77</v>
      </c>
      <c r="I435" s="308" t="inlineStr">
        <is>
          <t>Medium</t>
        </is>
      </c>
      <c r="J435" s="308" t="inlineStr">
        <is>
          <t>drawing</t>
        </is>
      </c>
      <c r="K435" s="308" t="inlineStr">
        <is>
          <t>line:size-prefix</t>
        </is>
      </c>
      <c r="L435" s="308" t="inlineStr">
        <is>
          <t>drawing zone; process page; mapped sheet</t>
        </is>
      </c>
      <c r="M435" s="308" t="inlineStr">
        <is>
          <t>1"-CA-12A</t>
        </is>
      </c>
      <c r="N435" s="308" t="inlineStr">
        <is>
          <t>native</t>
        </is>
      </c>
      <c r="O435" s="308" t="inlineStr">
        <is>
          <t>native-only</t>
        </is>
      </c>
      <c r="P435" s="308" t="inlineStr">
        <is>
          <t>native</t>
        </is>
      </c>
      <c r="Q435" s="308" t="inlineStr"/>
      <c r="R435" s="308" t="inlineStr">
        <is>
          <t>native text sufficient</t>
        </is>
      </c>
      <c r="S435" s="308" t="inlineStr"/>
      <c r="T435" s="308" t="inlineStr">
        <is>
          <t>p16:native:81</t>
        </is>
      </c>
      <c r="U435" s="308" t="n">
        <v>1</v>
      </c>
    </row>
    <row r="436">
      <c r="A436" s="308" t="inlineStr">
        <is>
          <t>Missing in Excel</t>
        </is>
      </c>
      <c r="B436" s="308" t="inlineStr">
        <is>
          <t>DG7030</t>
        </is>
      </c>
      <c r="C436" s="308" t="n">
        <v>16</v>
      </c>
      <c r="D436" s="308" t="inlineStr">
        <is>
          <t>2"-CIPS-T4</t>
        </is>
      </c>
      <c r="E436" s="308" t="inlineStr">
        <is>
          <t>CIPS</t>
        </is>
      </c>
      <c r="F436" s="308" t="inlineStr">
        <is>
          <t>T4</t>
        </is>
      </c>
      <c r="G436" s="308" t="inlineStr">
        <is>
          <t>line</t>
        </is>
      </c>
      <c r="H436" s="311" t="n">
        <v>0.77</v>
      </c>
      <c r="I436" s="308" t="inlineStr">
        <is>
          <t>Medium</t>
        </is>
      </c>
      <c r="J436" s="308" t="inlineStr">
        <is>
          <t>drawing</t>
        </is>
      </c>
      <c r="K436" s="308" t="inlineStr">
        <is>
          <t>line:size-prefix</t>
        </is>
      </c>
      <c r="L436" s="308" t="inlineStr">
        <is>
          <t>drawing zone; process page; mapped sheet</t>
        </is>
      </c>
      <c r="M436" s="308" t="inlineStr">
        <is>
          <t>2"-CIPS-T4</t>
        </is>
      </c>
      <c r="N436" s="308" t="inlineStr">
        <is>
          <t>native</t>
        </is>
      </c>
      <c r="O436" s="308" t="inlineStr">
        <is>
          <t>native-only</t>
        </is>
      </c>
      <c r="P436" s="308" t="inlineStr">
        <is>
          <t>native</t>
        </is>
      </c>
      <c r="Q436" s="308" t="inlineStr"/>
      <c r="R436" s="308" t="inlineStr">
        <is>
          <t>native text sufficient</t>
        </is>
      </c>
      <c r="S436" s="308" t="inlineStr"/>
      <c r="T436" s="308" t="inlineStr">
        <is>
          <t>p16:native:236</t>
        </is>
      </c>
      <c r="U436" s="308" t="n">
        <v>1</v>
      </c>
    </row>
    <row r="437">
      <c r="A437" s="308" t="inlineStr">
        <is>
          <t>Missing in Excel</t>
        </is>
      </c>
      <c r="B437" s="308" t="inlineStr">
        <is>
          <t>DG7030</t>
        </is>
      </c>
      <c r="C437" s="308" t="n">
        <v>16</v>
      </c>
      <c r="D437" s="308" t="inlineStr">
        <is>
          <t>2"-CWR-T4</t>
        </is>
      </c>
      <c r="E437" s="308" t="inlineStr">
        <is>
          <t>CWR</t>
        </is>
      </c>
      <c r="F437" s="308" t="inlineStr">
        <is>
          <t>T4</t>
        </is>
      </c>
      <c r="G437" s="308" t="inlineStr">
        <is>
          <t>line</t>
        </is>
      </c>
      <c r="H437" s="311" t="n">
        <v>0.77</v>
      </c>
      <c r="I437" s="308" t="inlineStr">
        <is>
          <t>Medium</t>
        </is>
      </c>
      <c r="J437" s="308" t="inlineStr">
        <is>
          <t>drawing</t>
        </is>
      </c>
      <c r="K437" s="308" t="inlineStr">
        <is>
          <t>line:size-prefix</t>
        </is>
      </c>
      <c r="L437" s="308" t="inlineStr">
        <is>
          <t>drawing zone; process page; mapped sheet</t>
        </is>
      </c>
      <c r="M437" s="308" t="inlineStr">
        <is>
          <t>2"-CWR-T4</t>
        </is>
      </c>
      <c r="N437" s="308" t="inlineStr">
        <is>
          <t>native</t>
        </is>
      </c>
      <c r="O437" s="308" t="inlineStr">
        <is>
          <t>native-only</t>
        </is>
      </c>
      <c r="P437" s="308" t="inlineStr">
        <is>
          <t>native</t>
        </is>
      </c>
      <c r="Q437" s="308" t="inlineStr"/>
      <c r="R437" s="308" t="inlineStr">
        <is>
          <t>native text sufficient</t>
        </is>
      </c>
      <c r="S437" s="308" t="inlineStr"/>
      <c r="T437" s="308" t="inlineStr">
        <is>
          <t>p16:native:285</t>
        </is>
      </c>
      <c r="U437" s="308" t="n">
        <v>1</v>
      </c>
    </row>
    <row r="438">
      <c r="A438" s="308" t="inlineStr">
        <is>
          <t>Missing in Excel</t>
        </is>
      </c>
      <c r="B438" s="308" t="inlineStr">
        <is>
          <t>DG7030</t>
        </is>
      </c>
      <c r="C438" s="308" t="n">
        <v>16</v>
      </c>
      <c r="D438" s="308" t="inlineStr">
        <is>
          <t>2"-JHWR-12A</t>
        </is>
      </c>
      <c r="E438" s="308" t="inlineStr">
        <is>
          <t>JHWR</t>
        </is>
      </c>
      <c r="F438" s="308" t="inlineStr">
        <is>
          <t>12A</t>
        </is>
      </c>
      <c r="G438" s="308" t="inlineStr">
        <is>
          <t>line</t>
        </is>
      </c>
      <c r="H438" s="311" t="n">
        <v>0.77</v>
      </c>
      <c r="I438" s="308" t="inlineStr">
        <is>
          <t>Medium</t>
        </is>
      </c>
      <c r="J438" s="308" t="inlineStr">
        <is>
          <t>drawing</t>
        </is>
      </c>
      <c r="K438" s="308" t="inlineStr">
        <is>
          <t>line:size-prefix</t>
        </is>
      </c>
      <c r="L438" s="308" t="inlineStr">
        <is>
          <t>drawing zone; process page; mapped sheet</t>
        </is>
      </c>
      <c r="M438" s="308" t="inlineStr">
        <is>
          <t>2"-JHWR-12A</t>
        </is>
      </c>
      <c r="N438" s="308" t="inlineStr">
        <is>
          <t>native</t>
        </is>
      </c>
      <c r="O438" s="308" t="inlineStr">
        <is>
          <t>native-only</t>
        </is>
      </c>
      <c r="P438" s="308" t="inlineStr">
        <is>
          <t>native</t>
        </is>
      </c>
      <c r="Q438" s="308" t="inlineStr"/>
      <c r="R438" s="308" t="inlineStr">
        <is>
          <t>native text sufficient</t>
        </is>
      </c>
      <c r="S438" s="308" t="inlineStr"/>
      <c r="T438" s="308" t="inlineStr">
        <is>
          <t>p16:native:283</t>
        </is>
      </c>
      <c r="U438" s="308" t="n">
        <v>1</v>
      </c>
    </row>
    <row r="439">
      <c r="A439" s="308" t="inlineStr">
        <is>
          <t>Missing in Excel</t>
        </is>
      </c>
      <c r="B439" s="308" t="inlineStr">
        <is>
          <t>DG7030</t>
        </is>
      </c>
      <c r="C439" s="308" t="n">
        <v>16</v>
      </c>
      <c r="D439" s="308" t="inlineStr">
        <is>
          <t>2"-JPROD-12A</t>
        </is>
      </c>
      <c r="E439" s="308" t="inlineStr">
        <is>
          <t>JPROD</t>
        </is>
      </c>
      <c r="F439" s="308" t="inlineStr">
        <is>
          <t>12A</t>
        </is>
      </c>
      <c r="G439" s="308" t="inlineStr">
        <is>
          <t>line</t>
        </is>
      </c>
      <c r="H439" s="311" t="n">
        <v>0.77</v>
      </c>
      <c r="I439" s="308" t="inlineStr">
        <is>
          <t>Medium</t>
        </is>
      </c>
      <c r="J439" s="308" t="inlineStr">
        <is>
          <t>drawing</t>
        </is>
      </c>
      <c r="K439" s="308" t="inlineStr">
        <is>
          <t>line:size-prefix</t>
        </is>
      </c>
      <c r="L439" s="308" t="inlineStr">
        <is>
          <t>drawing zone; process page; mapped sheet</t>
        </is>
      </c>
      <c r="M439" s="308" t="inlineStr">
        <is>
          <t>2"-JPROD-12A</t>
        </is>
      </c>
      <c r="N439" s="308" t="inlineStr">
        <is>
          <t>native</t>
        </is>
      </c>
      <c r="O439" s="308" t="inlineStr">
        <is>
          <t>native-only</t>
        </is>
      </c>
      <c r="P439" s="308" t="inlineStr">
        <is>
          <t>native</t>
        </is>
      </c>
      <c r="Q439" s="308" t="inlineStr"/>
      <c r="R439" s="308" t="inlineStr">
        <is>
          <t>native text sufficient</t>
        </is>
      </c>
      <c r="S439" s="308" t="inlineStr"/>
      <c r="T439" s="308" t="inlineStr">
        <is>
          <t>p16:native:47</t>
        </is>
      </c>
      <c r="U439" s="308" t="n">
        <v>1</v>
      </c>
    </row>
    <row r="440">
      <c r="A440" s="308" t="inlineStr">
        <is>
          <t>Missing in Excel</t>
        </is>
      </c>
      <c r="B440" s="308" t="inlineStr">
        <is>
          <t>DG7030</t>
        </is>
      </c>
      <c r="C440" s="308" t="n">
        <v>16</v>
      </c>
      <c r="D440" s="308" t="inlineStr">
        <is>
          <t>2"-JPROD-T4</t>
        </is>
      </c>
      <c r="E440" s="308" t="inlineStr">
        <is>
          <t>JPROD</t>
        </is>
      </c>
      <c r="F440" s="308" t="inlineStr">
        <is>
          <t>T4</t>
        </is>
      </c>
      <c r="G440" s="308" t="inlineStr">
        <is>
          <t>line</t>
        </is>
      </c>
      <c r="H440" s="311" t="n">
        <v>0.77</v>
      </c>
      <c r="I440" s="308" t="inlineStr">
        <is>
          <t>Medium</t>
        </is>
      </c>
      <c r="J440" s="308" t="inlineStr">
        <is>
          <t>drawing</t>
        </is>
      </c>
      <c r="K440" s="308" t="inlineStr">
        <is>
          <t>line:size-prefix</t>
        </is>
      </c>
      <c r="L440" s="308" t="inlineStr">
        <is>
          <t>drawing zone; process page; mapped sheet</t>
        </is>
      </c>
      <c r="M440" s="308" t="inlineStr">
        <is>
          <t>2"-JPROD-T4</t>
        </is>
      </c>
      <c r="N440" s="308" t="inlineStr">
        <is>
          <t>native</t>
        </is>
      </c>
      <c r="O440" s="308" t="inlineStr">
        <is>
          <t>native-only</t>
        </is>
      </c>
      <c r="P440" s="308" t="inlineStr">
        <is>
          <t>native</t>
        </is>
      </c>
      <c r="Q440" s="308" t="inlineStr"/>
      <c r="R440" s="308" t="inlineStr">
        <is>
          <t>native text sufficient</t>
        </is>
      </c>
      <c r="S440" s="308" t="inlineStr"/>
      <c r="T440" s="308" t="inlineStr">
        <is>
          <t>p16:native:201</t>
        </is>
      </c>
      <c r="U440" s="308" t="n">
        <v>1</v>
      </c>
    </row>
    <row r="441">
      <c r="A441" s="308" t="inlineStr">
        <is>
          <t>Missing in Excel</t>
        </is>
      </c>
      <c r="B441" s="308" t="inlineStr">
        <is>
          <t>DG7030</t>
        </is>
      </c>
      <c r="C441" s="308" t="n">
        <v>16</v>
      </c>
      <c r="D441" s="308" t="inlineStr">
        <is>
          <t>3"-CIPR-T4</t>
        </is>
      </c>
      <c r="E441" s="308" t="inlineStr">
        <is>
          <t>CIPR</t>
        </is>
      </c>
      <c r="F441" s="308" t="inlineStr">
        <is>
          <t>T4</t>
        </is>
      </c>
      <c r="G441" s="308" t="inlineStr">
        <is>
          <t>line</t>
        </is>
      </c>
      <c r="H441" s="311" t="n">
        <v>0.77</v>
      </c>
      <c r="I441" s="308" t="inlineStr">
        <is>
          <t>Medium</t>
        </is>
      </c>
      <c r="J441" s="308" t="inlineStr">
        <is>
          <t>drawing</t>
        </is>
      </c>
      <c r="K441" s="308" t="inlineStr">
        <is>
          <t>line:size-prefix</t>
        </is>
      </c>
      <c r="L441" s="308" t="inlineStr">
        <is>
          <t>drawing zone; process page; mapped sheet</t>
        </is>
      </c>
      <c r="M441" s="308" t="inlineStr">
        <is>
          <t>3"-CIPR-T4</t>
        </is>
      </c>
      <c r="N441" s="308" t="inlineStr">
        <is>
          <t>native</t>
        </is>
      </c>
      <c r="O441" s="308" t="inlineStr">
        <is>
          <t>native-only</t>
        </is>
      </c>
      <c r="P441" s="308" t="inlineStr">
        <is>
          <t>native</t>
        </is>
      </c>
      <c r="Q441" s="308" t="inlineStr"/>
      <c r="R441" s="308" t="inlineStr">
        <is>
          <t>native text sufficient</t>
        </is>
      </c>
      <c r="S441" s="308" t="inlineStr"/>
      <c r="T441" s="308" t="inlineStr">
        <is>
          <t>p16:native:237</t>
        </is>
      </c>
      <c r="U441" s="308" t="n">
        <v>1</v>
      </c>
    </row>
    <row r="442">
      <c r="A442" s="308" t="inlineStr">
        <is>
          <t>Missing in Excel</t>
        </is>
      </c>
      <c r="B442" s="308" t="inlineStr">
        <is>
          <t>DG7030</t>
        </is>
      </c>
      <c r="C442" s="308" t="n">
        <v>16</v>
      </c>
      <c r="D442" s="308" t="inlineStr">
        <is>
          <t>3"-PROD-T4</t>
        </is>
      </c>
      <c r="E442" s="308" t="inlineStr">
        <is>
          <t>PROD</t>
        </is>
      </c>
      <c r="F442" s="308" t="inlineStr">
        <is>
          <t>T4</t>
        </is>
      </c>
      <c r="G442" s="308" t="inlineStr">
        <is>
          <t>line</t>
        </is>
      </c>
      <c r="H442" s="311" t="n">
        <v>0.77</v>
      </c>
      <c r="I442" s="308" t="inlineStr">
        <is>
          <t>Medium</t>
        </is>
      </c>
      <c r="J442" s="308" t="inlineStr">
        <is>
          <t>drawing</t>
        </is>
      </c>
      <c r="K442" s="308" t="inlineStr">
        <is>
          <t>line:size-prefix</t>
        </is>
      </c>
      <c r="L442" s="308" t="inlineStr">
        <is>
          <t>drawing zone; process page; mapped sheet</t>
        </is>
      </c>
      <c r="M442" s="308" t="inlineStr">
        <is>
          <t>3"-PROD-T4</t>
        </is>
      </c>
      <c r="N442" s="308" t="inlineStr">
        <is>
          <t>native</t>
        </is>
      </c>
      <c r="O442" s="308" t="inlineStr">
        <is>
          <t>native-only</t>
        </is>
      </c>
      <c r="P442" s="308" t="inlineStr">
        <is>
          <t>native</t>
        </is>
      </c>
      <c r="Q442" s="308" t="inlineStr"/>
      <c r="R442" s="308" t="inlineStr">
        <is>
          <t>native text sufficient</t>
        </is>
      </c>
      <c r="S442" s="308" t="inlineStr"/>
      <c r="T442" s="308" t="inlineStr">
        <is>
          <t>p16:native:82</t>
        </is>
      </c>
      <c r="U442" s="308" t="n">
        <v>1</v>
      </c>
    </row>
    <row r="443">
      <c r="A443" s="308" t="inlineStr">
        <is>
          <t>Missing in Excel</t>
        </is>
      </c>
      <c r="B443" s="308" t="inlineStr">
        <is>
          <t>DG7030</t>
        </is>
      </c>
      <c r="C443" s="308" t="n">
        <v>16</v>
      </c>
      <c r="D443" s="308" t="inlineStr">
        <is>
          <t>RL7-CHR-201</t>
        </is>
      </c>
      <c r="E443" s="308" t="inlineStr">
        <is>
          <t>RL7-CHR-201</t>
        </is>
      </c>
      <c r="F443" s="308" t="inlineStr"/>
      <c r="G443" s="308" t="inlineStr">
        <is>
          <t>equipment</t>
        </is>
      </c>
      <c r="H443" s="311" t="n">
        <v>0.49</v>
      </c>
      <c r="I443" s="308" t="inlineStr">
        <is>
          <t>Low</t>
        </is>
      </c>
      <c r="J443" s="308" t="inlineStr">
        <is>
          <t>title-block/right</t>
        </is>
      </c>
      <c r="K443" s="308" t="inlineStr">
        <is>
          <t>standalone:asset</t>
        </is>
      </c>
      <c r="L443" s="308" t="inlineStr">
        <is>
          <t>title-block penalty; process page; mapped sheet</t>
        </is>
      </c>
      <c r="M443" s="308" t="inlineStr">
        <is>
          <t>RL7-CHR-201</t>
        </is>
      </c>
      <c r="N443" s="308" t="inlineStr">
        <is>
          <t>native</t>
        </is>
      </c>
      <c r="O443" s="308" t="inlineStr">
        <is>
          <t>native-only</t>
        </is>
      </c>
      <c r="P443" s="308" t="inlineStr">
        <is>
          <t>native</t>
        </is>
      </c>
      <c r="Q443" s="308" t="inlineStr"/>
      <c r="R443" s="308" t="inlineStr">
        <is>
          <t>native text sufficient</t>
        </is>
      </c>
      <c r="S443" s="308" t="inlineStr"/>
      <c r="T443" s="308" t="inlineStr">
        <is>
          <t>p16:native:212</t>
        </is>
      </c>
      <c r="U443" s="308" t="n">
        <v>1</v>
      </c>
    </row>
    <row r="444">
      <c r="A444" s="308" t="inlineStr">
        <is>
          <t>Missing in Excel</t>
        </is>
      </c>
      <c r="B444" s="308" t="inlineStr">
        <is>
          <t>DG7030</t>
        </is>
      </c>
      <c r="C444" s="308" t="n">
        <v>16</v>
      </c>
      <c r="D444" s="308" t="inlineStr">
        <is>
          <t>RL7-CIP-200</t>
        </is>
      </c>
      <c r="E444" s="308" t="inlineStr">
        <is>
          <t>RL7-CIP-200</t>
        </is>
      </c>
      <c r="F444" s="308" t="inlineStr"/>
      <c r="G444" s="308" t="inlineStr">
        <is>
          <t>equipment</t>
        </is>
      </c>
      <c r="H444" s="311" t="n">
        <v>0.49</v>
      </c>
      <c r="I444" s="308" t="inlineStr">
        <is>
          <t>Low</t>
        </is>
      </c>
      <c r="J444" s="308" t="inlineStr">
        <is>
          <t>title-block/right</t>
        </is>
      </c>
      <c r="K444" s="308" t="inlineStr">
        <is>
          <t>standalone:asset</t>
        </is>
      </c>
      <c r="L444" s="308" t="inlineStr">
        <is>
          <t>title-block penalty; process page; mapped sheet</t>
        </is>
      </c>
      <c r="M444" s="308" t="inlineStr">
        <is>
          <t>RL7-CIP-200</t>
        </is>
      </c>
      <c r="N444" s="308" t="inlineStr">
        <is>
          <t>native</t>
        </is>
      </c>
      <c r="O444" s="308" t="inlineStr">
        <is>
          <t>native-only</t>
        </is>
      </c>
      <c r="P444" s="308" t="inlineStr">
        <is>
          <t>native</t>
        </is>
      </c>
      <c r="Q444" s="308" t="inlineStr"/>
      <c r="R444" s="308" t="inlineStr">
        <is>
          <t>native text sufficient</t>
        </is>
      </c>
      <c r="S444" s="308" t="inlineStr"/>
      <c r="T444" s="308" t="inlineStr">
        <is>
          <t>p16:native:69</t>
        </is>
      </c>
      <c r="U444" s="308" t="n">
        <v>1</v>
      </c>
    </row>
    <row r="445">
      <c r="A445" s="308" t="inlineStr">
        <is>
          <t>Missing in Excel</t>
        </is>
      </c>
      <c r="B445" s="308" t="inlineStr">
        <is>
          <t>DG7030</t>
        </is>
      </c>
      <c r="C445" s="308" t="n">
        <v>16</v>
      </c>
      <c r="D445" s="308" t="inlineStr">
        <is>
          <t>RL7-CKR-103</t>
        </is>
      </c>
      <c r="E445" s="308" t="inlineStr">
        <is>
          <t>RL7-CKR-103</t>
        </is>
      </c>
      <c r="F445" s="308" t="inlineStr"/>
      <c r="G445" s="308" t="inlineStr">
        <is>
          <t>equipment</t>
        </is>
      </c>
      <c r="H445" s="311" t="n">
        <v>0.49</v>
      </c>
      <c r="I445" s="308" t="inlineStr">
        <is>
          <t>Low</t>
        </is>
      </c>
      <c r="J445" s="308" t="inlineStr">
        <is>
          <t>title-block/right</t>
        </is>
      </c>
      <c r="K445" s="308" t="inlineStr">
        <is>
          <t>standalone:asset</t>
        </is>
      </c>
      <c r="L445" s="308" t="inlineStr">
        <is>
          <t>title-block penalty; process page; mapped sheet</t>
        </is>
      </c>
      <c r="M445" s="308" t="inlineStr">
        <is>
          <t>RL7-CKR-103</t>
        </is>
      </c>
      <c r="N445" s="308" t="inlineStr">
        <is>
          <t>native</t>
        </is>
      </c>
      <c r="O445" s="308" t="inlineStr">
        <is>
          <t>native-only</t>
        </is>
      </c>
      <c r="P445" s="308" t="inlineStr">
        <is>
          <t>native</t>
        </is>
      </c>
      <c r="Q445" s="308" t="inlineStr"/>
      <c r="R445" s="308" t="inlineStr">
        <is>
          <t>native text sufficient</t>
        </is>
      </c>
      <c r="S445" s="308" t="inlineStr"/>
      <c r="T445" s="308" t="inlineStr">
        <is>
          <t>p16:native:10</t>
        </is>
      </c>
      <c r="U445" s="308" t="n">
        <v>1</v>
      </c>
    </row>
    <row r="446">
      <c r="A446" s="308" t="inlineStr">
        <is>
          <t>Missing in Excel</t>
        </is>
      </c>
      <c r="B446" s="308" t="inlineStr">
        <is>
          <t>DG7030</t>
        </is>
      </c>
      <c r="C446" s="308" t="n">
        <v>16</v>
      </c>
      <c r="D446" s="308" t="inlineStr">
        <is>
          <t>RL7-MDT-102</t>
        </is>
      </c>
      <c r="E446" s="308" t="inlineStr">
        <is>
          <t>RL7-MDT-102</t>
        </is>
      </c>
      <c r="F446" s="308" t="inlineStr"/>
      <c r="G446" s="308" t="inlineStr">
        <is>
          <t>equipment</t>
        </is>
      </c>
      <c r="H446" s="311" t="n">
        <v>0.49</v>
      </c>
      <c r="I446" s="308" t="inlineStr">
        <is>
          <t>Low</t>
        </is>
      </c>
      <c r="J446" s="308" t="inlineStr">
        <is>
          <t>title-block/right</t>
        </is>
      </c>
      <c r="K446" s="308" t="inlineStr">
        <is>
          <t>standalone:asset</t>
        </is>
      </c>
      <c r="L446" s="308" t="inlineStr">
        <is>
          <t>title-block penalty; process page; mapped sheet</t>
        </is>
      </c>
      <c r="M446" s="308" t="inlineStr">
        <is>
          <t>RL7-MDT-102</t>
        </is>
      </c>
      <c r="N446" s="308" t="inlineStr">
        <is>
          <t>native</t>
        </is>
      </c>
      <c r="O446" s="308" t="inlineStr">
        <is>
          <t>native-only</t>
        </is>
      </c>
      <c r="P446" s="308" t="inlineStr">
        <is>
          <t>native</t>
        </is>
      </c>
      <c r="Q446" s="308" t="inlineStr"/>
      <c r="R446" s="308" t="inlineStr">
        <is>
          <t>native text sufficient</t>
        </is>
      </c>
      <c r="S446" s="308" t="inlineStr"/>
      <c r="T446" s="308" t="inlineStr">
        <is>
          <t>p16:native:208</t>
        </is>
      </c>
      <c r="U446" s="308" t="n">
        <v>1</v>
      </c>
    </row>
    <row r="447">
      <c r="A447" s="308" t="inlineStr">
        <is>
          <t>Missing in Excel</t>
        </is>
      </c>
      <c r="B447" s="308" t="inlineStr">
        <is>
          <t>DG7031</t>
        </is>
      </c>
      <c r="C447" s="308" t="n">
        <v>17</v>
      </c>
      <c r="D447" s="308" t="inlineStr">
        <is>
          <t>RL7-CHM-201</t>
        </is>
      </c>
      <c r="E447" s="308" t="inlineStr">
        <is>
          <t>RL7-CHM-201</t>
        </is>
      </c>
      <c r="F447" s="308" t="inlineStr"/>
      <c r="G447" s="308" t="inlineStr">
        <is>
          <t>equipment</t>
        </is>
      </c>
      <c r="H447" s="311" t="n">
        <v>0.77</v>
      </c>
      <c r="I447" s="308" t="inlineStr">
        <is>
          <t>Medium</t>
        </is>
      </c>
      <c r="J447" s="308" t="inlineStr">
        <is>
          <t>drawing</t>
        </is>
      </c>
      <c r="K447" s="308" t="inlineStr">
        <is>
          <t>standalone:asset</t>
        </is>
      </c>
      <c r="L447" s="308" t="inlineStr">
        <is>
          <t>drawing zone; process page; mapped sheet</t>
        </is>
      </c>
      <c r="M447" s="308" t="inlineStr">
        <is>
          <t>RL7-CHM-201</t>
        </is>
      </c>
      <c r="N447" s="308" t="inlineStr">
        <is>
          <t>native</t>
        </is>
      </c>
      <c r="O447" s="308" t="inlineStr">
        <is>
          <t>native-only</t>
        </is>
      </c>
      <c r="P447" s="308" t="inlineStr">
        <is>
          <t>native</t>
        </is>
      </c>
      <c r="Q447" s="308" t="inlineStr"/>
      <c r="R447" s="308" t="inlineStr">
        <is>
          <t>native text sufficient</t>
        </is>
      </c>
      <c r="S447" s="308" t="inlineStr"/>
      <c r="T447" s="308" t="inlineStr">
        <is>
          <t>p17:native:1</t>
        </is>
      </c>
      <c r="U447" s="308" t="n">
        <v>1</v>
      </c>
    </row>
    <row r="448">
      <c r="A448" s="308" t="inlineStr">
        <is>
          <t>Missing in Excel</t>
        </is>
      </c>
      <c r="B448" s="308" t="inlineStr">
        <is>
          <t>DG7031</t>
        </is>
      </c>
      <c r="C448" s="308" t="n">
        <v>17</v>
      </c>
      <c r="D448" s="308" t="inlineStr">
        <is>
          <t>RL7-DCR-201</t>
        </is>
      </c>
      <c r="E448" s="308" t="inlineStr">
        <is>
          <t>RL7-DCR-201</t>
        </is>
      </c>
      <c r="F448" s="308" t="inlineStr"/>
      <c r="G448" s="308" t="inlineStr">
        <is>
          <t>equipment</t>
        </is>
      </c>
      <c r="H448" s="311" t="n">
        <v>0.77</v>
      </c>
      <c r="I448" s="308" t="inlineStr">
        <is>
          <t>Medium</t>
        </is>
      </c>
      <c r="J448" s="308" t="inlineStr">
        <is>
          <t>drawing</t>
        </is>
      </c>
      <c r="K448" s="308" t="inlineStr">
        <is>
          <t>standalone:asset</t>
        </is>
      </c>
      <c r="L448" s="308" t="inlineStr">
        <is>
          <t>drawing zone; process page; mapped sheet</t>
        </is>
      </c>
      <c r="M448" s="308" t="inlineStr">
        <is>
          <t>RL7-DCR-201</t>
        </is>
      </c>
      <c r="N448" s="308" t="inlineStr">
        <is>
          <t>native</t>
        </is>
      </c>
      <c r="O448" s="308" t="inlineStr">
        <is>
          <t>native-only</t>
        </is>
      </c>
      <c r="P448" s="308" t="inlineStr">
        <is>
          <t>native</t>
        </is>
      </c>
      <c r="Q448" s="308" t="inlineStr"/>
      <c r="R448" s="308" t="inlineStr">
        <is>
          <t>native text sufficient</t>
        </is>
      </c>
      <c r="S448" s="308" t="inlineStr"/>
      <c r="T448" s="308" t="inlineStr">
        <is>
          <t>p17:native:4</t>
        </is>
      </c>
      <c r="U448" s="308" t="n">
        <v>1</v>
      </c>
    </row>
    <row r="449">
      <c r="A449" s="308" t="inlineStr">
        <is>
          <t>Missing in Excel</t>
        </is>
      </c>
      <c r="B449" s="308" t="inlineStr">
        <is>
          <t>DG7031</t>
        </is>
      </c>
      <c r="C449" s="308" t="n">
        <v>17</v>
      </c>
      <c r="D449" s="308" t="inlineStr">
        <is>
          <t>RL7-PMP-201</t>
        </is>
      </c>
      <c r="E449" s="308" t="inlineStr">
        <is>
          <t>RL7-PMP-201</t>
        </is>
      </c>
      <c r="F449" s="308" t="inlineStr"/>
      <c r="G449" s="308" t="inlineStr">
        <is>
          <t>equipment</t>
        </is>
      </c>
      <c r="H449" s="311" t="n">
        <v>0.77</v>
      </c>
      <c r="I449" s="308" t="inlineStr">
        <is>
          <t>Medium</t>
        </is>
      </c>
      <c r="J449" s="308" t="inlineStr">
        <is>
          <t>drawing</t>
        </is>
      </c>
      <c r="K449" s="308" t="inlineStr">
        <is>
          <t>standalone:asset</t>
        </is>
      </c>
      <c r="L449" s="308" t="inlineStr">
        <is>
          <t>drawing zone; process page; mapped sheet</t>
        </is>
      </c>
      <c r="M449" s="308" t="inlineStr">
        <is>
          <t>RL7-PMP-201</t>
        </is>
      </c>
      <c r="N449" s="308" t="inlineStr">
        <is>
          <t>native</t>
        </is>
      </c>
      <c r="O449" s="308" t="inlineStr">
        <is>
          <t>native-only</t>
        </is>
      </c>
      <c r="P449" s="308" t="inlineStr">
        <is>
          <t>native</t>
        </is>
      </c>
      <c r="Q449" s="308" t="inlineStr"/>
      <c r="R449" s="308" t="inlineStr">
        <is>
          <t>native text sufficient</t>
        </is>
      </c>
      <c r="S449" s="308" t="inlineStr"/>
      <c r="T449" s="308" t="inlineStr">
        <is>
          <t>p17:native:14</t>
        </is>
      </c>
      <c r="U449" s="308" t="n">
        <v>1</v>
      </c>
    </row>
    <row r="450">
      <c r="A450" s="308" t="inlineStr">
        <is>
          <t>Missing in Excel</t>
        </is>
      </c>
      <c r="B450" s="308" t="inlineStr">
        <is>
          <t>DG7031</t>
        </is>
      </c>
      <c r="C450" s="308" t="n">
        <v>17</v>
      </c>
      <c r="D450" s="308" t="inlineStr">
        <is>
          <t>RL7-SPL-201</t>
        </is>
      </c>
      <c r="E450" s="308" t="inlineStr">
        <is>
          <t>RL7-SPL-201</t>
        </is>
      </c>
      <c r="F450" s="308" t="inlineStr"/>
      <c r="G450" s="308" t="inlineStr">
        <is>
          <t>equipment</t>
        </is>
      </c>
      <c r="H450" s="311" t="n">
        <v>0.77</v>
      </c>
      <c r="I450" s="308" t="inlineStr">
        <is>
          <t>Medium</t>
        </is>
      </c>
      <c r="J450" s="308" t="inlineStr">
        <is>
          <t>drawing</t>
        </is>
      </c>
      <c r="K450" s="308" t="inlineStr">
        <is>
          <t>standalone:asset</t>
        </is>
      </c>
      <c r="L450" s="308" t="inlineStr">
        <is>
          <t>drawing zone; process page; mapped sheet</t>
        </is>
      </c>
      <c r="M450" s="308" t="inlineStr">
        <is>
          <t>RL7-SPL-201</t>
        </is>
      </c>
      <c r="N450" s="308" t="inlineStr">
        <is>
          <t>native</t>
        </is>
      </c>
      <c r="O450" s="308" t="inlineStr">
        <is>
          <t>native-only</t>
        </is>
      </c>
      <c r="P450" s="308" t="inlineStr">
        <is>
          <t>native</t>
        </is>
      </c>
      <c r="Q450" s="308" t="inlineStr"/>
      <c r="R450" s="308" t="inlineStr">
        <is>
          <t>native text sufficient</t>
        </is>
      </c>
      <c r="S450" s="308" t="inlineStr"/>
      <c r="T450" s="308" t="inlineStr">
        <is>
          <t>p17:native:74</t>
        </is>
      </c>
      <c r="U450" s="308" t="n">
        <v>1</v>
      </c>
    </row>
    <row r="451">
      <c r="A451" s="308" t="inlineStr">
        <is>
          <t>Missing in Excel</t>
        </is>
      </c>
      <c r="B451" s="308" t="inlineStr">
        <is>
          <t>DG7031</t>
        </is>
      </c>
      <c r="C451" s="308" t="n">
        <v>17</v>
      </c>
      <c r="D451" s="308" t="inlineStr">
        <is>
          <t>RL7-CHM-201-PIT01</t>
        </is>
      </c>
      <c r="E451" s="308" t="inlineStr">
        <is>
          <t>RL7-CHM-201</t>
        </is>
      </c>
      <c r="F451" s="308" t="inlineStr">
        <is>
          <t>PIT01</t>
        </is>
      </c>
      <c r="G451" s="308" t="inlineStr">
        <is>
          <t>instrument</t>
        </is>
      </c>
      <c r="H451" s="311" t="n">
        <v>0.99</v>
      </c>
      <c r="I451" s="308" t="inlineStr">
        <is>
          <t>High</t>
        </is>
      </c>
      <c r="J451" s="308" t="inlineStr">
        <is>
          <t>drawing</t>
        </is>
      </c>
      <c r="K451" s="308" t="inlineStr">
        <is>
          <t>stacked:isa</t>
        </is>
      </c>
      <c r="L451" s="308" t="inlineStr">
        <is>
          <t>drawing zone; process page; mapped sheet</t>
        </is>
      </c>
      <c r="M451" s="308" t="inlineStr">
        <is>
          <t>RL7-CHM-201 / PIT-01</t>
        </is>
      </c>
      <c r="N451" s="308" t="inlineStr">
        <is>
          <t>native</t>
        </is>
      </c>
      <c r="O451" s="308" t="inlineStr">
        <is>
          <t>native-only</t>
        </is>
      </c>
      <c r="P451" s="308" t="inlineStr">
        <is>
          <t>native</t>
        </is>
      </c>
      <c r="Q451" s="308" t="inlineStr"/>
      <c r="R451" s="308" t="inlineStr">
        <is>
          <t>native text sufficient</t>
        </is>
      </c>
      <c r="S451" s="308" t="inlineStr"/>
      <c r="T451" s="308" t="inlineStr">
        <is>
          <t>p17:native:8, p17:native:9</t>
        </is>
      </c>
      <c r="U451" s="308" t="n">
        <v>2</v>
      </c>
    </row>
    <row r="452">
      <c r="A452" s="308" t="inlineStr">
        <is>
          <t>Missing in Excel</t>
        </is>
      </c>
      <c r="B452" s="308" t="inlineStr">
        <is>
          <t>DG7031</t>
        </is>
      </c>
      <c r="C452" s="308" t="n">
        <v>17</v>
      </c>
      <c r="D452" s="308" t="inlineStr">
        <is>
          <t>RL7-CHM-201-TIT01</t>
        </is>
      </c>
      <c r="E452" s="308" t="inlineStr">
        <is>
          <t>RL7-CHM-201</t>
        </is>
      </c>
      <c r="F452" s="308" t="inlineStr">
        <is>
          <t>TIT01</t>
        </is>
      </c>
      <c r="G452" s="308" t="inlineStr">
        <is>
          <t>instrument</t>
        </is>
      </c>
      <c r="H452" s="311" t="n">
        <v>0.99</v>
      </c>
      <c r="I452" s="308" t="inlineStr">
        <is>
          <t>High</t>
        </is>
      </c>
      <c r="J452" s="308" t="inlineStr">
        <is>
          <t>drawing</t>
        </is>
      </c>
      <c r="K452" s="308" t="inlineStr">
        <is>
          <t>stacked:isa</t>
        </is>
      </c>
      <c r="L452" s="308" t="inlineStr">
        <is>
          <t>drawing zone; process page; mapped sheet</t>
        </is>
      </c>
      <c r="M452" s="308" t="inlineStr">
        <is>
          <t>RL7-CHM-201 / TIT-01</t>
        </is>
      </c>
      <c r="N452" s="308" t="inlineStr">
        <is>
          <t>native</t>
        </is>
      </c>
      <c r="O452" s="308" t="inlineStr">
        <is>
          <t>native-only</t>
        </is>
      </c>
      <c r="P452" s="308" t="inlineStr">
        <is>
          <t>native</t>
        </is>
      </c>
      <c r="Q452" s="308" t="inlineStr"/>
      <c r="R452" s="308" t="inlineStr">
        <is>
          <t>native text sufficient</t>
        </is>
      </c>
      <c r="S452" s="308" t="inlineStr"/>
      <c r="T452" s="308" t="inlineStr">
        <is>
          <t>p17:native:10, p17:native:11</t>
        </is>
      </c>
      <c r="U452" s="308" t="n">
        <v>2</v>
      </c>
    </row>
    <row r="453">
      <c r="A453" s="308" t="inlineStr">
        <is>
          <t>Missing in Excel</t>
        </is>
      </c>
      <c r="B453" s="308" t="inlineStr">
        <is>
          <t>DG7031</t>
        </is>
      </c>
      <c r="C453" s="308" t="n">
        <v>17</v>
      </c>
      <c r="D453" s="308" t="inlineStr">
        <is>
          <t>RL7-CHM-201-YI01</t>
        </is>
      </c>
      <c r="E453" s="308" t="inlineStr">
        <is>
          <t>RL7-CHM-201</t>
        </is>
      </c>
      <c r="F453" s="308" t="inlineStr">
        <is>
          <t>YI01</t>
        </is>
      </c>
      <c r="G453" s="308" t="inlineStr">
        <is>
          <t>instrument</t>
        </is>
      </c>
      <c r="H453" s="311" t="n">
        <v>0.99</v>
      </c>
      <c r="I453" s="308" t="inlineStr">
        <is>
          <t>High</t>
        </is>
      </c>
      <c r="J453" s="308" t="inlineStr">
        <is>
          <t>drawing</t>
        </is>
      </c>
      <c r="K453" s="308" t="inlineStr">
        <is>
          <t>stacked:isa</t>
        </is>
      </c>
      <c r="L453" s="308" t="inlineStr">
        <is>
          <t>drawing zone; process page; mapped sheet</t>
        </is>
      </c>
      <c r="M453" s="308" t="inlineStr">
        <is>
          <t>RL7-CHM-201 / YI-01</t>
        </is>
      </c>
      <c r="N453" s="308" t="inlineStr">
        <is>
          <t>native</t>
        </is>
      </c>
      <c r="O453" s="308" t="inlineStr">
        <is>
          <t>native-only</t>
        </is>
      </c>
      <c r="P453" s="308" t="inlineStr">
        <is>
          <t>native</t>
        </is>
      </c>
      <c r="Q453" s="308" t="inlineStr"/>
      <c r="R453" s="308" t="inlineStr">
        <is>
          <t>native text sufficient</t>
        </is>
      </c>
      <c r="S453" s="308" t="inlineStr"/>
      <c r="T453" s="308" t="inlineStr">
        <is>
          <t>p17:native:149, p17:native:150</t>
        </is>
      </c>
      <c r="U453" s="308" t="n">
        <v>2</v>
      </c>
    </row>
    <row r="454">
      <c r="A454" s="308" t="inlineStr">
        <is>
          <t>Missing in Excel</t>
        </is>
      </c>
      <c r="B454" s="308" t="inlineStr">
        <is>
          <t>DG7031</t>
        </is>
      </c>
      <c r="C454" s="308" t="n">
        <v>17</v>
      </c>
      <c r="D454" s="308" t="inlineStr">
        <is>
          <t>RL7-CHM-201-YS01</t>
        </is>
      </c>
      <c r="E454" s="308" t="inlineStr">
        <is>
          <t>RL7-CHM-201</t>
        </is>
      </c>
      <c r="F454" s="308" t="inlineStr">
        <is>
          <t>YS01</t>
        </is>
      </c>
      <c r="G454" s="308" t="inlineStr">
        <is>
          <t>instrument</t>
        </is>
      </c>
      <c r="H454" s="311" t="n">
        <v>0.99</v>
      </c>
      <c r="I454" s="308" t="inlineStr">
        <is>
          <t>High</t>
        </is>
      </c>
      <c r="J454" s="308" t="inlineStr">
        <is>
          <t>drawing</t>
        </is>
      </c>
      <c r="K454" s="308" t="inlineStr">
        <is>
          <t>stacked:isa</t>
        </is>
      </c>
      <c r="L454" s="308" t="inlineStr">
        <is>
          <t>drawing zone; process page; mapped sheet</t>
        </is>
      </c>
      <c r="M454" s="308" t="inlineStr">
        <is>
          <t>RL7-CHM-201 / YS-01</t>
        </is>
      </c>
      <c r="N454" s="308" t="inlineStr">
        <is>
          <t>native</t>
        </is>
      </c>
      <c r="O454" s="308" t="inlineStr">
        <is>
          <t>native-only</t>
        </is>
      </c>
      <c r="P454" s="308" t="inlineStr">
        <is>
          <t>native</t>
        </is>
      </c>
      <c r="Q454" s="308" t="inlineStr"/>
      <c r="R454" s="308" t="inlineStr">
        <is>
          <t>native text sufficient</t>
        </is>
      </c>
      <c r="S454" s="308" t="inlineStr"/>
      <c r="T454" s="308" t="inlineStr">
        <is>
          <t>p17:native:147, p17:native:148</t>
        </is>
      </c>
      <c r="U454" s="308" t="n">
        <v>2</v>
      </c>
    </row>
    <row r="455">
      <c r="A455" s="308" t="inlineStr">
        <is>
          <t>Missing in Excel</t>
        </is>
      </c>
      <c r="B455" s="308" t="inlineStr">
        <is>
          <t>DG7031</t>
        </is>
      </c>
      <c r="C455" s="308" t="n">
        <v>17</v>
      </c>
      <c r="D455" s="308" t="inlineStr">
        <is>
          <t>RL7-CHM-201-HV001</t>
        </is>
      </c>
      <c r="E455" s="308" t="inlineStr">
        <is>
          <t>RL7-CHM-201</t>
        </is>
      </c>
      <c r="F455" s="308" t="inlineStr">
        <is>
          <t>HV001</t>
        </is>
      </c>
      <c r="G455" s="308" t="inlineStr">
        <is>
          <t>instrument</t>
        </is>
      </c>
      <c r="H455" s="311" t="n">
        <v>0.57</v>
      </c>
      <c r="I455" s="308" t="inlineStr">
        <is>
          <t>Low</t>
        </is>
      </c>
      <c r="J455" s="308" t="inlineStr">
        <is>
          <t>drawing</t>
        </is>
      </c>
      <c r="K455" s="308" t="inlineStr">
        <is>
          <t>inferred:bare-isa</t>
        </is>
      </c>
      <c r="L455" s="308" t="inlineStr">
        <is>
          <t>drawing zone; process page; mapped sheet</t>
        </is>
      </c>
      <c r="M455" s="308" t="inlineStr">
        <is>
          <t>RL7-CHM-201 / HV</t>
        </is>
      </c>
      <c r="N455" s="308" t="inlineStr">
        <is>
          <t>native</t>
        </is>
      </c>
      <c r="O455" s="308" t="inlineStr">
        <is>
          <t>native-only</t>
        </is>
      </c>
      <c r="P455" s="308" t="inlineStr">
        <is>
          <t>native</t>
        </is>
      </c>
      <c r="Q455" s="308" t="inlineStr"/>
      <c r="R455" s="308" t="inlineStr">
        <is>
          <t>native text sufficient</t>
        </is>
      </c>
      <c r="S455" s="308" t="inlineStr"/>
      <c r="T455" s="308" t="inlineStr">
        <is>
          <t>p17:native:8, p17:native:26</t>
        </is>
      </c>
      <c r="U455" s="308" t="n">
        <v>2</v>
      </c>
    </row>
    <row r="456">
      <c r="A456" s="308" t="inlineStr">
        <is>
          <t>Missing in Excel</t>
        </is>
      </c>
      <c r="B456" s="308" t="inlineStr">
        <is>
          <t>DG7031</t>
        </is>
      </c>
      <c r="C456" s="308" t="n">
        <v>17</v>
      </c>
      <c r="D456" s="308" t="inlineStr">
        <is>
          <t>RL7-PMP-201-HV001</t>
        </is>
      </c>
      <c r="E456" s="308" t="inlineStr">
        <is>
          <t>RL7-PMP-201</t>
        </is>
      </c>
      <c r="F456" s="308" t="inlineStr">
        <is>
          <t>HV001</t>
        </is>
      </c>
      <c r="G456" s="308" t="inlineStr">
        <is>
          <t>instrument</t>
        </is>
      </c>
      <c r="H456" s="311" t="n">
        <v>0.57</v>
      </c>
      <c r="I456" s="308" t="inlineStr">
        <is>
          <t>Low</t>
        </is>
      </c>
      <c r="J456" s="308" t="inlineStr">
        <is>
          <t>drawing</t>
        </is>
      </c>
      <c r="K456" s="308" t="inlineStr">
        <is>
          <t>inferred:bare-isa</t>
        </is>
      </c>
      <c r="L456" s="308" t="inlineStr">
        <is>
          <t>drawing zone; process page; mapped sheet</t>
        </is>
      </c>
      <c r="M456" s="308" t="inlineStr">
        <is>
          <t>RL7-PMP-201 / HV</t>
        </is>
      </c>
      <c r="N456" s="308" t="inlineStr">
        <is>
          <t>native</t>
        </is>
      </c>
      <c r="O456" s="308" t="inlineStr">
        <is>
          <t>native-only</t>
        </is>
      </c>
      <c r="P456" s="308" t="inlineStr">
        <is>
          <t>native</t>
        </is>
      </c>
      <c r="Q456" s="308" t="inlineStr"/>
      <c r="R456" s="308" t="inlineStr">
        <is>
          <t>native text sufficient</t>
        </is>
      </c>
      <c r="S456" s="308" t="inlineStr"/>
      <c r="T456" s="308" t="inlineStr">
        <is>
          <t>p17:native:14, p17:native:145</t>
        </is>
      </c>
      <c r="U456" s="308" t="n">
        <v>2</v>
      </c>
    </row>
    <row r="457">
      <c r="A457" s="308" t="inlineStr">
        <is>
          <t>Missing in Excel</t>
        </is>
      </c>
      <c r="B457" s="308" t="inlineStr">
        <is>
          <t>DG7031</t>
        </is>
      </c>
      <c r="C457" s="308" t="n">
        <v>17</v>
      </c>
      <c r="D457" s="308" t="inlineStr">
        <is>
          <t>RL7-PMP-201-HV002</t>
        </is>
      </c>
      <c r="E457" s="308" t="inlineStr">
        <is>
          <t>RL7-PMP-201</t>
        </is>
      </c>
      <c r="F457" s="308" t="inlineStr">
        <is>
          <t>HV002</t>
        </is>
      </c>
      <c r="G457" s="308" t="inlineStr">
        <is>
          <t>instrument</t>
        </is>
      </c>
      <c r="H457" s="311" t="n">
        <v>0.57</v>
      </c>
      <c r="I457" s="308" t="inlineStr">
        <is>
          <t>Low</t>
        </is>
      </c>
      <c r="J457" s="308" t="inlineStr">
        <is>
          <t>drawing</t>
        </is>
      </c>
      <c r="K457" s="308" t="inlineStr">
        <is>
          <t>inferred:bare-isa</t>
        </is>
      </c>
      <c r="L457" s="308" t="inlineStr">
        <is>
          <t>drawing zone; process page; mapped sheet</t>
        </is>
      </c>
      <c r="M457" s="308" t="inlineStr">
        <is>
          <t>RL7-PMP-201 / HV</t>
        </is>
      </c>
      <c r="N457" s="308" t="inlineStr">
        <is>
          <t>native</t>
        </is>
      </c>
      <c r="O457" s="308" t="inlineStr">
        <is>
          <t>native-only</t>
        </is>
      </c>
      <c r="P457" s="308" t="inlineStr">
        <is>
          <t>native</t>
        </is>
      </c>
      <c r="Q457" s="308" t="inlineStr"/>
      <c r="R457" s="308" t="inlineStr">
        <is>
          <t>native text sufficient</t>
        </is>
      </c>
      <c r="S457" s="308" t="inlineStr"/>
      <c r="T457" s="308" t="inlineStr">
        <is>
          <t>p17:native:14, p17:native:133</t>
        </is>
      </c>
      <c r="U457" s="308" t="n">
        <v>2</v>
      </c>
    </row>
    <row r="458">
      <c r="A458" s="308" t="inlineStr">
        <is>
          <t>Missing in Excel</t>
        </is>
      </c>
      <c r="B458" s="308" t="inlineStr">
        <is>
          <t>DG7031</t>
        </is>
      </c>
      <c r="C458" s="308" t="n">
        <v>17</v>
      </c>
      <c r="D458" s="308" t="inlineStr">
        <is>
          <t>1"-CA-12A</t>
        </is>
      </c>
      <c r="E458" s="308" t="inlineStr">
        <is>
          <t>CA</t>
        </is>
      </c>
      <c r="F458" s="308" t="inlineStr">
        <is>
          <t>12A</t>
        </is>
      </c>
      <c r="G458" s="308" t="inlineStr">
        <is>
          <t>line</t>
        </is>
      </c>
      <c r="H458" s="311" t="n">
        <v>0.82</v>
      </c>
      <c r="I458" s="308" t="inlineStr">
        <is>
          <t>Medium</t>
        </is>
      </c>
      <c r="J458" s="308" t="inlineStr">
        <is>
          <t>drawing</t>
        </is>
      </c>
      <c r="K458" s="308" t="inlineStr">
        <is>
          <t>line:size-prefix</t>
        </is>
      </c>
      <c r="L458" s="308" t="inlineStr">
        <is>
          <t>drawing zone; process page; mapped sheet; repeated x2</t>
        </is>
      </c>
      <c r="M458" s="308" t="inlineStr">
        <is>
          <t>1"-CA-12A</t>
        </is>
      </c>
      <c r="N458" s="308" t="inlineStr">
        <is>
          <t>native</t>
        </is>
      </c>
      <c r="O458" s="308" t="inlineStr">
        <is>
          <t>native-only</t>
        </is>
      </c>
      <c r="P458" s="308" t="inlineStr">
        <is>
          <t>native</t>
        </is>
      </c>
      <c r="Q458" s="308" t="inlineStr"/>
      <c r="R458" s="308" t="inlineStr">
        <is>
          <t>native text sufficient</t>
        </is>
      </c>
      <c r="S458" s="308" t="inlineStr"/>
      <c r="T458" s="308" t="inlineStr">
        <is>
          <t>p17:native:29</t>
        </is>
      </c>
      <c r="U458" s="308" t="n">
        <v>1</v>
      </c>
    </row>
    <row r="459">
      <c r="A459" s="308" t="inlineStr">
        <is>
          <t>Missing in Excel</t>
        </is>
      </c>
      <c r="B459" s="308" t="inlineStr">
        <is>
          <t>DG7031</t>
        </is>
      </c>
      <c r="C459" s="308" t="n">
        <v>17</v>
      </c>
      <c r="D459" s="308" t="inlineStr">
        <is>
          <t>1"-CA-12A</t>
        </is>
      </c>
      <c r="E459" s="308" t="inlineStr">
        <is>
          <t>CA</t>
        </is>
      </c>
      <c r="F459" s="308" t="inlineStr">
        <is>
          <t>12A</t>
        </is>
      </c>
      <c r="G459" s="308" t="inlineStr">
        <is>
          <t>line</t>
        </is>
      </c>
      <c r="H459" s="311" t="n">
        <v>0.82</v>
      </c>
      <c r="I459" s="308" t="inlineStr">
        <is>
          <t>Medium</t>
        </is>
      </c>
      <c r="J459" s="308" t="inlineStr">
        <is>
          <t>drawing</t>
        </is>
      </c>
      <c r="K459" s="308" t="inlineStr">
        <is>
          <t>line:size-prefix</t>
        </is>
      </c>
      <c r="L459" s="308" t="inlineStr">
        <is>
          <t>drawing zone; process page; mapped sheet; repeated x2</t>
        </is>
      </c>
      <c r="M459" s="308" t="inlineStr">
        <is>
          <t>1"-CA-12A RL7</t>
        </is>
      </c>
      <c r="N459" s="308" t="inlineStr">
        <is>
          <t>native</t>
        </is>
      </c>
      <c r="O459" s="308" t="inlineStr">
        <is>
          <t>native-only</t>
        </is>
      </c>
      <c r="P459" s="308" t="inlineStr">
        <is>
          <t>native</t>
        </is>
      </c>
      <c r="Q459" s="308" t="inlineStr"/>
      <c r="R459" s="308" t="inlineStr">
        <is>
          <t>native text sufficient</t>
        </is>
      </c>
      <c r="S459" s="308" t="inlineStr"/>
      <c r="T459" s="308" t="inlineStr">
        <is>
          <t>p17:native:29, p17:native:143</t>
        </is>
      </c>
      <c r="U459" s="308" t="n">
        <v>2</v>
      </c>
    </row>
    <row r="460">
      <c r="A460" s="308" t="inlineStr">
        <is>
          <t>Missing in Excel</t>
        </is>
      </c>
      <c r="B460" s="308" t="inlineStr">
        <is>
          <t>DG7031</t>
        </is>
      </c>
      <c r="C460" s="308" t="n">
        <v>17</v>
      </c>
      <c r="D460" s="308" t="inlineStr">
        <is>
          <t>1"-PCW-12A</t>
        </is>
      </c>
      <c r="E460" s="308" t="inlineStr">
        <is>
          <t>PCW</t>
        </is>
      </c>
      <c r="F460" s="308" t="inlineStr">
        <is>
          <t>12A</t>
        </is>
      </c>
      <c r="G460" s="308" t="inlineStr">
        <is>
          <t>line</t>
        </is>
      </c>
      <c r="H460" s="311" t="n">
        <v>0.77</v>
      </c>
      <c r="I460" s="308" t="inlineStr">
        <is>
          <t>Medium</t>
        </is>
      </c>
      <c r="J460" s="308" t="inlineStr">
        <is>
          <t>drawing</t>
        </is>
      </c>
      <c r="K460" s="308" t="inlineStr">
        <is>
          <t>line:size-prefix</t>
        </is>
      </c>
      <c r="L460" s="308" t="inlineStr">
        <is>
          <t>drawing zone; process page; mapped sheet</t>
        </is>
      </c>
      <c r="M460" s="308" t="inlineStr">
        <is>
          <t>1"-PCW-12A</t>
        </is>
      </c>
      <c r="N460" s="308" t="inlineStr">
        <is>
          <t>native</t>
        </is>
      </c>
      <c r="O460" s="308" t="inlineStr">
        <is>
          <t>native-only</t>
        </is>
      </c>
      <c r="P460" s="308" t="inlineStr">
        <is>
          <t>native</t>
        </is>
      </c>
      <c r="Q460" s="308" t="inlineStr"/>
      <c r="R460" s="308" t="inlineStr">
        <is>
          <t>native text sufficient</t>
        </is>
      </c>
      <c r="S460" s="308" t="inlineStr"/>
      <c r="T460" s="308" t="inlineStr">
        <is>
          <t>p17:native:31</t>
        </is>
      </c>
      <c r="U460" s="308" t="n">
        <v>1</v>
      </c>
    </row>
    <row r="461">
      <c r="A461" s="308" t="inlineStr">
        <is>
          <t>Missing in Excel</t>
        </is>
      </c>
      <c r="B461" s="308" t="inlineStr">
        <is>
          <t>DG7031</t>
        </is>
      </c>
      <c r="C461" s="308" t="n">
        <v>17</v>
      </c>
      <c r="D461" s="308" t="inlineStr">
        <is>
          <t>1"-PHWS140-12A</t>
        </is>
      </c>
      <c r="E461" s="308" t="inlineStr">
        <is>
          <t>PHWS140</t>
        </is>
      </c>
      <c r="F461" s="308" t="inlineStr">
        <is>
          <t>12A</t>
        </is>
      </c>
      <c r="G461" s="308" t="inlineStr">
        <is>
          <t>line</t>
        </is>
      </c>
      <c r="H461" s="311" t="n">
        <v>0.77</v>
      </c>
      <c r="I461" s="308" t="inlineStr">
        <is>
          <t>Medium</t>
        </is>
      </c>
      <c r="J461" s="308" t="inlineStr">
        <is>
          <t>drawing</t>
        </is>
      </c>
      <c r="K461" s="308" t="inlineStr">
        <is>
          <t>line:size-prefix</t>
        </is>
      </c>
      <c r="L461" s="308" t="inlineStr">
        <is>
          <t>drawing zone; process page; mapped sheet</t>
        </is>
      </c>
      <c r="M461" s="308" t="inlineStr">
        <is>
          <t>1"-PHWS140-12A</t>
        </is>
      </c>
      <c r="N461" s="308" t="inlineStr">
        <is>
          <t>native</t>
        </is>
      </c>
      <c r="O461" s="308" t="inlineStr">
        <is>
          <t>native-only</t>
        </is>
      </c>
      <c r="P461" s="308" t="inlineStr">
        <is>
          <t>native</t>
        </is>
      </c>
      <c r="Q461" s="308" t="inlineStr"/>
      <c r="R461" s="308" t="inlineStr">
        <is>
          <t>native text sufficient</t>
        </is>
      </c>
      <c r="S461" s="308" t="inlineStr"/>
      <c r="T461" s="308" t="inlineStr">
        <is>
          <t>p17:native:30</t>
        </is>
      </c>
      <c r="U461" s="308" t="n">
        <v>1</v>
      </c>
    </row>
    <row r="462">
      <c r="A462" s="308" t="inlineStr">
        <is>
          <t>Missing in Excel</t>
        </is>
      </c>
      <c r="B462" s="308" t="inlineStr">
        <is>
          <t>DG7031</t>
        </is>
      </c>
      <c r="C462" s="308" t="n">
        <v>17</v>
      </c>
      <c r="D462" s="308" t="inlineStr">
        <is>
          <t>2"-CWS-T4</t>
        </is>
      </c>
      <c r="E462" s="308" t="inlineStr">
        <is>
          <t>CWS</t>
        </is>
      </c>
      <c r="F462" s="308" t="inlineStr">
        <is>
          <t>T4</t>
        </is>
      </c>
      <c r="G462" s="308" t="inlineStr">
        <is>
          <t>line</t>
        </is>
      </c>
      <c r="H462" s="311" t="n">
        <v>0.77</v>
      </c>
      <c r="I462" s="308" t="inlineStr">
        <is>
          <t>Medium</t>
        </is>
      </c>
      <c r="J462" s="308" t="inlineStr">
        <is>
          <t>drawing</t>
        </is>
      </c>
      <c r="K462" s="308" t="inlineStr">
        <is>
          <t>line:size-prefix</t>
        </is>
      </c>
      <c r="L462" s="308" t="inlineStr">
        <is>
          <t>drawing zone; process page; mapped sheet</t>
        </is>
      </c>
      <c r="M462" s="308" t="inlineStr">
        <is>
          <t>2"-CWS-T4</t>
        </is>
      </c>
      <c r="N462" s="308" t="inlineStr">
        <is>
          <t>native</t>
        </is>
      </c>
      <c r="O462" s="308" t="inlineStr">
        <is>
          <t>native-only</t>
        </is>
      </c>
      <c r="P462" s="308" t="inlineStr">
        <is>
          <t>native</t>
        </is>
      </c>
      <c r="Q462" s="308" t="inlineStr"/>
      <c r="R462" s="308" t="inlineStr">
        <is>
          <t>native text sufficient</t>
        </is>
      </c>
      <c r="S462" s="308" t="inlineStr"/>
      <c r="T462" s="308" t="inlineStr">
        <is>
          <t>p17:native:50</t>
        </is>
      </c>
      <c r="U462" s="308" t="n">
        <v>1</v>
      </c>
    </row>
    <row r="463">
      <c r="A463" s="308" t="inlineStr">
        <is>
          <t>Missing in Excel</t>
        </is>
      </c>
      <c r="B463" s="308" t="inlineStr">
        <is>
          <t>DG7031</t>
        </is>
      </c>
      <c r="C463" s="308" t="n">
        <v>17</v>
      </c>
      <c r="D463" s="308" t="inlineStr">
        <is>
          <t>2"-JPROD-12A</t>
        </is>
      </c>
      <c r="E463" s="308" t="inlineStr">
        <is>
          <t>JPROD</t>
        </is>
      </c>
      <c r="F463" s="308" t="inlineStr">
        <is>
          <t>12A</t>
        </is>
      </c>
      <c r="G463" s="308" t="inlineStr">
        <is>
          <t>line</t>
        </is>
      </c>
      <c r="H463" s="311" t="n">
        <v>0.77</v>
      </c>
      <c r="I463" s="308" t="inlineStr">
        <is>
          <t>Medium</t>
        </is>
      </c>
      <c r="J463" s="308" t="inlineStr">
        <is>
          <t>drawing</t>
        </is>
      </c>
      <c r="K463" s="308" t="inlineStr">
        <is>
          <t>line:size-prefix</t>
        </is>
      </c>
      <c r="L463" s="308" t="inlineStr">
        <is>
          <t>drawing zone; process page; mapped sheet</t>
        </is>
      </c>
      <c r="M463" s="308" t="inlineStr">
        <is>
          <t>2"-JPROD-12A</t>
        </is>
      </c>
      <c r="N463" s="308" t="inlineStr">
        <is>
          <t>native</t>
        </is>
      </c>
      <c r="O463" s="308" t="inlineStr">
        <is>
          <t>native-only</t>
        </is>
      </c>
      <c r="P463" s="308" t="inlineStr">
        <is>
          <t>native</t>
        </is>
      </c>
      <c r="Q463" s="308" t="inlineStr"/>
      <c r="R463" s="308" t="inlineStr">
        <is>
          <t>native text sufficient</t>
        </is>
      </c>
      <c r="S463" s="308" t="inlineStr"/>
      <c r="T463" s="308" t="inlineStr">
        <is>
          <t>p17:native:79</t>
        </is>
      </c>
      <c r="U463" s="308" t="n">
        <v>1</v>
      </c>
    </row>
    <row r="464">
      <c r="A464" s="308" t="inlineStr">
        <is>
          <t>Missing in Excel</t>
        </is>
      </c>
      <c r="B464" s="308" t="inlineStr">
        <is>
          <t>DG7031</t>
        </is>
      </c>
      <c r="C464" s="308" t="n">
        <v>17</v>
      </c>
      <c r="D464" s="308" t="inlineStr">
        <is>
          <t>3"-JPROD-12A</t>
        </is>
      </c>
      <c r="E464" s="308" t="inlineStr">
        <is>
          <t>JPROD</t>
        </is>
      </c>
      <c r="F464" s="308" t="inlineStr">
        <is>
          <t>12A</t>
        </is>
      </c>
      <c r="G464" s="308" t="inlineStr">
        <is>
          <t>line</t>
        </is>
      </c>
      <c r="H464" s="311" t="n">
        <v>0.77</v>
      </c>
      <c r="I464" s="308" t="inlineStr">
        <is>
          <t>Medium</t>
        </is>
      </c>
      <c r="J464" s="308" t="inlineStr">
        <is>
          <t>drawing</t>
        </is>
      </c>
      <c r="K464" s="308" t="inlineStr">
        <is>
          <t>line:size-prefix</t>
        </is>
      </c>
      <c r="L464" s="308" t="inlineStr">
        <is>
          <t>drawing zone; process page; mapped sheet</t>
        </is>
      </c>
      <c r="M464" s="308" t="inlineStr">
        <is>
          <t>3"-JPROD-12A</t>
        </is>
      </c>
      <c r="N464" s="308" t="inlineStr">
        <is>
          <t>native</t>
        </is>
      </c>
      <c r="O464" s="308" t="inlineStr">
        <is>
          <t>native-only</t>
        </is>
      </c>
      <c r="P464" s="308" t="inlineStr">
        <is>
          <t>native</t>
        </is>
      </c>
      <c r="Q464" s="308" t="inlineStr"/>
      <c r="R464" s="308" t="inlineStr">
        <is>
          <t>native text sufficient</t>
        </is>
      </c>
      <c r="S464" s="308" t="inlineStr"/>
      <c r="T464" s="308" t="inlineStr">
        <is>
          <t>p17:native:28</t>
        </is>
      </c>
      <c r="U464" s="308" t="n">
        <v>1</v>
      </c>
    </row>
    <row r="465">
      <c r="A465" s="308" t="inlineStr">
        <is>
          <t>Missing in Excel</t>
        </is>
      </c>
      <c r="B465" s="308" t="inlineStr">
        <is>
          <t>DG7031</t>
        </is>
      </c>
      <c r="C465" s="308" t="n">
        <v>17</v>
      </c>
      <c r="D465" s="308" t="inlineStr">
        <is>
          <t>RL7-PMP-208</t>
        </is>
      </c>
      <c r="E465" s="308" t="inlineStr">
        <is>
          <t>RL7-PMP-208</t>
        </is>
      </c>
      <c r="F465" s="308" t="inlineStr"/>
      <c r="G465" s="308" t="inlineStr">
        <is>
          <t>equipment</t>
        </is>
      </c>
      <c r="H465" s="311" t="n">
        <v>0.49</v>
      </c>
      <c r="I465" s="308" t="inlineStr">
        <is>
          <t>Low</t>
        </is>
      </c>
      <c r="J465" s="308" t="inlineStr">
        <is>
          <t>title-block/right</t>
        </is>
      </c>
      <c r="K465" s="308" t="inlineStr">
        <is>
          <t>standalone:asset</t>
        </is>
      </c>
      <c r="L465" s="308" t="inlineStr">
        <is>
          <t>title-block penalty; process page; mapped sheet</t>
        </is>
      </c>
      <c r="M465" s="308" t="inlineStr">
        <is>
          <t>RL7-PMP-208</t>
        </is>
      </c>
      <c r="N465" s="308" t="inlineStr">
        <is>
          <t>native</t>
        </is>
      </c>
      <c r="O465" s="308" t="inlineStr">
        <is>
          <t>native-only</t>
        </is>
      </c>
      <c r="P465" s="308" t="inlineStr">
        <is>
          <t>native</t>
        </is>
      </c>
      <c r="Q465" s="308" t="inlineStr"/>
      <c r="R465" s="308" t="inlineStr">
        <is>
          <t>native text sufficient</t>
        </is>
      </c>
      <c r="S465" s="308" t="inlineStr"/>
      <c r="T465" s="308" t="inlineStr">
        <is>
          <t>p17:native:17</t>
        </is>
      </c>
      <c r="U465" s="308" t="n">
        <v>1</v>
      </c>
    </row>
    <row r="466">
      <c r="A466" s="308" t="inlineStr">
        <is>
          <t>Missing in Excel</t>
        </is>
      </c>
      <c r="B466" s="308" t="inlineStr">
        <is>
          <t>DG7032</t>
        </is>
      </c>
      <c r="C466" s="308" t="n">
        <v>18</v>
      </c>
      <c r="D466" s="308" t="inlineStr">
        <is>
          <t>RL7-CNV-204</t>
        </is>
      </c>
      <c r="E466" s="308" t="inlineStr">
        <is>
          <t>RL7-CNV-204</t>
        </is>
      </c>
      <c r="F466" s="308" t="inlineStr"/>
      <c r="G466" s="308" t="inlineStr">
        <is>
          <t>equipment</t>
        </is>
      </c>
      <c r="H466" s="311" t="n">
        <v>0.77</v>
      </c>
      <c r="I466" s="308" t="inlineStr">
        <is>
          <t>Medium</t>
        </is>
      </c>
      <c r="J466" s="308" t="inlineStr">
        <is>
          <t>drawing</t>
        </is>
      </c>
      <c r="K466" s="308" t="inlineStr">
        <is>
          <t>standalone:asset</t>
        </is>
      </c>
      <c r="L466" s="308" t="inlineStr">
        <is>
          <t>drawing zone; process page; mapped sheet</t>
        </is>
      </c>
      <c r="M466" s="308" t="inlineStr">
        <is>
          <t>RL7-CNV-204</t>
        </is>
      </c>
      <c r="N466" s="308" t="inlineStr">
        <is>
          <t>native</t>
        </is>
      </c>
      <c r="O466" s="308" t="inlineStr">
        <is>
          <t>native-only</t>
        </is>
      </c>
      <c r="P466" s="308" t="inlineStr">
        <is>
          <t>native</t>
        </is>
      </c>
      <c r="Q466" s="308" t="inlineStr"/>
      <c r="R466" s="308" t="inlineStr">
        <is>
          <t>native text sufficient</t>
        </is>
      </c>
      <c r="S466" s="308" t="inlineStr"/>
      <c r="T466" s="308" t="inlineStr">
        <is>
          <t>p18:native:12</t>
        </is>
      </c>
      <c r="U466" s="308" t="n">
        <v>1</v>
      </c>
    </row>
    <row r="467">
      <c r="A467" s="308" t="inlineStr">
        <is>
          <t>Missing in Excel</t>
        </is>
      </c>
      <c r="B467" s="308" t="inlineStr">
        <is>
          <t>DG7032</t>
        </is>
      </c>
      <c r="C467" s="308" t="n">
        <v>18</v>
      </c>
      <c r="D467" s="308" t="inlineStr">
        <is>
          <t>RL7-CNV-204-SC02</t>
        </is>
      </c>
      <c r="E467" s="308" t="inlineStr">
        <is>
          <t>RL7-CNV-204</t>
        </is>
      </c>
      <c r="F467" s="308" t="inlineStr">
        <is>
          <t>SC02</t>
        </is>
      </c>
      <c r="G467" s="308" t="inlineStr">
        <is>
          <t>instrument</t>
        </is>
      </c>
      <c r="H467" s="311" t="n">
        <v>0.99</v>
      </c>
      <c r="I467" s="308" t="inlineStr">
        <is>
          <t>High</t>
        </is>
      </c>
      <c r="J467" s="308" t="inlineStr">
        <is>
          <t>drawing</t>
        </is>
      </c>
      <c r="K467" s="308" t="inlineStr">
        <is>
          <t>stacked:isa</t>
        </is>
      </c>
      <c r="L467" s="308" t="inlineStr">
        <is>
          <t>drawing zone; process page; mapped sheet</t>
        </is>
      </c>
      <c r="M467" s="308" t="inlineStr">
        <is>
          <t>RL7-CNV-204 / SC-02</t>
        </is>
      </c>
      <c r="N467" s="308" t="inlineStr">
        <is>
          <t>native</t>
        </is>
      </c>
      <c r="O467" s="308" t="inlineStr">
        <is>
          <t>native-only</t>
        </is>
      </c>
      <c r="P467" s="308" t="inlineStr">
        <is>
          <t>native</t>
        </is>
      </c>
      <c r="Q467" s="308" t="inlineStr"/>
      <c r="R467" s="308" t="inlineStr">
        <is>
          <t>native text sufficient</t>
        </is>
      </c>
      <c r="S467" s="308" t="inlineStr"/>
      <c r="T467" s="308" t="inlineStr">
        <is>
          <t>p18:native:62, p18:native:63</t>
        </is>
      </c>
      <c r="U467" s="308" t="n">
        <v>2</v>
      </c>
    </row>
    <row r="468">
      <c r="A468" s="308" t="inlineStr">
        <is>
          <t>Missing in Excel</t>
        </is>
      </c>
      <c r="B468" s="308" t="inlineStr">
        <is>
          <t>DG7032</t>
        </is>
      </c>
      <c r="C468" s="308" t="n">
        <v>18</v>
      </c>
      <c r="D468" s="308" t="inlineStr">
        <is>
          <t>RL7-CNV-204-SC01</t>
        </is>
      </c>
      <c r="E468" s="308" t="inlineStr">
        <is>
          <t>RL7-CNV-204</t>
        </is>
      </c>
      <c r="F468" s="308" t="inlineStr">
        <is>
          <t>SC01</t>
        </is>
      </c>
      <c r="G468" s="308" t="inlineStr">
        <is>
          <t>instrument</t>
        </is>
      </c>
      <c r="H468" s="311" t="n">
        <v>0.97</v>
      </c>
      <c r="I468" s="308" t="inlineStr">
        <is>
          <t>High</t>
        </is>
      </c>
      <c r="J468" s="308" t="inlineStr">
        <is>
          <t>drawing</t>
        </is>
      </c>
      <c r="K468" s="308" t="inlineStr">
        <is>
          <t>fulltag:isa</t>
        </is>
      </c>
      <c r="L468" s="308" t="inlineStr">
        <is>
          <t>drawing zone; process page; mapped sheet</t>
        </is>
      </c>
      <c r="M468" s="308" t="inlineStr">
        <is>
          <t>(RL7-CNV-204-SC-01) AND CAM SWITCH/TIMING PROX</t>
        </is>
      </c>
      <c r="N468" s="308" t="inlineStr">
        <is>
          <t>native</t>
        </is>
      </c>
      <c r="O468" s="308" t="inlineStr">
        <is>
          <t>native-only</t>
        </is>
      </c>
      <c r="P468" s="308" t="inlineStr">
        <is>
          <t>native</t>
        </is>
      </c>
      <c r="Q468" s="308" t="inlineStr"/>
      <c r="R468" s="308" t="inlineStr">
        <is>
          <t>native text sufficient</t>
        </is>
      </c>
      <c r="S468" s="308" t="inlineStr"/>
      <c r="T468" s="308" t="inlineStr">
        <is>
          <t>p18:native:77</t>
        </is>
      </c>
      <c r="U468" s="308" t="n">
        <v>1</v>
      </c>
    </row>
    <row r="469">
      <c r="A469" s="308" t="inlineStr">
        <is>
          <t>Missing in Excel</t>
        </is>
      </c>
      <c r="B469" s="308" t="inlineStr">
        <is>
          <t>DG7032</t>
        </is>
      </c>
      <c r="C469" s="308" t="n">
        <v>18</v>
      </c>
      <c r="D469" s="308" t="inlineStr">
        <is>
          <t>1"-CA-12A</t>
        </is>
      </c>
      <c r="E469" s="308" t="inlineStr">
        <is>
          <t>CA</t>
        </is>
      </c>
      <c r="F469" s="308" t="inlineStr">
        <is>
          <t>12A</t>
        </is>
      </c>
      <c r="G469" s="308" t="inlineStr">
        <is>
          <t>line</t>
        </is>
      </c>
      <c r="H469" s="311" t="n">
        <v>0.77</v>
      </c>
      <c r="I469" s="308" t="inlineStr">
        <is>
          <t>Medium</t>
        </is>
      </c>
      <c r="J469" s="308" t="inlineStr">
        <is>
          <t>drawing</t>
        </is>
      </c>
      <c r="K469" s="308" t="inlineStr">
        <is>
          <t>line:size-prefix</t>
        </is>
      </c>
      <c r="L469" s="308" t="inlineStr">
        <is>
          <t>drawing zone; process page; mapped sheet</t>
        </is>
      </c>
      <c r="M469" s="308" t="inlineStr">
        <is>
          <t>1"-CA-12A</t>
        </is>
      </c>
      <c r="N469" s="308" t="inlineStr">
        <is>
          <t>native</t>
        </is>
      </c>
      <c r="O469" s="308" t="inlineStr">
        <is>
          <t>native-only</t>
        </is>
      </c>
      <c r="P469" s="308" t="inlineStr">
        <is>
          <t>native</t>
        </is>
      </c>
      <c r="Q469" s="308" t="inlineStr"/>
      <c r="R469" s="308" t="inlineStr">
        <is>
          <t>native text sufficient</t>
        </is>
      </c>
      <c r="S469" s="308" t="inlineStr"/>
      <c r="T469" s="308" t="inlineStr">
        <is>
          <t>p18:native:44</t>
        </is>
      </c>
      <c r="U469" s="308" t="n">
        <v>1</v>
      </c>
    </row>
    <row r="470">
      <c r="A470" s="308" t="inlineStr">
        <is>
          <t>Missing in Excel</t>
        </is>
      </c>
      <c r="B470" s="308" t="inlineStr">
        <is>
          <t>DG7032</t>
        </is>
      </c>
      <c r="C470" s="308" t="n">
        <v>18</v>
      </c>
      <c r="D470" s="308" t="inlineStr">
        <is>
          <t>1"-PCW-12A</t>
        </is>
      </c>
      <c r="E470" s="308" t="inlineStr">
        <is>
          <t>PCW</t>
        </is>
      </c>
      <c r="F470" s="308" t="inlineStr">
        <is>
          <t>12A</t>
        </is>
      </c>
      <c r="G470" s="308" t="inlineStr">
        <is>
          <t>line</t>
        </is>
      </c>
      <c r="H470" s="311" t="n">
        <v>0.77</v>
      </c>
      <c r="I470" s="308" t="inlineStr">
        <is>
          <t>Medium</t>
        </is>
      </c>
      <c r="J470" s="308" t="inlineStr">
        <is>
          <t>drawing</t>
        </is>
      </c>
      <c r="K470" s="308" t="inlineStr">
        <is>
          <t>line:size-prefix</t>
        </is>
      </c>
      <c r="L470" s="308" t="inlineStr">
        <is>
          <t>drawing zone; process page; mapped sheet</t>
        </is>
      </c>
      <c r="M470" s="308" t="inlineStr">
        <is>
          <t>1"-PCW-12A</t>
        </is>
      </c>
      <c r="N470" s="308" t="inlineStr">
        <is>
          <t>native</t>
        </is>
      </c>
      <c r="O470" s="308" t="inlineStr">
        <is>
          <t>native-only</t>
        </is>
      </c>
      <c r="P470" s="308" t="inlineStr">
        <is>
          <t>native</t>
        </is>
      </c>
      <c r="Q470" s="308" t="inlineStr"/>
      <c r="R470" s="308" t="inlineStr">
        <is>
          <t>native text sufficient</t>
        </is>
      </c>
      <c r="S470" s="308" t="inlineStr"/>
      <c r="T470" s="308" t="inlineStr">
        <is>
          <t>p18:native:43</t>
        </is>
      </c>
      <c r="U470" s="308" t="n">
        <v>1</v>
      </c>
    </row>
    <row r="471">
      <c r="A471" s="308" t="inlineStr">
        <is>
          <t>Missing in Excel</t>
        </is>
      </c>
      <c r="B471" s="308" t="inlineStr">
        <is>
          <t>DG7033</t>
        </is>
      </c>
      <c r="C471" s="308" t="n">
        <v>19</v>
      </c>
      <c r="D471" s="308" t="inlineStr">
        <is>
          <t>RL7-CHM-201</t>
        </is>
      </c>
      <c r="E471" s="308" t="inlineStr">
        <is>
          <t>RL7-CHM-201</t>
        </is>
      </c>
      <c r="F471" s="308" t="inlineStr"/>
      <c r="G471" s="308" t="inlineStr">
        <is>
          <t>equipment</t>
        </is>
      </c>
      <c r="H471" s="311" t="n">
        <v>0.77</v>
      </c>
      <c r="I471" s="308" t="inlineStr">
        <is>
          <t>Medium</t>
        </is>
      </c>
      <c r="J471" s="308" t="inlineStr">
        <is>
          <t>drawing</t>
        </is>
      </c>
      <c r="K471" s="308" t="inlineStr">
        <is>
          <t>standalone:asset</t>
        </is>
      </c>
      <c r="L471" s="308" t="inlineStr">
        <is>
          <t>drawing zone; process page; mapped sheet</t>
        </is>
      </c>
      <c r="M471" s="308" t="inlineStr">
        <is>
          <t>RL7-CHM-201</t>
        </is>
      </c>
      <c r="N471" s="308" t="inlineStr">
        <is>
          <t>native</t>
        </is>
      </c>
      <c r="O471" s="308" t="inlineStr">
        <is>
          <t>native-only</t>
        </is>
      </c>
      <c r="P471" s="308" t="inlineStr">
        <is>
          <t>native</t>
        </is>
      </c>
      <c r="Q471" s="308" t="inlineStr"/>
      <c r="R471" s="308" t="inlineStr">
        <is>
          <t>native text sufficient</t>
        </is>
      </c>
      <c r="S471" s="308" t="inlineStr"/>
      <c r="T471" s="308" t="inlineStr">
        <is>
          <t>p19:native:586</t>
        </is>
      </c>
      <c r="U471" s="308" t="n">
        <v>1</v>
      </c>
    </row>
    <row r="472">
      <c r="A472" s="308" t="inlineStr">
        <is>
          <t>Missing in Excel</t>
        </is>
      </c>
      <c r="B472" s="308" t="inlineStr">
        <is>
          <t>DG7033</t>
        </is>
      </c>
      <c r="C472" s="308" t="n">
        <v>19</v>
      </c>
      <c r="D472" s="308" t="inlineStr">
        <is>
          <t>RL7-CHR-201</t>
        </is>
      </c>
      <c r="E472" s="308" t="inlineStr">
        <is>
          <t>RL7-CHR-201</t>
        </is>
      </c>
      <c r="F472" s="308" t="inlineStr"/>
      <c r="G472" s="308" t="inlineStr">
        <is>
          <t>equipment</t>
        </is>
      </c>
      <c r="H472" s="311" t="n">
        <v>0.77</v>
      </c>
      <c r="I472" s="308" t="inlineStr">
        <is>
          <t>Medium</t>
        </is>
      </c>
      <c r="J472" s="308" t="inlineStr">
        <is>
          <t>drawing</t>
        </is>
      </c>
      <c r="K472" s="308" t="inlineStr">
        <is>
          <t>standalone:asset</t>
        </is>
      </c>
      <c r="L472" s="308" t="inlineStr">
        <is>
          <t>drawing zone; process page; mapped sheet</t>
        </is>
      </c>
      <c r="M472" s="308" t="inlineStr">
        <is>
          <t>RL7-CHR-201</t>
        </is>
      </c>
      <c r="N472" s="308" t="inlineStr">
        <is>
          <t>native</t>
        </is>
      </c>
      <c r="O472" s="308" t="inlineStr">
        <is>
          <t>native-only</t>
        </is>
      </c>
      <c r="P472" s="308" t="inlineStr">
        <is>
          <t>native</t>
        </is>
      </c>
      <c r="Q472" s="308" t="inlineStr"/>
      <c r="R472" s="308" t="inlineStr">
        <is>
          <t>native text sufficient</t>
        </is>
      </c>
      <c r="S472" s="308" t="inlineStr"/>
      <c r="T472" s="308" t="inlineStr">
        <is>
          <t>p19:native:28</t>
        </is>
      </c>
      <c r="U472" s="308" t="n">
        <v>1</v>
      </c>
    </row>
    <row r="473">
      <c r="A473" s="308" t="inlineStr">
        <is>
          <t>Missing in Excel</t>
        </is>
      </c>
      <c r="B473" s="308" t="inlineStr">
        <is>
          <t>DG7033</t>
        </is>
      </c>
      <c r="C473" s="308" t="n">
        <v>19</v>
      </c>
      <c r="D473" s="308" t="inlineStr">
        <is>
          <t>RL7-FTR-205</t>
        </is>
      </c>
      <c r="E473" s="308" t="inlineStr">
        <is>
          <t>RL7-FTR-205</t>
        </is>
      </c>
      <c r="F473" s="308" t="inlineStr"/>
      <c r="G473" s="308" t="inlineStr">
        <is>
          <t>equipment</t>
        </is>
      </c>
      <c r="H473" s="311" t="n">
        <v>0.77</v>
      </c>
      <c r="I473" s="308" t="inlineStr">
        <is>
          <t>Medium</t>
        </is>
      </c>
      <c r="J473" s="308" t="inlineStr">
        <is>
          <t>drawing</t>
        </is>
      </c>
      <c r="K473" s="308" t="inlineStr">
        <is>
          <t>standalone:asset</t>
        </is>
      </c>
      <c r="L473" s="308" t="inlineStr">
        <is>
          <t>drawing zone; process page; mapped sheet</t>
        </is>
      </c>
      <c r="M473" s="308" t="inlineStr">
        <is>
          <t>RL7-FTR-205</t>
        </is>
      </c>
      <c r="N473" s="308" t="inlineStr">
        <is>
          <t>native</t>
        </is>
      </c>
      <c r="O473" s="308" t="inlineStr">
        <is>
          <t>native-only</t>
        </is>
      </c>
      <c r="P473" s="308" t="inlineStr">
        <is>
          <t>native</t>
        </is>
      </c>
      <c r="Q473" s="308" t="inlineStr"/>
      <c r="R473" s="308" t="inlineStr">
        <is>
          <t>native text sufficient</t>
        </is>
      </c>
      <c r="S473" s="308" t="inlineStr"/>
      <c r="T473" s="308" t="inlineStr">
        <is>
          <t>p19:native:290</t>
        </is>
      </c>
      <c r="U473" s="308" t="n">
        <v>1</v>
      </c>
    </row>
    <row r="474">
      <c r="A474" s="308" t="inlineStr">
        <is>
          <t>Missing in Excel</t>
        </is>
      </c>
      <c r="B474" s="308" t="inlineStr">
        <is>
          <t>DG7033</t>
        </is>
      </c>
      <c r="C474" s="308" t="n">
        <v>19</v>
      </c>
      <c r="D474" s="308" t="inlineStr">
        <is>
          <t>RL7-FTR-207</t>
        </is>
      </c>
      <c r="E474" s="308" t="inlineStr">
        <is>
          <t>RL7-FTR-207</t>
        </is>
      </c>
      <c r="F474" s="308" t="inlineStr"/>
      <c r="G474" s="308" t="inlineStr">
        <is>
          <t>equipment</t>
        </is>
      </c>
      <c r="H474" s="311" t="n">
        <v>0.77</v>
      </c>
      <c r="I474" s="308" t="inlineStr">
        <is>
          <t>Medium</t>
        </is>
      </c>
      <c r="J474" s="308" t="inlineStr">
        <is>
          <t>drawing</t>
        </is>
      </c>
      <c r="K474" s="308" t="inlineStr">
        <is>
          <t>standalone:asset</t>
        </is>
      </c>
      <c r="L474" s="308" t="inlineStr">
        <is>
          <t>drawing zone; process page; mapped sheet</t>
        </is>
      </c>
      <c r="M474" s="308" t="inlineStr">
        <is>
          <t>RL7-FTR-207</t>
        </is>
      </c>
      <c r="N474" s="308" t="inlineStr">
        <is>
          <t>native</t>
        </is>
      </c>
      <c r="O474" s="308" t="inlineStr">
        <is>
          <t>native-only</t>
        </is>
      </c>
      <c r="P474" s="308" t="inlineStr">
        <is>
          <t>native</t>
        </is>
      </c>
      <c r="Q474" s="308" t="inlineStr"/>
      <c r="R474" s="308" t="inlineStr">
        <is>
          <t>native text sufficient</t>
        </is>
      </c>
      <c r="S474" s="308" t="inlineStr"/>
      <c r="T474" s="308" t="inlineStr">
        <is>
          <t>p19:native:261</t>
        </is>
      </c>
      <c r="U474" s="308" t="n">
        <v>1</v>
      </c>
    </row>
    <row r="475">
      <c r="A475" s="308" t="inlineStr">
        <is>
          <t>Missing in Excel</t>
        </is>
      </c>
      <c r="B475" s="308" t="inlineStr">
        <is>
          <t>DG7033</t>
        </is>
      </c>
      <c r="C475" s="308" t="n">
        <v>19</v>
      </c>
      <c r="D475" s="308" t="inlineStr">
        <is>
          <t>RL7-HTX-201A</t>
        </is>
      </c>
      <c r="E475" s="308" t="inlineStr">
        <is>
          <t>RL7-HTX-201A</t>
        </is>
      </c>
      <c r="F475" s="308" t="inlineStr"/>
      <c r="G475" s="308" t="inlineStr">
        <is>
          <t>equipment</t>
        </is>
      </c>
      <c r="H475" s="311" t="n">
        <v>0.77</v>
      </c>
      <c r="I475" s="308" t="inlineStr">
        <is>
          <t>Medium</t>
        </is>
      </c>
      <c r="J475" s="308" t="inlineStr">
        <is>
          <t>drawing</t>
        </is>
      </c>
      <c r="K475" s="308" t="inlineStr">
        <is>
          <t>standalone:asset</t>
        </is>
      </c>
      <c r="L475" s="308" t="inlineStr">
        <is>
          <t>drawing zone; process page; mapped sheet</t>
        </is>
      </c>
      <c r="M475" s="308" t="inlineStr">
        <is>
          <t>RL7-HTX-201A</t>
        </is>
      </c>
      <c r="N475" s="308" t="inlineStr">
        <is>
          <t>native</t>
        </is>
      </c>
      <c r="O475" s="308" t="inlineStr">
        <is>
          <t>native-only</t>
        </is>
      </c>
      <c r="P475" s="308" t="inlineStr">
        <is>
          <t>native</t>
        </is>
      </c>
      <c r="Q475" s="308" t="inlineStr"/>
      <c r="R475" s="308" t="inlineStr">
        <is>
          <t>native text sufficient</t>
        </is>
      </c>
      <c r="S475" s="308" t="inlineStr"/>
      <c r="T475" s="308" t="inlineStr">
        <is>
          <t>p19:native:369</t>
        </is>
      </c>
      <c r="U475" s="308" t="n">
        <v>1</v>
      </c>
    </row>
    <row r="476">
      <c r="A476" s="308" t="inlineStr">
        <is>
          <t>Missing in Excel</t>
        </is>
      </c>
      <c r="B476" s="308" t="inlineStr">
        <is>
          <t>DG7033</t>
        </is>
      </c>
      <c r="C476" s="308" t="n">
        <v>19</v>
      </c>
      <c r="D476" s="308" t="inlineStr">
        <is>
          <t>RL7-HTX-201B</t>
        </is>
      </c>
      <c r="E476" s="308" t="inlineStr">
        <is>
          <t>RL7-HTX-201B</t>
        </is>
      </c>
      <c r="F476" s="308" t="inlineStr"/>
      <c r="G476" s="308" t="inlineStr">
        <is>
          <t>equipment</t>
        </is>
      </c>
      <c r="H476" s="311" t="n">
        <v>0.77</v>
      </c>
      <c r="I476" s="308" t="inlineStr">
        <is>
          <t>Medium</t>
        </is>
      </c>
      <c r="J476" s="308" t="inlineStr">
        <is>
          <t>drawing</t>
        </is>
      </c>
      <c r="K476" s="308" t="inlineStr">
        <is>
          <t>standalone:asset</t>
        </is>
      </c>
      <c r="L476" s="308" t="inlineStr">
        <is>
          <t>drawing zone; process page; mapped sheet</t>
        </is>
      </c>
      <c r="M476" s="308" t="inlineStr">
        <is>
          <t>RL7-HTX-201B</t>
        </is>
      </c>
      <c r="N476" s="308" t="inlineStr">
        <is>
          <t>native</t>
        </is>
      </c>
      <c r="O476" s="308" t="inlineStr">
        <is>
          <t>native-only</t>
        </is>
      </c>
      <c r="P476" s="308" t="inlineStr">
        <is>
          <t>native</t>
        </is>
      </c>
      <c r="Q476" s="308" t="inlineStr"/>
      <c r="R476" s="308" t="inlineStr">
        <is>
          <t>native text sufficient</t>
        </is>
      </c>
      <c r="S476" s="308" t="inlineStr"/>
      <c r="T476" s="308" t="inlineStr">
        <is>
          <t>p19:native:411</t>
        </is>
      </c>
      <c r="U476" s="308" t="n">
        <v>1</v>
      </c>
    </row>
    <row r="477">
      <c r="A477" s="308" t="inlineStr">
        <is>
          <t>Missing in Excel</t>
        </is>
      </c>
      <c r="B477" s="308" t="inlineStr">
        <is>
          <t>DG7033</t>
        </is>
      </c>
      <c r="C477" s="308" t="n">
        <v>19</v>
      </c>
      <c r="D477" s="308" t="inlineStr">
        <is>
          <t>RL7-PMP-203</t>
        </is>
      </c>
      <c r="E477" s="308" t="inlineStr">
        <is>
          <t>RL7-PMP-203</t>
        </is>
      </c>
      <c r="F477" s="308" t="inlineStr"/>
      <c r="G477" s="308" t="inlineStr">
        <is>
          <t>equipment</t>
        </is>
      </c>
      <c r="H477" s="311" t="n">
        <v>0.77</v>
      </c>
      <c r="I477" s="308" t="inlineStr">
        <is>
          <t>Medium</t>
        </is>
      </c>
      <c r="J477" s="308" t="inlineStr">
        <is>
          <t>drawing</t>
        </is>
      </c>
      <c r="K477" s="308" t="inlineStr">
        <is>
          <t>standalone:asset</t>
        </is>
      </c>
      <c r="L477" s="308" t="inlineStr">
        <is>
          <t>drawing zone; process page; mapped sheet</t>
        </is>
      </c>
      <c r="M477" s="308" t="inlineStr">
        <is>
          <t>RL7-PMP-203</t>
        </is>
      </c>
      <c r="N477" s="308" t="inlineStr">
        <is>
          <t>native</t>
        </is>
      </c>
      <c r="O477" s="308" t="inlineStr">
        <is>
          <t>native-only</t>
        </is>
      </c>
      <c r="P477" s="308" t="inlineStr">
        <is>
          <t>native</t>
        </is>
      </c>
      <c r="Q477" s="308" t="inlineStr"/>
      <c r="R477" s="308" t="inlineStr">
        <is>
          <t>native text sufficient</t>
        </is>
      </c>
      <c r="S477" s="308" t="inlineStr"/>
      <c r="T477" s="308" t="inlineStr">
        <is>
          <t>p19:native:6</t>
        </is>
      </c>
      <c r="U477" s="308" t="n">
        <v>1</v>
      </c>
    </row>
    <row r="478">
      <c r="A478" s="308" t="inlineStr">
        <is>
          <t>Missing in Excel</t>
        </is>
      </c>
      <c r="B478" s="308" t="inlineStr">
        <is>
          <t>DG7033</t>
        </is>
      </c>
      <c r="C478" s="308" t="n">
        <v>19</v>
      </c>
      <c r="D478" s="308" t="inlineStr">
        <is>
          <t>RL7-PMP-204</t>
        </is>
      </c>
      <c r="E478" s="308" t="inlineStr">
        <is>
          <t>RL7-PMP-204</t>
        </is>
      </c>
      <c r="F478" s="308" t="inlineStr"/>
      <c r="G478" s="308" t="inlineStr">
        <is>
          <t>equipment</t>
        </is>
      </c>
      <c r="H478" s="311" t="n">
        <v>0.77</v>
      </c>
      <c r="I478" s="308" t="inlineStr">
        <is>
          <t>Medium</t>
        </is>
      </c>
      <c r="J478" s="308" t="inlineStr">
        <is>
          <t>drawing</t>
        </is>
      </c>
      <c r="K478" s="308" t="inlineStr">
        <is>
          <t>standalone:asset</t>
        </is>
      </c>
      <c r="L478" s="308" t="inlineStr">
        <is>
          <t>drawing zone; process page; mapped sheet</t>
        </is>
      </c>
      <c r="M478" s="308" t="inlineStr">
        <is>
          <t>RL7-PMP-204</t>
        </is>
      </c>
      <c r="N478" s="308" t="inlineStr">
        <is>
          <t>native</t>
        </is>
      </c>
      <c r="O478" s="308" t="inlineStr">
        <is>
          <t>native-only</t>
        </is>
      </c>
      <c r="P478" s="308" t="inlineStr">
        <is>
          <t>native</t>
        </is>
      </c>
      <c r="Q478" s="308" t="inlineStr"/>
      <c r="R478" s="308" t="inlineStr">
        <is>
          <t>native text sufficient</t>
        </is>
      </c>
      <c r="S478" s="308" t="inlineStr"/>
      <c r="T478" s="308" t="inlineStr">
        <is>
          <t>p19:native:4</t>
        </is>
      </c>
      <c r="U478" s="308" t="n">
        <v>1</v>
      </c>
    </row>
    <row r="479">
      <c r="A479" s="308" t="inlineStr">
        <is>
          <t>Missing in Excel</t>
        </is>
      </c>
      <c r="B479" s="308" t="inlineStr">
        <is>
          <t>DG7033</t>
        </is>
      </c>
      <c r="C479" s="308" t="n">
        <v>19</v>
      </c>
      <c r="D479" s="308" t="inlineStr">
        <is>
          <t>RL7-PMP-205</t>
        </is>
      </c>
      <c r="E479" s="308" t="inlineStr">
        <is>
          <t>RL7-PMP-205</t>
        </is>
      </c>
      <c r="F479" s="308" t="inlineStr"/>
      <c r="G479" s="308" t="inlineStr">
        <is>
          <t>equipment</t>
        </is>
      </c>
      <c r="H479" s="311" t="n">
        <v>0.77</v>
      </c>
      <c r="I479" s="308" t="inlineStr">
        <is>
          <t>Medium</t>
        </is>
      </c>
      <c r="J479" s="308" t="inlineStr">
        <is>
          <t>drawing</t>
        </is>
      </c>
      <c r="K479" s="308" t="inlineStr">
        <is>
          <t>standalone:asset</t>
        </is>
      </c>
      <c r="L479" s="308" t="inlineStr">
        <is>
          <t>drawing zone; process page; mapped sheet</t>
        </is>
      </c>
      <c r="M479" s="308" t="inlineStr">
        <is>
          <t>RL7-PMP-205</t>
        </is>
      </c>
      <c r="N479" s="308" t="inlineStr">
        <is>
          <t>native</t>
        </is>
      </c>
      <c r="O479" s="308" t="inlineStr">
        <is>
          <t>native-only</t>
        </is>
      </c>
      <c r="P479" s="308" t="inlineStr">
        <is>
          <t>native</t>
        </is>
      </c>
      <c r="Q479" s="308" t="inlineStr"/>
      <c r="R479" s="308" t="inlineStr">
        <is>
          <t>native text sufficient</t>
        </is>
      </c>
      <c r="S479" s="308" t="inlineStr"/>
      <c r="T479" s="308" t="inlineStr">
        <is>
          <t>p19:native:36</t>
        </is>
      </c>
      <c r="U479" s="308" t="n">
        <v>1</v>
      </c>
    </row>
    <row r="480">
      <c r="A480" s="308" t="inlineStr">
        <is>
          <t>Missing in Excel</t>
        </is>
      </c>
      <c r="B480" s="308" t="inlineStr">
        <is>
          <t>DG7033</t>
        </is>
      </c>
      <c r="C480" s="308" t="n">
        <v>19</v>
      </c>
      <c r="D480" s="308" t="inlineStr">
        <is>
          <t>RL7-PMP-206</t>
        </is>
      </c>
      <c r="E480" s="308" t="inlineStr">
        <is>
          <t>RL7-PMP-206</t>
        </is>
      </c>
      <c r="F480" s="308" t="inlineStr"/>
      <c r="G480" s="308" t="inlineStr">
        <is>
          <t>equipment</t>
        </is>
      </c>
      <c r="H480" s="311" t="n">
        <v>0.77</v>
      </c>
      <c r="I480" s="308" t="inlineStr">
        <is>
          <t>Medium</t>
        </is>
      </c>
      <c r="J480" s="308" t="inlineStr">
        <is>
          <t>drawing</t>
        </is>
      </c>
      <c r="K480" s="308" t="inlineStr">
        <is>
          <t>standalone:asset</t>
        </is>
      </c>
      <c r="L480" s="308" t="inlineStr">
        <is>
          <t>drawing zone; process page; mapped sheet</t>
        </is>
      </c>
      <c r="M480" s="308" t="inlineStr">
        <is>
          <t>RL7-PMP-206</t>
        </is>
      </c>
      <c r="N480" s="308" t="inlineStr">
        <is>
          <t>native</t>
        </is>
      </c>
      <c r="O480" s="308" t="inlineStr">
        <is>
          <t>native-only</t>
        </is>
      </c>
      <c r="P480" s="308" t="inlineStr">
        <is>
          <t>native</t>
        </is>
      </c>
      <c r="Q480" s="308" t="inlineStr"/>
      <c r="R480" s="308" t="inlineStr">
        <is>
          <t>native text sufficient</t>
        </is>
      </c>
      <c r="S480" s="308" t="inlineStr"/>
      <c r="T480" s="308" t="inlineStr">
        <is>
          <t>p19:native:2</t>
        </is>
      </c>
      <c r="U480" s="308" t="n">
        <v>1</v>
      </c>
    </row>
    <row r="481">
      <c r="A481" s="308" t="inlineStr">
        <is>
          <t>Missing in Excel</t>
        </is>
      </c>
      <c r="B481" s="308" t="inlineStr">
        <is>
          <t>DG7033</t>
        </is>
      </c>
      <c r="C481" s="308" t="n">
        <v>19</v>
      </c>
      <c r="D481" s="308" t="inlineStr">
        <is>
          <t>RL7-PMP-207</t>
        </is>
      </c>
      <c r="E481" s="308" t="inlineStr">
        <is>
          <t>RL7-PMP-207</t>
        </is>
      </c>
      <c r="F481" s="308" t="inlineStr"/>
      <c r="G481" s="308" t="inlineStr">
        <is>
          <t>equipment</t>
        </is>
      </c>
      <c r="H481" s="311" t="n">
        <v>0.77</v>
      </c>
      <c r="I481" s="308" t="inlineStr">
        <is>
          <t>Medium</t>
        </is>
      </c>
      <c r="J481" s="308" t="inlineStr">
        <is>
          <t>drawing</t>
        </is>
      </c>
      <c r="K481" s="308" t="inlineStr">
        <is>
          <t>standalone:asset</t>
        </is>
      </c>
      <c r="L481" s="308" t="inlineStr">
        <is>
          <t>drawing zone; process page; mapped sheet</t>
        </is>
      </c>
      <c r="M481" s="308" t="inlineStr">
        <is>
          <t>RL7-PMP-207</t>
        </is>
      </c>
      <c r="N481" s="308" t="inlineStr">
        <is>
          <t>native</t>
        </is>
      </c>
      <c r="O481" s="308" t="inlineStr">
        <is>
          <t>native-only</t>
        </is>
      </c>
      <c r="P481" s="308" t="inlineStr">
        <is>
          <t>native</t>
        </is>
      </c>
      <c r="Q481" s="308" t="inlineStr"/>
      <c r="R481" s="308" t="inlineStr">
        <is>
          <t>native text sufficient</t>
        </is>
      </c>
      <c r="S481" s="308" t="inlineStr"/>
      <c r="T481" s="308" t="inlineStr">
        <is>
          <t>p19:native:0</t>
        </is>
      </c>
      <c r="U481" s="308" t="n">
        <v>1</v>
      </c>
    </row>
    <row r="482">
      <c r="A482" s="308" t="inlineStr">
        <is>
          <t>Missing in Excel</t>
        </is>
      </c>
      <c r="B482" s="308" t="inlineStr">
        <is>
          <t>DG7033</t>
        </is>
      </c>
      <c r="C482" s="308" t="n">
        <v>19</v>
      </c>
      <c r="D482" s="308" t="inlineStr">
        <is>
          <t>RL7-PMP-208</t>
        </is>
      </c>
      <c r="E482" s="308" t="inlineStr">
        <is>
          <t>RL7-PMP-208</t>
        </is>
      </c>
      <c r="F482" s="308" t="inlineStr"/>
      <c r="G482" s="308" t="inlineStr">
        <is>
          <t>equipment</t>
        </is>
      </c>
      <c r="H482" s="311" t="n">
        <v>0.77</v>
      </c>
      <c r="I482" s="308" t="inlineStr">
        <is>
          <t>Medium</t>
        </is>
      </c>
      <c r="J482" s="308" t="inlineStr">
        <is>
          <t>drawing</t>
        </is>
      </c>
      <c r="K482" s="308" t="inlineStr">
        <is>
          <t>standalone:asset</t>
        </is>
      </c>
      <c r="L482" s="308" t="inlineStr">
        <is>
          <t>drawing zone; process page; mapped sheet</t>
        </is>
      </c>
      <c r="M482" s="308" t="inlineStr">
        <is>
          <t>RL7-PMP-208</t>
        </is>
      </c>
      <c r="N482" s="308" t="inlineStr">
        <is>
          <t>native</t>
        </is>
      </c>
      <c r="O482" s="308" t="inlineStr">
        <is>
          <t>native-only</t>
        </is>
      </c>
      <c r="P482" s="308" t="inlineStr">
        <is>
          <t>native</t>
        </is>
      </c>
      <c r="Q482" s="308" t="inlineStr"/>
      <c r="R482" s="308" t="inlineStr">
        <is>
          <t>native text sufficient</t>
        </is>
      </c>
      <c r="S482" s="308" t="inlineStr"/>
      <c r="T482" s="308" t="inlineStr">
        <is>
          <t>p19:native:85</t>
        </is>
      </c>
      <c r="U482" s="308" t="n">
        <v>1</v>
      </c>
    </row>
    <row r="483">
      <c r="A483" s="308" t="inlineStr">
        <is>
          <t>Missing in Excel</t>
        </is>
      </c>
      <c r="B483" s="308" t="inlineStr">
        <is>
          <t>DG7033</t>
        </is>
      </c>
      <c r="C483" s="308" t="n">
        <v>19</v>
      </c>
      <c r="D483" s="308" t="inlineStr">
        <is>
          <t>RL7-PMP-209</t>
        </is>
      </c>
      <c r="E483" s="308" t="inlineStr">
        <is>
          <t>RL7-PMP-209</t>
        </is>
      </c>
      <c r="F483" s="308" t="inlineStr"/>
      <c r="G483" s="308" t="inlineStr">
        <is>
          <t>equipment</t>
        </is>
      </c>
      <c r="H483" s="311" t="n">
        <v>0.77</v>
      </c>
      <c r="I483" s="308" t="inlineStr">
        <is>
          <t>Medium</t>
        </is>
      </c>
      <c r="J483" s="308" t="inlineStr">
        <is>
          <t>drawing</t>
        </is>
      </c>
      <c r="K483" s="308" t="inlineStr">
        <is>
          <t>standalone:asset</t>
        </is>
      </c>
      <c r="L483" s="308" t="inlineStr">
        <is>
          <t>drawing zone; process page; mapped sheet</t>
        </is>
      </c>
      <c r="M483" s="308" t="inlineStr">
        <is>
          <t>RL7-PMP-209</t>
        </is>
      </c>
      <c r="N483" s="308" t="inlineStr">
        <is>
          <t>native</t>
        </is>
      </c>
      <c r="O483" s="308" t="inlineStr">
        <is>
          <t>native-only</t>
        </is>
      </c>
      <c r="P483" s="308" t="inlineStr">
        <is>
          <t>native</t>
        </is>
      </c>
      <c r="Q483" s="308" t="inlineStr"/>
      <c r="R483" s="308" t="inlineStr">
        <is>
          <t>native text sufficient</t>
        </is>
      </c>
      <c r="S483" s="308" t="inlineStr"/>
      <c r="T483" s="308" t="inlineStr">
        <is>
          <t>p19:native:325</t>
        </is>
      </c>
      <c r="U483" s="308" t="n">
        <v>1</v>
      </c>
    </row>
    <row r="484">
      <c r="A484" s="308" t="inlineStr">
        <is>
          <t>Missing in Excel</t>
        </is>
      </c>
      <c r="B484" s="308" t="inlineStr">
        <is>
          <t>DG7033</t>
        </is>
      </c>
      <c r="C484" s="308" t="n">
        <v>19</v>
      </c>
      <c r="D484" s="308" t="inlineStr">
        <is>
          <t>RL7-PMP-210</t>
        </is>
      </c>
      <c r="E484" s="308" t="inlineStr">
        <is>
          <t>RL7-PMP-210</t>
        </is>
      </c>
      <c r="F484" s="308" t="inlineStr"/>
      <c r="G484" s="308" t="inlineStr">
        <is>
          <t>equipment</t>
        </is>
      </c>
      <c r="H484" s="311" t="n">
        <v>0.77</v>
      </c>
      <c r="I484" s="308" t="inlineStr">
        <is>
          <t>Medium</t>
        </is>
      </c>
      <c r="J484" s="308" t="inlineStr">
        <is>
          <t>drawing</t>
        </is>
      </c>
      <c r="K484" s="308" t="inlineStr">
        <is>
          <t>standalone:asset</t>
        </is>
      </c>
      <c r="L484" s="308" t="inlineStr">
        <is>
          <t>drawing zone; process page; mapped sheet</t>
        </is>
      </c>
      <c r="M484" s="308" t="inlineStr">
        <is>
          <t>RL7-PMP-210</t>
        </is>
      </c>
      <c r="N484" s="308" t="inlineStr">
        <is>
          <t>native</t>
        </is>
      </c>
      <c r="O484" s="308" t="inlineStr">
        <is>
          <t>native-only</t>
        </is>
      </c>
      <c r="P484" s="308" t="inlineStr">
        <is>
          <t>native</t>
        </is>
      </c>
      <c r="Q484" s="308" t="inlineStr"/>
      <c r="R484" s="308" t="inlineStr">
        <is>
          <t>native text sufficient</t>
        </is>
      </c>
      <c r="S484" s="308" t="inlineStr"/>
      <c r="T484" s="308" t="inlineStr">
        <is>
          <t>p19:native:328</t>
        </is>
      </c>
      <c r="U484" s="308" t="n">
        <v>1</v>
      </c>
    </row>
    <row r="485">
      <c r="A485" s="308" t="inlineStr">
        <is>
          <t>Missing in Excel</t>
        </is>
      </c>
      <c r="B485" s="308" t="inlineStr">
        <is>
          <t>DG7033</t>
        </is>
      </c>
      <c r="C485" s="308" t="n">
        <v>19</v>
      </c>
      <c r="D485" s="308" t="inlineStr">
        <is>
          <t>RL7-CHR-201-AH01</t>
        </is>
      </c>
      <c r="E485" s="308" t="inlineStr">
        <is>
          <t>RL7-CHR-201</t>
        </is>
      </c>
      <c r="F485" s="308" t="inlineStr">
        <is>
          <t>AH01</t>
        </is>
      </c>
      <c r="G485" s="308" t="inlineStr">
        <is>
          <t>instrument</t>
        </is>
      </c>
      <c r="H485" s="311" t="n">
        <v>0.99</v>
      </c>
      <c r="I485" s="308" t="inlineStr">
        <is>
          <t>High</t>
        </is>
      </c>
      <c r="J485" s="308" t="inlineStr">
        <is>
          <t>drawing</t>
        </is>
      </c>
      <c r="K485" s="308" t="inlineStr">
        <is>
          <t>stacked:isa</t>
        </is>
      </c>
      <c r="L485" s="308" t="inlineStr">
        <is>
          <t>drawing zone; process page; mapped sheet</t>
        </is>
      </c>
      <c r="M485" s="308" t="inlineStr">
        <is>
          <t>RL7-CHR-201 / AH-01</t>
        </is>
      </c>
      <c r="N485" s="308" t="inlineStr">
        <is>
          <t>native</t>
        </is>
      </c>
      <c r="O485" s="308" t="inlineStr">
        <is>
          <t>native-only</t>
        </is>
      </c>
      <c r="P485" s="308" t="inlineStr">
        <is>
          <t>native</t>
        </is>
      </c>
      <c r="Q485" s="308" t="inlineStr"/>
      <c r="R485" s="308" t="inlineStr">
        <is>
          <t>native text sufficient</t>
        </is>
      </c>
      <c r="S485" s="308" t="inlineStr"/>
      <c r="T485" s="308" t="inlineStr">
        <is>
          <t>p19:native:592, p19:native:593</t>
        </is>
      </c>
      <c r="U485" s="308" t="n">
        <v>2</v>
      </c>
    </row>
    <row r="486">
      <c r="A486" s="308" t="inlineStr">
        <is>
          <t>Missing in Excel</t>
        </is>
      </c>
      <c r="B486" s="308" t="inlineStr">
        <is>
          <t>DG7033</t>
        </is>
      </c>
      <c r="C486" s="308" t="n">
        <v>19</v>
      </c>
      <c r="D486" s="308" t="inlineStr">
        <is>
          <t>RL7-PMP-203-FE01</t>
        </is>
      </c>
      <c r="E486" s="308" t="inlineStr">
        <is>
          <t>RL7-PMP-203</t>
        </is>
      </c>
      <c r="F486" s="308" t="inlineStr">
        <is>
          <t>FE01</t>
        </is>
      </c>
      <c r="G486" s="308" t="inlineStr">
        <is>
          <t>instrument</t>
        </is>
      </c>
      <c r="H486" s="311" t="n">
        <v>0.99</v>
      </c>
      <c r="I486" s="308" t="inlineStr">
        <is>
          <t>High</t>
        </is>
      </c>
      <c r="J486" s="308" t="inlineStr">
        <is>
          <t>drawing</t>
        </is>
      </c>
      <c r="K486" s="308" t="inlineStr">
        <is>
          <t>stacked:isa</t>
        </is>
      </c>
      <c r="L486" s="308" t="inlineStr">
        <is>
          <t>drawing zone; process page; mapped sheet</t>
        </is>
      </c>
      <c r="M486" s="308" t="inlineStr">
        <is>
          <t>RL7-PMP-203 / FE-01</t>
        </is>
      </c>
      <c r="N486" s="308" t="inlineStr">
        <is>
          <t>native</t>
        </is>
      </c>
      <c r="O486" s="308" t="inlineStr">
        <is>
          <t>native-only</t>
        </is>
      </c>
      <c r="P486" s="308" t="inlineStr">
        <is>
          <t>native</t>
        </is>
      </c>
      <c r="Q486" s="308" t="inlineStr"/>
      <c r="R486" s="308" t="inlineStr">
        <is>
          <t>native text sufficient</t>
        </is>
      </c>
      <c r="S486" s="308" t="inlineStr"/>
      <c r="T486" s="308" t="inlineStr">
        <is>
          <t>p19:native:16, p19:native:17</t>
        </is>
      </c>
      <c r="U486" s="308" t="n">
        <v>2</v>
      </c>
    </row>
    <row r="487">
      <c r="A487" s="308" t="inlineStr">
        <is>
          <t>Missing in Excel</t>
        </is>
      </c>
      <c r="B487" s="308" t="inlineStr">
        <is>
          <t>DG7033</t>
        </is>
      </c>
      <c r="C487" s="308" t="n">
        <v>19</v>
      </c>
      <c r="D487" s="308" t="inlineStr">
        <is>
          <t>RL7-PMP-203-TE01</t>
        </is>
      </c>
      <c r="E487" s="308" t="inlineStr">
        <is>
          <t>RL7-PMP-203</t>
        </is>
      </c>
      <c r="F487" s="308" t="inlineStr">
        <is>
          <t>TE01</t>
        </is>
      </c>
      <c r="G487" s="308" t="inlineStr">
        <is>
          <t>instrument</t>
        </is>
      </c>
      <c r="H487" s="311" t="n">
        <v>0.99</v>
      </c>
      <c r="I487" s="308" t="inlineStr">
        <is>
          <t>High</t>
        </is>
      </c>
      <c r="J487" s="308" t="inlineStr">
        <is>
          <t>drawing</t>
        </is>
      </c>
      <c r="K487" s="308" t="inlineStr">
        <is>
          <t>stacked:isa</t>
        </is>
      </c>
      <c r="L487" s="308" t="inlineStr">
        <is>
          <t>drawing zone; process page; mapped sheet</t>
        </is>
      </c>
      <c r="M487" s="308" t="inlineStr">
        <is>
          <t>RL7-PMP-203 / TE-01</t>
        </is>
      </c>
      <c r="N487" s="308" t="inlineStr">
        <is>
          <t>native</t>
        </is>
      </c>
      <c r="O487" s="308" t="inlineStr">
        <is>
          <t>native-only</t>
        </is>
      </c>
      <c r="P487" s="308" t="inlineStr">
        <is>
          <t>native</t>
        </is>
      </c>
      <c r="Q487" s="308" t="inlineStr"/>
      <c r="R487" s="308" t="inlineStr">
        <is>
          <t>native text sufficient</t>
        </is>
      </c>
      <c r="S487" s="308" t="inlineStr"/>
      <c r="T487" s="308" t="inlineStr">
        <is>
          <t>p19:native:380, p19:native:381</t>
        </is>
      </c>
      <c r="U487" s="308" t="n">
        <v>2</v>
      </c>
    </row>
    <row r="488">
      <c r="A488" s="308" t="inlineStr">
        <is>
          <t>Missing in Excel</t>
        </is>
      </c>
      <c r="B488" s="308" t="inlineStr">
        <is>
          <t>DG7033</t>
        </is>
      </c>
      <c r="C488" s="308" t="n">
        <v>19</v>
      </c>
      <c r="D488" s="308" t="inlineStr">
        <is>
          <t>RL7-PMP-204-FE01</t>
        </is>
      </c>
      <c r="E488" s="308" t="inlineStr">
        <is>
          <t>RL7-PMP-204</t>
        </is>
      </c>
      <c r="F488" s="308" t="inlineStr">
        <is>
          <t>FE01</t>
        </is>
      </c>
      <c r="G488" s="308" t="inlineStr">
        <is>
          <t>instrument</t>
        </is>
      </c>
      <c r="H488" s="311" t="n">
        <v>0.99</v>
      </c>
      <c r="I488" s="308" t="inlineStr">
        <is>
          <t>High</t>
        </is>
      </c>
      <c r="J488" s="308" t="inlineStr">
        <is>
          <t>drawing</t>
        </is>
      </c>
      <c r="K488" s="308" t="inlineStr">
        <is>
          <t>stacked:isa</t>
        </is>
      </c>
      <c r="L488" s="308" t="inlineStr">
        <is>
          <t>drawing zone; process page; mapped sheet</t>
        </is>
      </c>
      <c r="M488" s="308" t="inlineStr">
        <is>
          <t>RL7-PMP-204 / FE-01</t>
        </is>
      </c>
      <c r="N488" s="308" t="inlineStr">
        <is>
          <t>native</t>
        </is>
      </c>
      <c r="O488" s="308" t="inlineStr">
        <is>
          <t>native-only</t>
        </is>
      </c>
      <c r="P488" s="308" t="inlineStr">
        <is>
          <t>native</t>
        </is>
      </c>
      <c r="Q488" s="308" t="inlineStr"/>
      <c r="R488" s="308" t="inlineStr">
        <is>
          <t>native text sufficient</t>
        </is>
      </c>
      <c r="S488" s="308" t="inlineStr"/>
      <c r="T488" s="308" t="inlineStr">
        <is>
          <t>p19:native:32, p19:native:33</t>
        </is>
      </c>
      <c r="U488" s="308" t="n">
        <v>2</v>
      </c>
    </row>
    <row r="489">
      <c r="A489" s="308" t="inlineStr">
        <is>
          <t>Missing in Excel</t>
        </is>
      </c>
      <c r="B489" s="308" t="inlineStr">
        <is>
          <t>DG7033</t>
        </is>
      </c>
      <c r="C489" s="308" t="n">
        <v>19</v>
      </c>
      <c r="D489" s="308" t="inlineStr">
        <is>
          <t>RL7-PMP-205-FE01</t>
        </is>
      </c>
      <c r="E489" s="308" t="inlineStr">
        <is>
          <t>RL7-PMP-205</t>
        </is>
      </c>
      <c r="F489" s="308" t="inlineStr">
        <is>
          <t>FE01</t>
        </is>
      </c>
      <c r="G489" s="308" t="inlineStr">
        <is>
          <t>instrument</t>
        </is>
      </c>
      <c r="H489" s="311" t="n">
        <v>0.99</v>
      </c>
      <c r="I489" s="308" t="inlineStr">
        <is>
          <t>High</t>
        </is>
      </c>
      <c r="J489" s="308" t="inlineStr">
        <is>
          <t>drawing</t>
        </is>
      </c>
      <c r="K489" s="308" t="inlineStr">
        <is>
          <t>stacked:isa</t>
        </is>
      </c>
      <c r="L489" s="308" t="inlineStr">
        <is>
          <t>drawing zone; process page; mapped sheet</t>
        </is>
      </c>
      <c r="M489" s="308" t="inlineStr">
        <is>
          <t>RL7-PMP-205 / FE-01</t>
        </is>
      </c>
      <c r="N489" s="308" t="inlineStr">
        <is>
          <t>native</t>
        </is>
      </c>
      <c r="O489" s="308" t="inlineStr">
        <is>
          <t>native-only</t>
        </is>
      </c>
      <c r="P489" s="308" t="inlineStr">
        <is>
          <t>native</t>
        </is>
      </c>
      <c r="Q489" s="308" t="inlineStr"/>
      <c r="R489" s="308" t="inlineStr">
        <is>
          <t>native text sufficient</t>
        </is>
      </c>
      <c r="S489" s="308" t="inlineStr"/>
      <c r="T489" s="308" t="inlineStr">
        <is>
          <t>p19:native:40, p19:native:41</t>
        </is>
      </c>
      <c r="U489" s="308" t="n">
        <v>2</v>
      </c>
    </row>
    <row r="490">
      <c r="A490" s="308" t="inlineStr">
        <is>
          <t>Missing in Excel</t>
        </is>
      </c>
      <c r="B490" s="308" t="inlineStr">
        <is>
          <t>DG7033</t>
        </is>
      </c>
      <c r="C490" s="308" t="n">
        <v>19</v>
      </c>
      <c r="D490" s="308" t="inlineStr">
        <is>
          <t>RL7-PMP-205-TE01</t>
        </is>
      </c>
      <c r="E490" s="308" t="inlineStr">
        <is>
          <t>RL7-PMP-205</t>
        </is>
      </c>
      <c r="F490" s="308" t="inlineStr">
        <is>
          <t>TE01</t>
        </is>
      </c>
      <c r="G490" s="308" t="inlineStr">
        <is>
          <t>instrument</t>
        </is>
      </c>
      <c r="H490" s="311" t="n">
        <v>0.99</v>
      </c>
      <c r="I490" s="308" t="inlineStr">
        <is>
          <t>High</t>
        </is>
      </c>
      <c r="J490" s="308" t="inlineStr">
        <is>
          <t>drawing</t>
        </is>
      </c>
      <c r="K490" s="308" t="inlineStr">
        <is>
          <t>stacked:isa</t>
        </is>
      </c>
      <c r="L490" s="308" t="inlineStr">
        <is>
          <t>drawing zone; process page; mapped sheet</t>
        </is>
      </c>
      <c r="M490" s="308" t="inlineStr">
        <is>
          <t>RL7-PMP-205 / TE-01</t>
        </is>
      </c>
      <c r="N490" s="308" t="inlineStr">
        <is>
          <t>native</t>
        </is>
      </c>
      <c r="O490" s="308" t="inlineStr">
        <is>
          <t>native-only</t>
        </is>
      </c>
      <c r="P490" s="308" t="inlineStr">
        <is>
          <t>native</t>
        </is>
      </c>
      <c r="Q490" s="308" t="inlineStr"/>
      <c r="R490" s="308" t="inlineStr">
        <is>
          <t>native text sufficient</t>
        </is>
      </c>
      <c r="S490" s="308" t="inlineStr"/>
      <c r="T490" s="308" t="inlineStr">
        <is>
          <t>p19:native:102, p19:native:103</t>
        </is>
      </c>
      <c r="U490" s="308" t="n">
        <v>2</v>
      </c>
    </row>
    <row r="491">
      <c r="A491" s="308" t="inlineStr">
        <is>
          <t>Missing in Excel</t>
        </is>
      </c>
      <c r="B491" s="308" t="inlineStr">
        <is>
          <t>DG7033</t>
        </is>
      </c>
      <c r="C491" s="308" t="n">
        <v>19</v>
      </c>
      <c r="D491" s="308" t="inlineStr">
        <is>
          <t>RL7-PMP-206-FE01</t>
        </is>
      </c>
      <c r="E491" s="308" t="inlineStr">
        <is>
          <t>RL7-PMP-206</t>
        </is>
      </c>
      <c r="F491" s="308" t="inlineStr">
        <is>
          <t>FE01</t>
        </is>
      </c>
      <c r="G491" s="308" t="inlineStr">
        <is>
          <t>instrument</t>
        </is>
      </c>
      <c r="H491" s="311" t="n">
        <v>0.99</v>
      </c>
      <c r="I491" s="308" t="inlineStr">
        <is>
          <t>High</t>
        </is>
      </c>
      <c r="J491" s="308" t="inlineStr">
        <is>
          <t>drawing</t>
        </is>
      </c>
      <c r="K491" s="308" t="inlineStr">
        <is>
          <t>stacked:isa</t>
        </is>
      </c>
      <c r="L491" s="308" t="inlineStr">
        <is>
          <t>drawing zone; process page; mapped sheet</t>
        </is>
      </c>
      <c r="M491" s="308" t="inlineStr">
        <is>
          <t>RL7-PMP-206 / FE-01</t>
        </is>
      </c>
      <c r="N491" s="308" t="inlineStr">
        <is>
          <t>native</t>
        </is>
      </c>
      <c r="O491" s="308" t="inlineStr">
        <is>
          <t>native-only</t>
        </is>
      </c>
      <c r="P491" s="308" t="inlineStr">
        <is>
          <t>native</t>
        </is>
      </c>
      <c r="Q491" s="308" t="inlineStr"/>
      <c r="R491" s="308" t="inlineStr">
        <is>
          <t>native text sufficient</t>
        </is>
      </c>
      <c r="S491" s="308" t="inlineStr"/>
      <c r="T491" s="308" t="inlineStr">
        <is>
          <t>p19:native:12, p19:native:13</t>
        </is>
      </c>
      <c r="U491" s="308" t="n">
        <v>2</v>
      </c>
    </row>
    <row r="492">
      <c r="A492" s="308" t="inlineStr">
        <is>
          <t>Missing in Excel</t>
        </is>
      </c>
      <c r="B492" s="308" t="inlineStr">
        <is>
          <t>DG7033</t>
        </is>
      </c>
      <c r="C492" s="308" t="n">
        <v>19</v>
      </c>
      <c r="D492" s="308" t="inlineStr">
        <is>
          <t>RL7-PMP-206-TE01</t>
        </is>
      </c>
      <c r="E492" s="308" t="inlineStr">
        <is>
          <t>RL7-PMP-206</t>
        </is>
      </c>
      <c r="F492" s="308" t="inlineStr">
        <is>
          <t>TE01</t>
        </is>
      </c>
      <c r="G492" s="308" t="inlineStr">
        <is>
          <t>instrument</t>
        </is>
      </c>
      <c r="H492" s="311" t="n">
        <v>0.99</v>
      </c>
      <c r="I492" s="308" t="inlineStr">
        <is>
          <t>High</t>
        </is>
      </c>
      <c r="J492" s="308" t="inlineStr">
        <is>
          <t>drawing</t>
        </is>
      </c>
      <c r="K492" s="308" t="inlineStr">
        <is>
          <t>stacked:isa</t>
        </is>
      </c>
      <c r="L492" s="308" t="inlineStr">
        <is>
          <t>drawing zone; process page; mapped sheet</t>
        </is>
      </c>
      <c r="M492" s="308" t="inlineStr">
        <is>
          <t>RL7-PMP-206 / TE-01</t>
        </is>
      </c>
      <c r="N492" s="308" t="inlineStr">
        <is>
          <t>native</t>
        </is>
      </c>
      <c r="O492" s="308" t="inlineStr">
        <is>
          <t>native-only</t>
        </is>
      </c>
      <c r="P492" s="308" t="inlineStr">
        <is>
          <t>native</t>
        </is>
      </c>
      <c r="Q492" s="308" t="inlineStr"/>
      <c r="R492" s="308" t="inlineStr">
        <is>
          <t>native text sufficient</t>
        </is>
      </c>
      <c r="S492" s="308" t="inlineStr"/>
      <c r="T492" s="308" t="inlineStr">
        <is>
          <t>p19:native:97, p19:native:98</t>
        </is>
      </c>
      <c r="U492" s="308" t="n">
        <v>2</v>
      </c>
    </row>
    <row r="493">
      <c r="A493" s="308" t="inlineStr">
        <is>
          <t>Missing in Excel</t>
        </is>
      </c>
      <c r="B493" s="308" t="inlineStr">
        <is>
          <t>DG7033</t>
        </is>
      </c>
      <c r="C493" s="308" t="n">
        <v>19</v>
      </c>
      <c r="D493" s="308" t="inlineStr">
        <is>
          <t>RL7-PMP-207-FE01</t>
        </is>
      </c>
      <c r="E493" s="308" t="inlineStr">
        <is>
          <t>RL7-PMP-207</t>
        </is>
      </c>
      <c r="F493" s="308" t="inlineStr">
        <is>
          <t>FE01</t>
        </is>
      </c>
      <c r="G493" s="308" t="inlineStr">
        <is>
          <t>instrument</t>
        </is>
      </c>
      <c r="H493" s="311" t="n">
        <v>0.99</v>
      </c>
      <c r="I493" s="308" t="inlineStr">
        <is>
          <t>High</t>
        </is>
      </c>
      <c r="J493" s="308" t="inlineStr">
        <is>
          <t>drawing</t>
        </is>
      </c>
      <c r="K493" s="308" t="inlineStr">
        <is>
          <t>stacked:isa</t>
        </is>
      </c>
      <c r="L493" s="308" t="inlineStr">
        <is>
          <t>drawing zone; process page; mapped sheet</t>
        </is>
      </c>
      <c r="M493" s="308" t="inlineStr">
        <is>
          <t>RL7-PMP-207 / FE-01</t>
        </is>
      </c>
      <c r="N493" s="308" t="inlineStr">
        <is>
          <t>native</t>
        </is>
      </c>
      <c r="O493" s="308" t="inlineStr">
        <is>
          <t>native-only</t>
        </is>
      </c>
      <c r="P493" s="308" t="inlineStr">
        <is>
          <t>native</t>
        </is>
      </c>
      <c r="Q493" s="308" t="inlineStr"/>
      <c r="R493" s="308" t="inlineStr">
        <is>
          <t>native text sufficient</t>
        </is>
      </c>
      <c r="S493" s="308" t="inlineStr"/>
      <c r="T493" s="308" t="inlineStr">
        <is>
          <t>p19:native:8, p19:native:9</t>
        </is>
      </c>
      <c r="U493" s="308" t="n">
        <v>2</v>
      </c>
    </row>
    <row r="494">
      <c r="A494" s="308" t="inlineStr">
        <is>
          <t>Missing in Excel</t>
        </is>
      </c>
      <c r="B494" s="308" t="inlineStr">
        <is>
          <t>DG7033</t>
        </is>
      </c>
      <c r="C494" s="308" t="n">
        <v>19</v>
      </c>
      <c r="D494" s="308" t="inlineStr">
        <is>
          <t>RL7-PMP-208-FE01</t>
        </is>
      </c>
      <c r="E494" s="308" t="inlineStr">
        <is>
          <t>RL7-PMP-208</t>
        </is>
      </c>
      <c r="F494" s="308" t="inlineStr">
        <is>
          <t>FE01</t>
        </is>
      </c>
      <c r="G494" s="308" t="inlineStr">
        <is>
          <t>instrument</t>
        </is>
      </c>
      <c r="H494" s="311" t="n">
        <v>0.99</v>
      </c>
      <c r="I494" s="308" t="inlineStr">
        <is>
          <t>High</t>
        </is>
      </c>
      <c r="J494" s="308" t="inlineStr">
        <is>
          <t>drawing</t>
        </is>
      </c>
      <c r="K494" s="308" t="inlineStr">
        <is>
          <t>stacked:isa</t>
        </is>
      </c>
      <c r="L494" s="308" t="inlineStr">
        <is>
          <t>drawing zone; process page; mapped sheet</t>
        </is>
      </c>
      <c r="M494" s="308" t="inlineStr">
        <is>
          <t>RL7-PMP-208 / FE-01</t>
        </is>
      </c>
      <c r="N494" s="308" t="inlineStr">
        <is>
          <t>native</t>
        </is>
      </c>
      <c r="O494" s="308" t="inlineStr">
        <is>
          <t>native-only</t>
        </is>
      </c>
      <c r="P494" s="308" t="inlineStr">
        <is>
          <t>native</t>
        </is>
      </c>
      <c r="Q494" s="308" t="inlineStr"/>
      <c r="R494" s="308" t="inlineStr">
        <is>
          <t>native text sufficient</t>
        </is>
      </c>
      <c r="S494" s="308" t="inlineStr"/>
      <c r="T494" s="308" t="inlineStr">
        <is>
          <t>p19:native:93, p19:native:94</t>
        </is>
      </c>
      <c r="U494" s="308" t="n">
        <v>2</v>
      </c>
    </row>
    <row r="495">
      <c r="A495" s="308" t="inlineStr">
        <is>
          <t>Missing in Excel</t>
        </is>
      </c>
      <c r="B495" s="308" t="inlineStr">
        <is>
          <t>DG7033</t>
        </is>
      </c>
      <c r="C495" s="308" t="n">
        <v>19</v>
      </c>
      <c r="D495" s="308" t="inlineStr">
        <is>
          <t>RL7-CHR-201-BV001</t>
        </is>
      </c>
      <c r="E495" s="308" t="inlineStr">
        <is>
          <t>RL7-CHR-201</t>
        </is>
      </c>
      <c r="F495" s="308" t="inlineStr">
        <is>
          <t>BV001</t>
        </is>
      </c>
      <c r="G495" s="308" t="inlineStr">
        <is>
          <t>instrument</t>
        </is>
      </c>
      <c r="H495" s="311" t="n">
        <v>0.57</v>
      </c>
      <c r="I495" s="308" t="inlineStr">
        <is>
          <t>Low</t>
        </is>
      </c>
      <c r="J495" s="308" t="inlineStr">
        <is>
          <t>drawing</t>
        </is>
      </c>
      <c r="K495" s="308" t="inlineStr">
        <is>
          <t>inferred:bare-isa</t>
        </is>
      </c>
      <c r="L495" s="308" t="inlineStr">
        <is>
          <t>drawing zone; process page; mapped sheet</t>
        </is>
      </c>
      <c r="M495" s="308" t="inlineStr">
        <is>
          <t>RL7-CHR-201 / BV</t>
        </is>
      </c>
      <c r="N495" s="308" t="inlineStr">
        <is>
          <t>native</t>
        </is>
      </c>
      <c r="O495" s="308" t="inlineStr">
        <is>
          <t>native-only</t>
        </is>
      </c>
      <c r="P495" s="308" t="inlineStr">
        <is>
          <t>native</t>
        </is>
      </c>
      <c r="Q495" s="308" t="inlineStr"/>
      <c r="R495" s="308" t="inlineStr">
        <is>
          <t>native text sufficient</t>
        </is>
      </c>
      <c r="S495" s="308" t="inlineStr"/>
      <c r="T495" s="308" t="inlineStr">
        <is>
          <t>p19:native:30, p19:native:140</t>
        </is>
      </c>
      <c r="U495" s="308" t="n">
        <v>2</v>
      </c>
    </row>
    <row r="496">
      <c r="A496" s="308" t="inlineStr">
        <is>
          <t>Missing in Excel</t>
        </is>
      </c>
      <c r="B496" s="308" t="inlineStr">
        <is>
          <t>DG7033</t>
        </is>
      </c>
      <c r="C496" s="308" t="n">
        <v>19</v>
      </c>
      <c r="D496" s="308" t="inlineStr">
        <is>
          <t>RL7-CHR-201-BV002</t>
        </is>
      </c>
      <c r="E496" s="308" t="inlineStr">
        <is>
          <t>RL7-CHR-201</t>
        </is>
      </c>
      <c r="F496" s="308" t="inlineStr">
        <is>
          <t>BV002</t>
        </is>
      </c>
      <c r="G496" s="308" t="inlineStr">
        <is>
          <t>instrument</t>
        </is>
      </c>
      <c r="H496" s="311" t="n">
        <v>0.57</v>
      </c>
      <c r="I496" s="308" t="inlineStr">
        <is>
          <t>Low</t>
        </is>
      </c>
      <c r="J496" s="308" t="inlineStr">
        <is>
          <t>drawing</t>
        </is>
      </c>
      <c r="K496" s="308" t="inlineStr">
        <is>
          <t>inferred:bare-isa</t>
        </is>
      </c>
      <c r="L496" s="308" t="inlineStr">
        <is>
          <t>drawing zone; process page; mapped sheet</t>
        </is>
      </c>
      <c r="M496" s="308" t="inlineStr">
        <is>
          <t>RL7-CHR-201 / BV</t>
        </is>
      </c>
      <c r="N496" s="308" t="inlineStr">
        <is>
          <t>native</t>
        </is>
      </c>
      <c r="O496" s="308" t="inlineStr">
        <is>
          <t>native-only</t>
        </is>
      </c>
      <c r="P496" s="308" t="inlineStr">
        <is>
          <t>native</t>
        </is>
      </c>
      <c r="Q496" s="308" t="inlineStr"/>
      <c r="R496" s="308" t="inlineStr">
        <is>
          <t>native text sufficient</t>
        </is>
      </c>
      <c r="S496" s="308" t="inlineStr"/>
      <c r="T496" s="308" t="inlineStr">
        <is>
          <t>p19:native:208, p19:native:167</t>
        </is>
      </c>
      <c r="U496" s="308" t="n">
        <v>2</v>
      </c>
    </row>
    <row r="497">
      <c r="A497" s="308" t="inlineStr">
        <is>
          <t>Missing in Excel</t>
        </is>
      </c>
      <c r="B497" s="308" t="inlineStr">
        <is>
          <t>DG7033</t>
        </is>
      </c>
      <c r="C497" s="308" t="n">
        <v>19</v>
      </c>
      <c r="D497" s="308" t="inlineStr">
        <is>
          <t>RL7-CHR-201-BV003</t>
        </is>
      </c>
      <c r="E497" s="308" t="inlineStr">
        <is>
          <t>RL7-CHR-201</t>
        </is>
      </c>
      <c r="F497" s="308" t="inlineStr">
        <is>
          <t>BV003</t>
        </is>
      </c>
      <c r="G497" s="308" t="inlineStr">
        <is>
          <t>instrument</t>
        </is>
      </c>
      <c r="H497" s="311" t="n">
        <v>0.57</v>
      </c>
      <c r="I497" s="308" t="inlineStr">
        <is>
          <t>Low</t>
        </is>
      </c>
      <c r="J497" s="308" t="inlineStr">
        <is>
          <t>drawing</t>
        </is>
      </c>
      <c r="K497" s="308" t="inlineStr">
        <is>
          <t>inferred:bare-isa</t>
        </is>
      </c>
      <c r="L497" s="308" t="inlineStr">
        <is>
          <t>drawing zone; process page; mapped sheet</t>
        </is>
      </c>
      <c r="M497" s="308" t="inlineStr">
        <is>
          <t>RL7-CHR-201 / BV</t>
        </is>
      </c>
      <c r="N497" s="308" t="inlineStr">
        <is>
          <t>native</t>
        </is>
      </c>
      <c r="O497" s="308" t="inlineStr">
        <is>
          <t>native-only</t>
        </is>
      </c>
      <c r="P497" s="308" t="inlineStr">
        <is>
          <t>native</t>
        </is>
      </c>
      <c r="Q497" s="308" t="inlineStr"/>
      <c r="R497" s="308" t="inlineStr">
        <is>
          <t>native text sufficient</t>
        </is>
      </c>
      <c r="S497" s="308" t="inlineStr"/>
      <c r="T497" s="308" t="inlineStr">
        <is>
          <t>p19:native:212, p19:native:128</t>
        </is>
      </c>
      <c r="U497" s="308" t="n">
        <v>2</v>
      </c>
    </row>
    <row r="498">
      <c r="A498" s="308" t="inlineStr">
        <is>
          <t>Missing in Excel</t>
        </is>
      </c>
      <c r="B498" s="308" t="inlineStr">
        <is>
          <t>DG7033</t>
        </is>
      </c>
      <c r="C498" s="308" t="n">
        <v>19</v>
      </c>
      <c r="D498" s="308" t="inlineStr">
        <is>
          <t>RL7-CHR-201-BV004</t>
        </is>
      </c>
      <c r="E498" s="308" t="inlineStr">
        <is>
          <t>RL7-CHR-201</t>
        </is>
      </c>
      <c r="F498" s="308" t="inlineStr">
        <is>
          <t>BV004</t>
        </is>
      </c>
      <c r="G498" s="308" t="inlineStr">
        <is>
          <t>instrument</t>
        </is>
      </c>
      <c r="H498" s="311" t="n">
        <v>0.57</v>
      </c>
      <c r="I498" s="308" t="inlineStr">
        <is>
          <t>Low</t>
        </is>
      </c>
      <c r="J498" s="308" t="inlineStr">
        <is>
          <t>drawing</t>
        </is>
      </c>
      <c r="K498" s="308" t="inlineStr">
        <is>
          <t>inferred:bare-isa</t>
        </is>
      </c>
      <c r="L498" s="308" t="inlineStr">
        <is>
          <t>drawing zone; process page; mapped sheet</t>
        </is>
      </c>
      <c r="M498" s="308" t="inlineStr">
        <is>
          <t>RL7-CHR-201 / BV</t>
        </is>
      </c>
      <c r="N498" s="308" t="inlineStr">
        <is>
          <t>native</t>
        </is>
      </c>
      <c r="O498" s="308" t="inlineStr">
        <is>
          <t>native-only</t>
        </is>
      </c>
      <c r="P498" s="308" t="inlineStr">
        <is>
          <t>native</t>
        </is>
      </c>
      <c r="Q498" s="308" t="inlineStr"/>
      <c r="R498" s="308" t="inlineStr">
        <is>
          <t>native text sufficient</t>
        </is>
      </c>
      <c r="S498" s="308" t="inlineStr"/>
      <c r="T498" s="308" t="inlineStr">
        <is>
          <t>p19:native:214, p19:native:576</t>
        </is>
      </c>
      <c r="U498" s="308" t="n">
        <v>2</v>
      </c>
    </row>
    <row r="499">
      <c r="A499" s="308" t="inlineStr">
        <is>
          <t>Missing in Excel</t>
        </is>
      </c>
      <c r="B499" s="308" t="inlineStr">
        <is>
          <t>DG7033</t>
        </is>
      </c>
      <c r="C499" s="308" t="n">
        <v>19</v>
      </c>
      <c r="D499" s="308" t="inlineStr">
        <is>
          <t>RL7-CHR-201-HV001</t>
        </is>
      </c>
      <c r="E499" s="308" t="inlineStr">
        <is>
          <t>RL7-CHR-201</t>
        </is>
      </c>
      <c r="F499" s="308" t="inlineStr">
        <is>
          <t>HV001</t>
        </is>
      </c>
      <c r="G499" s="308" t="inlineStr">
        <is>
          <t>instrument</t>
        </is>
      </c>
      <c r="H499" s="311" t="n">
        <v>0.57</v>
      </c>
      <c r="I499" s="308" t="inlineStr">
        <is>
          <t>Low</t>
        </is>
      </c>
      <c r="J499" s="308" t="inlineStr">
        <is>
          <t>drawing</t>
        </is>
      </c>
      <c r="K499" s="308" t="inlineStr">
        <is>
          <t>inferred:bare-isa</t>
        </is>
      </c>
      <c r="L499" s="308" t="inlineStr">
        <is>
          <t>drawing zone; process page; mapped sheet</t>
        </is>
      </c>
      <c r="M499" s="308" t="inlineStr">
        <is>
          <t>RL7-CHR-201 / HV</t>
        </is>
      </c>
      <c r="N499" s="308" t="inlineStr">
        <is>
          <t>native</t>
        </is>
      </c>
      <c r="O499" s="308" t="inlineStr">
        <is>
          <t>native-only</t>
        </is>
      </c>
      <c r="P499" s="308" t="inlineStr">
        <is>
          <t>native</t>
        </is>
      </c>
      <c r="Q499" s="308" t="inlineStr"/>
      <c r="R499" s="308" t="inlineStr">
        <is>
          <t>native text sufficient</t>
        </is>
      </c>
      <c r="S499" s="308" t="inlineStr"/>
      <c r="T499" s="308" t="inlineStr">
        <is>
          <t>p19:native:199, p19:native:540</t>
        </is>
      </c>
      <c r="U499" s="308" t="n">
        <v>2</v>
      </c>
    </row>
    <row r="500">
      <c r="A500" s="308" t="inlineStr">
        <is>
          <t>Missing in Excel</t>
        </is>
      </c>
      <c r="B500" s="308" t="inlineStr">
        <is>
          <t>DG7033</t>
        </is>
      </c>
      <c r="C500" s="308" t="n">
        <v>19</v>
      </c>
      <c r="D500" s="308" t="inlineStr">
        <is>
          <t>RL7-CHR-201-HV002</t>
        </is>
      </c>
      <c r="E500" s="308" t="inlineStr">
        <is>
          <t>RL7-CHR-201</t>
        </is>
      </c>
      <c r="F500" s="308" t="inlineStr">
        <is>
          <t>HV002</t>
        </is>
      </c>
      <c r="G500" s="308" t="inlineStr">
        <is>
          <t>instrument</t>
        </is>
      </c>
      <c r="H500" s="311" t="n">
        <v>0.57</v>
      </c>
      <c r="I500" s="308" t="inlineStr">
        <is>
          <t>Low</t>
        </is>
      </c>
      <c r="J500" s="308" t="inlineStr">
        <is>
          <t>drawing</t>
        </is>
      </c>
      <c r="K500" s="308" t="inlineStr">
        <is>
          <t>inferred:bare-isa</t>
        </is>
      </c>
      <c r="L500" s="308" t="inlineStr">
        <is>
          <t>drawing zone; process page; mapped sheet</t>
        </is>
      </c>
      <c r="M500" s="308" t="inlineStr">
        <is>
          <t>RL7-CHR-201 / HV</t>
        </is>
      </c>
      <c r="N500" s="308" t="inlineStr">
        <is>
          <t>native</t>
        </is>
      </c>
      <c r="O500" s="308" t="inlineStr">
        <is>
          <t>native-only</t>
        </is>
      </c>
      <c r="P500" s="308" t="inlineStr">
        <is>
          <t>native</t>
        </is>
      </c>
      <c r="Q500" s="308" t="inlineStr"/>
      <c r="R500" s="308" t="inlineStr">
        <is>
          <t>native text sufficient</t>
        </is>
      </c>
      <c r="S500" s="308" t="inlineStr"/>
      <c r="T500" s="308" t="inlineStr">
        <is>
          <t>p19:native:342, p19:native:149</t>
        </is>
      </c>
      <c r="U500" s="308" t="n">
        <v>2</v>
      </c>
    </row>
    <row r="501">
      <c r="A501" s="308" t="inlineStr">
        <is>
          <t>Missing in Excel</t>
        </is>
      </c>
      <c r="B501" s="308" t="inlineStr">
        <is>
          <t>DG7033</t>
        </is>
      </c>
      <c r="C501" s="308" t="n">
        <v>19</v>
      </c>
      <c r="D501" s="308" t="inlineStr">
        <is>
          <t>RL7-CHR-201-HV003</t>
        </is>
      </c>
      <c r="E501" s="308" t="inlineStr">
        <is>
          <t>RL7-CHR-201</t>
        </is>
      </c>
      <c r="F501" s="308" t="inlineStr">
        <is>
          <t>HV003</t>
        </is>
      </c>
      <c r="G501" s="308" t="inlineStr">
        <is>
          <t>instrument</t>
        </is>
      </c>
      <c r="H501" s="311" t="n">
        <v>0.57</v>
      </c>
      <c r="I501" s="308" t="inlineStr">
        <is>
          <t>Low</t>
        </is>
      </c>
      <c r="J501" s="308" t="inlineStr">
        <is>
          <t>drawing</t>
        </is>
      </c>
      <c r="K501" s="308" t="inlineStr">
        <is>
          <t>inferred:bare-isa</t>
        </is>
      </c>
      <c r="L501" s="308" t="inlineStr">
        <is>
          <t>drawing zone; process page; mapped sheet</t>
        </is>
      </c>
      <c r="M501" s="308" t="inlineStr">
        <is>
          <t>RL7-CHR-201 / HV</t>
        </is>
      </c>
      <c r="N501" s="308" t="inlineStr">
        <is>
          <t>native</t>
        </is>
      </c>
      <c r="O501" s="308" t="inlineStr">
        <is>
          <t>native-only</t>
        </is>
      </c>
      <c r="P501" s="308" t="inlineStr">
        <is>
          <t>native</t>
        </is>
      </c>
      <c r="Q501" s="308" t="inlineStr"/>
      <c r="R501" s="308" t="inlineStr">
        <is>
          <t>native text sufficient</t>
        </is>
      </c>
      <c r="S501" s="308" t="inlineStr"/>
      <c r="T501" s="308" t="inlineStr">
        <is>
          <t>p19:native:201, p19:native:113</t>
        </is>
      </c>
      <c r="U501" s="308" t="n">
        <v>2</v>
      </c>
    </row>
    <row r="502">
      <c r="A502" s="308" t="inlineStr">
        <is>
          <t>Missing in Excel</t>
        </is>
      </c>
      <c r="B502" s="308" t="inlineStr">
        <is>
          <t>DG7033</t>
        </is>
      </c>
      <c r="C502" s="308" t="n">
        <v>19</v>
      </c>
      <c r="D502" s="308" t="inlineStr">
        <is>
          <t>RL7-CHR-201-HV004</t>
        </is>
      </c>
      <c r="E502" s="308" t="inlineStr">
        <is>
          <t>RL7-CHR-201</t>
        </is>
      </c>
      <c r="F502" s="308" t="inlineStr">
        <is>
          <t>HV004</t>
        </is>
      </c>
      <c r="G502" s="308" t="inlineStr">
        <is>
          <t>instrument</t>
        </is>
      </c>
      <c r="H502" s="311" t="n">
        <v>0.57</v>
      </c>
      <c r="I502" s="308" t="inlineStr">
        <is>
          <t>Low</t>
        </is>
      </c>
      <c r="J502" s="308" t="inlineStr">
        <is>
          <t>drawing</t>
        </is>
      </c>
      <c r="K502" s="308" t="inlineStr">
        <is>
          <t>inferred:bare-isa</t>
        </is>
      </c>
      <c r="L502" s="308" t="inlineStr">
        <is>
          <t>drawing zone; process page; mapped sheet</t>
        </is>
      </c>
      <c r="M502" s="308" t="inlineStr">
        <is>
          <t>RL7-CHR-201 / HV</t>
        </is>
      </c>
      <c r="N502" s="308" t="inlineStr">
        <is>
          <t>native</t>
        </is>
      </c>
      <c r="O502" s="308" t="inlineStr">
        <is>
          <t>native-only</t>
        </is>
      </c>
      <c r="P502" s="308" t="inlineStr">
        <is>
          <t>native</t>
        </is>
      </c>
      <c r="Q502" s="308" t="inlineStr"/>
      <c r="R502" s="308" t="inlineStr">
        <is>
          <t>native text sufficient</t>
        </is>
      </c>
      <c r="S502" s="308" t="inlineStr"/>
      <c r="T502" s="308" t="inlineStr">
        <is>
          <t>p19:native:201, p19:native:119</t>
        </is>
      </c>
      <c r="U502" s="308" t="n">
        <v>2</v>
      </c>
    </row>
    <row r="503">
      <c r="A503" s="308" t="inlineStr">
        <is>
          <t>Missing in Excel</t>
        </is>
      </c>
      <c r="B503" s="308" t="inlineStr">
        <is>
          <t>DG7033</t>
        </is>
      </c>
      <c r="C503" s="308" t="n">
        <v>19</v>
      </c>
      <c r="D503" s="308" t="inlineStr">
        <is>
          <t>RL7-CHR-201-HV005</t>
        </is>
      </c>
      <c r="E503" s="308" t="inlineStr">
        <is>
          <t>RL7-CHR-201</t>
        </is>
      </c>
      <c r="F503" s="308" t="inlineStr">
        <is>
          <t>HV005</t>
        </is>
      </c>
      <c r="G503" s="308" t="inlineStr">
        <is>
          <t>instrument</t>
        </is>
      </c>
      <c r="H503" s="311" t="n">
        <v>0.57</v>
      </c>
      <c r="I503" s="308" t="inlineStr">
        <is>
          <t>Low</t>
        </is>
      </c>
      <c r="J503" s="308" t="inlineStr">
        <is>
          <t>drawing</t>
        </is>
      </c>
      <c r="K503" s="308" t="inlineStr">
        <is>
          <t>inferred:bare-isa</t>
        </is>
      </c>
      <c r="L503" s="308" t="inlineStr">
        <is>
          <t>drawing zone; process page; mapped sheet</t>
        </is>
      </c>
      <c r="M503" s="308" t="inlineStr">
        <is>
          <t>RL7-CHR-201 / HV</t>
        </is>
      </c>
      <c r="N503" s="308" t="inlineStr">
        <is>
          <t>native</t>
        </is>
      </c>
      <c r="O503" s="308" t="inlineStr">
        <is>
          <t>native-only</t>
        </is>
      </c>
      <c r="P503" s="308" t="inlineStr">
        <is>
          <t>native</t>
        </is>
      </c>
      <c r="Q503" s="308" t="inlineStr"/>
      <c r="R503" s="308" t="inlineStr">
        <is>
          <t>native text sufficient</t>
        </is>
      </c>
      <c r="S503" s="308" t="inlineStr"/>
      <c r="T503" s="308" t="inlineStr">
        <is>
          <t>p19:native:397, p19:native:564</t>
        </is>
      </c>
      <c r="U503" s="308" t="n">
        <v>2</v>
      </c>
    </row>
    <row r="504">
      <c r="A504" s="308" t="inlineStr">
        <is>
          <t>Missing in Excel</t>
        </is>
      </c>
      <c r="B504" s="308" t="inlineStr">
        <is>
          <t>DG7033</t>
        </is>
      </c>
      <c r="C504" s="308" t="n">
        <v>19</v>
      </c>
      <c r="D504" s="308" t="inlineStr">
        <is>
          <t>RL7-CHR-201-HV006</t>
        </is>
      </c>
      <c r="E504" s="308" t="inlineStr">
        <is>
          <t>RL7-CHR-201</t>
        </is>
      </c>
      <c r="F504" s="308" t="inlineStr">
        <is>
          <t>HV006</t>
        </is>
      </c>
      <c r="G504" s="308" t="inlineStr">
        <is>
          <t>instrument</t>
        </is>
      </c>
      <c r="H504" s="311" t="n">
        <v>0.57</v>
      </c>
      <c r="I504" s="308" t="inlineStr">
        <is>
          <t>Low</t>
        </is>
      </c>
      <c r="J504" s="308" t="inlineStr">
        <is>
          <t>drawing</t>
        </is>
      </c>
      <c r="K504" s="308" t="inlineStr">
        <is>
          <t>inferred:bare-isa</t>
        </is>
      </c>
      <c r="L504" s="308" t="inlineStr">
        <is>
          <t>drawing zone; process page; mapped sheet</t>
        </is>
      </c>
      <c r="M504" s="308" t="inlineStr">
        <is>
          <t>RL7-CHR-201 / HV</t>
        </is>
      </c>
      <c r="N504" s="308" t="inlineStr">
        <is>
          <t>native</t>
        </is>
      </c>
      <c r="O504" s="308" t="inlineStr">
        <is>
          <t>native-only</t>
        </is>
      </c>
      <c r="P504" s="308" t="inlineStr">
        <is>
          <t>native</t>
        </is>
      </c>
      <c r="Q504" s="308" t="inlineStr"/>
      <c r="R504" s="308" t="inlineStr">
        <is>
          <t>native text sufficient</t>
        </is>
      </c>
      <c r="S504" s="308" t="inlineStr"/>
      <c r="T504" s="308" t="inlineStr">
        <is>
          <t>p19:native:395, p19:native:558</t>
        </is>
      </c>
      <c r="U504" s="308" t="n">
        <v>2</v>
      </c>
    </row>
    <row r="505">
      <c r="A505" s="308" t="inlineStr">
        <is>
          <t>Missing in Excel</t>
        </is>
      </c>
      <c r="B505" s="308" t="inlineStr">
        <is>
          <t>DG7033</t>
        </is>
      </c>
      <c r="C505" s="308" t="n">
        <v>19</v>
      </c>
      <c r="D505" s="308" t="inlineStr">
        <is>
          <t>RL7-CHR-201-PI001</t>
        </is>
      </c>
      <c r="E505" s="308" t="inlineStr">
        <is>
          <t>RL7-CHR-201</t>
        </is>
      </c>
      <c r="F505" s="308" t="inlineStr">
        <is>
          <t>PI001</t>
        </is>
      </c>
      <c r="G505" s="308" t="inlineStr">
        <is>
          <t>instrument</t>
        </is>
      </c>
      <c r="H505" s="311" t="n">
        <v>0.57</v>
      </c>
      <c r="I505" s="308" t="inlineStr">
        <is>
          <t>Low</t>
        </is>
      </c>
      <c r="J505" s="308" t="inlineStr">
        <is>
          <t>drawing</t>
        </is>
      </c>
      <c r="K505" s="308" t="inlineStr">
        <is>
          <t>inferred:bare-isa</t>
        </is>
      </c>
      <c r="L505" s="308" t="inlineStr">
        <is>
          <t>drawing zone; process page; mapped sheet</t>
        </is>
      </c>
      <c r="M505" s="308" t="inlineStr">
        <is>
          <t>RL7-CHR-201 / PI</t>
        </is>
      </c>
      <c r="N505" s="308" t="inlineStr">
        <is>
          <t>native</t>
        </is>
      </c>
      <c r="O505" s="308" t="inlineStr">
        <is>
          <t>native-only</t>
        </is>
      </c>
      <c r="P505" s="308" t="inlineStr">
        <is>
          <t>native</t>
        </is>
      </c>
      <c r="Q505" s="308" t="inlineStr"/>
      <c r="R505" s="308" t="inlineStr">
        <is>
          <t>native text sufficient</t>
        </is>
      </c>
      <c r="S505" s="308" t="inlineStr"/>
      <c r="T505" s="308" t="inlineStr">
        <is>
          <t>p19:native:342, p19:native:161</t>
        </is>
      </c>
      <c r="U505" s="308" t="n">
        <v>2</v>
      </c>
    </row>
    <row r="506">
      <c r="A506" s="308" t="inlineStr">
        <is>
          <t>Missing in Excel</t>
        </is>
      </c>
      <c r="B506" s="308" t="inlineStr">
        <is>
          <t>DG7033</t>
        </is>
      </c>
      <c r="C506" s="308" t="n">
        <v>19</v>
      </c>
      <c r="D506" s="308" t="inlineStr">
        <is>
          <t>RL7-CHR-201-PI002</t>
        </is>
      </c>
      <c r="E506" s="308" t="inlineStr">
        <is>
          <t>RL7-CHR-201</t>
        </is>
      </c>
      <c r="F506" s="308" t="inlineStr">
        <is>
          <t>PI002</t>
        </is>
      </c>
      <c r="G506" s="308" t="inlineStr">
        <is>
          <t>instrument</t>
        </is>
      </c>
      <c r="H506" s="311" t="n">
        <v>0.57</v>
      </c>
      <c r="I506" s="308" t="inlineStr">
        <is>
          <t>Low</t>
        </is>
      </c>
      <c r="J506" s="308" t="inlineStr">
        <is>
          <t>drawing</t>
        </is>
      </c>
      <c r="K506" s="308" t="inlineStr">
        <is>
          <t>inferred:bare-isa</t>
        </is>
      </c>
      <c r="L506" s="308" t="inlineStr">
        <is>
          <t>drawing zone; process page; mapped sheet</t>
        </is>
      </c>
      <c r="M506" s="308" t="inlineStr">
        <is>
          <t>RL7-CHR-201 / PI</t>
        </is>
      </c>
      <c r="N506" s="308" t="inlineStr">
        <is>
          <t>native</t>
        </is>
      </c>
      <c r="O506" s="308" t="inlineStr">
        <is>
          <t>native-only</t>
        </is>
      </c>
      <c r="P506" s="308" t="inlineStr">
        <is>
          <t>native</t>
        </is>
      </c>
      <c r="Q506" s="308" t="inlineStr"/>
      <c r="R506" s="308" t="inlineStr">
        <is>
          <t>native text sufficient</t>
        </is>
      </c>
      <c r="S506" s="308" t="inlineStr"/>
      <c r="T506" s="308" t="inlineStr">
        <is>
          <t>p19:native:342, p19:native:106</t>
        </is>
      </c>
      <c r="U506" s="308" t="n">
        <v>2</v>
      </c>
    </row>
    <row r="507">
      <c r="A507" s="308" t="inlineStr">
        <is>
          <t>Missing in Excel</t>
        </is>
      </c>
      <c r="B507" s="308" t="inlineStr">
        <is>
          <t>DG7033</t>
        </is>
      </c>
      <c r="C507" s="308" t="n">
        <v>19</v>
      </c>
      <c r="D507" s="308" t="inlineStr">
        <is>
          <t>RL7-FTR-205-HV001</t>
        </is>
      </c>
      <c r="E507" s="308" t="inlineStr">
        <is>
          <t>RL7-FTR-205</t>
        </is>
      </c>
      <c r="F507" s="308" t="inlineStr">
        <is>
          <t>HV001</t>
        </is>
      </c>
      <c r="G507" s="308" t="inlineStr">
        <is>
          <t>instrument</t>
        </is>
      </c>
      <c r="H507" s="311" t="n">
        <v>0.57</v>
      </c>
      <c r="I507" s="308" t="inlineStr">
        <is>
          <t>Low</t>
        </is>
      </c>
      <c r="J507" s="308" t="inlineStr">
        <is>
          <t>drawing</t>
        </is>
      </c>
      <c r="K507" s="308" t="inlineStr">
        <is>
          <t>inferred:bare-isa</t>
        </is>
      </c>
      <c r="L507" s="308" t="inlineStr">
        <is>
          <t>drawing zone; process page; mapped sheet</t>
        </is>
      </c>
      <c r="M507" s="308" t="inlineStr">
        <is>
          <t>RL7-FTR-205 / HV</t>
        </is>
      </c>
      <c r="N507" s="308" t="inlineStr">
        <is>
          <t>native</t>
        </is>
      </c>
      <c r="O507" s="308" t="inlineStr">
        <is>
          <t>native-only</t>
        </is>
      </c>
      <c r="P507" s="308" t="inlineStr">
        <is>
          <t>native</t>
        </is>
      </c>
      <c r="Q507" s="308" t="inlineStr"/>
      <c r="R507" s="308" t="inlineStr">
        <is>
          <t>native text sufficient</t>
        </is>
      </c>
      <c r="S507" s="308" t="inlineStr"/>
      <c r="T507" s="308" t="inlineStr">
        <is>
          <t>p19:native:290, p19:native:287</t>
        </is>
      </c>
      <c r="U507" s="308" t="n">
        <v>2</v>
      </c>
    </row>
    <row r="508">
      <c r="A508" s="308" t="inlineStr">
        <is>
          <t>Missing in Excel</t>
        </is>
      </c>
      <c r="B508" s="308" t="inlineStr">
        <is>
          <t>DG7033</t>
        </is>
      </c>
      <c r="C508" s="308" t="n">
        <v>19</v>
      </c>
      <c r="D508" s="308" t="inlineStr">
        <is>
          <t>RL7-FTR-205-HV002</t>
        </is>
      </c>
      <c r="E508" s="308" t="inlineStr">
        <is>
          <t>RL7-FTR-205</t>
        </is>
      </c>
      <c r="F508" s="308" t="inlineStr">
        <is>
          <t>HV002</t>
        </is>
      </c>
      <c r="G508" s="308" t="inlineStr">
        <is>
          <t>instrument</t>
        </is>
      </c>
      <c r="H508" s="311" t="n">
        <v>0.57</v>
      </c>
      <c r="I508" s="308" t="inlineStr">
        <is>
          <t>Low</t>
        </is>
      </c>
      <c r="J508" s="308" t="inlineStr">
        <is>
          <t>drawing</t>
        </is>
      </c>
      <c r="K508" s="308" t="inlineStr">
        <is>
          <t>inferred:bare-isa</t>
        </is>
      </c>
      <c r="L508" s="308" t="inlineStr">
        <is>
          <t>drawing zone; process page; mapped sheet</t>
        </is>
      </c>
      <c r="M508" s="308" t="inlineStr">
        <is>
          <t>RL7-FTR-205 / HV</t>
        </is>
      </c>
      <c r="N508" s="308" t="inlineStr">
        <is>
          <t>native</t>
        </is>
      </c>
      <c r="O508" s="308" t="inlineStr">
        <is>
          <t>native-only</t>
        </is>
      </c>
      <c r="P508" s="308" t="inlineStr">
        <is>
          <t>native</t>
        </is>
      </c>
      <c r="Q508" s="308" t="inlineStr"/>
      <c r="R508" s="308" t="inlineStr">
        <is>
          <t>native text sufficient</t>
        </is>
      </c>
      <c r="S508" s="308" t="inlineStr"/>
      <c r="T508" s="308" t="inlineStr">
        <is>
          <t>p19:native:299, p19:native:297</t>
        </is>
      </c>
      <c r="U508" s="308" t="n">
        <v>2</v>
      </c>
    </row>
    <row r="509">
      <c r="A509" s="308" t="inlineStr">
        <is>
          <t>Missing in Excel</t>
        </is>
      </c>
      <c r="B509" s="308" t="inlineStr">
        <is>
          <t>DG7033</t>
        </is>
      </c>
      <c r="C509" s="308" t="n">
        <v>19</v>
      </c>
      <c r="D509" s="308" t="inlineStr">
        <is>
          <t>RL7-FTR-207-HV001</t>
        </is>
      </c>
      <c r="E509" s="308" t="inlineStr">
        <is>
          <t>RL7-FTR-207</t>
        </is>
      </c>
      <c r="F509" s="308" t="inlineStr">
        <is>
          <t>HV001</t>
        </is>
      </c>
      <c r="G509" s="308" t="inlineStr">
        <is>
          <t>instrument</t>
        </is>
      </c>
      <c r="H509" s="311" t="n">
        <v>0.57</v>
      </c>
      <c r="I509" s="308" t="inlineStr">
        <is>
          <t>Low</t>
        </is>
      </c>
      <c r="J509" s="308" t="inlineStr">
        <is>
          <t>drawing</t>
        </is>
      </c>
      <c r="K509" s="308" t="inlineStr">
        <is>
          <t>inferred:bare-isa</t>
        </is>
      </c>
      <c r="L509" s="308" t="inlineStr">
        <is>
          <t>drawing zone; process page; mapped sheet</t>
        </is>
      </c>
      <c r="M509" s="308" t="inlineStr">
        <is>
          <t>RL7-FTR-207 / HV</t>
        </is>
      </c>
      <c r="N509" s="308" t="inlineStr">
        <is>
          <t>native</t>
        </is>
      </c>
      <c r="O509" s="308" t="inlineStr">
        <is>
          <t>native-only</t>
        </is>
      </c>
      <c r="P509" s="308" t="inlineStr">
        <is>
          <t>native</t>
        </is>
      </c>
      <c r="Q509" s="308" t="inlineStr"/>
      <c r="R509" s="308" t="inlineStr">
        <is>
          <t>native text sufficient</t>
        </is>
      </c>
      <c r="S509" s="308" t="inlineStr"/>
      <c r="T509" s="308" t="inlineStr">
        <is>
          <t>p19:native:261, p19:native:252</t>
        </is>
      </c>
      <c r="U509" s="308" t="n">
        <v>2</v>
      </c>
    </row>
    <row r="510">
      <c r="A510" s="308" t="inlineStr">
        <is>
          <t>Missing in Excel</t>
        </is>
      </c>
      <c r="B510" s="308" t="inlineStr">
        <is>
          <t>DG7033</t>
        </is>
      </c>
      <c r="C510" s="308" t="n">
        <v>19</v>
      </c>
      <c r="D510" s="308" t="inlineStr">
        <is>
          <t>RL7-FTR-207-HV002</t>
        </is>
      </c>
      <c r="E510" s="308" t="inlineStr">
        <is>
          <t>RL7-FTR-207</t>
        </is>
      </c>
      <c r="F510" s="308" t="inlineStr">
        <is>
          <t>HV002</t>
        </is>
      </c>
      <c r="G510" s="308" t="inlineStr">
        <is>
          <t>instrument</t>
        </is>
      </c>
      <c r="H510" s="311" t="n">
        <v>0.57</v>
      </c>
      <c r="I510" s="308" t="inlineStr">
        <is>
          <t>Low</t>
        </is>
      </c>
      <c r="J510" s="308" t="inlineStr">
        <is>
          <t>drawing</t>
        </is>
      </c>
      <c r="K510" s="308" t="inlineStr">
        <is>
          <t>inferred:bare-isa</t>
        </is>
      </c>
      <c r="L510" s="308" t="inlineStr">
        <is>
          <t>drawing zone; process page; mapped sheet</t>
        </is>
      </c>
      <c r="M510" s="308" t="inlineStr">
        <is>
          <t>RL7-FTR-207 / HV</t>
        </is>
      </c>
      <c r="N510" s="308" t="inlineStr">
        <is>
          <t>native</t>
        </is>
      </c>
      <c r="O510" s="308" t="inlineStr">
        <is>
          <t>native-only</t>
        </is>
      </c>
      <c r="P510" s="308" t="inlineStr">
        <is>
          <t>native</t>
        </is>
      </c>
      <c r="Q510" s="308" t="inlineStr"/>
      <c r="R510" s="308" t="inlineStr">
        <is>
          <t>native text sufficient</t>
        </is>
      </c>
      <c r="S510" s="308" t="inlineStr"/>
      <c r="T510" s="308" t="inlineStr">
        <is>
          <t>p19:native:261, p19:native:258</t>
        </is>
      </c>
      <c r="U510" s="308" t="n">
        <v>2</v>
      </c>
    </row>
    <row r="511">
      <c r="A511" s="308" t="inlineStr">
        <is>
          <t>Missing in Excel</t>
        </is>
      </c>
      <c r="B511" s="308" t="inlineStr">
        <is>
          <t>DG7033</t>
        </is>
      </c>
      <c r="C511" s="308" t="n">
        <v>19</v>
      </c>
      <c r="D511" s="308" t="inlineStr">
        <is>
          <t>RL7-FTR-207-HV003</t>
        </is>
      </c>
      <c r="E511" s="308" t="inlineStr">
        <is>
          <t>RL7-FTR-207</t>
        </is>
      </c>
      <c r="F511" s="308" t="inlineStr">
        <is>
          <t>HV003</t>
        </is>
      </c>
      <c r="G511" s="308" t="inlineStr">
        <is>
          <t>instrument</t>
        </is>
      </c>
      <c r="H511" s="311" t="n">
        <v>0.57</v>
      </c>
      <c r="I511" s="308" t="inlineStr">
        <is>
          <t>Low</t>
        </is>
      </c>
      <c r="J511" s="308" t="inlineStr">
        <is>
          <t>drawing</t>
        </is>
      </c>
      <c r="K511" s="308" t="inlineStr">
        <is>
          <t>inferred:bare-isa</t>
        </is>
      </c>
      <c r="L511" s="308" t="inlineStr">
        <is>
          <t>drawing zone; process page; mapped sheet</t>
        </is>
      </c>
      <c r="M511" s="308" t="inlineStr">
        <is>
          <t>RL7-FTR-207 / HV</t>
        </is>
      </c>
      <c r="N511" s="308" t="inlineStr">
        <is>
          <t>native</t>
        </is>
      </c>
      <c r="O511" s="308" t="inlineStr">
        <is>
          <t>native-only</t>
        </is>
      </c>
      <c r="P511" s="308" t="inlineStr">
        <is>
          <t>native</t>
        </is>
      </c>
      <c r="Q511" s="308" t="inlineStr"/>
      <c r="R511" s="308" t="inlineStr">
        <is>
          <t>native text sufficient</t>
        </is>
      </c>
      <c r="S511" s="308" t="inlineStr"/>
      <c r="T511" s="308" t="inlineStr">
        <is>
          <t>p19:native:274, p19:native:268</t>
        </is>
      </c>
      <c r="U511" s="308" t="n">
        <v>2</v>
      </c>
    </row>
    <row r="512">
      <c r="A512" s="308" t="inlineStr">
        <is>
          <t>Missing in Excel</t>
        </is>
      </c>
      <c r="B512" s="308" t="inlineStr">
        <is>
          <t>DG7033</t>
        </is>
      </c>
      <c r="C512" s="308" t="n">
        <v>19</v>
      </c>
      <c r="D512" s="308" t="inlineStr">
        <is>
          <t>RL7-HTX-201B-HV001</t>
        </is>
      </c>
      <c r="E512" s="308" t="inlineStr">
        <is>
          <t>RL7-HTX-201B</t>
        </is>
      </c>
      <c r="F512" s="308" t="inlineStr">
        <is>
          <t>HV001</t>
        </is>
      </c>
      <c r="G512" s="308" t="inlineStr">
        <is>
          <t>instrument</t>
        </is>
      </c>
      <c r="H512" s="311" t="n">
        <v>0.57</v>
      </c>
      <c r="I512" s="308" t="inlineStr">
        <is>
          <t>Low</t>
        </is>
      </c>
      <c r="J512" s="308" t="inlineStr">
        <is>
          <t>drawing</t>
        </is>
      </c>
      <c r="K512" s="308" t="inlineStr">
        <is>
          <t>inferred:bare-isa</t>
        </is>
      </c>
      <c r="L512" s="308" t="inlineStr">
        <is>
          <t>drawing zone; process page; mapped sheet</t>
        </is>
      </c>
      <c r="M512" s="308" t="inlineStr">
        <is>
          <t>RL7-HTX-201B / HV</t>
        </is>
      </c>
      <c r="N512" s="308" t="inlineStr">
        <is>
          <t>native</t>
        </is>
      </c>
      <c r="O512" s="308" t="inlineStr">
        <is>
          <t>native-only</t>
        </is>
      </c>
      <c r="P512" s="308" t="inlineStr">
        <is>
          <t>native</t>
        </is>
      </c>
      <c r="Q512" s="308" t="inlineStr"/>
      <c r="R512" s="308" t="inlineStr">
        <is>
          <t>native text sufficient</t>
        </is>
      </c>
      <c r="S512" s="308" t="inlineStr"/>
      <c r="T512" s="308" t="inlineStr">
        <is>
          <t>p19:native:411, p19:native:489</t>
        </is>
      </c>
      <c r="U512" s="308" t="n">
        <v>2</v>
      </c>
    </row>
    <row r="513">
      <c r="A513" s="308" t="inlineStr">
        <is>
          <t>Missing in Excel</t>
        </is>
      </c>
      <c r="B513" s="308" t="inlineStr">
        <is>
          <t>DG7033</t>
        </is>
      </c>
      <c r="C513" s="308" t="n">
        <v>19</v>
      </c>
      <c r="D513" s="308" t="inlineStr">
        <is>
          <t>RL7-HTX-201C-HV001</t>
        </is>
      </c>
      <c r="E513" s="308" t="inlineStr">
        <is>
          <t>RL7-HTX-201C</t>
        </is>
      </c>
      <c r="F513" s="308" t="inlineStr">
        <is>
          <t>HV001</t>
        </is>
      </c>
      <c r="G513" s="308" t="inlineStr">
        <is>
          <t>instrument</t>
        </is>
      </c>
      <c r="H513" s="311" t="n">
        <v>0.57</v>
      </c>
      <c r="I513" s="308" t="inlineStr">
        <is>
          <t>Low</t>
        </is>
      </c>
      <c r="J513" s="308" t="inlineStr">
        <is>
          <t>drawing</t>
        </is>
      </c>
      <c r="K513" s="308" t="inlineStr">
        <is>
          <t>inferred:bare-isa</t>
        </is>
      </c>
      <c r="L513" s="308" t="inlineStr">
        <is>
          <t>drawing zone; process page; mapped sheet</t>
        </is>
      </c>
      <c r="M513" s="308" t="inlineStr">
        <is>
          <t>RL7-HTX-201C / HV</t>
        </is>
      </c>
      <c r="N513" s="308" t="inlineStr">
        <is>
          <t>native</t>
        </is>
      </c>
      <c r="O513" s="308" t="inlineStr">
        <is>
          <t>native-only</t>
        </is>
      </c>
      <c r="P513" s="308" t="inlineStr">
        <is>
          <t>native</t>
        </is>
      </c>
      <c r="Q513" s="308" t="inlineStr"/>
      <c r="R513" s="308" t="inlineStr">
        <is>
          <t>native text sufficient</t>
        </is>
      </c>
      <c r="S513" s="308" t="inlineStr"/>
      <c r="T513" s="308" t="inlineStr">
        <is>
          <t>p19:native:589, p19:native:546</t>
        </is>
      </c>
      <c r="U513" s="308" t="n">
        <v>2</v>
      </c>
    </row>
    <row r="514">
      <c r="A514" s="308" t="inlineStr">
        <is>
          <t>Missing in Excel</t>
        </is>
      </c>
      <c r="B514" s="308" t="inlineStr">
        <is>
          <t>DG7033</t>
        </is>
      </c>
      <c r="C514" s="308" t="n">
        <v>19</v>
      </c>
      <c r="D514" s="308" t="inlineStr">
        <is>
          <t>RL7-HTX-201C-HV002</t>
        </is>
      </c>
      <c r="E514" s="308" t="inlineStr">
        <is>
          <t>RL7-HTX-201C</t>
        </is>
      </c>
      <c r="F514" s="308" t="inlineStr">
        <is>
          <t>HV002</t>
        </is>
      </c>
      <c r="G514" s="308" t="inlineStr">
        <is>
          <t>instrument</t>
        </is>
      </c>
      <c r="H514" s="311" t="n">
        <v>0.57</v>
      </c>
      <c r="I514" s="308" t="inlineStr">
        <is>
          <t>Low</t>
        </is>
      </c>
      <c r="J514" s="308" t="inlineStr">
        <is>
          <t>drawing</t>
        </is>
      </c>
      <c r="K514" s="308" t="inlineStr">
        <is>
          <t>inferred:bare-isa</t>
        </is>
      </c>
      <c r="L514" s="308" t="inlineStr">
        <is>
          <t>drawing zone; process page; mapped sheet</t>
        </is>
      </c>
      <c r="M514" s="308" t="inlineStr">
        <is>
          <t>RL7-HTX-201C / HV</t>
        </is>
      </c>
      <c r="N514" s="308" t="inlineStr">
        <is>
          <t>native</t>
        </is>
      </c>
      <c r="O514" s="308" t="inlineStr">
        <is>
          <t>native-only</t>
        </is>
      </c>
      <c r="P514" s="308" t="inlineStr">
        <is>
          <t>native</t>
        </is>
      </c>
      <c r="Q514" s="308" t="inlineStr"/>
      <c r="R514" s="308" t="inlineStr">
        <is>
          <t>native text sufficient</t>
        </is>
      </c>
      <c r="S514" s="308" t="inlineStr"/>
      <c r="T514" s="308" t="inlineStr">
        <is>
          <t>p19:native:589, p19:native:509</t>
        </is>
      </c>
      <c r="U514" s="308" t="n">
        <v>2</v>
      </c>
    </row>
    <row r="515">
      <c r="A515" s="308" t="inlineStr">
        <is>
          <t>Missing in Excel</t>
        </is>
      </c>
      <c r="B515" s="308" t="inlineStr">
        <is>
          <t>DG7033</t>
        </is>
      </c>
      <c r="C515" s="308" t="n">
        <v>19</v>
      </c>
      <c r="D515" s="308" t="inlineStr">
        <is>
          <t>RL7-HTX-201C-PI001</t>
        </is>
      </c>
      <c r="E515" s="308" t="inlineStr">
        <is>
          <t>RL7-HTX-201C</t>
        </is>
      </c>
      <c r="F515" s="308" t="inlineStr">
        <is>
          <t>PI001</t>
        </is>
      </c>
      <c r="G515" s="308" t="inlineStr">
        <is>
          <t>instrument</t>
        </is>
      </c>
      <c r="H515" s="311" t="n">
        <v>0.57</v>
      </c>
      <c r="I515" s="308" t="inlineStr">
        <is>
          <t>Low</t>
        </is>
      </c>
      <c r="J515" s="308" t="inlineStr">
        <is>
          <t>drawing</t>
        </is>
      </c>
      <c r="K515" s="308" t="inlineStr">
        <is>
          <t>inferred:bare-isa</t>
        </is>
      </c>
      <c r="L515" s="308" t="inlineStr">
        <is>
          <t>drawing zone; process page; mapped sheet</t>
        </is>
      </c>
      <c r="M515" s="308" t="inlineStr">
        <is>
          <t>RL7-HTX-201C / PI</t>
        </is>
      </c>
      <c r="N515" s="308" t="inlineStr">
        <is>
          <t>native</t>
        </is>
      </c>
      <c r="O515" s="308" t="inlineStr">
        <is>
          <t>native-only</t>
        </is>
      </c>
      <c r="P515" s="308" t="inlineStr">
        <is>
          <t>native</t>
        </is>
      </c>
      <c r="Q515" s="308" t="inlineStr"/>
      <c r="R515" s="308" t="inlineStr">
        <is>
          <t>native text sufficient</t>
        </is>
      </c>
      <c r="S515" s="308" t="inlineStr"/>
      <c r="T515" s="308" t="inlineStr">
        <is>
          <t>p19:native:589, p19:native:501</t>
        </is>
      </c>
      <c r="U515" s="308" t="n">
        <v>2</v>
      </c>
    </row>
    <row r="516">
      <c r="A516" s="308" t="inlineStr">
        <is>
          <t>Missing in Excel</t>
        </is>
      </c>
      <c r="B516" s="308" t="inlineStr">
        <is>
          <t>DG7033</t>
        </is>
      </c>
      <c r="C516" s="308" t="n">
        <v>19</v>
      </c>
      <c r="D516" s="308" t="inlineStr">
        <is>
          <t>RL7-HTX-201C-PI002</t>
        </is>
      </c>
      <c r="E516" s="308" t="inlineStr">
        <is>
          <t>RL7-HTX-201C</t>
        </is>
      </c>
      <c r="F516" s="308" t="inlineStr">
        <is>
          <t>PI002</t>
        </is>
      </c>
      <c r="G516" s="308" t="inlineStr">
        <is>
          <t>instrument</t>
        </is>
      </c>
      <c r="H516" s="311" t="n">
        <v>0.57</v>
      </c>
      <c r="I516" s="308" t="inlineStr">
        <is>
          <t>Low</t>
        </is>
      </c>
      <c r="J516" s="308" t="inlineStr">
        <is>
          <t>drawing</t>
        </is>
      </c>
      <c r="K516" s="308" t="inlineStr">
        <is>
          <t>inferred:bare-isa</t>
        </is>
      </c>
      <c r="L516" s="308" t="inlineStr">
        <is>
          <t>drawing zone; process page; mapped sheet</t>
        </is>
      </c>
      <c r="M516" s="308" t="inlineStr">
        <is>
          <t>RL7-HTX-201C / PI</t>
        </is>
      </c>
      <c r="N516" s="308" t="inlineStr">
        <is>
          <t>native</t>
        </is>
      </c>
      <c r="O516" s="308" t="inlineStr">
        <is>
          <t>native-only</t>
        </is>
      </c>
      <c r="P516" s="308" t="inlineStr">
        <is>
          <t>native</t>
        </is>
      </c>
      <c r="Q516" s="308" t="inlineStr"/>
      <c r="R516" s="308" t="inlineStr">
        <is>
          <t>native text sufficient</t>
        </is>
      </c>
      <c r="S516" s="308" t="inlineStr"/>
      <c r="T516" s="308" t="inlineStr">
        <is>
          <t>p19:native:589, p19:native:521</t>
        </is>
      </c>
      <c r="U516" s="308" t="n">
        <v>2</v>
      </c>
    </row>
    <row r="517">
      <c r="A517" s="308" t="inlineStr">
        <is>
          <t>Missing in Excel</t>
        </is>
      </c>
      <c r="B517" s="308" t="inlineStr">
        <is>
          <t>DG7033</t>
        </is>
      </c>
      <c r="C517" s="308" t="n">
        <v>19</v>
      </c>
      <c r="D517" s="308" t="inlineStr">
        <is>
          <t>RL7-HTX-201C-PI003</t>
        </is>
      </c>
      <c r="E517" s="308" t="inlineStr">
        <is>
          <t>RL7-HTX-201C</t>
        </is>
      </c>
      <c r="F517" s="308" t="inlineStr">
        <is>
          <t>PI003</t>
        </is>
      </c>
      <c r="G517" s="308" t="inlineStr">
        <is>
          <t>instrument</t>
        </is>
      </c>
      <c r="H517" s="311" t="n">
        <v>0.57</v>
      </c>
      <c r="I517" s="308" t="inlineStr">
        <is>
          <t>Low</t>
        </is>
      </c>
      <c r="J517" s="308" t="inlineStr">
        <is>
          <t>drawing</t>
        </is>
      </c>
      <c r="K517" s="308" t="inlineStr">
        <is>
          <t>inferred:bare-isa</t>
        </is>
      </c>
      <c r="L517" s="308" t="inlineStr">
        <is>
          <t>drawing zone; process page; mapped sheet</t>
        </is>
      </c>
      <c r="M517" s="308" t="inlineStr">
        <is>
          <t>RL7-HTX-201C / PI</t>
        </is>
      </c>
      <c r="N517" s="308" t="inlineStr">
        <is>
          <t>native</t>
        </is>
      </c>
      <c r="O517" s="308" t="inlineStr">
        <is>
          <t>native-only</t>
        </is>
      </c>
      <c r="P517" s="308" t="inlineStr">
        <is>
          <t>native</t>
        </is>
      </c>
      <c r="Q517" s="308" t="inlineStr"/>
      <c r="R517" s="308" t="inlineStr">
        <is>
          <t>native text sufficient</t>
        </is>
      </c>
      <c r="S517" s="308" t="inlineStr"/>
      <c r="T517" s="308" t="inlineStr">
        <is>
          <t>p19:native:589, p19:native:484</t>
        </is>
      </c>
      <c r="U517" s="308" t="n">
        <v>2</v>
      </c>
    </row>
    <row r="518">
      <c r="A518" s="308" t="inlineStr">
        <is>
          <t>Missing in Excel</t>
        </is>
      </c>
      <c r="B518" s="308" t="inlineStr">
        <is>
          <t>DG7033</t>
        </is>
      </c>
      <c r="C518" s="308" t="n">
        <v>19</v>
      </c>
      <c r="D518" s="308" t="inlineStr">
        <is>
          <t>RL7-HTX-201C-PI004</t>
        </is>
      </c>
      <c r="E518" s="308" t="inlineStr">
        <is>
          <t>RL7-HTX-201C</t>
        </is>
      </c>
      <c r="F518" s="308" t="inlineStr">
        <is>
          <t>PI004</t>
        </is>
      </c>
      <c r="G518" s="308" t="inlineStr">
        <is>
          <t>instrument</t>
        </is>
      </c>
      <c r="H518" s="311" t="n">
        <v>0.57</v>
      </c>
      <c r="I518" s="308" t="inlineStr">
        <is>
          <t>Low</t>
        </is>
      </c>
      <c r="J518" s="308" t="inlineStr">
        <is>
          <t>drawing</t>
        </is>
      </c>
      <c r="K518" s="308" t="inlineStr">
        <is>
          <t>inferred:bare-isa</t>
        </is>
      </c>
      <c r="L518" s="308" t="inlineStr">
        <is>
          <t>drawing zone; process page; mapped sheet</t>
        </is>
      </c>
      <c r="M518" s="308" t="inlineStr">
        <is>
          <t>RL7-HTX-201C / PI</t>
        </is>
      </c>
      <c r="N518" s="308" t="inlineStr">
        <is>
          <t>native</t>
        </is>
      </c>
      <c r="O518" s="308" t="inlineStr">
        <is>
          <t>native-only</t>
        </is>
      </c>
      <c r="P518" s="308" t="inlineStr">
        <is>
          <t>native</t>
        </is>
      </c>
      <c r="Q518" s="308" t="inlineStr"/>
      <c r="R518" s="308" t="inlineStr">
        <is>
          <t>native text sufficient</t>
        </is>
      </c>
      <c r="S518" s="308" t="inlineStr"/>
      <c r="T518" s="308" t="inlineStr">
        <is>
          <t>p19:native:589, p19:native:504</t>
        </is>
      </c>
      <c r="U518" s="308" t="n">
        <v>2</v>
      </c>
    </row>
    <row r="519">
      <c r="A519" s="308" t="inlineStr">
        <is>
          <t>Missing in Excel</t>
        </is>
      </c>
      <c r="B519" s="308" t="inlineStr">
        <is>
          <t>DG7033</t>
        </is>
      </c>
      <c r="C519" s="308" t="n">
        <v>19</v>
      </c>
      <c r="D519" s="308" t="inlineStr">
        <is>
          <t>RL7-PMP-203-BV001</t>
        </is>
      </c>
      <c r="E519" s="308" t="inlineStr">
        <is>
          <t>RL7-PMP-203</t>
        </is>
      </c>
      <c r="F519" s="308" t="inlineStr">
        <is>
          <t>BV001</t>
        </is>
      </c>
      <c r="G519" s="308" t="inlineStr">
        <is>
          <t>instrument</t>
        </is>
      </c>
      <c r="H519" s="311" t="n">
        <v>0.57</v>
      </c>
      <c r="I519" s="308" t="inlineStr">
        <is>
          <t>Low</t>
        </is>
      </c>
      <c r="J519" s="308" t="inlineStr">
        <is>
          <t>drawing</t>
        </is>
      </c>
      <c r="K519" s="308" t="inlineStr">
        <is>
          <t>inferred:bare-isa</t>
        </is>
      </c>
      <c r="L519" s="308" t="inlineStr">
        <is>
          <t>drawing zone; process page; mapped sheet</t>
        </is>
      </c>
      <c r="M519" s="308" t="inlineStr">
        <is>
          <t>RL7-PMP-203 / BV</t>
        </is>
      </c>
      <c r="N519" s="308" t="inlineStr">
        <is>
          <t>native</t>
        </is>
      </c>
      <c r="O519" s="308" t="inlineStr">
        <is>
          <t>native-only</t>
        </is>
      </c>
      <c r="P519" s="308" t="inlineStr">
        <is>
          <t>native</t>
        </is>
      </c>
      <c r="Q519" s="308" t="inlineStr"/>
      <c r="R519" s="308" t="inlineStr">
        <is>
          <t>native text sufficient</t>
        </is>
      </c>
      <c r="S519" s="308" t="inlineStr"/>
      <c r="T519" s="308" t="inlineStr">
        <is>
          <t>p19:native:6, p19:native:552</t>
        </is>
      </c>
      <c r="U519" s="308" t="n">
        <v>2</v>
      </c>
    </row>
    <row r="520">
      <c r="A520" s="308" t="inlineStr">
        <is>
          <t>Missing in Excel</t>
        </is>
      </c>
      <c r="B520" s="308" t="inlineStr">
        <is>
          <t>DG7033</t>
        </is>
      </c>
      <c r="C520" s="308" t="n">
        <v>19</v>
      </c>
      <c r="D520" s="308" t="inlineStr">
        <is>
          <t>RL7-PMP-203-HV001</t>
        </is>
      </c>
      <c r="E520" s="308" t="inlineStr">
        <is>
          <t>RL7-PMP-203</t>
        </is>
      </c>
      <c r="F520" s="308" t="inlineStr">
        <is>
          <t>HV001</t>
        </is>
      </c>
      <c r="G520" s="308" t="inlineStr">
        <is>
          <t>instrument</t>
        </is>
      </c>
      <c r="H520" s="311" t="n">
        <v>0.57</v>
      </c>
      <c r="I520" s="308" t="inlineStr">
        <is>
          <t>Low</t>
        </is>
      </c>
      <c r="J520" s="308" t="inlineStr">
        <is>
          <t>drawing</t>
        </is>
      </c>
      <c r="K520" s="308" t="inlineStr">
        <is>
          <t>inferred:bare-isa</t>
        </is>
      </c>
      <c r="L520" s="308" t="inlineStr">
        <is>
          <t>drawing zone; process page; mapped sheet</t>
        </is>
      </c>
      <c r="M520" s="308" t="inlineStr">
        <is>
          <t>RL7-PMP-203 / HV</t>
        </is>
      </c>
      <c r="N520" s="308" t="inlineStr">
        <is>
          <t>native</t>
        </is>
      </c>
      <c r="O520" s="308" t="inlineStr">
        <is>
          <t>native-only</t>
        </is>
      </c>
      <c r="P520" s="308" t="inlineStr">
        <is>
          <t>native</t>
        </is>
      </c>
      <c r="Q520" s="308" t="inlineStr"/>
      <c r="R520" s="308" t="inlineStr">
        <is>
          <t>native text sufficient</t>
        </is>
      </c>
      <c r="S520" s="308" t="inlineStr"/>
      <c r="T520" s="308" t="inlineStr">
        <is>
          <t>p19:native:382, p19:native:191</t>
        </is>
      </c>
      <c r="U520" s="308" t="n">
        <v>2</v>
      </c>
    </row>
    <row r="521">
      <c r="A521" s="308" t="inlineStr">
        <is>
          <t>Missing in Excel</t>
        </is>
      </c>
      <c r="B521" s="308" t="inlineStr">
        <is>
          <t>DG7033</t>
        </is>
      </c>
      <c r="C521" s="308" t="n">
        <v>19</v>
      </c>
      <c r="D521" s="308" t="inlineStr">
        <is>
          <t>RL7-PMP-204-HV001</t>
        </is>
      </c>
      <c r="E521" s="308" t="inlineStr">
        <is>
          <t>RL7-PMP-204</t>
        </is>
      </c>
      <c r="F521" s="308" t="inlineStr">
        <is>
          <t>HV001</t>
        </is>
      </c>
      <c r="G521" s="308" t="inlineStr">
        <is>
          <t>instrument</t>
        </is>
      </c>
      <c r="H521" s="311" t="n">
        <v>0.57</v>
      </c>
      <c r="I521" s="308" t="inlineStr">
        <is>
          <t>Low</t>
        </is>
      </c>
      <c r="J521" s="308" t="inlineStr">
        <is>
          <t>drawing</t>
        </is>
      </c>
      <c r="K521" s="308" t="inlineStr">
        <is>
          <t>inferred:bare-isa</t>
        </is>
      </c>
      <c r="L521" s="308" t="inlineStr">
        <is>
          <t>drawing zone; process page; mapped sheet</t>
        </is>
      </c>
      <c r="M521" s="308" t="inlineStr">
        <is>
          <t>RL7-PMP-204 / HV</t>
        </is>
      </c>
      <c r="N521" s="308" t="inlineStr">
        <is>
          <t>native</t>
        </is>
      </c>
      <c r="O521" s="308" t="inlineStr">
        <is>
          <t>native-only</t>
        </is>
      </c>
      <c r="P521" s="308" t="inlineStr">
        <is>
          <t>native</t>
        </is>
      </c>
      <c r="Q521" s="308" t="inlineStr"/>
      <c r="R521" s="308" t="inlineStr">
        <is>
          <t>native text sufficient</t>
        </is>
      </c>
      <c r="S521" s="308" t="inlineStr"/>
      <c r="T521" s="308" t="inlineStr">
        <is>
          <t>p19:native:34, p19:native:185</t>
        </is>
      </c>
      <c r="U521" s="308" t="n">
        <v>2</v>
      </c>
    </row>
    <row r="522">
      <c r="A522" s="308" t="inlineStr">
        <is>
          <t>Missing in Excel</t>
        </is>
      </c>
      <c r="B522" s="308" t="inlineStr">
        <is>
          <t>DG7033</t>
        </is>
      </c>
      <c r="C522" s="308" t="n">
        <v>19</v>
      </c>
      <c r="D522" s="308" t="inlineStr">
        <is>
          <t>RL7-PMP-204-HV002</t>
        </is>
      </c>
      <c r="E522" s="308" t="inlineStr">
        <is>
          <t>RL7-PMP-204</t>
        </is>
      </c>
      <c r="F522" s="308" t="inlineStr">
        <is>
          <t>HV002</t>
        </is>
      </c>
      <c r="G522" s="308" t="inlineStr">
        <is>
          <t>instrument</t>
        </is>
      </c>
      <c r="H522" s="311" t="n">
        <v>0.57</v>
      </c>
      <c r="I522" s="308" t="inlineStr">
        <is>
          <t>Low</t>
        </is>
      </c>
      <c r="J522" s="308" t="inlineStr">
        <is>
          <t>drawing</t>
        </is>
      </c>
      <c r="K522" s="308" t="inlineStr">
        <is>
          <t>inferred:bare-isa</t>
        </is>
      </c>
      <c r="L522" s="308" t="inlineStr">
        <is>
          <t>drawing zone; process page; mapped sheet</t>
        </is>
      </c>
      <c r="M522" s="308" t="inlineStr">
        <is>
          <t>RL7-PMP-204 / HV</t>
        </is>
      </c>
      <c r="N522" s="308" t="inlineStr">
        <is>
          <t>native</t>
        </is>
      </c>
      <c r="O522" s="308" t="inlineStr">
        <is>
          <t>native-only</t>
        </is>
      </c>
      <c r="P522" s="308" t="inlineStr">
        <is>
          <t>native</t>
        </is>
      </c>
      <c r="Q522" s="308" t="inlineStr"/>
      <c r="R522" s="308" t="inlineStr">
        <is>
          <t>native text sufficient</t>
        </is>
      </c>
      <c r="S522" s="308" t="inlineStr"/>
      <c r="T522" s="308" t="inlineStr">
        <is>
          <t>p19:native:4, p19:native:134</t>
        </is>
      </c>
      <c r="U522" s="308" t="n">
        <v>2</v>
      </c>
    </row>
    <row r="523">
      <c r="A523" s="308" t="inlineStr">
        <is>
          <t>Missing in Excel</t>
        </is>
      </c>
      <c r="B523" s="308" t="inlineStr">
        <is>
          <t>DG7033</t>
        </is>
      </c>
      <c r="C523" s="308" t="n">
        <v>19</v>
      </c>
      <c r="D523" s="308" t="inlineStr">
        <is>
          <t>RL7-PMP-205-HV001</t>
        </is>
      </c>
      <c r="E523" s="308" t="inlineStr">
        <is>
          <t>RL7-PMP-205</t>
        </is>
      </c>
      <c r="F523" s="308" t="inlineStr">
        <is>
          <t>HV001</t>
        </is>
      </c>
      <c r="G523" s="308" t="inlineStr">
        <is>
          <t>instrument</t>
        </is>
      </c>
      <c r="H523" s="311" t="n">
        <v>0.57</v>
      </c>
      <c r="I523" s="308" t="inlineStr">
        <is>
          <t>Low</t>
        </is>
      </c>
      <c r="J523" s="308" t="inlineStr">
        <is>
          <t>drawing</t>
        </is>
      </c>
      <c r="K523" s="308" t="inlineStr">
        <is>
          <t>inferred:bare-isa</t>
        </is>
      </c>
      <c r="L523" s="308" t="inlineStr">
        <is>
          <t>drawing zone; process page; mapped sheet</t>
        </is>
      </c>
      <c r="M523" s="308" t="inlineStr">
        <is>
          <t>RL7-PMP-205 / HV</t>
        </is>
      </c>
      <c r="N523" s="308" t="inlineStr">
        <is>
          <t>native</t>
        </is>
      </c>
      <c r="O523" s="308" t="inlineStr">
        <is>
          <t>native-only</t>
        </is>
      </c>
      <c r="P523" s="308" t="inlineStr">
        <is>
          <t>native</t>
        </is>
      </c>
      <c r="Q523" s="308" t="inlineStr"/>
      <c r="R523" s="308" t="inlineStr">
        <is>
          <t>native text sufficient</t>
        </is>
      </c>
      <c r="S523" s="308" t="inlineStr"/>
      <c r="T523" s="308" t="inlineStr">
        <is>
          <t>p19:native:39, p19:native:481</t>
        </is>
      </c>
      <c r="U523" s="308" t="n">
        <v>2</v>
      </c>
    </row>
    <row r="524">
      <c r="A524" s="308" t="inlineStr">
        <is>
          <t>Missing in Excel</t>
        </is>
      </c>
      <c r="B524" s="308" t="inlineStr">
        <is>
          <t>DG7033</t>
        </is>
      </c>
      <c r="C524" s="308" t="n">
        <v>19</v>
      </c>
      <c r="D524" s="308" t="inlineStr">
        <is>
          <t>RL7-PMP-205-HV002</t>
        </is>
      </c>
      <c r="E524" s="308" t="inlineStr">
        <is>
          <t>RL7-PMP-205</t>
        </is>
      </c>
      <c r="F524" s="308" t="inlineStr">
        <is>
          <t>HV002</t>
        </is>
      </c>
      <c r="G524" s="308" t="inlineStr">
        <is>
          <t>instrument</t>
        </is>
      </c>
      <c r="H524" s="311" t="n">
        <v>0.57</v>
      </c>
      <c r="I524" s="308" t="inlineStr">
        <is>
          <t>Low</t>
        </is>
      </c>
      <c r="J524" s="308" t="inlineStr">
        <is>
          <t>drawing</t>
        </is>
      </c>
      <c r="K524" s="308" t="inlineStr">
        <is>
          <t>inferred:bare-isa</t>
        </is>
      </c>
      <c r="L524" s="308" t="inlineStr">
        <is>
          <t>drawing zone; process page; mapped sheet</t>
        </is>
      </c>
      <c r="M524" s="308" t="inlineStr">
        <is>
          <t>RL7-PMP-205 / HV</t>
        </is>
      </c>
      <c r="N524" s="308" t="inlineStr">
        <is>
          <t>native</t>
        </is>
      </c>
      <c r="O524" s="308" t="inlineStr">
        <is>
          <t>native-only</t>
        </is>
      </c>
      <c r="P524" s="308" t="inlineStr">
        <is>
          <t>native</t>
        </is>
      </c>
      <c r="Q524" s="308" t="inlineStr"/>
      <c r="R524" s="308" t="inlineStr">
        <is>
          <t>native text sufficient</t>
        </is>
      </c>
      <c r="S524" s="308" t="inlineStr"/>
      <c r="T524" s="308" t="inlineStr">
        <is>
          <t>p19:native:40, p19:native:281</t>
        </is>
      </c>
      <c r="U524" s="308" t="n">
        <v>2</v>
      </c>
    </row>
    <row r="525">
      <c r="A525" s="308" t="inlineStr">
        <is>
          <t>Missing in Excel</t>
        </is>
      </c>
      <c r="B525" s="308" t="inlineStr">
        <is>
          <t>DG7033</t>
        </is>
      </c>
      <c r="C525" s="308" t="n">
        <v>19</v>
      </c>
      <c r="D525" s="308" t="inlineStr">
        <is>
          <t>RL7-PMP-206-HV001</t>
        </is>
      </c>
      <c r="E525" s="308" t="inlineStr">
        <is>
          <t>RL7-PMP-206</t>
        </is>
      </c>
      <c r="F525" s="308" t="inlineStr">
        <is>
          <t>HV001</t>
        </is>
      </c>
      <c r="G525" s="308" t="inlineStr">
        <is>
          <t>instrument</t>
        </is>
      </c>
      <c r="H525" s="311" t="n">
        <v>0.57</v>
      </c>
      <c r="I525" s="308" t="inlineStr">
        <is>
          <t>Low</t>
        </is>
      </c>
      <c r="J525" s="308" t="inlineStr">
        <is>
          <t>drawing</t>
        </is>
      </c>
      <c r="K525" s="308" t="inlineStr">
        <is>
          <t>inferred:bare-isa</t>
        </is>
      </c>
      <c r="L525" s="308" t="inlineStr">
        <is>
          <t>drawing zone; process page; mapped sheet</t>
        </is>
      </c>
      <c r="M525" s="308" t="inlineStr">
        <is>
          <t>RL7-PMP-206 / HV</t>
        </is>
      </c>
      <c r="N525" s="308" t="inlineStr">
        <is>
          <t>native</t>
        </is>
      </c>
      <c r="O525" s="308" t="inlineStr">
        <is>
          <t>native-only</t>
        </is>
      </c>
      <c r="P525" s="308" t="inlineStr">
        <is>
          <t>native</t>
        </is>
      </c>
      <c r="Q525" s="308" t="inlineStr"/>
      <c r="R525" s="308" t="inlineStr">
        <is>
          <t>native text sufficient</t>
        </is>
      </c>
      <c r="S525" s="308" t="inlineStr"/>
      <c r="T525" s="308" t="inlineStr">
        <is>
          <t>p19:native:2, p19:native:582</t>
        </is>
      </c>
      <c r="U525" s="308" t="n">
        <v>2</v>
      </c>
    </row>
    <row r="526">
      <c r="A526" s="308" t="inlineStr">
        <is>
          <t>Missing in Excel</t>
        </is>
      </c>
      <c r="B526" s="308" t="inlineStr">
        <is>
          <t>DG7033</t>
        </is>
      </c>
      <c r="C526" s="308" t="n">
        <v>19</v>
      </c>
      <c r="D526" s="308" t="inlineStr">
        <is>
          <t>RL7-PMP-209-HV001</t>
        </is>
      </c>
      <c r="E526" s="308" t="inlineStr">
        <is>
          <t>RL7-PMP-209</t>
        </is>
      </c>
      <c r="F526" s="308" t="inlineStr">
        <is>
          <t>HV001</t>
        </is>
      </c>
      <c r="G526" s="308" t="inlineStr">
        <is>
          <t>instrument</t>
        </is>
      </c>
      <c r="H526" s="311" t="n">
        <v>0.57</v>
      </c>
      <c r="I526" s="308" t="inlineStr">
        <is>
          <t>Low</t>
        </is>
      </c>
      <c r="J526" s="308" t="inlineStr">
        <is>
          <t>drawing</t>
        </is>
      </c>
      <c r="K526" s="308" t="inlineStr">
        <is>
          <t>inferred:bare-isa</t>
        </is>
      </c>
      <c r="L526" s="308" t="inlineStr">
        <is>
          <t>drawing zone; process page; mapped sheet</t>
        </is>
      </c>
      <c r="M526" s="308" t="inlineStr">
        <is>
          <t>RL7-PMP-209 / HV</t>
        </is>
      </c>
      <c r="N526" s="308" t="inlineStr">
        <is>
          <t>native</t>
        </is>
      </c>
      <c r="O526" s="308" t="inlineStr">
        <is>
          <t>native-only</t>
        </is>
      </c>
      <c r="P526" s="308" t="inlineStr">
        <is>
          <t>native</t>
        </is>
      </c>
      <c r="Q526" s="308" t="inlineStr"/>
      <c r="R526" s="308" t="inlineStr">
        <is>
          <t>native text sufficient</t>
        </is>
      </c>
      <c r="S526" s="308" t="inlineStr"/>
      <c r="T526" s="308" t="inlineStr">
        <is>
          <t>p19:native:325, p19:native:570</t>
        </is>
      </c>
      <c r="U526" s="308" t="n">
        <v>2</v>
      </c>
    </row>
    <row r="527">
      <c r="A527" s="308" t="inlineStr">
        <is>
          <t>Missing in Excel</t>
        </is>
      </c>
      <c r="B527" s="308" t="inlineStr">
        <is>
          <t>DG7033</t>
        </is>
      </c>
      <c r="C527" s="308" t="n">
        <v>19</v>
      </c>
      <c r="D527" s="308" t="inlineStr">
        <is>
          <t>FTR205</t>
        </is>
      </c>
      <c r="E527" s="308" t="inlineStr"/>
      <c r="F527" s="308" t="inlineStr">
        <is>
          <t>FTR205</t>
        </is>
      </c>
      <c r="G527" s="308" t="inlineStr">
        <is>
          <t>instrument</t>
        </is>
      </c>
      <c r="H527" s="311" t="n">
        <v>0.445</v>
      </c>
      <c r="I527" s="308" t="inlineStr">
        <is>
          <t>Low</t>
        </is>
      </c>
      <c r="J527" s="308" t="inlineStr">
        <is>
          <t>drawing</t>
        </is>
      </c>
      <c r="K527" s="308" t="inlineStr">
        <is>
          <t>standalone:isa</t>
        </is>
      </c>
      <c r="L527" s="308" t="inlineStr">
        <is>
          <t>drawing zone; process page; mapped sheet; custom code review; repeated x3</t>
        </is>
      </c>
      <c r="M527" s="308" t="inlineStr">
        <is>
          <t>FTR-205</t>
        </is>
      </c>
      <c r="N527" s="308" t="inlineStr">
        <is>
          <t>native</t>
        </is>
      </c>
      <c r="O527" s="308" t="inlineStr">
        <is>
          <t>native-only</t>
        </is>
      </c>
      <c r="P527" s="308" t="inlineStr">
        <is>
          <t>native</t>
        </is>
      </c>
      <c r="Q527" s="308" t="inlineStr"/>
      <c r="R527" s="308" t="inlineStr">
        <is>
          <t>native text sufficient</t>
        </is>
      </c>
      <c r="S527" s="308" t="inlineStr"/>
      <c r="T527" s="308" t="inlineStr">
        <is>
          <t>p19:native:280</t>
        </is>
      </c>
      <c r="U527" s="308" t="n">
        <v>1</v>
      </c>
    </row>
    <row r="528">
      <c r="A528" s="308" t="inlineStr">
        <is>
          <t>Missing in Excel</t>
        </is>
      </c>
      <c r="B528" s="308" t="inlineStr">
        <is>
          <t>DG7033</t>
        </is>
      </c>
      <c r="C528" s="308" t="n">
        <v>19</v>
      </c>
      <c r="D528" s="308" t="inlineStr">
        <is>
          <t>FTR205</t>
        </is>
      </c>
      <c r="E528" s="308" t="inlineStr"/>
      <c r="F528" s="308" t="inlineStr">
        <is>
          <t>FTR205</t>
        </is>
      </c>
      <c r="G528" s="308" t="inlineStr">
        <is>
          <t>instrument</t>
        </is>
      </c>
      <c r="H528" s="311" t="n">
        <v>0.445</v>
      </c>
      <c r="I528" s="308" t="inlineStr">
        <is>
          <t>Low</t>
        </is>
      </c>
      <c r="J528" s="308" t="inlineStr">
        <is>
          <t>drawing</t>
        </is>
      </c>
      <c r="K528" s="308" t="inlineStr">
        <is>
          <t>standalone:isa</t>
        </is>
      </c>
      <c r="L528" s="308" t="inlineStr">
        <is>
          <t>drawing zone; process page; mapped sheet; custom code review; repeated x3</t>
        </is>
      </c>
      <c r="M528" s="308" t="inlineStr">
        <is>
          <t>FTR-205</t>
        </is>
      </c>
      <c r="N528" s="308" t="inlineStr">
        <is>
          <t>native</t>
        </is>
      </c>
      <c r="O528" s="308" t="inlineStr">
        <is>
          <t>native-only</t>
        </is>
      </c>
      <c r="P528" s="308" t="inlineStr">
        <is>
          <t>native</t>
        </is>
      </c>
      <c r="Q528" s="308" t="inlineStr"/>
      <c r="R528" s="308" t="inlineStr">
        <is>
          <t>native text sufficient</t>
        </is>
      </c>
      <c r="S528" s="308" t="inlineStr"/>
      <c r="T528" s="308" t="inlineStr">
        <is>
          <t>p19:native:286</t>
        </is>
      </c>
      <c r="U528" s="308" t="n">
        <v>1</v>
      </c>
    </row>
    <row r="529">
      <c r="A529" s="308" t="inlineStr">
        <is>
          <t>Missing in Excel</t>
        </is>
      </c>
      <c r="B529" s="308" t="inlineStr">
        <is>
          <t>DG7033</t>
        </is>
      </c>
      <c r="C529" s="308" t="n">
        <v>19</v>
      </c>
      <c r="D529" s="308" t="inlineStr">
        <is>
          <t>FTR205</t>
        </is>
      </c>
      <c r="E529" s="308" t="inlineStr"/>
      <c r="F529" s="308" t="inlineStr">
        <is>
          <t>FTR205</t>
        </is>
      </c>
      <c r="G529" s="308" t="inlineStr">
        <is>
          <t>instrument</t>
        </is>
      </c>
      <c r="H529" s="311" t="n">
        <v>0.445</v>
      </c>
      <c r="I529" s="308" t="inlineStr">
        <is>
          <t>Low</t>
        </is>
      </c>
      <c r="J529" s="308" t="inlineStr">
        <is>
          <t>drawing</t>
        </is>
      </c>
      <c r="K529" s="308" t="inlineStr">
        <is>
          <t>standalone:isa</t>
        </is>
      </c>
      <c r="L529" s="308" t="inlineStr">
        <is>
          <t>drawing zone; process page; mapped sheet; custom code review; repeated x3</t>
        </is>
      </c>
      <c r="M529" s="308" t="inlineStr">
        <is>
          <t>FTR-205</t>
        </is>
      </c>
      <c r="N529" s="308" t="inlineStr">
        <is>
          <t>native</t>
        </is>
      </c>
      <c r="O529" s="308" t="inlineStr">
        <is>
          <t>native-only</t>
        </is>
      </c>
      <c r="P529" s="308" t="inlineStr">
        <is>
          <t>native</t>
        </is>
      </c>
      <c r="Q529" s="308" t="inlineStr"/>
      <c r="R529" s="308" t="inlineStr">
        <is>
          <t>native text sufficient</t>
        </is>
      </c>
      <c r="S529" s="308" t="inlineStr"/>
      <c r="T529" s="308" t="inlineStr">
        <is>
          <t>p19:native:296</t>
        </is>
      </c>
      <c r="U529" s="308" t="n">
        <v>1</v>
      </c>
    </row>
    <row r="530">
      <c r="A530" s="308" t="inlineStr">
        <is>
          <t>Missing in Excel</t>
        </is>
      </c>
      <c r="B530" s="308" t="inlineStr">
        <is>
          <t>DG7033</t>
        </is>
      </c>
      <c r="C530" s="308" t="n">
        <v>19</v>
      </c>
      <c r="D530" s="308" t="inlineStr">
        <is>
          <t>FTR207</t>
        </is>
      </c>
      <c r="E530" s="308" t="inlineStr"/>
      <c r="F530" s="308" t="inlineStr">
        <is>
          <t>FTR207</t>
        </is>
      </c>
      <c r="G530" s="308" t="inlineStr">
        <is>
          <t>instrument</t>
        </is>
      </c>
      <c r="H530" s="311" t="n">
        <v>0.445</v>
      </c>
      <c r="I530" s="308" t="inlineStr">
        <is>
          <t>Low</t>
        </is>
      </c>
      <c r="J530" s="308" t="inlineStr">
        <is>
          <t>drawing</t>
        </is>
      </c>
      <c r="K530" s="308" t="inlineStr">
        <is>
          <t>standalone:isa</t>
        </is>
      </c>
      <c r="L530" s="308" t="inlineStr">
        <is>
          <t>drawing zone; process page; mapped sheet; custom code review; repeated x3</t>
        </is>
      </c>
      <c r="M530" s="308" t="inlineStr">
        <is>
          <t>FTR-207</t>
        </is>
      </c>
      <c r="N530" s="308" t="inlineStr">
        <is>
          <t>native</t>
        </is>
      </c>
      <c r="O530" s="308" t="inlineStr">
        <is>
          <t>native-only</t>
        </is>
      </c>
      <c r="P530" s="308" t="inlineStr">
        <is>
          <t>native</t>
        </is>
      </c>
      <c r="Q530" s="308" t="inlineStr"/>
      <c r="R530" s="308" t="inlineStr">
        <is>
          <t>native text sufficient</t>
        </is>
      </c>
      <c r="S530" s="308" t="inlineStr"/>
      <c r="T530" s="308" t="inlineStr">
        <is>
          <t>p19:native:251</t>
        </is>
      </c>
      <c r="U530" s="308" t="n">
        <v>1</v>
      </c>
    </row>
    <row r="531">
      <c r="A531" s="308" t="inlineStr">
        <is>
          <t>Missing in Excel</t>
        </is>
      </c>
      <c r="B531" s="308" t="inlineStr">
        <is>
          <t>DG7033</t>
        </is>
      </c>
      <c r="C531" s="308" t="n">
        <v>19</v>
      </c>
      <c r="D531" s="308" t="inlineStr">
        <is>
          <t>FTR207</t>
        </is>
      </c>
      <c r="E531" s="308" t="inlineStr"/>
      <c r="F531" s="308" t="inlineStr">
        <is>
          <t>FTR207</t>
        </is>
      </c>
      <c r="G531" s="308" t="inlineStr">
        <is>
          <t>instrument</t>
        </is>
      </c>
      <c r="H531" s="311" t="n">
        <v>0.445</v>
      </c>
      <c r="I531" s="308" t="inlineStr">
        <is>
          <t>Low</t>
        </is>
      </c>
      <c r="J531" s="308" t="inlineStr">
        <is>
          <t>drawing</t>
        </is>
      </c>
      <c r="K531" s="308" t="inlineStr">
        <is>
          <t>standalone:isa</t>
        </is>
      </c>
      <c r="L531" s="308" t="inlineStr">
        <is>
          <t>drawing zone; process page; mapped sheet; custom code review; repeated x3</t>
        </is>
      </c>
      <c r="M531" s="308" t="inlineStr">
        <is>
          <t>FTR-207</t>
        </is>
      </c>
      <c r="N531" s="308" t="inlineStr">
        <is>
          <t>native</t>
        </is>
      </c>
      <c r="O531" s="308" t="inlineStr">
        <is>
          <t>native-only</t>
        </is>
      </c>
      <c r="P531" s="308" t="inlineStr">
        <is>
          <t>native</t>
        </is>
      </c>
      <c r="Q531" s="308" t="inlineStr"/>
      <c r="R531" s="308" t="inlineStr">
        <is>
          <t>native text sufficient</t>
        </is>
      </c>
      <c r="S531" s="308" t="inlineStr"/>
      <c r="T531" s="308" t="inlineStr">
        <is>
          <t>p19:native:257</t>
        </is>
      </c>
      <c r="U531" s="308" t="n">
        <v>1</v>
      </c>
    </row>
    <row r="532">
      <c r="A532" s="308" t="inlineStr">
        <is>
          <t>Missing in Excel</t>
        </is>
      </c>
      <c r="B532" s="308" t="inlineStr">
        <is>
          <t>DG7033</t>
        </is>
      </c>
      <c r="C532" s="308" t="n">
        <v>19</v>
      </c>
      <c r="D532" s="308" t="inlineStr">
        <is>
          <t>FTR207</t>
        </is>
      </c>
      <c r="E532" s="308" t="inlineStr"/>
      <c r="F532" s="308" t="inlineStr">
        <is>
          <t>FTR207</t>
        </is>
      </c>
      <c r="G532" s="308" t="inlineStr">
        <is>
          <t>instrument</t>
        </is>
      </c>
      <c r="H532" s="311" t="n">
        <v>0.445</v>
      </c>
      <c r="I532" s="308" t="inlineStr">
        <is>
          <t>Low</t>
        </is>
      </c>
      <c r="J532" s="308" t="inlineStr">
        <is>
          <t>drawing</t>
        </is>
      </c>
      <c r="K532" s="308" t="inlineStr">
        <is>
          <t>standalone:isa</t>
        </is>
      </c>
      <c r="L532" s="308" t="inlineStr">
        <is>
          <t>drawing zone; process page; mapped sheet; custom code review; repeated x3</t>
        </is>
      </c>
      <c r="M532" s="308" t="inlineStr">
        <is>
          <t>FTR-207</t>
        </is>
      </c>
      <c r="N532" s="308" t="inlineStr">
        <is>
          <t>native</t>
        </is>
      </c>
      <c r="O532" s="308" t="inlineStr">
        <is>
          <t>native-only</t>
        </is>
      </c>
      <c r="P532" s="308" t="inlineStr">
        <is>
          <t>native</t>
        </is>
      </c>
      <c r="Q532" s="308" t="inlineStr"/>
      <c r="R532" s="308" t="inlineStr">
        <is>
          <t>native text sufficient</t>
        </is>
      </c>
      <c r="S532" s="308" t="inlineStr"/>
      <c r="T532" s="308" t="inlineStr">
        <is>
          <t>p19:native:267</t>
        </is>
      </c>
      <c r="U532" s="308" t="n">
        <v>1</v>
      </c>
    </row>
    <row r="533">
      <c r="A533" s="308" t="inlineStr">
        <is>
          <t>Missing in Excel</t>
        </is>
      </c>
      <c r="B533" s="308" t="inlineStr">
        <is>
          <t>DG7033</t>
        </is>
      </c>
      <c r="C533" s="308" t="n">
        <v>19</v>
      </c>
      <c r="D533" s="308" t="inlineStr">
        <is>
          <t>PMP203</t>
        </is>
      </c>
      <c r="E533" s="308" t="inlineStr"/>
      <c r="F533" s="308" t="inlineStr">
        <is>
          <t>PMP203</t>
        </is>
      </c>
      <c r="G533" s="308" t="inlineStr">
        <is>
          <t>instrument</t>
        </is>
      </c>
      <c r="H533" s="311" t="n">
        <v>0.37</v>
      </c>
      <c r="I533" s="308" t="inlineStr">
        <is>
          <t>Low</t>
        </is>
      </c>
      <c r="J533" s="308" t="inlineStr">
        <is>
          <t>drawing</t>
        </is>
      </c>
      <c r="K533" s="308" t="inlineStr">
        <is>
          <t>standalone:isa</t>
        </is>
      </c>
      <c r="L533" s="308" t="inlineStr">
        <is>
          <t>drawing zone; process page; mapped sheet; custom code review</t>
        </is>
      </c>
      <c r="M533" s="308" t="inlineStr">
        <is>
          <t>PMP-203</t>
        </is>
      </c>
      <c r="N533" s="308" t="inlineStr">
        <is>
          <t>native</t>
        </is>
      </c>
      <c r="O533" s="308" t="inlineStr">
        <is>
          <t>native-only</t>
        </is>
      </c>
      <c r="P533" s="308" t="inlineStr">
        <is>
          <t>native</t>
        </is>
      </c>
      <c r="Q533" s="308" t="inlineStr"/>
      <c r="R533" s="308" t="inlineStr">
        <is>
          <t>native text sufficient</t>
        </is>
      </c>
      <c r="S533" s="308" t="inlineStr"/>
      <c r="T533" s="308" t="inlineStr">
        <is>
          <t>p19:native:551</t>
        </is>
      </c>
      <c r="U533" s="308" t="n">
        <v>1</v>
      </c>
    </row>
    <row r="534">
      <c r="A534" s="308" t="inlineStr">
        <is>
          <t>Missing in Excel</t>
        </is>
      </c>
      <c r="B534" s="308" t="inlineStr">
        <is>
          <t>DG7033</t>
        </is>
      </c>
      <c r="C534" s="308" t="n">
        <v>19</v>
      </c>
      <c r="D534" s="308" t="inlineStr">
        <is>
          <t>PMP204</t>
        </is>
      </c>
      <c r="E534" s="308" t="inlineStr"/>
      <c r="F534" s="308" t="inlineStr">
        <is>
          <t>PMP204</t>
        </is>
      </c>
      <c r="G534" s="308" t="inlineStr">
        <is>
          <t>instrument</t>
        </is>
      </c>
      <c r="H534" s="311" t="n">
        <v>0.37</v>
      </c>
      <c r="I534" s="308" t="inlineStr">
        <is>
          <t>Low</t>
        </is>
      </c>
      <c r="J534" s="308" t="inlineStr">
        <is>
          <t>drawing</t>
        </is>
      </c>
      <c r="K534" s="308" t="inlineStr">
        <is>
          <t>standalone:isa</t>
        </is>
      </c>
      <c r="L534" s="308" t="inlineStr">
        <is>
          <t>drawing zone; process page; mapped sheet; custom code review</t>
        </is>
      </c>
      <c r="M534" s="308" t="inlineStr">
        <is>
          <t>PMP-204</t>
        </is>
      </c>
      <c r="N534" s="308" t="inlineStr">
        <is>
          <t>native</t>
        </is>
      </c>
      <c r="O534" s="308" t="inlineStr">
        <is>
          <t>native-only</t>
        </is>
      </c>
      <c r="P534" s="308" t="inlineStr">
        <is>
          <t>native</t>
        </is>
      </c>
      <c r="Q534" s="308" t="inlineStr"/>
      <c r="R534" s="308" t="inlineStr">
        <is>
          <t>native text sufficient</t>
        </is>
      </c>
      <c r="S534" s="308" t="inlineStr"/>
      <c r="T534" s="308" t="inlineStr">
        <is>
          <t>p19:native:139</t>
        </is>
      </c>
      <c r="U534" s="308" t="n">
        <v>1</v>
      </c>
    </row>
    <row r="535">
      <c r="A535" s="308" t="inlineStr">
        <is>
          <t>Missing in Excel</t>
        </is>
      </c>
      <c r="B535" s="308" t="inlineStr">
        <is>
          <t>DG7033</t>
        </is>
      </c>
      <c r="C535" s="308" t="n">
        <v>19</v>
      </c>
      <c r="D535" s="308" t="inlineStr">
        <is>
          <t>PMP205</t>
        </is>
      </c>
      <c r="E535" s="308" t="inlineStr"/>
      <c r="F535" s="308" t="inlineStr">
        <is>
          <t>PMP205</t>
        </is>
      </c>
      <c r="G535" s="308" t="inlineStr">
        <is>
          <t>instrument</t>
        </is>
      </c>
      <c r="H535" s="311" t="n">
        <v>0.37</v>
      </c>
      <c r="I535" s="308" t="inlineStr">
        <is>
          <t>Low</t>
        </is>
      </c>
      <c r="J535" s="308" t="inlineStr">
        <is>
          <t>drawing</t>
        </is>
      </c>
      <c r="K535" s="308" t="inlineStr">
        <is>
          <t>standalone:isa</t>
        </is>
      </c>
      <c r="L535" s="308" t="inlineStr">
        <is>
          <t>drawing zone; process page; mapped sheet; custom code review</t>
        </is>
      </c>
      <c r="M535" s="308" t="inlineStr">
        <is>
          <t>PMP-205</t>
        </is>
      </c>
      <c r="N535" s="308" t="inlineStr">
        <is>
          <t>native</t>
        </is>
      </c>
      <c r="O535" s="308" t="inlineStr">
        <is>
          <t>native-only</t>
        </is>
      </c>
      <c r="P535" s="308" t="inlineStr">
        <is>
          <t>native</t>
        </is>
      </c>
      <c r="Q535" s="308" t="inlineStr"/>
      <c r="R535" s="308" t="inlineStr">
        <is>
          <t>native text sufficient</t>
        </is>
      </c>
      <c r="S535" s="308" t="inlineStr"/>
      <c r="T535" s="308" t="inlineStr">
        <is>
          <t>p19:native:166</t>
        </is>
      </c>
      <c r="U535" s="308" t="n">
        <v>1</v>
      </c>
    </row>
    <row r="536">
      <c r="A536" s="308" t="inlineStr">
        <is>
          <t>Missing in Excel</t>
        </is>
      </c>
      <c r="B536" s="308" t="inlineStr">
        <is>
          <t>DG7033</t>
        </is>
      </c>
      <c r="C536" s="308" t="n">
        <v>19</v>
      </c>
      <c r="D536" s="308" t="inlineStr">
        <is>
          <t>PMP206</t>
        </is>
      </c>
      <c r="E536" s="308" t="inlineStr"/>
      <c r="F536" s="308" t="inlineStr">
        <is>
          <t>PMP206</t>
        </is>
      </c>
      <c r="G536" s="308" t="inlineStr">
        <is>
          <t>instrument</t>
        </is>
      </c>
      <c r="H536" s="311" t="n">
        <v>0.37</v>
      </c>
      <c r="I536" s="308" t="inlineStr">
        <is>
          <t>Low</t>
        </is>
      </c>
      <c r="J536" s="308" t="inlineStr">
        <is>
          <t>drawing</t>
        </is>
      </c>
      <c r="K536" s="308" t="inlineStr">
        <is>
          <t>standalone:isa</t>
        </is>
      </c>
      <c r="L536" s="308" t="inlineStr">
        <is>
          <t>drawing zone; process page; mapped sheet; custom code review</t>
        </is>
      </c>
      <c r="M536" s="308" t="inlineStr">
        <is>
          <t>PMP-206</t>
        </is>
      </c>
      <c r="N536" s="308" t="inlineStr">
        <is>
          <t>native</t>
        </is>
      </c>
      <c r="O536" s="308" t="inlineStr">
        <is>
          <t>native-only</t>
        </is>
      </c>
      <c r="P536" s="308" t="inlineStr">
        <is>
          <t>native</t>
        </is>
      </c>
      <c r="Q536" s="308" t="inlineStr"/>
      <c r="R536" s="308" t="inlineStr">
        <is>
          <t>native text sufficient</t>
        </is>
      </c>
      <c r="S536" s="308" t="inlineStr"/>
      <c r="T536" s="308" t="inlineStr">
        <is>
          <t>p19:native:127</t>
        </is>
      </c>
      <c r="U536" s="308" t="n">
        <v>1</v>
      </c>
    </row>
    <row r="537">
      <c r="A537" s="308" t="inlineStr">
        <is>
          <t>Missing in Excel</t>
        </is>
      </c>
      <c r="B537" s="308" t="inlineStr">
        <is>
          <t>DG7033</t>
        </is>
      </c>
      <c r="C537" s="308" t="n">
        <v>19</v>
      </c>
      <c r="D537" s="308" t="inlineStr">
        <is>
          <t>PMP207</t>
        </is>
      </c>
      <c r="E537" s="308" t="inlineStr"/>
      <c r="F537" s="308" t="inlineStr">
        <is>
          <t>PMP207</t>
        </is>
      </c>
      <c r="G537" s="308" t="inlineStr">
        <is>
          <t>instrument</t>
        </is>
      </c>
      <c r="H537" s="311" t="n">
        <v>0.37</v>
      </c>
      <c r="I537" s="308" t="inlineStr">
        <is>
          <t>Low</t>
        </is>
      </c>
      <c r="J537" s="308" t="inlineStr">
        <is>
          <t>drawing</t>
        </is>
      </c>
      <c r="K537" s="308" t="inlineStr">
        <is>
          <t>standalone:isa</t>
        </is>
      </c>
      <c r="L537" s="308" t="inlineStr">
        <is>
          <t>drawing zone; process page; mapped sheet; custom code review</t>
        </is>
      </c>
      <c r="M537" s="308" t="inlineStr">
        <is>
          <t>PMP-207</t>
        </is>
      </c>
      <c r="N537" s="308" t="inlineStr">
        <is>
          <t>native</t>
        </is>
      </c>
      <c r="O537" s="308" t="inlineStr">
        <is>
          <t>native-only</t>
        </is>
      </c>
      <c r="P537" s="308" t="inlineStr">
        <is>
          <t>native</t>
        </is>
      </c>
      <c r="Q537" s="308" t="inlineStr"/>
      <c r="R537" s="308" t="inlineStr">
        <is>
          <t>native text sufficient</t>
        </is>
      </c>
      <c r="S537" s="308" t="inlineStr"/>
      <c r="T537" s="308" t="inlineStr">
        <is>
          <t>p19:native:575</t>
        </is>
      </c>
      <c r="U537" s="308" t="n">
        <v>1</v>
      </c>
    </row>
    <row r="538">
      <c r="A538" s="308" t="inlineStr">
        <is>
          <t>Missing in Excel</t>
        </is>
      </c>
      <c r="B538" s="308" t="inlineStr">
        <is>
          <t>DG7033</t>
        </is>
      </c>
      <c r="C538" s="308" t="n">
        <v>19</v>
      </c>
      <c r="D538" s="308" t="inlineStr">
        <is>
          <t>1.5"-CWR-T4</t>
        </is>
      </c>
      <c r="E538" s="308" t="inlineStr">
        <is>
          <t>CWR</t>
        </is>
      </c>
      <c r="F538" s="308" t="inlineStr">
        <is>
          <t>T4</t>
        </is>
      </c>
      <c r="G538" s="308" t="inlineStr">
        <is>
          <t>line</t>
        </is>
      </c>
      <c r="H538" s="311" t="n">
        <v>0.87</v>
      </c>
      <c r="I538" s="308" t="inlineStr">
        <is>
          <t>Medium</t>
        </is>
      </c>
      <c r="J538" s="308" t="inlineStr">
        <is>
          <t>drawing</t>
        </is>
      </c>
      <c r="K538" s="308" t="inlineStr">
        <is>
          <t>line:size-prefix</t>
        </is>
      </c>
      <c r="L538" s="308" t="inlineStr">
        <is>
          <t>drawing zone; process page; mapped sheet; repeated x4</t>
        </is>
      </c>
      <c r="M538" s="308" t="inlineStr">
        <is>
          <t>1.5"-CWR-T4</t>
        </is>
      </c>
      <c r="N538" s="308" t="inlineStr">
        <is>
          <t>native</t>
        </is>
      </c>
      <c r="O538" s="308" t="inlineStr">
        <is>
          <t>native-only</t>
        </is>
      </c>
      <c r="P538" s="308" t="inlineStr">
        <is>
          <t>native</t>
        </is>
      </c>
      <c r="Q538" s="308" t="inlineStr"/>
      <c r="R538" s="308" t="inlineStr">
        <is>
          <t>native text sufficient</t>
        </is>
      </c>
      <c r="S538" s="308" t="inlineStr"/>
      <c r="T538" s="308" t="inlineStr">
        <is>
          <t>p19:native:604</t>
        </is>
      </c>
      <c r="U538" s="308" t="n">
        <v>1</v>
      </c>
    </row>
    <row r="539">
      <c r="A539" s="308" t="inlineStr">
        <is>
          <t>Missing in Excel</t>
        </is>
      </c>
      <c r="B539" s="308" t="inlineStr">
        <is>
          <t>DG7033</t>
        </is>
      </c>
      <c r="C539" s="308" t="n">
        <v>19</v>
      </c>
      <c r="D539" s="308" t="inlineStr">
        <is>
          <t>1.5"-CWR-T4</t>
        </is>
      </c>
      <c r="E539" s="308" t="inlineStr">
        <is>
          <t>CWR</t>
        </is>
      </c>
      <c r="F539" s="308" t="inlineStr">
        <is>
          <t>T4</t>
        </is>
      </c>
      <c r="G539" s="308" t="inlineStr">
        <is>
          <t>line</t>
        </is>
      </c>
      <c r="H539" s="311" t="n">
        <v>0.87</v>
      </c>
      <c r="I539" s="308" t="inlineStr">
        <is>
          <t>Medium</t>
        </is>
      </c>
      <c r="J539" s="308" t="inlineStr">
        <is>
          <t>drawing</t>
        </is>
      </c>
      <c r="K539" s="308" t="inlineStr">
        <is>
          <t>line:size-prefix</t>
        </is>
      </c>
      <c r="L539" s="308" t="inlineStr">
        <is>
          <t>drawing zone; process page; mapped sheet; repeated x4</t>
        </is>
      </c>
      <c r="M539" s="308" t="inlineStr">
        <is>
          <t>1.5"x2"1.5"-CWR-T4</t>
        </is>
      </c>
      <c r="N539" s="308" t="inlineStr">
        <is>
          <t>native</t>
        </is>
      </c>
      <c r="O539" s="308" t="inlineStr">
        <is>
          <t>native-only</t>
        </is>
      </c>
      <c r="P539" s="308" t="inlineStr">
        <is>
          <t>native</t>
        </is>
      </c>
      <c r="Q539" s="308" t="inlineStr"/>
      <c r="R539" s="308" t="inlineStr">
        <is>
          <t>native text sufficient</t>
        </is>
      </c>
      <c r="S539" s="308" t="inlineStr"/>
      <c r="T539" s="308" t="inlineStr">
        <is>
          <t>p19:native:605, p19:native:604</t>
        </is>
      </c>
      <c r="U539" s="308" t="n">
        <v>2</v>
      </c>
    </row>
    <row r="540">
      <c r="A540" s="308" t="inlineStr">
        <is>
          <t>Missing in Excel</t>
        </is>
      </c>
      <c r="B540" s="308" t="inlineStr">
        <is>
          <t>DG7033</t>
        </is>
      </c>
      <c r="C540" s="308" t="n">
        <v>19</v>
      </c>
      <c r="D540" s="308" t="inlineStr">
        <is>
          <t>1.5"-CWR-T4</t>
        </is>
      </c>
      <c r="E540" s="308" t="inlineStr">
        <is>
          <t>CWR</t>
        </is>
      </c>
      <c r="F540" s="308" t="inlineStr">
        <is>
          <t>T4</t>
        </is>
      </c>
      <c r="G540" s="308" t="inlineStr">
        <is>
          <t>line</t>
        </is>
      </c>
      <c r="H540" s="311" t="n">
        <v>0.87</v>
      </c>
      <c r="I540" s="308" t="inlineStr">
        <is>
          <t>Medium</t>
        </is>
      </c>
      <c r="J540" s="308" t="inlineStr">
        <is>
          <t>drawing</t>
        </is>
      </c>
      <c r="K540" s="308" t="inlineStr">
        <is>
          <t>line:size-prefix</t>
        </is>
      </c>
      <c r="L540" s="308" t="inlineStr">
        <is>
          <t>drawing zone; process page; mapped sheet; repeated x4</t>
        </is>
      </c>
      <c r="M540" s="308" t="inlineStr">
        <is>
          <t>1.5"x2"1.5"-CWR-T4 VFD</t>
        </is>
      </c>
      <c r="N540" s="308" t="inlineStr">
        <is>
          <t>native</t>
        </is>
      </c>
      <c r="O540" s="308" t="inlineStr">
        <is>
          <t>native-only</t>
        </is>
      </c>
      <c r="P540" s="308" t="inlineStr">
        <is>
          <t>native</t>
        </is>
      </c>
      <c r="Q540" s="308" t="inlineStr"/>
      <c r="R540" s="308" t="inlineStr">
        <is>
          <t>native text sufficient</t>
        </is>
      </c>
      <c r="S540" s="308" t="inlineStr"/>
      <c r="T540" s="308" t="inlineStr">
        <is>
          <t>p19:native:605, p19:native:604, p19:native:601</t>
        </is>
      </c>
      <c r="U540" s="308" t="n">
        <v>3</v>
      </c>
    </row>
    <row r="541">
      <c r="A541" s="308" t="inlineStr">
        <is>
          <t>Missing in Excel</t>
        </is>
      </c>
      <c r="B541" s="308" t="inlineStr">
        <is>
          <t>DG7033</t>
        </is>
      </c>
      <c r="C541" s="308" t="n">
        <v>19</v>
      </c>
      <c r="D541" s="308" t="inlineStr">
        <is>
          <t>1.5"-CWR-T4</t>
        </is>
      </c>
      <c r="E541" s="308" t="inlineStr">
        <is>
          <t>CWR</t>
        </is>
      </c>
      <c r="F541" s="308" t="inlineStr">
        <is>
          <t>T4</t>
        </is>
      </c>
      <c r="G541" s="308" t="inlineStr">
        <is>
          <t>line</t>
        </is>
      </c>
      <c r="H541" s="311" t="n">
        <v>0.87</v>
      </c>
      <c r="I541" s="308" t="inlineStr">
        <is>
          <t>Medium</t>
        </is>
      </c>
      <c r="J541" s="308" t="inlineStr">
        <is>
          <t>drawing</t>
        </is>
      </c>
      <c r="K541" s="308" t="inlineStr">
        <is>
          <t>line:size-prefix</t>
        </is>
      </c>
      <c r="L541" s="308" t="inlineStr">
        <is>
          <t>drawing zone; process page; mapped sheet; repeated x4</t>
        </is>
      </c>
      <c r="M541" s="308" t="inlineStr">
        <is>
          <t>1.5"-CWR-T4 VFD</t>
        </is>
      </c>
      <c r="N541" s="308" t="inlineStr">
        <is>
          <t>native</t>
        </is>
      </c>
      <c r="O541" s="308" t="inlineStr">
        <is>
          <t>native-only</t>
        </is>
      </c>
      <c r="P541" s="308" t="inlineStr">
        <is>
          <t>native</t>
        </is>
      </c>
      <c r="Q541" s="308" t="inlineStr"/>
      <c r="R541" s="308" t="inlineStr">
        <is>
          <t>native text sufficient</t>
        </is>
      </c>
      <c r="S541" s="308" t="inlineStr"/>
      <c r="T541" s="308" t="inlineStr">
        <is>
          <t>p19:native:604, p19:native:601</t>
        </is>
      </c>
      <c r="U541" s="308" t="n">
        <v>2</v>
      </c>
    </row>
    <row r="542">
      <c r="A542" s="308" t="inlineStr">
        <is>
          <t>Missing in Excel</t>
        </is>
      </c>
      <c r="B542" s="308" t="inlineStr">
        <is>
          <t>DG7033</t>
        </is>
      </c>
      <c r="C542" s="308" t="n">
        <v>19</v>
      </c>
      <c r="D542" s="308" t="inlineStr">
        <is>
          <t>10"-CWR-1A</t>
        </is>
      </c>
      <c r="E542" s="308" t="inlineStr">
        <is>
          <t>CWR</t>
        </is>
      </c>
      <c r="F542" s="308" t="inlineStr">
        <is>
          <t>1A</t>
        </is>
      </c>
      <c r="G542" s="308" t="inlineStr">
        <is>
          <t>line</t>
        </is>
      </c>
      <c r="H542" s="311" t="n">
        <v>0.87</v>
      </c>
      <c r="I542" s="308" t="inlineStr">
        <is>
          <t>Medium</t>
        </is>
      </c>
      <c r="J542" s="308" t="inlineStr">
        <is>
          <t>drawing</t>
        </is>
      </c>
      <c r="K542" s="308" t="inlineStr">
        <is>
          <t>line:size-prefix</t>
        </is>
      </c>
      <c r="L542" s="308" t="inlineStr">
        <is>
          <t>drawing zone; process page; mapped sheet; repeated x4</t>
        </is>
      </c>
      <c r="M542" s="308" t="inlineStr">
        <is>
          <t>10"-CWR-1A</t>
        </is>
      </c>
      <c r="N542" s="308" t="inlineStr">
        <is>
          <t>native</t>
        </is>
      </c>
      <c r="O542" s="308" t="inlineStr">
        <is>
          <t>native-only</t>
        </is>
      </c>
      <c r="P542" s="308" t="inlineStr">
        <is>
          <t>native</t>
        </is>
      </c>
      <c r="Q542" s="308" t="inlineStr"/>
      <c r="R542" s="308" t="inlineStr">
        <is>
          <t>native text sufficient</t>
        </is>
      </c>
      <c r="S542" s="308" t="inlineStr"/>
      <c r="T542" s="308" t="inlineStr">
        <is>
          <t>p19:native:60</t>
        </is>
      </c>
      <c r="U542" s="308" t="n">
        <v>1</v>
      </c>
    </row>
    <row r="543">
      <c r="A543" s="308" t="inlineStr">
        <is>
          <t>Missing in Excel</t>
        </is>
      </c>
      <c r="B543" s="308" t="inlineStr">
        <is>
          <t>DG7033</t>
        </is>
      </c>
      <c r="C543" s="308" t="n">
        <v>19</v>
      </c>
      <c r="D543" s="308" t="inlineStr">
        <is>
          <t>10"-CWR-1A</t>
        </is>
      </c>
      <c r="E543" s="308" t="inlineStr">
        <is>
          <t>CWR</t>
        </is>
      </c>
      <c r="F543" s="308" t="inlineStr">
        <is>
          <t>1A</t>
        </is>
      </c>
      <c r="G543" s="308" t="inlineStr">
        <is>
          <t>line</t>
        </is>
      </c>
      <c r="H543" s="311" t="n">
        <v>0.87</v>
      </c>
      <c r="I543" s="308" t="inlineStr">
        <is>
          <t>Medium</t>
        </is>
      </c>
      <c r="J543" s="308" t="inlineStr">
        <is>
          <t>drawing</t>
        </is>
      </c>
      <c r="K543" s="308" t="inlineStr">
        <is>
          <t>line:size-prefix</t>
        </is>
      </c>
      <c r="L543" s="308" t="inlineStr">
        <is>
          <t>drawing zone; process page; mapped sheet; repeated x4</t>
        </is>
      </c>
      <c r="M543" s="308" t="inlineStr">
        <is>
          <t>10"-CWR-1A</t>
        </is>
      </c>
      <c r="N543" s="308" t="inlineStr">
        <is>
          <t>native</t>
        </is>
      </c>
      <c r="O543" s="308" t="inlineStr">
        <is>
          <t>native-only</t>
        </is>
      </c>
      <c r="P543" s="308" t="inlineStr">
        <is>
          <t>native</t>
        </is>
      </c>
      <c r="Q543" s="308" t="inlineStr"/>
      <c r="R543" s="308" t="inlineStr">
        <is>
          <t>native text sufficient</t>
        </is>
      </c>
      <c r="S543" s="308" t="inlineStr"/>
      <c r="T543" s="308" t="inlineStr">
        <is>
          <t>p19:native:374</t>
        </is>
      </c>
      <c r="U543" s="308" t="n">
        <v>1</v>
      </c>
    </row>
    <row r="544">
      <c r="A544" s="308" t="inlineStr">
        <is>
          <t>Missing in Excel</t>
        </is>
      </c>
      <c r="B544" s="308" t="inlineStr">
        <is>
          <t>DG7033</t>
        </is>
      </c>
      <c r="C544" s="308" t="n">
        <v>19</v>
      </c>
      <c r="D544" s="308" t="inlineStr">
        <is>
          <t>10"-CWR-1A</t>
        </is>
      </c>
      <c r="E544" s="308" t="inlineStr">
        <is>
          <t>CWR</t>
        </is>
      </c>
      <c r="F544" s="308" t="inlineStr">
        <is>
          <t>1A</t>
        </is>
      </c>
      <c r="G544" s="308" t="inlineStr">
        <is>
          <t>line</t>
        </is>
      </c>
      <c r="H544" s="311" t="n">
        <v>0.87</v>
      </c>
      <c r="I544" s="308" t="inlineStr">
        <is>
          <t>Medium</t>
        </is>
      </c>
      <c r="J544" s="308" t="inlineStr">
        <is>
          <t>drawing</t>
        </is>
      </c>
      <c r="K544" s="308" t="inlineStr">
        <is>
          <t>line:size-prefix</t>
        </is>
      </c>
      <c r="L544" s="308" t="inlineStr">
        <is>
          <t>drawing zone; process page; mapped sheet; repeated x4</t>
        </is>
      </c>
      <c r="M544" s="308" t="inlineStr">
        <is>
          <t>CWR 10"-CWR-1A</t>
        </is>
      </c>
      <c r="N544" s="308" t="inlineStr">
        <is>
          <t>native</t>
        </is>
      </c>
      <c r="O544" s="308" t="inlineStr">
        <is>
          <t>native-only</t>
        </is>
      </c>
      <c r="P544" s="308" t="inlineStr">
        <is>
          <t>native</t>
        </is>
      </c>
      <c r="Q544" s="308" t="inlineStr"/>
      <c r="R544" s="308" t="inlineStr">
        <is>
          <t>native text sufficient</t>
        </is>
      </c>
      <c r="S544" s="308" t="inlineStr"/>
      <c r="T544" s="308" t="inlineStr">
        <is>
          <t>p19:native:370, p19:native:374</t>
        </is>
      </c>
      <c r="U544" s="308" t="n">
        <v>2</v>
      </c>
    </row>
    <row r="545">
      <c r="A545" s="308" t="inlineStr">
        <is>
          <t>Missing in Excel</t>
        </is>
      </c>
      <c r="B545" s="308" t="inlineStr">
        <is>
          <t>DG7033</t>
        </is>
      </c>
      <c r="C545" s="308" t="n">
        <v>19</v>
      </c>
      <c r="D545" s="308" t="inlineStr">
        <is>
          <t>10"-CWR-1A</t>
        </is>
      </c>
      <c r="E545" s="308" t="inlineStr">
        <is>
          <t>CWR</t>
        </is>
      </c>
      <c r="F545" s="308" t="inlineStr">
        <is>
          <t>1A</t>
        </is>
      </c>
      <c r="G545" s="308" t="inlineStr">
        <is>
          <t>line</t>
        </is>
      </c>
      <c r="H545" s="311" t="n">
        <v>0.87</v>
      </c>
      <c r="I545" s="308" t="inlineStr">
        <is>
          <t>Medium</t>
        </is>
      </c>
      <c r="J545" s="308" t="inlineStr">
        <is>
          <t>drawing</t>
        </is>
      </c>
      <c r="K545" s="308" t="inlineStr">
        <is>
          <t>line:size-prefix</t>
        </is>
      </c>
      <c r="L545" s="308" t="inlineStr">
        <is>
          <t>drawing zone; process page; mapped sheet; repeated x4</t>
        </is>
      </c>
      <c r="M545" s="308" t="inlineStr">
        <is>
          <t>10"-CWR-1A CWR</t>
        </is>
      </c>
      <c r="N545" s="308" t="inlineStr">
        <is>
          <t>native</t>
        </is>
      </c>
      <c r="O545" s="308" t="inlineStr">
        <is>
          <t>native-only</t>
        </is>
      </c>
      <c r="P545" s="308" t="inlineStr">
        <is>
          <t>native</t>
        </is>
      </c>
      <c r="Q545" s="308" t="inlineStr"/>
      <c r="R545" s="308" t="inlineStr">
        <is>
          <t>native text sufficient</t>
        </is>
      </c>
      <c r="S545" s="308" t="inlineStr"/>
      <c r="T545" s="308" t="inlineStr">
        <is>
          <t>p19:native:60, p19:native:436</t>
        </is>
      </c>
      <c r="U545" s="308" t="n">
        <v>2</v>
      </c>
    </row>
    <row r="546">
      <c r="A546" s="308" t="inlineStr">
        <is>
          <t>Missing in Excel</t>
        </is>
      </c>
      <c r="B546" s="308" t="inlineStr">
        <is>
          <t>DG7033</t>
        </is>
      </c>
      <c r="C546" s="308" t="n">
        <v>19</v>
      </c>
      <c r="D546" s="308" t="inlineStr">
        <is>
          <t>3"-D-1A</t>
        </is>
      </c>
      <c r="E546" s="308" t="inlineStr">
        <is>
          <t>D</t>
        </is>
      </c>
      <c r="F546" s="308" t="inlineStr">
        <is>
          <t>1A</t>
        </is>
      </c>
      <c r="G546" s="308" t="inlineStr">
        <is>
          <t>line</t>
        </is>
      </c>
      <c r="H546" s="311" t="n">
        <v>0.87</v>
      </c>
      <c r="I546" s="308" t="inlineStr">
        <is>
          <t>Medium</t>
        </is>
      </c>
      <c r="J546" s="308" t="inlineStr">
        <is>
          <t>drawing</t>
        </is>
      </c>
      <c r="K546" s="308" t="inlineStr">
        <is>
          <t>line:size-prefix</t>
        </is>
      </c>
      <c r="L546" s="308" t="inlineStr">
        <is>
          <t>drawing zone; process page; mapped sheet; repeated x4</t>
        </is>
      </c>
      <c r="M546" s="308" t="inlineStr">
        <is>
          <t>3"-D-1A</t>
        </is>
      </c>
      <c r="N546" s="308" t="inlineStr">
        <is>
          <t>native</t>
        </is>
      </c>
      <c r="O546" s="308" t="inlineStr">
        <is>
          <t>native-only</t>
        </is>
      </c>
      <c r="P546" s="308" t="inlineStr">
        <is>
          <t>native</t>
        </is>
      </c>
      <c r="Q546" s="308" t="inlineStr"/>
      <c r="R546" s="308" t="inlineStr">
        <is>
          <t>native text sufficient</t>
        </is>
      </c>
      <c r="S546" s="308" t="inlineStr"/>
      <c r="T546" s="308" t="inlineStr">
        <is>
          <t>p19:native:65</t>
        </is>
      </c>
      <c r="U546" s="308" t="n">
        <v>1</v>
      </c>
    </row>
    <row r="547">
      <c r="A547" s="308" t="inlineStr">
        <is>
          <t>Missing in Excel</t>
        </is>
      </c>
      <c r="B547" s="308" t="inlineStr">
        <is>
          <t>DG7033</t>
        </is>
      </c>
      <c r="C547" s="308" t="n">
        <v>19</v>
      </c>
      <c r="D547" s="308" t="inlineStr">
        <is>
          <t>3"-D-1A</t>
        </is>
      </c>
      <c r="E547" s="308" t="inlineStr">
        <is>
          <t>D</t>
        </is>
      </c>
      <c r="F547" s="308" t="inlineStr">
        <is>
          <t>1A</t>
        </is>
      </c>
      <c r="G547" s="308" t="inlineStr">
        <is>
          <t>line</t>
        </is>
      </c>
      <c r="H547" s="311" t="n">
        <v>0.87</v>
      </c>
      <c r="I547" s="308" t="inlineStr">
        <is>
          <t>Medium</t>
        </is>
      </c>
      <c r="J547" s="308" t="inlineStr">
        <is>
          <t>drawing</t>
        </is>
      </c>
      <c r="K547" s="308" t="inlineStr">
        <is>
          <t>line:size-prefix</t>
        </is>
      </c>
      <c r="L547" s="308" t="inlineStr">
        <is>
          <t>drawing zone; process page; mapped sheet; repeated x4</t>
        </is>
      </c>
      <c r="M547" s="308" t="inlineStr">
        <is>
          <t>3"-D-1A</t>
        </is>
      </c>
      <c r="N547" s="308" t="inlineStr">
        <is>
          <t>native</t>
        </is>
      </c>
      <c r="O547" s="308" t="inlineStr">
        <is>
          <t>native-only</t>
        </is>
      </c>
      <c r="P547" s="308" t="inlineStr">
        <is>
          <t>native</t>
        </is>
      </c>
      <c r="Q547" s="308" t="inlineStr"/>
      <c r="R547" s="308" t="inlineStr">
        <is>
          <t>native text sufficient</t>
        </is>
      </c>
      <c r="S547" s="308" t="inlineStr"/>
      <c r="T547" s="308" t="inlineStr">
        <is>
          <t>p19:native:400</t>
        </is>
      </c>
      <c r="U547" s="308" t="n">
        <v>1</v>
      </c>
    </row>
    <row r="548">
      <c r="A548" s="308" t="inlineStr">
        <is>
          <t>Missing in Excel</t>
        </is>
      </c>
      <c r="B548" s="308" t="inlineStr">
        <is>
          <t>DG7033</t>
        </is>
      </c>
      <c r="C548" s="308" t="n">
        <v>19</v>
      </c>
      <c r="D548" s="308" t="inlineStr">
        <is>
          <t>3"-D-1A</t>
        </is>
      </c>
      <c r="E548" s="308" t="inlineStr">
        <is>
          <t>D</t>
        </is>
      </c>
      <c r="F548" s="308" t="inlineStr">
        <is>
          <t>1A</t>
        </is>
      </c>
      <c r="G548" s="308" t="inlineStr">
        <is>
          <t>line</t>
        </is>
      </c>
      <c r="H548" s="311" t="n">
        <v>0.87</v>
      </c>
      <c r="I548" s="308" t="inlineStr">
        <is>
          <t>Medium</t>
        </is>
      </c>
      <c r="J548" s="308" t="inlineStr">
        <is>
          <t>drawing</t>
        </is>
      </c>
      <c r="K548" s="308" t="inlineStr">
        <is>
          <t>line:size-prefix</t>
        </is>
      </c>
      <c r="L548" s="308" t="inlineStr">
        <is>
          <t>drawing zone; process page; mapped sheet; repeated x4</t>
        </is>
      </c>
      <c r="M548" s="308" t="inlineStr">
        <is>
          <t>3"-D-1A</t>
        </is>
      </c>
      <c r="N548" s="308" t="inlineStr">
        <is>
          <t>native</t>
        </is>
      </c>
      <c r="O548" s="308" t="inlineStr">
        <is>
          <t>native-only</t>
        </is>
      </c>
      <c r="P548" s="308" t="inlineStr">
        <is>
          <t>native</t>
        </is>
      </c>
      <c r="Q548" s="308" t="inlineStr"/>
      <c r="R548" s="308" t="inlineStr">
        <is>
          <t>native text sufficient</t>
        </is>
      </c>
      <c r="S548" s="308" t="inlineStr"/>
      <c r="T548" s="308" t="inlineStr">
        <is>
          <t>p19:native:421</t>
        </is>
      </c>
      <c r="U548" s="308" t="n">
        <v>1</v>
      </c>
    </row>
    <row r="549">
      <c r="A549" s="308" t="inlineStr">
        <is>
          <t>Missing in Excel</t>
        </is>
      </c>
      <c r="B549" s="308" t="inlineStr">
        <is>
          <t>DG7033</t>
        </is>
      </c>
      <c r="C549" s="308" t="n">
        <v>19</v>
      </c>
      <c r="D549" s="308" t="inlineStr">
        <is>
          <t>3"-D-1A</t>
        </is>
      </c>
      <c r="E549" s="308" t="inlineStr">
        <is>
          <t>D</t>
        </is>
      </c>
      <c r="F549" s="308" t="inlineStr">
        <is>
          <t>1A</t>
        </is>
      </c>
      <c r="G549" s="308" t="inlineStr">
        <is>
          <t>line</t>
        </is>
      </c>
      <c r="H549" s="311" t="n">
        <v>0.87</v>
      </c>
      <c r="I549" s="308" t="inlineStr">
        <is>
          <t>Medium</t>
        </is>
      </c>
      <c r="J549" s="308" t="inlineStr">
        <is>
          <t>drawing</t>
        </is>
      </c>
      <c r="K549" s="308" t="inlineStr">
        <is>
          <t>line:size-prefix</t>
        </is>
      </c>
      <c r="L549" s="308" t="inlineStr">
        <is>
          <t>drawing zone; process page; mapped sheet; repeated x4</t>
        </is>
      </c>
      <c r="M549" s="308" t="inlineStr">
        <is>
          <t>3"-D-1A M</t>
        </is>
      </c>
      <c r="N549" s="308" t="inlineStr">
        <is>
          <t>native</t>
        </is>
      </c>
      <c r="O549" s="308" t="inlineStr">
        <is>
          <t>native-only</t>
        </is>
      </c>
      <c r="P549" s="308" t="inlineStr">
        <is>
          <t>native</t>
        </is>
      </c>
      <c r="Q549" s="308" t="inlineStr"/>
      <c r="R549" s="308" t="inlineStr">
        <is>
          <t>native text sufficient</t>
        </is>
      </c>
      <c r="S549" s="308" t="inlineStr"/>
      <c r="T549" s="308" t="inlineStr">
        <is>
          <t>p19:native:65, p19:native:70</t>
        </is>
      </c>
      <c r="U549" s="308" t="n">
        <v>2</v>
      </c>
    </row>
    <row r="550">
      <c r="A550" s="308" t="inlineStr">
        <is>
          <t>Missing in Excel</t>
        </is>
      </c>
      <c r="B550" s="308" t="inlineStr">
        <is>
          <t>DG7033</t>
        </is>
      </c>
      <c r="C550" s="308" t="n">
        <v>19</v>
      </c>
      <c r="D550" s="308" t="inlineStr">
        <is>
          <t>2"-CWR-T4</t>
        </is>
      </c>
      <c r="E550" s="308" t="inlineStr">
        <is>
          <t>CWR</t>
        </is>
      </c>
      <c r="F550" s="308" t="inlineStr">
        <is>
          <t>T4</t>
        </is>
      </c>
      <c r="G550" s="308" t="inlineStr">
        <is>
          <t>line</t>
        </is>
      </c>
      <c r="H550" s="311" t="n">
        <v>0.845</v>
      </c>
      <c r="I550" s="308" t="inlineStr">
        <is>
          <t>Medium</t>
        </is>
      </c>
      <c r="J550" s="308" t="inlineStr">
        <is>
          <t>drawing</t>
        </is>
      </c>
      <c r="K550" s="308" t="inlineStr">
        <is>
          <t>line:size-prefix</t>
        </is>
      </c>
      <c r="L550" s="308" t="inlineStr">
        <is>
          <t>drawing zone; process page; mapped sheet; repeated x3</t>
        </is>
      </c>
      <c r="M550" s="308" t="inlineStr">
        <is>
          <t>2"-CWR-T4</t>
        </is>
      </c>
      <c r="N550" s="308" t="inlineStr">
        <is>
          <t>native</t>
        </is>
      </c>
      <c r="O550" s="308" t="inlineStr">
        <is>
          <t>native-only</t>
        </is>
      </c>
      <c r="P550" s="308" t="inlineStr">
        <is>
          <t>native</t>
        </is>
      </c>
      <c r="Q550" s="308" t="inlineStr"/>
      <c r="R550" s="308" t="inlineStr">
        <is>
          <t>native text sufficient</t>
        </is>
      </c>
      <c r="S550" s="308" t="inlineStr"/>
      <c r="T550" s="308" t="inlineStr">
        <is>
          <t>p19:native:443</t>
        </is>
      </c>
      <c r="U550" s="308" t="n">
        <v>1</v>
      </c>
    </row>
    <row r="551">
      <c r="A551" s="308" t="inlineStr">
        <is>
          <t>Missing in Excel</t>
        </is>
      </c>
      <c r="B551" s="308" t="inlineStr">
        <is>
          <t>DG7033</t>
        </is>
      </c>
      <c r="C551" s="308" t="n">
        <v>19</v>
      </c>
      <c r="D551" s="308" t="inlineStr">
        <is>
          <t>2"-CWR-T4</t>
        </is>
      </c>
      <c r="E551" s="308" t="inlineStr">
        <is>
          <t>CWR</t>
        </is>
      </c>
      <c r="F551" s="308" t="inlineStr">
        <is>
          <t>T4</t>
        </is>
      </c>
      <c r="G551" s="308" t="inlineStr">
        <is>
          <t>line</t>
        </is>
      </c>
      <c r="H551" s="311" t="n">
        <v>0.845</v>
      </c>
      <c r="I551" s="308" t="inlineStr">
        <is>
          <t>Medium</t>
        </is>
      </c>
      <c r="J551" s="308" t="inlineStr">
        <is>
          <t>drawing</t>
        </is>
      </c>
      <c r="K551" s="308" t="inlineStr">
        <is>
          <t>line:size-prefix</t>
        </is>
      </c>
      <c r="L551" s="308" t="inlineStr">
        <is>
          <t>drawing zone; process page; mapped sheet; repeated x3</t>
        </is>
      </c>
      <c r="M551" s="308" t="inlineStr">
        <is>
          <t>2"-CWR-T4</t>
        </is>
      </c>
      <c r="N551" s="308" t="inlineStr">
        <is>
          <t>native</t>
        </is>
      </c>
      <c r="O551" s="308" t="inlineStr">
        <is>
          <t>native-only</t>
        </is>
      </c>
      <c r="P551" s="308" t="inlineStr">
        <is>
          <t>native</t>
        </is>
      </c>
      <c r="Q551" s="308" t="inlineStr"/>
      <c r="R551" s="308" t="inlineStr">
        <is>
          <t>native text sufficient</t>
        </is>
      </c>
      <c r="S551" s="308" t="inlineStr"/>
      <c r="T551" s="308" t="inlineStr">
        <is>
          <t>p19:native:606</t>
        </is>
      </c>
      <c r="U551" s="308" t="n">
        <v>1</v>
      </c>
    </row>
    <row r="552">
      <c r="A552" s="308" t="inlineStr">
        <is>
          <t>Missing in Excel</t>
        </is>
      </c>
      <c r="B552" s="308" t="inlineStr">
        <is>
          <t>DG7033</t>
        </is>
      </c>
      <c r="C552" s="308" t="n">
        <v>19</v>
      </c>
      <c r="D552" s="308" t="inlineStr">
        <is>
          <t>2"-CWR-T4</t>
        </is>
      </c>
      <c r="E552" s="308" t="inlineStr">
        <is>
          <t>CWR</t>
        </is>
      </c>
      <c r="F552" s="308" t="inlineStr">
        <is>
          <t>T4</t>
        </is>
      </c>
      <c r="G552" s="308" t="inlineStr">
        <is>
          <t>line</t>
        </is>
      </c>
      <c r="H552" s="311" t="n">
        <v>0.845</v>
      </c>
      <c r="I552" s="308" t="inlineStr">
        <is>
          <t>Medium</t>
        </is>
      </c>
      <c r="J552" s="308" t="inlineStr">
        <is>
          <t>drawing</t>
        </is>
      </c>
      <c r="K552" s="308" t="inlineStr">
        <is>
          <t>line:size-prefix</t>
        </is>
      </c>
      <c r="L552" s="308" t="inlineStr">
        <is>
          <t>drawing zone; process page; mapped sheet; repeated x3</t>
        </is>
      </c>
      <c r="M552" s="308" t="inlineStr">
        <is>
          <t>2"-CWR-T4 RL7</t>
        </is>
      </c>
      <c r="N552" s="308" t="inlineStr">
        <is>
          <t>native</t>
        </is>
      </c>
      <c r="O552" s="308" t="inlineStr">
        <is>
          <t>native-only</t>
        </is>
      </c>
      <c r="P552" s="308" t="inlineStr">
        <is>
          <t>native</t>
        </is>
      </c>
      <c r="Q552" s="308" t="inlineStr"/>
      <c r="R552" s="308" t="inlineStr">
        <is>
          <t>native text sufficient</t>
        </is>
      </c>
      <c r="S552" s="308" t="inlineStr"/>
      <c r="T552" s="308" t="inlineStr">
        <is>
          <t>p19:native:443, p19:native:295</t>
        </is>
      </c>
      <c r="U552" s="308" t="n">
        <v>2</v>
      </c>
    </row>
    <row r="553">
      <c r="A553" s="308" t="inlineStr">
        <is>
          <t>Missing in Excel</t>
        </is>
      </c>
      <c r="B553" s="308" t="inlineStr">
        <is>
          <t>DG7033</t>
        </is>
      </c>
      <c r="C553" s="308" t="n">
        <v>19</v>
      </c>
      <c r="D553" s="308" t="inlineStr">
        <is>
          <t>2"-CWS-T4</t>
        </is>
      </c>
      <c r="E553" s="308" t="inlineStr">
        <is>
          <t>CWS</t>
        </is>
      </c>
      <c r="F553" s="308" t="inlineStr">
        <is>
          <t>T4</t>
        </is>
      </c>
      <c r="G553" s="308" t="inlineStr">
        <is>
          <t>line</t>
        </is>
      </c>
      <c r="H553" s="311" t="n">
        <v>0.845</v>
      </c>
      <c r="I553" s="308" t="inlineStr">
        <is>
          <t>Medium</t>
        </is>
      </c>
      <c r="J553" s="308" t="inlineStr">
        <is>
          <t>drawing</t>
        </is>
      </c>
      <c r="K553" s="308" t="inlineStr">
        <is>
          <t>line:size-prefix</t>
        </is>
      </c>
      <c r="L553" s="308" t="inlineStr">
        <is>
          <t>drawing zone; process page; mapped sheet; repeated x3</t>
        </is>
      </c>
      <c r="M553" s="308" t="inlineStr">
        <is>
          <t>2"-CWS-T4</t>
        </is>
      </c>
      <c r="N553" s="308" t="inlineStr">
        <is>
          <t>native</t>
        </is>
      </c>
      <c r="O553" s="308" t="inlineStr">
        <is>
          <t>native-only</t>
        </is>
      </c>
      <c r="P553" s="308" t="inlineStr">
        <is>
          <t>native</t>
        </is>
      </c>
      <c r="Q553" s="308" t="inlineStr"/>
      <c r="R553" s="308" t="inlineStr">
        <is>
          <t>native text sufficient</t>
        </is>
      </c>
      <c r="S553" s="308" t="inlineStr"/>
      <c r="T553" s="308" t="inlineStr">
        <is>
          <t>p19:native:405</t>
        </is>
      </c>
      <c r="U553" s="308" t="n">
        <v>1</v>
      </c>
    </row>
    <row r="554">
      <c r="A554" s="308" t="inlineStr">
        <is>
          <t>Missing in Excel</t>
        </is>
      </c>
      <c r="B554" s="308" t="inlineStr">
        <is>
          <t>DG7033</t>
        </is>
      </c>
      <c r="C554" s="308" t="n">
        <v>19</v>
      </c>
      <c r="D554" s="308" t="inlineStr">
        <is>
          <t>2"-CWS-T4</t>
        </is>
      </c>
      <c r="E554" s="308" t="inlineStr">
        <is>
          <t>CWS</t>
        </is>
      </c>
      <c r="F554" s="308" t="inlineStr">
        <is>
          <t>T4</t>
        </is>
      </c>
      <c r="G554" s="308" t="inlineStr">
        <is>
          <t>line</t>
        </is>
      </c>
      <c r="H554" s="311" t="n">
        <v>0.845</v>
      </c>
      <c r="I554" s="308" t="inlineStr">
        <is>
          <t>Medium</t>
        </is>
      </c>
      <c r="J554" s="308" t="inlineStr">
        <is>
          <t>drawing</t>
        </is>
      </c>
      <c r="K554" s="308" t="inlineStr">
        <is>
          <t>line:size-prefix</t>
        </is>
      </c>
      <c r="L554" s="308" t="inlineStr">
        <is>
          <t>drawing zone; process page; mapped sheet; repeated x3</t>
        </is>
      </c>
      <c r="M554" s="308" t="inlineStr">
        <is>
          <t>2"-CWS-T4</t>
        </is>
      </c>
      <c r="N554" s="308" t="inlineStr">
        <is>
          <t>native</t>
        </is>
      </c>
      <c r="O554" s="308" t="inlineStr">
        <is>
          <t>native-only</t>
        </is>
      </c>
      <c r="P554" s="308" t="inlineStr">
        <is>
          <t>native</t>
        </is>
      </c>
      <c r="Q554" s="308" t="inlineStr"/>
      <c r="R554" s="308" t="inlineStr">
        <is>
          <t>native text sufficient</t>
        </is>
      </c>
      <c r="S554" s="308" t="inlineStr"/>
      <c r="T554" s="308" t="inlineStr">
        <is>
          <t>p19:native:591</t>
        </is>
      </c>
      <c r="U554" s="308" t="n">
        <v>1</v>
      </c>
    </row>
    <row r="555">
      <c r="A555" s="308" t="inlineStr">
        <is>
          <t>Missing in Excel</t>
        </is>
      </c>
      <c r="B555" s="308" t="inlineStr">
        <is>
          <t>DG7033</t>
        </is>
      </c>
      <c r="C555" s="308" t="n">
        <v>19</v>
      </c>
      <c r="D555" s="308" t="inlineStr">
        <is>
          <t>2"-CWS-T4</t>
        </is>
      </c>
      <c r="E555" s="308" t="inlineStr">
        <is>
          <t>CWS</t>
        </is>
      </c>
      <c r="F555" s="308" t="inlineStr">
        <is>
          <t>T4</t>
        </is>
      </c>
      <c r="G555" s="308" t="inlineStr">
        <is>
          <t>line</t>
        </is>
      </c>
      <c r="H555" s="311" t="n">
        <v>0.845</v>
      </c>
      <c r="I555" s="308" t="inlineStr">
        <is>
          <t>Medium</t>
        </is>
      </c>
      <c r="J555" s="308" t="inlineStr">
        <is>
          <t>drawing</t>
        </is>
      </c>
      <c r="K555" s="308" t="inlineStr">
        <is>
          <t>line:size-prefix</t>
        </is>
      </c>
      <c r="L555" s="308" t="inlineStr">
        <is>
          <t>drawing zone; process page; mapped sheet; repeated x3</t>
        </is>
      </c>
      <c r="M555" s="308" t="inlineStr">
        <is>
          <t>CWS 2"-CWS-T4</t>
        </is>
      </c>
      <c r="N555" s="308" t="inlineStr">
        <is>
          <t>native</t>
        </is>
      </c>
      <c r="O555" s="308" t="inlineStr">
        <is>
          <t>native-only</t>
        </is>
      </c>
      <c r="P555" s="308" t="inlineStr">
        <is>
          <t>native</t>
        </is>
      </c>
      <c r="Q555" s="308" t="inlineStr"/>
      <c r="R555" s="308" t="inlineStr">
        <is>
          <t>native text sufficient</t>
        </is>
      </c>
      <c r="S555" s="308" t="inlineStr"/>
      <c r="T555" s="308" t="inlineStr">
        <is>
          <t>p19:native:587, p19:native:405</t>
        </is>
      </c>
      <c r="U555" s="308" t="n">
        <v>2</v>
      </c>
    </row>
    <row r="556">
      <c r="A556" s="308" t="inlineStr">
        <is>
          <t>Missing in Excel</t>
        </is>
      </c>
      <c r="B556" s="308" t="inlineStr">
        <is>
          <t>DG7033</t>
        </is>
      </c>
      <c r="C556" s="308" t="n">
        <v>19</v>
      </c>
      <c r="D556" s="308" t="inlineStr">
        <is>
          <t>6"-CWR-1A</t>
        </is>
      </c>
      <c r="E556" s="308" t="inlineStr">
        <is>
          <t>CWR</t>
        </is>
      </c>
      <c r="F556" s="308" t="inlineStr">
        <is>
          <t>1A</t>
        </is>
      </c>
      <c r="G556" s="308" t="inlineStr">
        <is>
          <t>line</t>
        </is>
      </c>
      <c r="H556" s="311" t="n">
        <v>0.845</v>
      </c>
      <c r="I556" s="308" t="inlineStr">
        <is>
          <t>Medium</t>
        </is>
      </c>
      <c r="J556" s="308" t="inlineStr">
        <is>
          <t>drawing</t>
        </is>
      </c>
      <c r="K556" s="308" t="inlineStr">
        <is>
          <t>line:size-prefix</t>
        </is>
      </c>
      <c r="L556" s="308" t="inlineStr">
        <is>
          <t>drawing zone; process page; mapped sheet; repeated x3</t>
        </is>
      </c>
      <c r="M556" s="308" t="inlineStr">
        <is>
          <t>6"-CWR-1A</t>
        </is>
      </c>
      <c r="N556" s="308" t="inlineStr">
        <is>
          <t>native</t>
        </is>
      </c>
      <c r="O556" s="308" t="inlineStr">
        <is>
          <t>native-only</t>
        </is>
      </c>
      <c r="P556" s="308" t="inlineStr">
        <is>
          <t>native</t>
        </is>
      </c>
      <c r="Q556" s="308" t="inlineStr"/>
      <c r="R556" s="308" t="inlineStr">
        <is>
          <t>native text sufficient</t>
        </is>
      </c>
      <c r="S556" s="308" t="inlineStr"/>
      <c r="T556" s="308" t="inlineStr">
        <is>
          <t>p19:native:61</t>
        </is>
      </c>
      <c r="U556" s="308" t="n">
        <v>1</v>
      </c>
    </row>
    <row r="557">
      <c r="A557" s="308" t="inlineStr">
        <is>
          <t>Missing in Excel</t>
        </is>
      </c>
      <c r="B557" s="308" t="inlineStr">
        <is>
          <t>DG7033</t>
        </is>
      </c>
      <c r="C557" s="308" t="n">
        <v>19</v>
      </c>
      <c r="D557" s="308" t="inlineStr">
        <is>
          <t>6"-CWR-1A</t>
        </is>
      </c>
      <c r="E557" s="308" t="inlineStr">
        <is>
          <t>CWR</t>
        </is>
      </c>
      <c r="F557" s="308" t="inlineStr">
        <is>
          <t>1A</t>
        </is>
      </c>
      <c r="G557" s="308" t="inlineStr">
        <is>
          <t>line</t>
        </is>
      </c>
      <c r="H557" s="311" t="n">
        <v>0.845</v>
      </c>
      <c r="I557" s="308" t="inlineStr">
        <is>
          <t>Medium</t>
        </is>
      </c>
      <c r="J557" s="308" t="inlineStr">
        <is>
          <t>drawing</t>
        </is>
      </c>
      <c r="K557" s="308" t="inlineStr">
        <is>
          <t>line:size-prefix</t>
        </is>
      </c>
      <c r="L557" s="308" t="inlineStr">
        <is>
          <t>drawing zone; process page; mapped sheet; repeated x3</t>
        </is>
      </c>
      <c r="M557" s="308" t="inlineStr">
        <is>
          <t>6"-CWR-1A</t>
        </is>
      </c>
      <c r="N557" s="308" t="inlineStr">
        <is>
          <t>native</t>
        </is>
      </c>
      <c r="O557" s="308" t="inlineStr">
        <is>
          <t>native-only</t>
        </is>
      </c>
      <c r="P557" s="308" t="inlineStr">
        <is>
          <t>native</t>
        </is>
      </c>
      <c r="Q557" s="308" t="inlineStr"/>
      <c r="R557" s="308" t="inlineStr">
        <is>
          <t>native text sufficient</t>
        </is>
      </c>
      <c r="S557" s="308" t="inlineStr"/>
      <c r="T557" s="308" t="inlineStr">
        <is>
          <t>p19:native:62</t>
        </is>
      </c>
      <c r="U557" s="308" t="n">
        <v>1</v>
      </c>
    </row>
    <row r="558">
      <c r="A558" s="308" t="inlineStr">
        <is>
          <t>Missing in Excel</t>
        </is>
      </c>
      <c r="B558" s="308" t="inlineStr">
        <is>
          <t>DG7033</t>
        </is>
      </c>
      <c r="C558" s="308" t="n">
        <v>19</v>
      </c>
      <c r="D558" s="308" t="inlineStr">
        <is>
          <t>6"-CWR-1A</t>
        </is>
      </c>
      <c r="E558" s="308" t="inlineStr">
        <is>
          <t>CWR</t>
        </is>
      </c>
      <c r="F558" s="308" t="inlineStr">
        <is>
          <t>1A</t>
        </is>
      </c>
      <c r="G558" s="308" t="inlineStr">
        <is>
          <t>line</t>
        </is>
      </c>
      <c r="H558" s="311" t="n">
        <v>0.845</v>
      </c>
      <c r="I558" s="308" t="inlineStr">
        <is>
          <t>Medium</t>
        </is>
      </c>
      <c r="J558" s="308" t="inlineStr">
        <is>
          <t>drawing</t>
        </is>
      </c>
      <c r="K558" s="308" t="inlineStr">
        <is>
          <t>line:size-prefix</t>
        </is>
      </c>
      <c r="L558" s="308" t="inlineStr">
        <is>
          <t>drawing zone; process page; mapped sheet; repeated x3</t>
        </is>
      </c>
      <c r="M558" s="308" t="inlineStr">
        <is>
          <t>6"-CWR-1A</t>
        </is>
      </c>
      <c r="N558" s="308" t="inlineStr">
        <is>
          <t>native</t>
        </is>
      </c>
      <c r="O558" s="308" t="inlineStr">
        <is>
          <t>native-only</t>
        </is>
      </c>
      <c r="P558" s="308" t="inlineStr">
        <is>
          <t>native</t>
        </is>
      </c>
      <c r="Q558" s="308" t="inlineStr"/>
      <c r="R558" s="308" t="inlineStr">
        <is>
          <t>native text sufficient</t>
        </is>
      </c>
      <c r="S558" s="308" t="inlineStr"/>
      <c r="T558" s="308" t="inlineStr">
        <is>
          <t>p19:native:63</t>
        </is>
      </c>
      <c r="U558" s="308" t="n">
        <v>1</v>
      </c>
    </row>
    <row r="559">
      <c r="A559" s="308" t="inlineStr">
        <is>
          <t>Missing in Excel</t>
        </is>
      </c>
      <c r="B559" s="308" t="inlineStr">
        <is>
          <t>DG7033</t>
        </is>
      </c>
      <c r="C559" s="308" t="n">
        <v>19</v>
      </c>
      <c r="D559" s="308" t="inlineStr">
        <is>
          <t>1"-CA-12A</t>
        </is>
      </c>
      <c r="E559" s="308" t="inlineStr">
        <is>
          <t>CA</t>
        </is>
      </c>
      <c r="F559" s="308" t="inlineStr">
        <is>
          <t>12A</t>
        </is>
      </c>
      <c r="G559" s="308" t="inlineStr">
        <is>
          <t>line</t>
        </is>
      </c>
      <c r="H559" s="311" t="n">
        <v>0.82</v>
      </c>
      <c r="I559" s="308" t="inlineStr">
        <is>
          <t>Medium</t>
        </is>
      </c>
      <c r="J559" s="308" t="inlineStr">
        <is>
          <t>drawing</t>
        </is>
      </c>
      <c r="K559" s="308" t="inlineStr">
        <is>
          <t>line:size-prefix</t>
        </is>
      </c>
      <c r="L559" s="308" t="inlineStr">
        <is>
          <t>drawing zone; process page; mapped sheet; repeated x2</t>
        </is>
      </c>
      <c r="M559" s="308" t="inlineStr">
        <is>
          <t>1"-CA-12A</t>
        </is>
      </c>
      <c r="N559" s="308" t="inlineStr">
        <is>
          <t>native</t>
        </is>
      </c>
      <c r="O559" s="308" t="inlineStr">
        <is>
          <t>native-only</t>
        </is>
      </c>
      <c r="P559" s="308" t="inlineStr">
        <is>
          <t>native</t>
        </is>
      </c>
      <c r="Q559" s="308" t="inlineStr"/>
      <c r="R559" s="308" t="inlineStr">
        <is>
          <t>native text sufficient</t>
        </is>
      </c>
      <c r="S559" s="308" t="inlineStr"/>
      <c r="T559" s="308" t="inlineStr">
        <is>
          <t>p19:native:247</t>
        </is>
      </c>
      <c r="U559" s="308" t="n">
        <v>1</v>
      </c>
    </row>
    <row r="560">
      <c r="A560" s="308" t="inlineStr">
        <is>
          <t>Missing in Excel</t>
        </is>
      </c>
      <c r="B560" s="308" t="inlineStr">
        <is>
          <t>DG7033</t>
        </is>
      </c>
      <c r="C560" s="308" t="n">
        <v>19</v>
      </c>
      <c r="D560" s="308" t="inlineStr">
        <is>
          <t>1"-CA-12A</t>
        </is>
      </c>
      <c r="E560" s="308" t="inlineStr">
        <is>
          <t>CA</t>
        </is>
      </c>
      <c r="F560" s="308" t="inlineStr">
        <is>
          <t>12A</t>
        </is>
      </c>
      <c r="G560" s="308" t="inlineStr">
        <is>
          <t>line</t>
        </is>
      </c>
      <c r="H560" s="311" t="n">
        <v>0.82</v>
      </c>
      <c r="I560" s="308" t="inlineStr">
        <is>
          <t>Medium</t>
        </is>
      </c>
      <c r="J560" s="308" t="inlineStr">
        <is>
          <t>drawing</t>
        </is>
      </c>
      <c r="K560" s="308" t="inlineStr">
        <is>
          <t>line:size-prefix</t>
        </is>
      </c>
      <c r="L560" s="308" t="inlineStr">
        <is>
          <t>drawing zone; process page; mapped sheet; repeated x2</t>
        </is>
      </c>
      <c r="M560" s="308" t="inlineStr">
        <is>
          <t>1"-CA-12A</t>
        </is>
      </c>
      <c r="N560" s="308" t="inlineStr">
        <is>
          <t>native</t>
        </is>
      </c>
      <c r="O560" s="308" t="inlineStr">
        <is>
          <t>native-only</t>
        </is>
      </c>
      <c r="P560" s="308" t="inlineStr">
        <is>
          <t>native</t>
        </is>
      </c>
      <c r="Q560" s="308" t="inlineStr"/>
      <c r="R560" s="308" t="inlineStr">
        <is>
          <t>native text sufficient</t>
        </is>
      </c>
      <c r="S560" s="308" t="inlineStr"/>
      <c r="T560" s="308" t="inlineStr">
        <is>
          <t>p19:native:595</t>
        </is>
      </c>
      <c r="U560" s="308" t="n">
        <v>1</v>
      </c>
    </row>
    <row r="561">
      <c r="A561" s="308" t="inlineStr">
        <is>
          <t>Missing in Excel</t>
        </is>
      </c>
      <c r="B561" s="308" t="inlineStr">
        <is>
          <t>DG7033</t>
        </is>
      </c>
      <c r="C561" s="308" t="n">
        <v>19</v>
      </c>
      <c r="D561" s="308" t="inlineStr">
        <is>
          <t>14"-CWS-1A</t>
        </is>
      </c>
      <c r="E561" s="308" t="inlineStr">
        <is>
          <t>CWS</t>
        </is>
      </c>
      <c r="F561" s="308" t="inlineStr">
        <is>
          <t>1A</t>
        </is>
      </c>
      <c r="G561" s="308" t="inlineStr">
        <is>
          <t>line</t>
        </is>
      </c>
      <c r="H561" s="311" t="n">
        <v>0.82</v>
      </c>
      <c r="I561" s="308" t="inlineStr">
        <is>
          <t>Medium</t>
        </is>
      </c>
      <c r="J561" s="308" t="inlineStr">
        <is>
          <t>drawing</t>
        </is>
      </c>
      <c r="K561" s="308" t="inlineStr">
        <is>
          <t>line:size-prefix</t>
        </is>
      </c>
      <c r="L561" s="308" t="inlineStr">
        <is>
          <t>drawing zone; process page; mapped sheet; repeated x2</t>
        </is>
      </c>
      <c r="M561" s="308" t="inlineStr">
        <is>
          <t>14"-CWS-1A</t>
        </is>
      </c>
      <c r="N561" s="308" t="inlineStr">
        <is>
          <t>native</t>
        </is>
      </c>
      <c r="O561" s="308" t="inlineStr">
        <is>
          <t>native-only</t>
        </is>
      </c>
      <c r="P561" s="308" t="inlineStr">
        <is>
          <t>native</t>
        </is>
      </c>
      <c r="Q561" s="308" t="inlineStr"/>
      <c r="R561" s="308" t="inlineStr">
        <is>
          <t>native text sufficient</t>
        </is>
      </c>
      <c r="S561" s="308" t="inlineStr"/>
      <c r="T561" s="308" t="inlineStr">
        <is>
          <t>p19:native:170</t>
        </is>
      </c>
      <c r="U561" s="308" t="n">
        <v>1</v>
      </c>
    </row>
    <row r="562">
      <c r="A562" s="308" t="inlineStr">
        <is>
          <t>Missing in Excel</t>
        </is>
      </c>
      <c r="B562" s="308" t="inlineStr">
        <is>
          <t>DG7033</t>
        </is>
      </c>
      <c r="C562" s="308" t="n">
        <v>19</v>
      </c>
      <c r="D562" s="308" t="inlineStr">
        <is>
          <t>14"-CWS-1A</t>
        </is>
      </c>
      <c r="E562" s="308" t="inlineStr">
        <is>
          <t>CWS</t>
        </is>
      </c>
      <c r="F562" s="308" t="inlineStr">
        <is>
          <t>1A</t>
        </is>
      </c>
      <c r="G562" s="308" t="inlineStr">
        <is>
          <t>line</t>
        </is>
      </c>
      <c r="H562" s="311" t="n">
        <v>0.82</v>
      </c>
      <c r="I562" s="308" t="inlineStr">
        <is>
          <t>Medium</t>
        </is>
      </c>
      <c r="J562" s="308" t="inlineStr">
        <is>
          <t>drawing</t>
        </is>
      </c>
      <c r="K562" s="308" t="inlineStr">
        <is>
          <t>line:size-prefix</t>
        </is>
      </c>
      <c r="L562" s="308" t="inlineStr">
        <is>
          <t>drawing zone; process page; mapped sheet; repeated x2</t>
        </is>
      </c>
      <c r="M562" s="308" t="inlineStr">
        <is>
          <t>14"-CWS-1A</t>
        </is>
      </c>
      <c r="N562" s="308" t="inlineStr">
        <is>
          <t>native</t>
        </is>
      </c>
      <c r="O562" s="308" t="inlineStr">
        <is>
          <t>native-only</t>
        </is>
      </c>
      <c r="P562" s="308" t="inlineStr">
        <is>
          <t>native</t>
        </is>
      </c>
      <c r="Q562" s="308" t="inlineStr"/>
      <c r="R562" s="308" t="inlineStr">
        <is>
          <t>native text sufficient</t>
        </is>
      </c>
      <c r="S562" s="308" t="inlineStr"/>
      <c r="T562" s="308" t="inlineStr">
        <is>
          <t>p19:native:442</t>
        </is>
      </c>
      <c r="U562" s="308" t="n">
        <v>1</v>
      </c>
    </row>
    <row r="563">
      <c r="A563" s="308" t="inlineStr">
        <is>
          <t>Missing in Excel</t>
        </is>
      </c>
      <c r="B563" s="308" t="inlineStr">
        <is>
          <t>DG7033</t>
        </is>
      </c>
      <c r="C563" s="308" t="n">
        <v>19</v>
      </c>
      <c r="D563" s="308" t="inlineStr">
        <is>
          <t>8"-CHR-1A</t>
        </is>
      </c>
      <c r="E563" s="308" t="inlineStr">
        <is>
          <t>CHR</t>
        </is>
      </c>
      <c r="F563" s="308" t="inlineStr">
        <is>
          <t>1A</t>
        </is>
      </c>
      <c r="G563" s="308" t="inlineStr">
        <is>
          <t>line</t>
        </is>
      </c>
      <c r="H563" s="311" t="n">
        <v>0.82</v>
      </c>
      <c r="I563" s="308" t="inlineStr">
        <is>
          <t>Medium</t>
        </is>
      </c>
      <c r="J563" s="308" t="inlineStr">
        <is>
          <t>drawing</t>
        </is>
      </c>
      <c r="K563" s="308" t="inlineStr">
        <is>
          <t>line:size-prefix</t>
        </is>
      </c>
      <c r="L563" s="308" t="inlineStr">
        <is>
          <t>drawing zone; process page; mapped sheet; repeated x2</t>
        </is>
      </c>
      <c r="M563" s="308" t="inlineStr">
        <is>
          <t>8"-CHR-1A</t>
        </is>
      </c>
      <c r="N563" s="308" t="inlineStr">
        <is>
          <t>native</t>
        </is>
      </c>
      <c r="O563" s="308" t="inlineStr">
        <is>
          <t>native-only</t>
        </is>
      </c>
      <c r="P563" s="308" t="inlineStr">
        <is>
          <t>native</t>
        </is>
      </c>
      <c r="Q563" s="308" t="inlineStr"/>
      <c r="R563" s="308" t="inlineStr">
        <is>
          <t>native text sufficient</t>
        </is>
      </c>
      <c r="S563" s="308" t="inlineStr"/>
      <c r="T563" s="308" t="inlineStr">
        <is>
          <t>p19:native:56</t>
        </is>
      </c>
      <c r="U563" s="308" t="n">
        <v>1</v>
      </c>
    </row>
    <row r="564">
      <c r="A564" s="308" t="inlineStr">
        <is>
          <t>Missing in Excel</t>
        </is>
      </c>
      <c r="B564" s="308" t="inlineStr">
        <is>
          <t>DG7033</t>
        </is>
      </c>
      <c r="C564" s="308" t="n">
        <v>19</v>
      </c>
      <c r="D564" s="308" t="inlineStr">
        <is>
          <t>8"-CHR-1A</t>
        </is>
      </c>
      <c r="E564" s="308" t="inlineStr">
        <is>
          <t>CHR</t>
        </is>
      </c>
      <c r="F564" s="308" t="inlineStr">
        <is>
          <t>1A</t>
        </is>
      </c>
      <c r="G564" s="308" t="inlineStr">
        <is>
          <t>line</t>
        </is>
      </c>
      <c r="H564" s="311" t="n">
        <v>0.82</v>
      </c>
      <c r="I564" s="308" t="inlineStr">
        <is>
          <t>Medium</t>
        </is>
      </c>
      <c r="J564" s="308" t="inlineStr">
        <is>
          <t>drawing</t>
        </is>
      </c>
      <c r="K564" s="308" t="inlineStr">
        <is>
          <t>line:size-prefix</t>
        </is>
      </c>
      <c r="L564" s="308" t="inlineStr">
        <is>
          <t>drawing zone; process page; mapped sheet; repeated x2</t>
        </is>
      </c>
      <c r="M564" s="308" t="inlineStr">
        <is>
          <t>8"-CHR-1A</t>
        </is>
      </c>
      <c r="N564" s="308" t="inlineStr">
        <is>
          <t>native</t>
        </is>
      </c>
      <c r="O564" s="308" t="inlineStr">
        <is>
          <t>native-only</t>
        </is>
      </c>
      <c r="P564" s="308" t="inlineStr">
        <is>
          <t>native</t>
        </is>
      </c>
      <c r="Q564" s="308" t="inlineStr"/>
      <c r="R564" s="308" t="inlineStr">
        <is>
          <t>native text sufficient</t>
        </is>
      </c>
      <c r="S564" s="308" t="inlineStr"/>
      <c r="T564" s="308" t="inlineStr">
        <is>
          <t>p19:native:58</t>
        </is>
      </c>
      <c r="U564" s="308" t="n">
        <v>1</v>
      </c>
    </row>
    <row r="565">
      <c r="A565" s="308" t="inlineStr">
        <is>
          <t>Missing in Excel</t>
        </is>
      </c>
      <c r="B565" s="308" t="inlineStr">
        <is>
          <t>DG7033</t>
        </is>
      </c>
      <c r="C565" s="308" t="n">
        <v>19</v>
      </c>
      <c r="D565" s="308" t="inlineStr">
        <is>
          <t>8"-CWR-1A</t>
        </is>
      </c>
      <c r="E565" s="308" t="inlineStr">
        <is>
          <t>CWR</t>
        </is>
      </c>
      <c r="F565" s="308" t="inlineStr">
        <is>
          <t>1A</t>
        </is>
      </c>
      <c r="G565" s="308" t="inlineStr">
        <is>
          <t>line</t>
        </is>
      </c>
      <c r="H565" s="311" t="n">
        <v>0.82</v>
      </c>
      <c r="I565" s="308" t="inlineStr">
        <is>
          <t>Medium</t>
        </is>
      </c>
      <c r="J565" s="308" t="inlineStr">
        <is>
          <t>drawing</t>
        </is>
      </c>
      <c r="K565" s="308" t="inlineStr">
        <is>
          <t>line:size-prefix</t>
        </is>
      </c>
      <c r="L565" s="308" t="inlineStr">
        <is>
          <t>drawing zone; process page; mapped sheet; repeated x2</t>
        </is>
      </c>
      <c r="M565" s="308" t="inlineStr">
        <is>
          <t>8"-CWR-1A</t>
        </is>
      </c>
      <c r="N565" s="308" t="inlineStr">
        <is>
          <t>native</t>
        </is>
      </c>
      <c r="O565" s="308" t="inlineStr">
        <is>
          <t>native-only</t>
        </is>
      </c>
      <c r="P565" s="308" t="inlineStr">
        <is>
          <t>native</t>
        </is>
      </c>
      <c r="Q565" s="308" t="inlineStr"/>
      <c r="R565" s="308" t="inlineStr">
        <is>
          <t>native text sufficient</t>
        </is>
      </c>
      <c r="S565" s="308" t="inlineStr"/>
      <c r="T565" s="308" t="inlineStr">
        <is>
          <t>p19:native:57</t>
        </is>
      </c>
      <c r="U565" s="308" t="n">
        <v>1</v>
      </c>
    </row>
    <row r="566">
      <c r="A566" s="308" t="inlineStr">
        <is>
          <t>Missing in Excel</t>
        </is>
      </c>
      <c r="B566" s="308" t="inlineStr">
        <is>
          <t>DG7033</t>
        </is>
      </c>
      <c r="C566" s="308" t="n">
        <v>19</v>
      </c>
      <c r="D566" s="308" t="inlineStr">
        <is>
          <t>8"-CWR-1A</t>
        </is>
      </c>
      <c r="E566" s="308" t="inlineStr">
        <is>
          <t>CWR</t>
        </is>
      </c>
      <c r="F566" s="308" t="inlineStr">
        <is>
          <t>1A</t>
        </is>
      </c>
      <c r="G566" s="308" t="inlineStr">
        <is>
          <t>line</t>
        </is>
      </c>
      <c r="H566" s="311" t="n">
        <v>0.82</v>
      </c>
      <c r="I566" s="308" t="inlineStr">
        <is>
          <t>Medium</t>
        </is>
      </c>
      <c r="J566" s="308" t="inlineStr">
        <is>
          <t>drawing</t>
        </is>
      </c>
      <c r="K566" s="308" t="inlineStr">
        <is>
          <t>line:size-prefix</t>
        </is>
      </c>
      <c r="L566" s="308" t="inlineStr">
        <is>
          <t>drawing zone; process page; mapped sheet; repeated x2</t>
        </is>
      </c>
      <c r="M566" s="308" t="inlineStr">
        <is>
          <t>8"-CWR-1A</t>
        </is>
      </c>
      <c r="N566" s="308" t="inlineStr">
        <is>
          <t>native</t>
        </is>
      </c>
      <c r="O566" s="308" t="inlineStr">
        <is>
          <t>native-only</t>
        </is>
      </c>
      <c r="P566" s="308" t="inlineStr">
        <is>
          <t>native</t>
        </is>
      </c>
      <c r="Q566" s="308" t="inlineStr"/>
      <c r="R566" s="308" t="inlineStr">
        <is>
          <t>native text sufficient</t>
        </is>
      </c>
      <c r="S566" s="308" t="inlineStr"/>
      <c r="T566" s="308" t="inlineStr">
        <is>
          <t>p19:native:59</t>
        </is>
      </c>
      <c r="U566" s="308" t="n">
        <v>1</v>
      </c>
    </row>
    <row r="567">
      <c r="A567" s="308" t="inlineStr">
        <is>
          <t>Missing in Excel</t>
        </is>
      </c>
      <c r="B567" s="308" t="inlineStr">
        <is>
          <t>DG7033</t>
        </is>
      </c>
      <c r="C567" s="308" t="n">
        <v>19</v>
      </c>
      <c r="D567" s="308" t="inlineStr">
        <is>
          <t>10"-CWS-1A</t>
        </is>
      </c>
      <c r="E567" s="308" t="inlineStr">
        <is>
          <t>CWS</t>
        </is>
      </c>
      <c r="F567" s="308" t="inlineStr">
        <is>
          <t>1A</t>
        </is>
      </c>
      <c r="G567" s="308" t="inlineStr">
        <is>
          <t>line</t>
        </is>
      </c>
      <c r="H567" s="311" t="n">
        <v>0.77</v>
      </c>
      <c r="I567" s="308" t="inlineStr">
        <is>
          <t>Medium</t>
        </is>
      </c>
      <c r="J567" s="308" t="inlineStr">
        <is>
          <t>drawing</t>
        </is>
      </c>
      <c r="K567" s="308" t="inlineStr">
        <is>
          <t>line:size-prefix</t>
        </is>
      </c>
      <c r="L567" s="308" t="inlineStr">
        <is>
          <t>drawing zone; process page; mapped sheet</t>
        </is>
      </c>
      <c r="M567" s="308" t="inlineStr">
        <is>
          <t>10"-CWS-1A</t>
        </is>
      </c>
      <c r="N567" s="308" t="inlineStr">
        <is>
          <t>native</t>
        </is>
      </c>
      <c r="O567" s="308" t="inlineStr">
        <is>
          <t>native-only</t>
        </is>
      </c>
      <c r="P567" s="308" t="inlineStr">
        <is>
          <t>native</t>
        </is>
      </c>
      <c r="Q567" s="308" t="inlineStr"/>
      <c r="R567" s="308" t="inlineStr">
        <is>
          <t>native text sufficient</t>
        </is>
      </c>
      <c r="S567" s="308" t="inlineStr"/>
      <c r="T567" s="308" t="inlineStr">
        <is>
          <t>p19:native:367</t>
        </is>
      </c>
      <c r="U567" s="308" t="n">
        <v>1</v>
      </c>
    </row>
    <row r="568">
      <c r="A568" s="308" t="inlineStr">
        <is>
          <t>Missing in Excel</t>
        </is>
      </c>
      <c r="B568" s="308" t="inlineStr">
        <is>
          <t>DG7033</t>
        </is>
      </c>
      <c r="C568" s="308" t="n">
        <v>19</v>
      </c>
      <c r="D568" s="308" t="inlineStr">
        <is>
          <t>4"-PCW-12A</t>
        </is>
      </c>
      <c r="E568" s="308" t="inlineStr">
        <is>
          <t>PCW</t>
        </is>
      </c>
      <c r="F568" s="308" t="inlineStr">
        <is>
          <t>12A</t>
        </is>
      </c>
      <c r="G568" s="308" t="inlineStr">
        <is>
          <t>line</t>
        </is>
      </c>
      <c r="H568" s="311" t="n">
        <v>0.77</v>
      </c>
      <c r="I568" s="308" t="inlineStr">
        <is>
          <t>Medium</t>
        </is>
      </c>
      <c r="J568" s="308" t="inlineStr">
        <is>
          <t>drawing</t>
        </is>
      </c>
      <c r="K568" s="308" t="inlineStr">
        <is>
          <t>line:size-prefix</t>
        </is>
      </c>
      <c r="L568" s="308" t="inlineStr">
        <is>
          <t>drawing zone; process page; mapped sheet</t>
        </is>
      </c>
      <c r="M568" s="308" t="inlineStr">
        <is>
          <t>4"-PCW-12A</t>
        </is>
      </c>
      <c r="N568" s="308" t="inlineStr">
        <is>
          <t>native</t>
        </is>
      </c>
      <c r="O568" s="308" t="inlineStr">
        <is>
          <t>native-only</t>
        </is>
      </c>
      <c r="P568" s="308" t="inlineStr">
        <is>
          <t>native</t>
        </is>
      </c>
      <c r="Q568" s="308" t="inlineStr"/>
      <c r="R568" s="308" t="inlineStr">
        <is>
          <t>native text sufficient</t>
        </is>
      </c>
      <c r="S568" s="308" t="inlineStr"/>
      <c r="T568" s="308" t="inlineStr">
        <is>
          <t>p19:native:373</t>
        </is>
      </c>
      <c r="U568" s="308" t="n">
        <v>1</v>
      </c>
    </row>
    <row r="569">
      <c r="A569" s="308" t="inlineStr">
        <is>
          <t>Missing in Excel</t>
        </is>
      </c>
      <c r="B569" s="308" t="inlineStr">
        <is>
          <t>DG7033</t>
        </is>
      </c>
      <c r="C569" s="308" t="n">
        <v>19</v>
      </c>
      <c r="D569" s="308" t="inlineStr">
        <is>
          <t>RL7-HTX-201C</t>
        </is>
      </c>
      <c r="E569" s="308" t="inlineStr">
        <is>
          <t>RL7-HTX-201C</t>
        </is>
      </c>
      <c r="F569" s="308" t="inlineStr"/>
      <c r="G569" s="308" t="inlineStr">
        <is>
          <t>equipment</t>
        </is>
      </c>
      <c r="H569" s="311" t="n">
        <v>0.49</v>
      </c>
      <c r="I569" s="308" t="inlineStr">
        <is>
          <t>Low</t>
        </is>
      </c>
      <c r="J569" s="308" t="inlineStr">
        <is>
          <t>title-block/right</t>
        </is>
      </c>
      <c r="K569" s="308" t="inlineStr">
        <is>
          <t>standalone:asset</t>
        </is>
      </c>
      <c r="L569" s="308" t="inlineStr">
        <is>
          <t>title-block penalty; process page; mapped sheet</t>
        </is>
      </c>
      <c r="M569" s="308" t="inlineStr">
        <is>
          <t>RL7-HTX-201C</t>
        </is>
      </c>
      <c r="N569" s="308" t="inlineStr">
        <is>
          <t>native</t>
        </is>
      </c>
      <c r="O569" s="308" t="inlineStr">
        <is>
          <t>native-only</t>
        </is>
      </c>
      <c r="P569" s="308" t="inlineStr">
        <is>
          <t>native</t>
        </is>
      </c>
      <c r="Q569" s="308" t="inlineStr"/>
      <c r="R569" s="308" t="inlineStr">
        <is>
          <t>native text sufficient</t>
        </is>
      </c>
      <c r="S569" s="308" t="inlineStr"/>
      <c r="T569" s="308" t="inlineStr">
        <is>
          <t>p19:native:435</t>
        </is>
      </c>
      <c r="U569" s="308" t="n">
        <v>1</v>
      </c>
    </row>
    <row r="570">
      <c r="A570" s="308" t="inlineStr">
        <is>
          <t>Missing in Excel</t>
        </is>
      </c>
      <c r="B570" s="308" t="inlineStr">
        <is>
          <t>DG7034</t>
        </is>
      </c>
      <c r="C570" s="308" t="n">
        <v>20</v>
      </c>
      <c r="D570" s="308" t="inlineStr">
        <is>
          <t>RL7-CNV-205</t>
        </is>
      </c>
      <c r="E570" s="308" t="inlineStr">
        <is>
          <t>RL7-CNV-205</t>
        </is>
      </c>
      <c r="F570" s="308" t="inlineStr"/>
      <c r="G570" s="308" t="inlineStr">
        <is>
          <t>equipment</t>
        </is>
      </c>
      <c r="H570" s="311" t="n">
        <v>0.77</v>
      </c>
      <c r="I570" s="308" t="inlineStr">
        <is>
          <t>Medium</t>
        </is>
      </c>
      <c r="J570" s="308" t="inlineStr">
        <is>
          <t>drawing</t>
        </is>
      </c>
      <c r="K570" s="308" t="inlineStr">
        <is>
          <t>standalone:asset</t>
        </is>
      </c>
      <c r="L570" s="308" t="inlineStr">
        <is>
          <t>drawing zone; process page; mapped sheet</t>
        </is>
      </c>
      <c r="M570" s="308" t="inlineStr">
        <is>
          <t>RL7-CNV-205</t>
        </is>
      </c>
      <c r="N570" s="308" t="inlineStr">
        <is>
          <t>native</t>
        </is>
      </c>
      <c r="O570" s="308" t="inlineStr">
        <is>
          <t>native-only</t>
        </is>
      </c>
      <c r="P570" s="308" t="inlineStr">
        <is>
          <t>native</t>
        </is>
      </c>
      <c r="Q570" s="308" t="inlineStr"/>
      <c r="R570" s="308" t="inlineStr">
        <is>
          <t>native text sufficient</t>
        </is>
      </c>
      <c r="S570" s="308" t="inlineStr"/>
      <c r="T570" s="308" t="inlineStr">
        <is>
          <t>p20:native:4</t>
        </is>
      </c>
      <c r="U570" s="308" t="n">
        <v>1</v>
      </c>
    </row>
    <row r="571">
      <c r="A571" s="308" t="inlineStr">
        <is>
          <t>Missing in Excel</t>
        </is>
      </c>
      <c r="B571" s="308" t="inlineStr">
        <is>
          <t>DG7034</t>
        </is>
      </c>
      <c r="C571" s="308" t="n">
        <v>20</v>
      </c>
      <c r="D571" s="308" t="inlineStr">
        <is>
          <t>RL7-CNV-401</t>
        </is>
      </c>
      <c r="E571" s="308" t="inlineStr">
        <is>
          <t>RL7-CNV-401</t>
        </is>
      </c>
      <c r="F571" s="308" t="inlineStr"/>
      <c r="G571" s="308" t="inlineStr">
        <is>
          <t>equipment</t>
        </is>
      </c>
      <c r="H571" s="311" t="n">
        <v>0.77</v>
      </c>
      <c r="I571" s="308" t="inlineStr">
        <is>
          <t>Medium</t>
        </is>
      </c>
      <c r="J571" s="308" t="inlineStr">
        <is>
          <t>drawing</t>
        </is>
      </c>
      <c r="K571" s="308" t="inlineStr">
        <is>
          <t>standalone:asset</t>
        </is>
      </c>
      <c r="L571" s="308" t="inlineStr">
        <is>
          <t>drawing zone; process page; mapped sheet</t>
        </is>
      </c>
      <c r="M571" s="308" t="inlineStr">
        <is>
          <t>RL7-CNV-401</t>
        </is>
      </c>
      <c r="N571" s="308" t="inlineStr">
        <is>
          <t>native</t>
        </is>
      </c>
      <c r="O571" s="308" t="inlineStr">
        <is>
          <t>native-only</t>
        </is>
      </c>
      <c r="P571" s="308" t="inlineStr">
        <is>
          <t>native</t>
        </is>
      </c>
      <c r="Q571" s="308" t="inlineStr"/>
      <c r="R571" s="308" t="inlineStr">
        <is>
          <t>native text sufficient</t>
        </is>
      </c>
      <c r="S571" s="308" t="inlineStr"/>
      <c r="T571" s="308" t="inlineStr">
        <is>
          <t>p20:native:109</t>
        </is>
      </c>
      <c r="U571" s="308" t="n">
        <v>1</v>
      </c>
    </row>
    <row r="572">
      <c r="A572" s="308" t="inlineStr">
        <is>
          <t>Missing in Excel</t>
        </is>
      </c>
      <c r="B572" s="308" t="inlineStr">
        <is>
          <t>DG7034</t>
        </is>
      </c>
      <c r="C572" s="308" t="n">
        <v>20</v>
      </c>
      <c r="D572" s="308" t="inlineStr">
        <is>
          <t>1"-CA-12A</t>
        </is>
      </c>
      <c r="E572" s="308" t="inlineStr">
        <is>
          <t>CA</t>
        </is>
      </c>
      <c r="F572" s="308" t="inlineStr">
        <is>
          <t>12A</t>
        </is>
      </c>
      <c r="G572" s="308" t="inlineStr">
        <is>
          <t>line</t>
        </is>
      </c>
      <c r="H572" s="311" t="n">
        <v>0.82</v>
      </c>
      <c r="I572" s="308" t="inlineStr">
        <is>
          <t>Medium</t>
        </is>
      </c>
      <c r="J572" s="308" t="inlineStr">
        <is>
          <t>drawing</t>
        </is>
      </c>
      <c r="K572" s="308" t="inlineStr">
        <is>
          <t>line:size-prefix</t>
        </is>
      </c>
      <c r="L572" s="308" t="inlineStr">
        <is>
          <t>drawing zone; process page; mapped sheet; repeated x2</t>
        </is>
      </c>
      <c r="M572" s="308" t="inlineStr">
        <is>
          <t>1"-CA-12A</t>
        </is>
      </c>
      <c r="N572" s="308" t="inlineStr">
        <is>
          <t>native</t>
        </is>
      </c>
      <c r="O572" s="308" t="inlineStr">
        <is>
          <t>native-only</t>
        </is>
      </c>
      <c r="P572" s="308" t="inlineStr">
        <is>
          <t>native</t>
        </is>
      </c>
      <c r="Q572" s="308" t="inlineStr"/>
      <c r="R572" s="308" t="inlineStr">
        <is>
          <t>native text sufficient</t>
        </is>
      </c>
      <c r="S572" s="308" t="inlineStr"/>
      <c r="T572" s="308" t="inlineStr">
        <is>
          <t>p20:native:91</t>
        </is>
      </c>
      <c r="U572" s="308" t="n">
        <v>1</v>
      </c>
    </row>
    <row r="573">
      <c r="A573" s="308" t="inlineStr">
        <is>
          <t>Missing in Excel</t>
        </is>
      </c>
      <c r="B573" s="308" t="inlineStr">
        <is>
          <t>DG7034</t>
        </is>
      </c>
      <c r="C573" s="308" t="n">
        <v>20</v>
      </c>
      <c r="D573" s="308" t="inlineStr">
        <is>
          <t>1"-CA-12A</t>
        </is>
      </c>
      <c r="E573" s="308" t="inlineStr">
        <is>
          <t>CA</t>
        </is>
      </c>
      <c r="F573" s="308" t="inlineStr">
        <is>
          <t>12A</t>
        </is>
      </c>
      <c r="G573" s="308" t="inlineStr">
        <is>
          <t>line</t>
        </is>
      </c>
      <c r="H573" s="311" t="n">
        <v>0.82</v>
      </c>
      <c r="I573" s="308" t="inlineStr">
        <is>
          <t>Medium</t>
        </is>
      </c>
      <c r="J573" s="308" t="inlineStr">
        <is>
          <t>drawing</t>
        </is>
      </c>
      <c r="K573" s="308" t="inlineStr">
        <is>
          <t>line:size-prefix</t>
        </is>
      </c>
      <c r="L573" s="308" t="inlineStr">
        <is>
          <t>drawing zone; process page; mapped sheet; repeated x2</t>
        </is>
      </c>
      <c r="M573" s="308" t="inlineStr">
        <is>
          <t>1"-CA-12A</t>
        </is>
      </c>
      <c r="N573" s="308" t="inlineStr">
        <is>
          <t>native</t>
        </is>
      </c>
      <c r="O573" s="308" t="inlineStr">
        <is>
          <t>native-only</t>
        </is>
      </c>
      <c r="P573" s="308" t="inlineStr">
        <is>
          <t>native</t>
        </is>
      </c>
      <c r="Q573" s="308" t="inlineStr"/>
      <c r="R573" s="308" t="inlineStr">
        <is>
          <t>native text sufficient</t>
        </is>
      </c>
      <c r="S573" s="308" t="inlineStr"/>
      <c r="T573" s="308" t="inlineStr">
        <is>
          <t>p20:native:97</t>
        </is>
      </c>
      <c r="U573" s="308" t="n">
        <v>1</v>
      </c>
    </row>
    <row r="574">
      <c r="A574" s="308" t="inlineStr">
        <is>
          <t>Missing in Excel</t>
        </is>
      </c>
      <c r="B574" s="308" t="inlineStr">
        <is>
          <t>DG7034</t>
        </is>
      </c>
      <c r="C574" s="308" t="n">
        <v>20</v>
      </c>
      <c r="D574" s="308" t="inlineStr">
        <is>
          <t>2"-DUCT-T4</t>
        </is>
      </c>
      <c r="E574" s="308" t="inlineStr">
        <is>
          <t>DUCT</t>
        </is>
      </c>
      <c r="F574" s="308" t="inlineStr">
        <is>
          <t>T4</t>
        </is>
      </c>
      <c r="G574" s="308" t="inlineStr">
        <is>
          <t>line</t>
        </is>
      </c>
      <c r="H574" s="311" t="n">
        <v>0.77</v>
      </c>
      <c r="I574" s="308" t="inlineStr">
        <is>
          <t>Medium</t>
        </is>
      </c>
      <c r="J574" s="308" t="inlineStr">
        <is>
          <t>drawing</t>
        </is>
      </c>
      <c r="K574" s="308" t="inlineStr">
        <is>
          <t>line:size-prefix</t>
        </is>
      </c>
      <c r="L574" s="308" t="inlineStr">
        <is>
          <t>drawing zone; process page; mapped sheet</t>
        </is>
      </c>
      <c r="M574" s="308" t="inlineStr">
        <is>
          <t>2"-DUCT-T4</t>
        </is>
      </c>
      <c r="N574" s="308" t="inlineStr">
        <is>
          <t>native</t>
        </is>
      </c>
      <c r="O574" s="308" t="inlineStr">
        <is>
          <t>native-only</t>
        </is>
      </c>
      <c r="P574" s="308" t="inlineStr">
        <is>
          <t>native</t>
        </is>
      </c>
      <c r="Q574" s="308" t="inlineStr"/>
      <c r="R574" s="308" t="inlineStr">
        <is>
          <t>native text sufficient</t>
        </is>
      </c>
      <c r="S574" s="308" t="inlineStr"/>
      <c r="T574" s="308" t="inlineStr">
        <is>
          <t>p20:native:146</t>
        </is>
      </c>
      <c r="U574" s="308" t="n">
        <v>1</v>
      </c>
    </row>
    <row r="575">
      <c r="A575" s="308" t="inlineStr">
        <is>
          <t>Missing in Excel</t>
        </is>
      </c>
      <c r="B575" s="308" t="inlineStr">
        <is>
          <t>DG7040</t>
        </is>
      </c>
      <c r="C575" s="308" t="n">
        <v>21</v>
      </c>
      <c r="D575" s="308" t="inlineStr">
        <is>
          <t>RL7-CER-401</t>
        </is>
      </c>
      <c r="E575" s="308" t="inlineStr">
        <is>
          <t>RL7-CER-401</t>
        </is>
      </c>
      <c r="F575" s="308" t="inlineStr"/>
      <c r="G575" s="308" t="inlineStr">
        <is>
          <t>equipment</t>
        </is>
      </c>
      <c r="H575" s="311" t="n">
        <v>0.77</v>
      </c>
      <c r="I575" s="308" t="inlineStr">
        <is>
          <t>Medium</t>
        </is>
      </c>
      <c r="J575" s="308" t="inlineStr">
        <is>
          <t>drawing</t>
        </is>
      </c>
      <c r="K575" s="308" t="inlineStr">
        <is>
          <t>standalone:asset</t>
        </is>
      </c>
      <c r="L575" s="308" t="inlineStr">
        <is>
          <t>drawing zone; process page; mapped sheet</t>
        </is>
      </c>
      <c r="M575" s="308" t="inlineStr">
        <is>
          <t>RL7-CER-401</t>
        </is>
      </c>
      <c r="N575" s="308" t="inlineStr">
        <is>
          <t>native</t>
        </is>
      </c>
      <c r="O575" s="308" t="inlineStr">
        <is>
          <t>native-only</t>
        </is>
      </c>
      <c r="P575" s="308" t="inlineStr">
        <is>
          <t>native</t>
        </is>
      </c>
      <c r="Q575" s="308" t="inlineStr"/>
      <c r="R575" s="308" t="inlineStr">
        <is>
          <t>native text sufficient</t>
        </is>
      </c>
      <c r="S575" s="308" t="inlineStr"/>
      <c r="T575" s="308" t="inlineStr">
        <is>
          <t>p21:native:1</t>
        </is>
      </c>
      <c r="U575" s="308" t="n">
        <v>1</v>
      </c>
    </row>
    <row r="576">
      <c r="A576" s="308" t="inlineStr">
        <is>
          <t>Missing in Excel</t>
        </is>
      </c>
      <c r="B576" s="308" t="inlineStr">
        <is>
          <t>DG7040</t>
        </is>
      </c>
      <c r="C576" s="308" t="n">
        <v>21</v>
      </c>
      <c r="D576" s="308" t="inlineStr">
        <is>
          <t>RL7-CNV-404</t>
        </is>
      </c>
      <c r="E576" s="308" t="inlineStr">
        <is>
          <t>RL7-CNV-404</t>
        </is>
      </c>
      <c r="F576" s="308" t="inlineStr"/>
      <c r="G576" s="308" t="inlineStr">
        <is>
          <t>equipment</t>
        </is>
      </c>
      <c r="H576" s="311" t="n">
        <v>0.77</v>
      </c>
      <c r="I576" s="308" t="inlineStr">
        <is>
          <t>Medium</t>
        </is>
      </c>
      <c r="J576" s="308" t="inlineStr">
        <is>
          <t>drawing</t>
        </is>
      </c>
      <c r="K576" s="308" t="inlineStr">
        <is>
          <t>standalone:asset</t>
        </is>
      </c>
      <c r="L576" s="308" t="inlineStr">
        <is>
          <t>drawing zone; process page; mapped sheet</t>
        </is>
      </c>
      <c r="M576" s="308" t="inlineStr">
        <is>
          <t>RL7-CNV-404</t>
        </is>
      </c>
      <c r="N576" s="308" t="inlineStr">
        <is>
          <t>native</t>
        </is>
      </c>
      <c r="O576" s="308" t="inlineStr">
        <is>
          <t>native-only</t>
        </is>
      </c>
      <c r="P576" s="308" t="inlineStr">
        <is>
          <t>native</t>
        </is>
      </c>
      <c r="Q576" s="308" t="inlineStr"/>
      <c r="R576" s="308" t="inlineStr">
        <is>
          <t>native text sufficient</t>
        </is>
      </c>
      <c r="S576" s="308" t="inlineStr"/>
      <c r="T576" s="308" t="inlineStr">
        <is>
          <t>p21:native:130</t>
        </is>
      </c>
      <c r="U576" s="308" t="n">
        <v>1</v>
      </c>
    </row>
    <row r="577">
      <c r="A577" s="308" t="inlineStr">
        <is>
          <t>Missing in Excel</t>
        </is>
      </c>
      <c r="B577" s="308" t="inlineStr">
        <is>
          <t>DG7040</t>
        </is>
      </c>
      <c r="C577" s="308" t="n">
        <v>21</v>
      </c>
      <c r="D577" s="308" t="inlineStr">
        <is>
          <t>RL7-CNV-406</t>
        </is>
      </c>
      <c r="E577" s="308" t="inlineStr">
        <is>
          <t>RL7-CNV-406</t>
        </is>
      </c>
      <c r="F577" s="308" t="inlineStr"/>
      <c r="G577" s="308" t="inlineStr">
        <is>
          <t>equipment</t>
        </is>
      </c>
      <c r="H577" s="311" t="n">
        <v>0.77</v>
      </c>
      <c r="I577" s="308" t="inlineStr">
        <is>
          <t>Medium</t>
        </is>
      </c>
      <c r="J577" s="308" t="inlineStr">
        <is>
          <t>drawing</t>
        </is>
      </c>
      <c r="K577" s="308" t="inlineStr">
        <is>
          <t>standalone:asset</t>
        </is>
      </c>
      <c r="L577" s="308" t="inlineStr">
        <is>
          <t>drawing zone; process page; mapped sheet</t>
        </is>
      </c>
      <c r="M577" s="308" t="inlineStr">
        <is>
          <t>RL7-CNV-406</t>
        </is>
      </c>
      <c r="N577" s="308" t="inlineStr">
        <is>
          <t>native</t>
        </is>
      </c>
      <c r="O577" s="308" t="inlineStr">
        <is>
          <t>native-only</t>
        </is>
      </c>
      <c r="P577" s="308" t="inlineStr">
        <is>
          <t>native</t>
        </is>
      </c>
      <c r="Q577" s="308" t="inlineStr"/>
      <c r="R577" s="308" t="inlineStr">
        <is>
          <t>native text sufficient</t>
        </is>
      </c>
      <c r="S577" s="308" t="inlineStr"/>
      <c r="T577" s="308" t="inlineStr">
        <is>
          <t>p21:native:112</t>
        </is>
      </c>
      <c r="U577" s="308" t="n">
        <v>1</v>
      </c>
    </row>
    <row r="578">
      <c r="A578" s="308" t="inlineStr">
        <is>
          <t>Missing in Excel</t>
        </is>
      </c>
      <c r="B578" s="308" t="inlineStr">
        <is>
          <t>DG7040</t>
        </is>
      </c>
      <c r="C578" s="308" t="n">
        <v>21</v>
      </c>
      <c r="D578" s="308" t="inlineStr">
        <is>
          <t>RL7-CNV-407</t>
        </is>
      </c>
      <c r="E578" s="308" t="inlineStr">
        <is>
          <t>RL7-CNV-407</t>
        </is>
      </c>
      <c r="F578" s="308" t="inlineStr"/>
      <c r="G578" s="308" t="inlineStr">
        <is>
          <t>equipment</t>
        </is>
      </c>
      <c r="H578" s="311" t="n">
        <v>0.77</v>
      </c>
      <c r="I578" s="308" t="inlineStr">
        <is>
          <t>Medium</t>
        </is>
      </c>
      <c r="J578" s="308" t="inlineStr">
        <is>
          <t>drawing</t>
        </is>
      </c>
      <c r="K578" s="308" t="inlineStr">
        <is>
          <t>standalone:asset</t>
        </is>
      </c>
      <c r="L578" s="308" t="inlineStr">
        <is>
          <t>drawing zone; process page; mapped sheet</t>
        </is>
      </c>
      <c r="M578" s="308" t="inlineStr">
        <is>
          <t>RL7-CNV-407</t>
        </is>
      </c>
      <c r="N578" s="308" t="inlineStr">
        <is>
          <t>native</t>
        </is>
      </c>
      <c r="O578" s="308" t="inlineStr">
        <is>
          <t>native-only</t>
        </is>
      </c>
      <c r="P578" s="308" t="inlineStr">
        <is>
          <t>native</t>
        </is>
      </c>
      <c r="Q578" s="308" t="inlineStr"/>
      <c r="R578" s="308" t="inlineStr">
        <is>
          <t>native text sufficient</t>
        </is>
      </c>
      <c r="S578" s="308" t="inlineStr"/>
      <c r="T578" s="308" t="inlineStr">
        <is>
          <t>p21:native:121</t>
        </is>
      </c>
      <c r="U578" s="308" t="n">
        <v>1</v>
      </c>
    </row>
    <row r="579">
      <c r="A579" s="308" t="inlineStr">
        <is>
          <t>Missing in Excel</t>
        </is>
      </c>
      <c r="B579" s="308" t="inlineStr">
        <is>
          <t>DG7040</t>
        </is>
      </c>
      <c r="C579" s="308" t="n">
        <v>21</v>
      </c>
      <c r="D579" s="308" t="inlineStr">
        <is>
          <t>RL7-CNV-408</t>
        </is>
      </c>
      <c r="E579" s="308" t="inlineStr">
        <is>
          <t>RL7-CNV-408</t>
        </is>
      </c>
      <c r="F579" s="308" t="inlineStr"/>
      <c r="G579" s="308" t="inlineStr">
        <is>
          <t>equipment</t>
        </is>
      </c>
      <c r="H579" s="311" t="n">
        <v>0.77</v>
      </c>
      <c r="I579" s="308" t="inlineStr">
        <is>
          <t>Medium</t>
        </is>
      </c>
      <c r="J579" s="308" t="inlineStr">
        <is>
          <t>drawing</t>
        </is>
      </c>
      <c r="K579" s="308" t="inlineStr">
        <is>
          <t>standalone:asset</t>
        </is>
      </c>
      <c r="L579" s="308" t="inlineStr">
        <is>
          <t>drawing zone; process page; mapped sheet</t>
        </is>
      </c>
      <c r="M579" s="308" t="inlineStr">
        <is>
          <t>RL7-CNV-408</t>
        </is>
      </c>
      <c r="N579" s="308" t="inlineStr">
        <is>
          <t>native</t>
        </is>
      </c>
      <c r="O579" s="308" t="inlineStr">
        <is>
          <t>native-only</t>
        </is>
      </c>
      <c r="P579" s="308" t="inlineStr">
        <is>
          <t>native</t>
        </is>
      </c>
      <c r="Q579" s="308" t="inlineStr"/>
      <c r="R579" s="308" t="inlineStr">
        <is>
          <t>native text sufficient</t>
        </is>
      </c>
      <c r="S579" s="308" t="inlineStr"/>
      <c r="T579" s="308" t="inlineStr">
        <is>
          <t>p21:native:110</t>
        </is>
      </c>
      <c r="U579" s="308" t="n">
        <v>1</v>
      </c>
    </row>
    <row r="580">
      <c r="A580" s="308" t="inlineStr">
        <is>
          <t>Missing in Excel</t>
        </is>
      </c>
      <c r="B580" s="308" t="inlineStr">
        <is>
          <t>DG7040</t>
        </is>
      </c>
      <c r="C580" s="308" t="n">
        <v>21</v>
      </c>
      <c r="D580" s="308" t="inlineStr">
        <is>
          <t>RL7-CNV-409</t>
        </is>
      </c>
      <c r="E580" s="308" t="inlineStr">
        <is>
          <t>RL7-CNV-409</t>
        </is>
      </c>
      <c r="F580" s="308" t="inlineStr"/>
      <c r="G580" s="308" t="inlineStr">
        <is>
          <t>equipment</t>
        </is>
      </c>
      <c r="H580" s="311" t="n">
        <v>0.77</v>
      </c>
      <c r="I580" s="308" t="inlineStr">
        <is>
          <t>Medium</t>
        </is>
      </c>
      <c r="J580" s="308" t="inlineStr">
        <is>
          <t>drawing</t>
        </is>
      </c>
      <c r="K580" s="308" t="inlineStr">
        <is>
          <t>standalone:asset</t>
        </is>
      </c>
      <c r="L580" s="308" t="inlineStr">
        <is>
          <t>drawing zone; process page; mapped sheet</t>
        </is>
      </c>
      <c r="M580" s="308" t="inlineStr">
        <is>
          <t>RL7-CNV-409</t>
        </is>
      </c>
      <c r="N580" s="308" t="inlineStr">
        <is>
          <t>native</t>
        </is>
      </c>
      <c r="O580" s="308" t="inlineStr">
        <is>
          <t>native-only</t>
        </is>
      </c>
      <c r="P580" s="308" t="inlineStr">
        <is>
          <t>native</t>
        </is>
      </c>
      <c r="Q580" s="308" t="inlineStr"/>
      <c r="R580" s="308" t="inlineStr">
        <is>
          <t>native text sufficient</t>
        </is>
      </c>
      <c r="S580" s="308" t="inlineStr"/>
      <c r="T580" s="308" t="inlineStr">
        <is>
          <t>p21:native:108</t>
        </is>
      </c>
      <c r="U580" s="308" t="n">
        <v>1</v>
      </c>
    </row>
    <row r="581">
      <c r="A581" s="308" t="inlineStr">
        <is>
          <t>Missing in Excel</t>
        </is>
      </c>
      <c r="B581" s="308" t="inlineStr">
        <is>
          <t>DG7040</t>
        </is>
      </c>
      <c r="C581" s="308" t="n">
        <v>21</v>
      </c>
      <c r="D581" s="308" t="inlineStr">
        <is>
          <t>RL7-CNV-410</t>
        </is>
      </c>
      <c r="E581" s="308" t="inlineStr">
        <is>
          <t>RL7-CNV-410</t>
        </is>
      </c>
      <c r="F581" s="308" t="inlineStr"/>
      <c r="G581" s="308" t="inlineStr">
        <is>
          <t>equipment</t>
        </is>
      </c>
      <c r="H581" s="311" t="n">
        <v>0.77</v>
      </c>
      <c r="I581" s="308" t="inlineStr">
        <is>
          <t>Medium</t>
        </is>
      </c>
      <c r="J581" s="308" t="inlineStr">
        <is>
          <t>drawing</t>
        </is>
      </c>
      <c r="K581" s="308" t="inlineStr">
        <is>
          <t>standalone:asset</t>
        </is>
      </c>
      <c r="L581" s="308" t="inlineStr">
        <is>
          <t>drawing zone; process page; mapped sheet</t>
        </is>
      </c>
      <c r="M581" s="308" t="inlineStr">
        <is>
          <t>RL7-CNV-410</t>
        </is>
      </c>
      <c r="N581" s="308" t="inlineStr">
        <is>
          <t>native</t>
        </is>
      </c>
      <c r="O581" s="308" t="inlineStr">
        <is>
          <t>native-only</t>
        </is>
      </c>
      <c r="P581" s="308" t="inlineStr">
        <is>
          <t>native</t>
        </is>
      </c>
      <c r="Q581" s="308" t="inlineStr"/>
      <c r="R581" s="308" t="inlineStr">
        <is>
          <t>native text sufficient</t>
        </is>
      </c>
      <c r="S581" s="308" t="inlineStr"/>
      <c r="T581" s="308" t="inlineStr">
        <is>
          <t>p21:native:106</t>
        </is>
      </c>
      <c r="U581" s="308" t="n">
        <v>1</v>
      </c>
    </row>
    <row r="582">
      <c r="A582" s="308" t="inlineStr">
        <is>
          <t>Missing in Excel</t>
        </is>
      </c>
      <c r="B582" s="308" t="inlineStr">
        <is>
          <t>DG7040</t>
        </is>
      </c>
      <c r="C582" s="308" t="n">
        <v>21</v>
      </c>
      <c r="D582" s="308" t="inlineStr">
        <is>
          <t>RL7-CPK-401</t>
        </is>
      </c>
      <c r="E582" s="308" t="inlineStr">
        <is>
          <t>RL7-CPK-401</t>
        </is>
      </c>
      <c r="F582" s="308" t="inlineStr"/>
      <c r="G582" s="308" t="inlineStr">
        <is>
          <t>equipment</t>
        </is>
      </c>
      <c r="H582" s="311" t="n">
        <v>0.77</v>
      </c>
      <c r="I582" s="308" t="inlineStr">
        <is>
          <t>Medium</t>
        </is>
      </c>
      <c r="J582" s="308" t="inlineStr">
        <is>
          <t>drawing</t>
        </is>
      </c>
      <c r="K582" s="308" t="inlineStr">
        <is>
          <t>standalone:asset</t>
        </is>
      </c>
      <c r="L582" s="308" t="inlineStr">
        <is>
          <t>drawing zone; process page; mapped sheet</t>
        </is>
      </c>
      <c r="M582" s="308" t="inlineStr">
        <is>
          <t>RL7-CPK-401</t>
        </is>
      </c>
      <c r="N582" s="308" t="inlineStr">
        <is>
          <t>native</t>
        </is>
      </c>
      <c r="O582" s="308" t="inlineStr">
        <is>
          <t>native-only</t>
        </is>
      </c>
      <c r="P582" s="308" t="inlineStr">
        <is>
          <t>native</t>
        </is>
      </c>
      <c r="Q582" s="308" t="inlineStr"/>
      <c r="R582" s="308" t="inlineStr">
        <is>
          <t>native text sufficient</t>
        </is>
      </c>
      <c r="S582" s="308" t="inlineStr"/>
      <c r="T582" s="308" t="inlineStr">
        <is>
          <t>p21:native:3</t>
        </is>
      </c>
      <c r="U582" s="308" t="n">
        <v>1</v>
      </c>
    </row>
    <row r="583">
      <c r="A583" s="308" t="inlineStr">
        <is>
          <t>Missing in Excel</t>
        </is>
      </c>
      <c r="B583" s="308" t="inlineStr">
        <is>
          <t>DG7040</t>
        </is>
      </c>
      <c r="C583" s="308" t="n">
        <v>21</v>
      </c>
      <c r="D583" s="308" t="inlineStr">
        <is>
          <t>RL7-CSL-401</t>
        </is>
      </c>
      <c r="E583" s="308" t="inlineStr">
        <is>
          <t>RL7-CSL-401</t>
        </is>
      </c>
      <c r="F583" s="308" t="inlineStr"/>
      <c r="G583" s="308" t="inlineStr">
        <is>
          <t>equipment</t>
        </is>
      </c>
      <c r="H583" s="311" t="n">
        <v>0.77</v>
      </c>
      <c r="I583" s="308" t="inlineStr">
        <is>
          <t>Medium</t>
        </is>
      </c>
      <c r="J583" s="308" t="inlineStr">
        <is>
          <t>drawing</t>
        </is>
      </c>
      <c r="K583" s="308" t="inlineStr">
        <is>
          <t>standalone:asset</t>
        </is>
      </c>
      <c r="L583" s="308" t="inlineStr">
        <is>
          <t>drawing zone; process page; mapped sheet</t>
        </is>
      </c>
      <c r="M583" s="308" t="inlineStr">
        <is>
          <t>RL7-CSL-401</t>
        </is>
      </c>
      <c r="N583" s="308" t="inlineStr">
        <is>
          <t>native</t>
        </is>
      </c>
      <c r="O583" s="308" t="inlineStr">
        <is>
          <t>native-only</t>
        </is>
      </c>
      <c r="P583" s="308" t="inlineStr">
        <is>
          <t>native</t>
        </is>
      </c>
      <c r="Q583" s="308" t="inlineStr"/>
      <c r="R583" s="308" t="inlineStr">
        <is>
          <t>native text sufficient</t>
        </is>
      </c>
      <c r="S583" s="308" t="inlineStr"/>
      <c r="T583" s="308" t="inlineStr">
        <is>
          <t>p21:native:64</t>
        </is>
      </c>
      <c r="U583" s="308" t="n">
        <v>1</v>
      </c>
    </row>
    <row r="584">
      <c r="A584" s="308" t="inlineStr">
        <is>
          <t>Missing in Excel</t>
        </is>
      </c>
      <c r="B584" s="308" t="inlineStr">
        <is>
          <t>DG7040</t>
        </is>
      </c>
      <c r="C584" s="308" t="n">
        <v>21</v>
      </c>
      <c r="D584" s="308" t="inlineStr">
        <is>
          <t>RL7-INS-501</t>
        </is>
      </c>
      <c r="E584" s="308" t="inlineStr">
        <is>
          <t>RL7-INS-501</t>
        </is>
      </c>
      <c r="F584" s="308" t="inlineStr"/>
      <c r="G584" s="308" t="inlineStr">
        <is>
          <t>equipment</t>
        </is>
      </c>
      <c r="H584" s="311" t="n">
        <v>0.77</v>
      </c>
      <c r="I584" s="308" t="inlineStr">
        <is>
          <t>Medium</t>
        </is>
      </c>
      <c r="J584" s="308" t="inlineStr">
        <is>
          <t>drawing</t>
        </is>
      </c>
      <c r="K584" s="308" t="inlineStr">
        <is>
          <t>standalone:asset</t>
        </is>
      </c>
      <c r="L584" s="308" t="inlineStr">
        <is>
          <t>drawing zone; process page; mapped sheet</t>
        </is>
      </c>
      <c r="M584" s="308" t="inlineStr">
        <is>
          <t>RL7-INS-501</t>
        </is>
      </c>
      <c r="N584" s="308" t="inlineStr">
        <is>
          <t>native</t>
        </is>
      </c>
      <c r="O584" s="308" t="inlineStr">
        <is>
          <t>native-only</t>
        </is>
      </c>
      <c r="P584" s="308" t="inlineStr">
        <is>
          <t>native</t>
        </is>
      </c>
      <c r="Q584" s="308" t="inlineStr"/>
      <c r="R584" s="308" t="inlineStr">
        <is>
          <t>native text sufficient</t>
        </is>
      </c>
      <c r="S584" s="308" t="inlineStr"/>
      <c r="T584" s="308" t="inlineStr">
        <is>
          <t>p21:native:181</t>
        </is>
      </c>
      <c r="U584" s="308" t="n">
        <v>1</v>
      </c>
    </row>
    <row r="585">
      <c r="A585" s="308" t="inlineStr">
        <is>
          <t>Missing in Excel</t>
        </is>
      </c>
      <c r="B585" s="308" t="inlineStr">
        <is>
          <t>DG7040</t>
        </is>
      </c>
      <c r="C585" s="308" t="n">
        <v>21</v>
      </c>
      <c r="D585" s="308" t="inlineStr">
        <is>
          <t>RL7-LBR-401</t>
        </is>
      </c>
      <c r="E585" s="308" t="inlineStr">
        <is>
          <t>RL7-LBR-401</t>
        </is>
      </c>
      <c r="F585" s="308" t="inlineStr"/>
      <c r="G585" s="308" t="inlineStr">
        <is>
          <t>equipment</t>
        </is>
      </c>
      <c r="H585" s="311" t="n">
        <v>0.77</v>
      </c>
      <c r="I585" s="308" t="inlineStr">
        <is>
          <t>Medium</t>
        </is>
      </c>
      <c r="J585" s="308" t="inlineStr">
        <is>
          <t>drawing</t>
        </is>
      </c>
      <c r="K585" s="308" t="inlineStr">
        <is>
          <t>standalone:asset</t>
        </is>
      </c>
      <c r="L585" s="308" t="inlineStr">
        <is>
          <t>drawing zone; process page; mapped sheet</t>
        </is>
      </c>
      <c r="M585" s="308" t="inlineStr">
        <is>
          <t>RL7-LBR-401</t>
        </is>
      </c>
      <c r="N585" s="308" t="inlineStr">
        <is>
          <t>native</t>
        </is>
      </c>
      <c r="O585" s="308" t="inlineStr">
        <is>
          <t>native-only</t>
        </is>
      </c>
      <c r="P585" s="308" t="inlineStr">
        <is>
          <t>native</t>
        </is>
      </c>
      <c r="Q585" s="308" t="inlineStr"/>
      <c r="R585" s="308" t="inlineStr">
        <is>
          <t>native text sufficient</t>
        </is>
      </c>
      <c r="S585" s="308" t="inlineStr"/>
      <c r="T585" s="308" t="inlineStr">
        <is>
          <t>p21:native:66</t>
        </is>
      </c>
      <c r="U585" s="308" t="n">
        <v>1</v>
      </c>
    </row>
    <row r="586">
      <c r="A586" s="308" t="inlineStr">
        <is>
          <t>Missing in Excel</t>
        </is>
      </c>
      <c r="B586" s="308" t="inlineStr">
        <is>
          <t>DG7040</t>
        </is>
      </c>
      <c r="C586" s="308" t="n">
        <v>21</v>
      </c>
      <c r="D586" s="308" t="inlineStr">
        <is>
          <t>RL7-LBR-402</t>
        </is>
      </c>
      <c r="E586" s="308" t="inlineStr">
        <is>
          <t>RL7-LBR-402</t>
        </is>
      </c>
      <c r="F586" s="308" t="inlineStr"/>
      <c r="G586" s="308" t="inlineStr">
        <is>
          <t>equipment</t>
        </is>
      </c>
      <c r="H586" s="311" t="n">
        <v>0.77</v>
      </c>
      <c r="I586" s="308" t="inlineStr">
        <is>
          <t>Medium</t>
        </is>
      </c>
      <c r="J586" s="308" t="inlineStr">
        <is>
          <t>drawing</t>
        </is>
      </c>
      <c r="K586" s="308" t="inlineStr">
        <is>
          <t>standalone:asset</t>
        </is>
      </c>
      <c r="L586" s="308" t="inlineStr">
        <is>
          <t>drawing zone; process page; mapped sheet</t>
        </is>
      </c>
      <c r="M586" s="308" t="inlineStr">
        <is>
          <t>RL7-LBR-402</t>
        </is>
      </c>
      <c r="N586" s="308" t="inlineStr">
        <is>
          <t>native</t>
        </is>
      </c>
      <c r="O586" s="308" t="inlineStr">
        <is>
          <t>native-only</t>
        </is>
      </c>
      <c r="P586" s="308" t="inlineStr">
        <is>
          <t>native</t>
        </is>
      </c>
      <c r="Q586" s="308" t="inlineStr"/>
      <c r="R586" s="308" t="inlineStr">
        <is>
          <t>native text sufficient</t>
        </is>
      </c>
      <c r="S586" s="308" t="inlineStr"/>
      <c r="T586" s="308" t="inlineStr">
        <is>
          <t>p21:native:68</t>
        </is>
      </c>
      <c r="U586" s="308" t="n">
        <v>1</v>
      </c>
    </row>
    <row r="587">
      <c r="A587" s="308" t="inlineStr">
        <is>
          <t>Missing in Excel</t>
        </is>
      </c>
      <c r="B587" s="308" t="inlineStr">
        <is>
          <t>DG7040</t>
        </is>
      </c>
      <c r="C587" s="308" t="n">
        <v>21</v>
      </c>
      <c r="D587" s="308" t="inlineStr">
        <is>
          <t>RL7-SCL-402</t>
        </is>
      </c>
      <c r="E587" s="308" t="inlineStr">
        <is>
          <t>RL7-SCL-402</t>
        </is>
      </c>
      <c r="F587" s="308" t="inlineStr"/>
      <c r="G587" s="308" t="inlineStr">
        <is>
          <t>equipment</t>
        </is>
      </c>
      <c r="H587" s="311" t="n">
        <v>0.77</v>
      </c>
      <c r="I587" s="308" t="inlineStr">
        <is>
          <t>Medium</t>
        </is>
      </c>
      <c r="J587" s="308" t="inlineStr">
        <is>
          <t>drawing</t>
        </is>
      </c>
      <c r="K587" s="308" t="inlineStr">
        <is>
          <t>standalone:asset</t>
        </is>
      </c>
      <c r="L587" s="308" t="inlineStr">
        <is>
          <t>drawing zone; process page; mapped sheet</t>
        </is>
      </c>
      <c r="M587" s="308" t="inlineStr">
        <is>
          <t>RL7-SCL-402</t>
        </is>
      </c>
      <c r="N587" s="308" t="inlineStr">
        <is>
          <t>native</t>
        </is>
      </c>
      <c r="O587" s="308" t="inlineStr">
        <is>
          <t>native-only</t>
        </is>
      </c>
      <c r="P587" s="308" t="inlineStr">
        <is>
          <t>native</t>
        </is>
      </c>
      <c r="Q587" s="308" t="inlineStr"/>
      <c r="R587" s="308" t="inlineStr">
        <is>
          <t>native text sufficient</t>
        </is>
      </c>
      <c r="S587" s="308" t="inlineStr"/>
      <c r="T587" s="308" t="inlineStr">
        <is>
          <t>p21:native:62</t>
        </is>
      </c>
      <c r="U587" s="308" t="n">
        <v>1</v>
      </c>
    </row>
    <row r="588">
      <c r="A588" s="308" t="inlineStr">
        <is>
          <t>Missing in Excel</t>
        </is>
      </c>
      <c r="B588" s="308" t="inlineStr">
        <is>
          <t>DG7040</t>
        </is>
      </c>
      <c r="C588" s="308" t="n">
        <v>21</v>
      </c>
      <c r="D588" s="308" t="inlineStr">
        <is>
          <t>RL7-CER-401-HV001</t>
        </is>
      </c>
      <c r="E588" s="308" t="inlineStr">
        <is>
          <t>RL7-CER-401</t>
        </is>
      </c>
      <c r="F588" s="308" t="inlineStr">
        <is>
          <t>HV001</t>
        </is>
      </c>
      <c r="G588" s="308" t="inlineStr">
        <is>
          <t>instrument</t>
        </is>
      </c>
      <c r="H588" s="311" t="n">
        <v>0.57</v>
      </c>
      <c r="I588" s="308" t="inlineStr">
        <is>
          <t>Low</t>
        </is>
      </c>
      <c r="J588" s="308" t="inlineStr">
        <is>
          <t>drawing</t>
        </is>
      </c>
      <c r="K588" s="308" t="inlineStr">
        <is>
          <t>inferred:bare-isa</t>
        </is>
      </c>
      <c r="L588" s="308" t="inlineStr">
        <is>
          <t>drawing zone; process page; mapped sheet</t>
        </is>
      </c>
      <c r="M588" s="308" t="inlineStr">
        <is>
          <t>RL7-CER-401 / HV</t>
        </is>
      </c>
      <c r="N588" s="308" t="inlineStr">
        <is>
          <t>native</t>
        </is>
      </c>
      <c r="O588" s="308" t="inlineStr">
        <is>
          <t>native-only</t>
        </is>
      </c>
      <c r="P588" s="308" t="inlineStr">
        <is>
          <t>native</t>
        </is>
      </c>
      <c r="Q588" s="308" t="inlineStr"/>
      <c r="R588" s="308" t="inlineStr">
        <is>
          <t>native text sufficient</t>
        </is>
      </c>
      <c r="S588" s="308" t="inlineStr"/>
      <c r="T588" s="308" t="inlineStr">
        <is>
          <t>p21:native:1, p21:native:11</t>
        </is>
      </c>
      <c r="U588" s="308" t="n">
        <v>2</v>
      </c>
    </row>
    <row r="589">
      <c r="A589" s="308" t="inlineStr">
        <is>
          <t>Missing in Excel</t>
        </is>
      </c>
      <c r="B589" s="308" t="inlineStr">
        <is>
          <t>DG7040</t>
        </is>
      </c>
      <c r="C589" s="308" t="n">
        <v>21</v>
      </c>
      <c r="D589" s="308" t="inlineStr">
        <is>
          <t>RL7-CER-401-PI001</t>
        </is>
      </c>
      <c r="E589" s="308" t="inlineStr">
        <is>
          <t>RL7-CER-401</t>
        </is>
      </c>
      <c r="F589" s="308" t="inlineStr">
        <is>
          <t>PI001</t>
        </is>
      </c>
      <c r="G589" s="308" t="inlineStr">
        <is>
          <t>instrument</t>
        </is>
      </c>
      <c r="H589" s="311" t="n">
        <v>0.57</v>
      </c>
      <c r="I589" s="308" t="inlineStr">
        <is>
          <t>Low</t>
        </is>
      </c>
      <c r="J589" s="308" t="inlineStr">
        <is>
          <t>drawing</t>
        </is>
      </c>
      <c r="K589" s="308" t="inlineStr">
        <is>
          <t>inferred:bare-isa</t>
        </is>
      </c>
      <c r="L589" s="308" t="inlineStr">
        <is>
          <t>drawing zone; process page; mapped sheet</t>
        </is>
      </c>
      <c r="M589" s="308" t="inlineStr">
        <is>
          <t>RL7-CER-401 / PI</t>
        </is>
      </c>
      <c r="N589" s="308" t="inlineStr">
        <is>
          <t>native</t>
        </is>
      </c>
      <c r="O589" s="308" t="inlineStr">
        <is>
          <t>native-only</t>
        </is>
      </c>
      <c r="P589" s="308" t="inlineStr">
        <is>
          <t>native</t>
        </is>
      </c>
      <c r="Q589" s="308" t="inlineStr"/>
      <c r="R589" s="308" t="inlineStr">
        <is>
          <t>native text sufficient</t>
        </is>
      </c>
      <c r="S589" s="308" t="inlineStr"/>
      <c r="T589" s="308" t="inlineStr">
        <is>
          <t>p21:native:1, p21:native:69</t>
        </is>
      </c>
      <c r="U589" s="308" t="n">
        <v>2</v>
      </c>
    </row>
    <row r="590">
      <c r="A590" s="308" t="inlineStr">
        <is>
          <t>Missing in Excel</t>
        </is>
      </c>
      <c r="B590" s="308" t="inlineStr">
        <is>
          <t>DG7040</t>
        </is>
      </c>
      <c r="C590" s="308" t="n">
        <v>21</v>
      </c>
      <c r="D590" s="308" t="inlineStr">
        <is>
          <t>RL7-CER-401-PI002</t>
        </is>
      </c>
      <c r="E590" s="308" t="inlineStr">
        <is>
          <t>RL7-CER-401</t>
        </is>
      </c>
      <c r="F590" s="308" t="inlineStr">
        <is>
          <t>PI002</t>
        </is>
      </c>
      <c r="G590" s="308" t="inlineStr">
        <is>
          <t>instrument</t>
        </is>
      </c>
      <c r="H590" s="311" t="n">
        <v>0.57</v>
      </c>
      <c r="I590" s="308" t="inlineStr">
        <is>
          <t>Low</t>
        </is>
      </c>
      <c r="J590" s="308" t="inlineStr">
        <is>
          <t>drawing</t>
        </is>
      </c>
      <c r="K590" s="308" t="inlineStr">
        <is>
          <t>inferred:bare-isa</t>
        </is>
      </c>
      <c r="L590" s="308" t="inlineStr">
        <is>
          <t>drawing zone; process page; mapped sheet</t>
        </is>
      </c>
      <c r="M590" s="308" t="inlineStr">
        <is>
          <t>RL7-CER-401 / PI</t>
        </is>
      </c>
      <c r="N590" s="308" t="inlineStr">
        <is>
          <t>native</t>
        </is>
      </c>
      <c r="O590" s="308" t="inlineStr">
        <is>
          <t>native-only</t>
        </is>
      </c>
      <c r="P590" s="308" t="inlineStr">
        <is>
          <t>native</t>
        </is>
      </c>
      <c r="Q590" s="308" t="inlineStr"/>
      <c r="R590" s="308" t="inlineStr">
        <is>
          <t>native text sufficient</t>
        </is>
      </c>
      <c r="S590" s="308" t="inlineStr"/>
      <c r="T590" s="308" t="inlineStr">
        <is>
          <t>p21:native:1, p21:native:23</t>
        </is>
      </c>
      <c r="U590" s="308" t="n">
        <v>2</v>
      </c>
    </row>
    <row r="591">
      <c r="A591" s="308" t="inlineStr">
        <is>
          <t>Missing in Excel</t>
        </is>
      </c>
      <c r="B591" s="308" t="inlineStr">
        <is>
          <t>DG7040</t>
        </is>
      </c>
      <c r="C591" s="308" t="n">
        <v>21</v>
      </c>
      <c r="D591" s="308" t="inlineStr">
        <is>
          <t>RL7-CPK-401-PI001</t>
        </is>
      </c>
      <c r="E591" s="308" t="inlineStr">
        <is>
          <t>RL7-CPK-401</t>
        </is>
      </c>
      <c r="F591" s="308" t="inlineStr">
        <is>
          <t>PI001</t>
        </is>
      </c>
      <c r="G591" s="308" t="inlineStr">
        <is>
          <t>instrument</t>
        </is>
      </c>
      <c r="H591" s="311" t="n">
        <v>0.57</v>
      </c>
      <c r="I591" s="308" t="inlineStr">
        <is>
          <t>Low</t>
        </is>
      </c>
      <c r="J591" s="308" t="inlineStr">
        <is>
          <t>drawing</t>
        </is>
      </c>
      <c r="K591" s="308" t="inlineStr">
        <is>
          <t>inferred:bare-isa</t>
        </is>
      </c>
      <c r="L591" s="308" t="inlineStr">
        <is>
          <t>drawing zone; process page; mapped sheet</t>
        </is>
      </c>
      <c r="M591" s="308" t="inlineStr">
        <is>
          <t>RL7-CPK-401 / PI</t>
        </is>
      </c>
      <c r="N591" s="308" t="inlineStr">
        <is>
          <t>native</t>
        </is>
      </c>
      <c r="O591" s="308" t="inlineStr">
        <is>
          <t>native-only</t>
        </is>
      </c>
      <c r="P591" s="308" t="inlineStr">
        <is>
          <t>native</t>
        </is>
      </c>
      <c r="Q591" s="308" t="inlineStr"/>
      <c r="R591" s="308" t="inlineStr">
        <is>
          <t>native text sufficient</t>
        </is>
      </c>
      <c r="S591" s="308" t="inlineStr"/>
      <c r="T591" s="308" t="inlineStr">
        <is>
          <t>p21:native:3, p21:native:146</t>
        </is>
      </c>
      <c r="U591" s="308" t="n">
        <v>2</v>
      </c>
    </row>
    <row r="592">
      <c r="A592" s="308" t="inlineStr">
        <is>
          <t>Missing in Excel</t>
        </is>
      </c>
      <c r="B592" s="308" t="inlineStr">
        <is>
          <t>DG7040</t>
        </is>
      </c>
      <c r="C592" s="308" t="n">
        <v>21</v>
      </c>
      <c r="D592" s="308" t="inlineStr">
        <is>
          <t>RL7-CPK-401-PI002</t>
        </is>
      </c>
      <c r="E592" s="308" t="inlineStr">
        <is>
          <t>RL7-CPK-401</t>
        </is>
      </c>
      <c r="F592" s="308" t="inlineStr">
        <is>
          <t>PI002</t>
        </is>
      </c>
      <c r="G592" s="308" t="inlineStr">
        <is>
          <t>instrument</t>
        </is>
      </c>
      <c r="H592" s="311" t="n">
        <v>0.57</v>
      </c>
      <c r="I592" s="308" t="inlineStr">
        <is>
          <t>Low</t>
        </is>
      </c>
      <c r="J592" s="308" t="inlineStr">
        <is>
          <t>drawing</t>
        </is>
      </c>
      <c r="K592" s="308" t="inlineStr">
        <is>
          <t>inferred:bare-isa</t>
        </is>
      </c>
      <c r="L592" s="308" t="inlineStr">
        <is>
          <t>drawing zone; process page; mapped sheet</t>
        </is>
      </c>
      <c r="M592" s="308" t="inlineStr">
        <is>
          <t>RL7-CPK-401 / PI</t>
        </is>
      </c>
      <c r="N592" s="308" t="inlineStr">
        <is>
          <t>native</t>
        </is>
      </c>
      <c r="O592" s="308" t="inlineStr">
        <is>
          <t>native-only</t>
        </is>
      </c>
      <c r="P592" s="308" t="inlineStr">
        <is>
          <t>native</t>
        </is>
      </c>
      <c r="Q592" s="308" t="inlineStr"/>
      <c r="R592" s="308" t="inlineStr">
        <is>
          <t>native text sufficient</t>
        </is>
      </c>
      <c r="S592" s="308" t="inlineStr"/>
      <c r="T592" s="308" t="inlineStr">
        <is>
          <t>p21:native:3, p21:native:41</t>
        </is>
      </c>
      <c r="U592" s="308" t="n">
        <v>2</v>
      </c>
    </row>
    <row r="593">
      <c r="A593" s="308" t="inlineStr">
        <is>
          <t>Missing in Excel</t>
        </is>
      </c>
      <c r="B593" s="308" t="inlineStr">
        <is>
          <t>DG7040</t>
        </is>
      </c>
      <c r="C593" s="308" t="n">
        <v>21</v>
      </c>
      <c r="D593" s="308" t="inlineStr">
        <is>
          <t>RL7-CSL-401-PI001</t>
        </is>
      </c>
      <c r="E593" s="308" t="inlineStr">
        <is>
          <t>RL7-CSL-401</t>
        </is>
      </c>
      <c r="F593" s="308" t="inlineStr">
        <is>
          <t>PI001</t>
        </is>
      </c>
      <c r="G593" s="308" t="inlineStr">
        <is>
          <t>instrument</t>
        </is>
      </c>
      <c r="H593" s="311" t="n">
        <v>0.57</v>
      </c>
      <c r="I593" s="308" t="inlineStr">
        <is>
          <t>Low</t>
        </is>
      </c>
      <c r="J593" s="308" t="inlineStr">
        <is>
          <t>drawing</t>
        </is>
      </c>
      <c r="K593" s="308" t="inlineStr">
        <is>
          <t>inferred:bare-isa</t>
        </is>
      </c>
      <c r="L593" s="308" t="inlineStr">
        <is>
          <t>drawing zone; process page; mapped sheet</t>
        </is>
      </c>
      <c r="M593" s="308" t="inlineStr">
        <is>
          <t>RL7-CSL-401 / PI</t>
        </is>
      </c>
      <c r="N593" s="308" t="inlineStr">
        <is>
          <t>native</t>
        </is>
      </c>
      <c r="O593" s="308" t="inlineStr">
        <is>
          <t>native-only</t>
        </is>
      </c>
      <c r="P593" s="308" t="inlineStr">
        <is>
          <t>native</t>
        </is>
      </c>
      <c r="Q593" s="308" t="inlineStr"/>
      <c r="R593" s="308" t="inlineStr">
        <is>
          <t>native text sufficient</t>
        </is>
      </c>
      <c r="S593" s="308" t="inlineStr"/>
      <c r="T593" s="308" t="inlineStr">
        <is>
          <t>p21:native:64, p21:native:150</t>
        </is>
      </c>
      <c r="U593" s="308" t="n">
        <v>2</v>
      </c>
    </row>
    <row r="594">
      <c r="A594" s="308" t="inlineStr">
        <is>
          <t>Missing in Excel</t>
        </is>
      </c>
      <c r="B594" s="308" t="inlineStr">
        <is>
          <t>DG7040</t>
        </is>
      </c>
      <c r="C594" s="308" t="n">
        <v>21</v>
      </c>
      <c r="D594" s="308" t="inlineStr">
        <is>
          <t>RL7-CSL-401-PI002</t>
        </is>
      </c>
      <c r="E594" s="308" t="inlineStr">
        <is>
          <t>RL7-CSL-401</t>
        </is>
      </c>
      <c r="F594" s="308" t="inlineStr">
        <is>
          <t>PI002</t>
        </is>
      </c>
      <c r="G594" s="308" t="inlineStr">
        <is>
          <t>instrument</t>
        </is>
      </c>
      <c r="H594" s="311" t="n">
        <v>0.57</v>
      </c>
      <c r="I594" s="308" t="inlineStr">
        <is>
          <t>Low</t>
        </is>
      </c>
      <c r="J594" s="308" t="inlineStr">
        <is>
          <t>drawing</t>
        </is>
      </c>
      <c r="K594" s="308" t="inlineStr">
        <is>
          <t>inferred:bare-isa</t>
        </is>
      </c>
      <c r="L594" s="308" t="inlineStr">
        <is>
          <t>drawing zone; process page; mapped sheet</t>
        </is>
      </c>
      <c r="M594" s="308" t="inlineStr">
        <is>
          <t>RL7-CSL-401 / PI</t>
        </is>
      </c>
      <c r="N594" s="308" t="inlineStr">
        <is>
          <t>native</t>
        </is>
      </c>
      <c r="O594" s="308" t="inlineStr">
        <is>
          <t>native-only</t>
        </is>
      </c>
      <c r="P594" s="308" t="inlineStr">
        <is>
          <t>native</t>
        </is>
      </c>
      <c r="Q594" s="308" t="inlineStr"/>
      <c r="R594" s="308" t="inlineStr">
        <is>
          <t>native text sufficient</t>
        </is>
      </c>
      <c r="S594" s="308" t="inlineStr"/>
      <c r="T594" s="308" t="inlineStr">
        <is>
          <t>p21:native:64, p21:native:80</t>
        </is>
      </c>
      <c r="U594" s="308" t="n">
        <v>2</v>
      </c>
    </row>
    <row r="595">
      <c r="A595" s="308" t="inlineStr">
        <is>
          <t>Missing in Excel</t>
        </is>
      </c>
      <c r="B595" s="308" t="inlineStr">
        <is>
          <t>DG7040</t>
        </is>
      </c>
      <c r="C595" s="308" t="n">
        <v>21</v>
      </c>
      <c r="D595" s="308" t="inlineStr">
        <is>
          <t>RL7-LBR-401-PI001</t>
        </is>
      </c>
      <c r="E595" s="308" t="inlineStr">
        <is>
          <t>RL7-LBR-401</t>
        </is>
      </c>
      <c r="F595" s="308" t="inlineStr">
        <is>
          <t>PI001</t>
        </is>
      </c>
      <c r="G595" s="308" t="inlineStr">
        <is>
          <t>instrument</t>
        </is>
      </c>
      <c r="H595" s="311" t="n">
        <v>0.57</v>
      </c>
      <c r="I595" s="308" t="inlineStr">
        <is>
          <t>Low</t>
        </is>
      </c>
      <c r="J595" s="308" t="inlineStr">
        <is>
          <t>drawing</t>
        </is>
      </c>
      <c r="K595" s="308" t="inlineStr">
        <is>
          <t>inferred:bare-isa</t>
        </is>
      </c>
      <c r="L595" s="308" t="inlineStr">
        <is>
          <t>drawing zone; process page; mapped sheet</t>
        </is>
      </c>
      <c r="M595" s="308" t="inlineStr">
        <is>
          <t>RL7-LBR-401 / PI</t>
        </is>
      </c>
      <c r="N595" s="308" t="inlineStr">
        <is>
          <t>native</t>
        </is>
      </c>
      <c r="O595" s="308" t="inlineStr">
        <is>
          <t>native-only</t>
        </is>
      </c>
      <c r="P595" s="308" t="inlineStr">
        <is>
          <t>native</t>
        </is>
      </c>
      <c r="Q595" s="308" t="inlineStr"/>
      <c r="R595" s="308" t="inlineStr">
        <is>
          <t>native text sufficient</t>
        </is>
      </c>
      <c r="S595" s="308" t="inlineStr"/>
      <c r="T595" s="308" t="inlineStr">
        <is>
          <t>p21:native:66, p21:native:152</t>
        </is>
      </c>
      <c r="U595" s="308" t="n">
        <v>2</v>
      </c>
    </row>
    <row r="596">
      <c r="A596" s="308" t="inlineStr">
        <is>
          <t>Missing in Excel</t>
        </is>
      </c>
      <c r="B596" s="308" t="inlineStr">
        <is>
          <t>DG7040</t>
        </is>
      </c>
      <c r="C596" s="308" t="n">
        <v>21</v>
      </c>
      <c r="D596" s="308" t="inlineStr">
        <is>
          <t>RL7-LBR-401-PI002</t>
        </is>
      </c>
      <c r="E596" s="308" t="inlineStr">
        <is>
          <t>RL7-LBR-401</t>
        </is>
      </c>
      <c r="F596" s="308" t="inlineStr">
        <is>
          <t>PI002</t>
        </is>
      </c>
      <c r="G596" s="308" t="inlineStr">
        <is>
          <t>instrument</t>
        </is>
      </c>
      <c r="H596" s="311" t="n">
        <v>0.57</v>
      </c>
      <c r="I596" s="308" t="inlineStr">
        <is>
          <t>Low</t>
        </is>
      </c>
      <c r="J596" s="308" t="inlineStr">
        <is>
          <t>drawing</t>
        </is>
      </c>
      <c r="K596" s="308" t="inlineStr">
        <is>
          <t>inferred:bare-isa</t>
        </is>
      </c>
      <c r="L596" s="308" t="inlineStr">
        <is>
          <t>drawing zone; process page; mapped sheet</t>
        </is>
      </c>
      <c r="M596" s="308" t="inlineStr">
        <is>
          <t>RL7-LBR-401 / PI</t>
        </is>
      </c>
      <c r="N596" s="308" t="inlineStr">
        <is>
          <t>native</t>
        </is>
      </c>
      <c r="O596" s="308" t="inlineStr">
        <is>
          <t>native-only</t>
        </is>
      </c>
      <c r="P596" s="308" t="inlineStr">
        <is>
          <t>native</t>
        </is>
      </c>
      <c r="Q596" s="308" t="inlineStr"/>
      <c r="R596" s="308" t="inlineStr">
        <is>
          <t>native text sufficient</t>
        </is>
      </c>
      <c r="S596" s="308" t="inlineStr"/>
      <c r="T596" s="308" t="inlineStr">
        <is>
          <t>p21:native:66, p21:native:98</t>
        </is>
      </c>
      <c r="U596" s="308" t="n">
        <v>2</v>
      </c>
    </row>
    <row r="597">
      <c r="A597" s="308" t="inlineStr">
        <is>
          <t>Missing in Excel</t>
        </is>
      </c>
      <c r="B597" s="308" t="inlineStr">
        <is>
          <t>DG7040</t>
        </is>
      </c>
      <c r="C597" s="308" t="n">
        <v>21</v>
      </c>
      <c r="D597" s="308" t="inlineStr">
        <is>
          <t>RL7-SCL-402-PI001</t>
        </is>
      </c>
      <c r="E597" s="308" t="inlineStr">
        <is>
          <t>RL7-SCL-402</t>
        </is>
      </c>
      <c r="F597" s="308" t="inlineStr">
        <is>
          <t>PI001</t>
        </is>
      </c>
      <c r="G597" s="308" t="inlineStr">
        <is>
          <t>instrument</t>
        </is>
      </c>
      <c r="H597" s="311" t="n">
        <v>0.57</v>
      </c>
      <c r="I597" s="308" t="inlineStr">
        <is>
          <t>Low</t>
        </is>
      </c>
      <c r="J597" s="308" t="inlineStr">
        <is>
          <t>drawing</t>
        </is>
      </c>
      <c r="K597" s="308" t="inlineStr">
        <is>
          <t>inferred:bare-isa</t>
        </is>
      </c>
      <c r="L597" s="308" t="inlineStr">
        <is>
          <t>drawing zone; process page; mapped sheet</t>
        </is>
      </c>
      <c r="M597" s="308" t="inlineStr">
        <is>
          <t>RL7-SCL-402 / PI</t>
        </is>
      </c>
      <c r="N597" s="308" t="inlineStr">
        <is>
          <t>native</t>
        </is>
      </c>
      <c r="O597" s="308" t="inlineStr">
        <is>
          <t>native-only</t>
        </is>
      </c>
      <c r="P597" s="308" t="inlineStr">
        <is>
          <t>native</t>
        </is>
      </c>
      <c r="Q597" s="308" t="inlineStr"/>
      <c r="R597" s="308" t="inlineStr">
        <is>
          <t>native text sufficient</t>
        </is>
      </c>
      <c r="S597" s="308" t="inlineStr"/>
      <c r="T597" s="308" t="inlineStr">
        <is>
          <t>p21:native:62, p21:native:148</t>
        </is>
      </c>
      <c r="U597" s="308" t="n">
        <v>2</v>
      </c>
    </row>
    <row r="598">
      <c r="A598" s="308" t="inlineStr">
        <is>
          <t>Missing in Excel</t>
        </is>
      </c>
      <c r="B598" s="308" t="inlineStr">
        <is>
          <t>DG7040</t>
        </is>
      </c>
      <c r="C598" s="308" t="n">
        <v>21</v>
      </c>
      <c r="D598" s="308" t="inlineStr">
        <is>
          <t>RL7-SCL-402-PI002</t>
        </is>
      </c>
      <c r="E598" s="308" t="inlineStr">
        <is>
          <t>RL7-SCL-402</t>
        </is>
      </c>
      <c r="F598" s="308" t="inlineStr">
        <is>
          <t>PI002</t>
        </is>
      </c>
      <c r="G598" s="308" t="inlineStr">
        <is>
          <t>instrument</t>
        </is>
      </c>
      <c r="H598" s="311" t="n">
        <v>0.57</v>
      </c>
      <c r="I598" s="308" t="inlineStr">
        <is>
          <t>Low</t>
        </is>
      </c>
      <c r="J598" s="308" t="inlineStr">
        <is>
          <t>drawing</t>
        </is>
      </c>
      <c r="K598" s="308" t="inlineStr">
        <is>
          <t>inferred:bare-isa</t>
        </is>
      </c>
      <c r="L598" s="308" t="inlineStr">
        <is>
          <t>drawing zone; process page; mapped sheet</t>
        </is>
      </c>
      <c r="M598" s="308" t="inlineStr">
        <is>
          <t>RL7-SCL-402 / PI</t>
        </is>
      </c>
      <c r="N598" s="308" t="inlineStr">
        <is>
          <t>native</t>
        </is>
      </c>
      <c r="O598" s="308" t="inlineStr">
        <is>
          <t>native-only</t>
        </is>
      </c>
      <c r="P598" s="308" t="inlineStr">
        <is>
          <t>native</t>
        </is>
      </c>
      <c r="Q598" s="308" t="inlineStr"/>
      <c r="R598" s="308" t="inlineStr">
        <is>
          <t>native text sufficient</t>
        </is>
      </c>
      <c r="S598" s="308" t="inlineStr"/>
      <c r="T598" s="308" t="inlineStr">
        <is>
          <t>p21:native:62, p21:native:59</t>
        </is>
      </c>
      <c r="U598" s="308" t="n">
        <v>2</v>
      </c>
    </row>
    <row r="599">
      <c r="A599" s="308" t="inlineStr">
        <is>
          <t>Missing in Excel</t>
        </is>
      </c>
      <c r="B599" s="308" t="inlineStr">
        <is>
          <t>DG7040</t>
        </is>
      </c>
      <c r="C599" s="308" t="n">
        <v>21</v>
      </c>
      <c r="D599" s="308" t="inlineStr">
        <is>
          <t>1"-CA-12A</t>
        </is>
      </c>
      <c r="E599" s="308" t="inlineStr">
        <is>
          <t>CA</t>
        </is>
      </c>
      <c r="F599" s="308" t="inlineStr">
        <is>
          <t>12A</t>
        </is>
      </c>
      <c r="G599" s="308" t="inlineStr">
        <is>
          <t>line</t>
        </is>
      </c>
      <c r="H599" s="311" t="n">
        <v>0.87</v>
      </c>
      <c r="I599" s="308" t="inlineStr">
        <is>
          <t>Medium</t>
        </is>
      </c>
      <c r="J599" s="308" t="inlineStr">
        <is>
          <t>drawing</t>
        </is>
      </c>
      <c r="K599" s="308" t="inlineStr">
        <is>
          <t>line:size-prefix</t>
        </is>
      </c>
      <c r="L599" s="308" t="inlineStr">
        <is>
          <t>drawing zone; process page; mapped sheet; repeated x26</t>
        </is>
      </c>
      <c r="M599" s="308" t="inlineStr">
        <is>
          <t>1"-CA-12A</t>
        </is>
      </c>
      <c r="N599" s="308" t="inlineStr">
        <is>
          <t>native</t>
        </is>
      </c>
      <c r="O599" s="308" t="inlineStr">
        <is>
          <t>native-only</t>
        </is>
      </c>
      <c r="P599" s="308" t="inlineStr">
        <is>
          <t>native</t>
        </is>
      </c>
      <c r="Q599" s="308" t="inlineStr"/>
      <c r="R599" s="308" t="inlineStr">
        <is>
          <t>native text sufficient</t>
        </is>
      </c>
      <c r="S599" s="308" t="inlineStr"/>
      <c r="T599" s="308" t="inlineStr">
        <is>
          <t>p21:native:114</t>
        </is>
      </c>
      <c r="U599" s="308" t="n">
        <v>1</v>
      </c>
    </row>
    <row r="600">
      <c r="A600" s="308" t="inlineStr">
        <is>
          <t>Missing in Excel</t>
        </is>
      </c>
      <c r="B600" s="308" t="inlineStr">
        <is>
          <t>DG7040</t>
        </is>
      </c>
      <c r="C600" s="308" t="n">
        <v>21</v>
      </c>
      <c r="D600" s="308" t="inlineStr">
        <is>
          <t>1"-CA-12A</t>
        </is>
      </c>
      <c r="E600" s="308" t="inlineStr">
        <is>
          <t>CA</t>
        </is>
      </c>
      <c r="F600" s="308" t="inlineStr">
        <is>
          <t>12A</t>
        </is>
      </c>
      <c r="G600" s="308" t="inlineStr">
        <is>
          <t>line</t>
        </is>
      </c>
      <c r="H600" s="311" t="n">
        <v>0.87</v>
      </c>
      <c r="I600" s="308" t="inlineStr">
        <is>
          <t>Medium</t>
        </is>
      </c>
      <c r="J600" s="308" t="inlineStr">
        <is>
          <t>drawing</t>
        </is>
      </c>
      <c r="K600" s="308" t="inlineStr">
        <is>
          <t>line:size-prefix</t>
        </is>
      </c>
      <c r="L600" s="308" t="inlineStr">
        <is>
          <t>drawing zone; process page; mapped sheet; repeated x26</t>
        </is>
      </c>
      <c r="M600" s="308" t="inlineStr">
        <is>
          <t>1"-CA-12A</t>
        </is>
      </c>
      <c r="N600" s="308" t="inlineStr">
        <is>
          <t>native</t>
        </is>
      </c>
      <c r="O600" s="308" t="inlineStr">
        <is>
          <t>native-only</t>
        </is>
      </c>
      <c r="P600" s="308" t="inlineStr">
        <is>
          <t>native</t>
        </is>
      </c>
      <c r="Q600" s="308" t="inlineStr"/>
      <c r="R600" s="308" t="inlineStr">
        <is>
          <t>native text sufficient</t>
        </is>
      </c>
      <c r="S600" s="308" t="inlineStr"/>
      <c r="T600" s="308" t="inlineStr">
        <is>
          <t>p21:native:115</t>
        </is>
      </c>
      <c r="U600" s="308" t="n">
        <v>1</v>
      </c>
    </row>
    <row r="601">
      <c r="A601" s="308" t="inlineStr">
        <is>
          <t>Missing in Excel</t>
        </is>
      </c>
      <c r="B601" s="308" t="inlineStr">
        <is>
          <t>DG7040</t>
        </is>
      </c>
      <c r="C601" s="308" t="n">
        <v>21</v>
      </c>
      <c r="D601" s="308" t="inlineStr">
        <is>
          <t>1"-CA-12A</t>
        </is>
      </c>
      <c r="E601" s="308" t="inlineStr">
        <is>
          <t>CA</t>
        </is>
      </c>
      <c r="F601" s="308" t="inlineStr">
        <is>
          <t>12A</t>
        </is>
      </c>
      <c r="G601" s="308" t="inlineStr">
        <is>
          <t>line</t>
        </is>
      </c>
      <c r="H601" s="311" t="n">
        <v>0.87</v>
      </c>
      <c r="I601" s="308" t="inlineStr">
        <is>
          <t>Medium</t>
        </is>
      </c>
      <c r="J601" s="308" t="inlineStr">
        <is>
          <t>drawing</t>
        </is>
      </c>
      <c r="K601" s="308" t="inlineStr">
        <is>
          <t>line:size-prefix</t>
        </is>
      </c>
      <c r="L601" s="308" t="inlineStr">
        <is>
          <t>drawing zone; process page; mapped sheet; repeated x26</t>
        </is>
      </c>
      <c r="M601" s="308" t="inlineStr">
        <is>
          <t>1"-CA-12A</t>
        </is>
      </c>
      <c r="N601" s="308" t="inlineStr">
        <is>
          <t>native</t>
        </is>
      </c>
      <c r="O601" s="308" t="inlineStr">
        <is>
          <t>native-only</t>
        </is>
      </c>
      <c r="P601" s="308" t="inlineStr">
        <is>
          <t>native</t>
        </is>
      </c>
      <c r="Q601" s="308" t="inlineStr"/>
      <c r="R601" s="308" t="inlineStr">
        <is>
          <t>native text sufficient</t>
        </is>
      </c>
      <c r="S601" s="308" t="inlineStr"/>
      <c r="T601" s="308" t="inlineStr">
        <is>
          <t>p21:native:143</t>
        </is>
      </c>
      <c r="U601" s="308" t="n">
        <v>1</v>
      </c>
    </row>
    <row r="602">
      <c r="A602" s="308" t="inlineStr">
        <is>
          <t>Missing in Excel</t>
        </is>
      </c>
      <c r="B602" s="308" t="inlineStr">
        <is>
          <t>DG7040</t>
        </is>
      </c>
      <c r="C602" s="308" t="n">
        <v>21</v>
      </c>
      <c r="D602" s="308" t="inlineStr">
        <is>
          <t>1"-CA-12A</t>
        </is>
      </c>
      <c r="E602" s="308" t="inlineStr">
        <is>
          <t>CA</t>
        </is>
      </c>
      <c r="F602" s="308" t="inlineStr">
        <is>
          <t>12A</t>
        </is>
      </c>
      <c r="G602" s="308" t="inlineStr">
        <is>
          <t>line</t>
        </is>
      </c>
      <c r="H602" s="311" t="n">
        <v>0.87</v>
      </c>
      <c r="I602" s="308" t="inlineStr">
        <is>
          <t>Medium</t>
        </is>
      </c>
      <c r="J602" s="308" t="inlineStr">
        <is>
          <t>drawing</t>
        </is>
      </c>
      <c r="K602" s="308" t="inlineStr">
        <is>
          <t>line:size-prefix</t>
        </is>
      </c>
      <c r="L602" s="308" t="inlineStr">
        <is>
          <t>drawing zone; process page; mapped sheet; repeated x26</t>
        </is>
      </c>
      <c r="M602" s="308" t="inlineStr">
        <is>
          <t>1"-CA-12A</t>
        </is>
      </c>
      <c r="N602" s="308" t="inlineStr">
        <is>
          <t>native</t>
        </is>
      </c>
      <c r="O602" s="308" t="inlineStr">
        <is>
          <t>native-only</t>
        </is>
      </c>
      <c r="P602" s="308" t="inlineStr">
        <is>
          <t>native</t>
        </is>
      </c>
      <c r="Q602" s="308" t="inlineStr"/>
      <c r="R602" s="308" t="inlineStr">
        <is>
          <t>native text sufficient</t>
        </is>
      </c>
      <c r="S602" s="308" t="inlineStr"/>
      <c r="T602" s="308" t="inlineStr">
        <is>
          <t>p21:native:144</t>
        </is>
      </c>
      <c r="U602" s="308" t="n">
        <v>1</v>
      </c>
    </row>
    <row r="603">
      <c r="A603" s="308" t="inlineStr">
        <is>
          <t>Missing in Excel</t>
        </is>
      </c>
      <c r="B603" s="308" t="inlineStr">
        <is>
          <t>DG7040</t>
        </is>
      </c>
      <c r="C603" s="308" t="n">
        <v>21</v>
      </c>
      <c r="D603" s="308" t="inlineStr">
        <is>
          <t>1"-CA-12A</t>
        </is>
      </c>
      <c r="E603" s="308" t="inlineStr">
        <is>
          <t>CA</t>
        </is>
      </c>
      <c r="F603" s="308" t="inlineStr">
        <is>
          <t>12A</t>
        </is>
      </c>
      <c r="G603" s="308" t="inlineStr">
        <is>
          <t>line</t>
        </is>
      </c>
      <c r="H603" s="311" t="n">
        <v>0.87</v>
      </c>
      <c r="I603" s="308" t="inlineStr">
        <is>
          <t>Medium</t>
        </is>
      </c>
      <c r="J603" s="308" t="inlineStr">
        <is>
          <t>drawing</t>
        </is>
      </c>
      <c r="K603" s="308" t="inlineStr">
        <is>
          <t>line:size-prefix</t>
        </is>
      </c>
      <c r="L603" s="308" t="inlineStr">
        <is>
          <t>drawing zone; process page; mapped sheet; repeated x26</t>
        </is>
      </c>
      <c r="M603" s="308" t="inlineStr">
        <is>
          <t>1"-CA-12A</t>
        </is>
      </c>
      <c r="N603" s="308" t="inlineStr">
        <is>
          <t>native</t>
        </is>
      </c>
      <c r="O603" s="308" t="inlineStr">
        <is>
          <t>native-only</t>
        </is>
      </c>
      <c r="P603" s="308" t="inlineStr">
        <is>
          <t>native</t>
        </is>
      </c>
      <c r="Q603" s="308" t="inlineStr"/>
      <c r="R603" s="308" t="inlineStr">
        <is>
          <t>native text sufficient</t>
        </is>
      </c>
      <c r="S603" s="308" t="inlineStr"/>
      <c r="T603" s="308" t="inlineStr">
        <is>
          <t>p21:native:182</t>
        </is>
      </c>
      <c r="U603" s="308" t="n">
        <v>1</v>
      </c>
    </row>
    <row r="604">
      <c r="A604" s="308" t="inlineStr">
        <is>
          <t>Missing in Excel</t>
        </is>
      </c>
      <c r="B604" s="308" t="inlineStr">
        <is>
          <t>DG7040</t>
        </is>
      </c>
      <c r="C604" s="308" t="n">
        <v>21</v>
      </c>
      <c r="D604" s="308" t="inlineStr">
        <is>
          <t>1"-CA-12A</t>
        </is>
      </c>
      <c r="E604" s="308" t="inlineStr">
        <is>
          <t>CA</t>
        </is>
      </c>
      <c r="F604" s="308" t="inlineStr">
        <is>
          <t>12A</t>
        </is>
      </c>
      <c r="G604" s="308" t="inlineStr">
        <is>
          <t>line</t>
        </is>
      </c>
      <c r="H604" s="311" t="n">
        <v>0.87</v>
      </c>
      <c r="I604" s="308" t="inlineStr">
        <is>
          <t>Medium</t>
        </is>
      </c>
      <c r="J604" s="308" t="inlineStr">
        <is>
          <t>drawing</t>
        </is>
      </c>
      <c r="K604" s="308" t="inlineStr">
        <is>
          <t>line:size-prefix</t>
        </is>
      </c>
      <c r="L604" s="308" t="inlineStr">
        <is>
          <t>drawing zone; process page; mapped sheet; repeated x26</t>
        </is>
      </c>
      <c r="M604" s="308" t="inlineStr">
        <is>
          <t>1"-CA-12A</t>
        </is>
      </c>
      <c r="N604" s="308" t="inlineStr">
        <is>
          <t>native</t>
        </is>
      </c>
      <c r="O604" s="308" t="inlineStr">
        <is>
          <t>native-only</t>
        </is>
      </c>
      <c r="P604" s="308" t="inlineStr">
        <is>
          <t>native</t>
        </is>
      </c>
      <c r="Q604" s="308" t="inlineStr"/>
      <c r="R604" s="308" t="inlineStr">
        <is>
          <t>native text sufficient</t>
        </is>
      </c>
      <c r="S604" s="308" t="inlineStr"/>
      <c r="T604" s="308" t="inlineStr">
        <is>
          <t>p21:native:222</t>
        </is>
      </c>
      <c r="U604" s="308" t="n">
        <v>1</v>
      </c>
    </row>
    <row r="605">
      <c r="A605" s="308" t="inlineStr">
        <is>
          <t>Missing in Excel</t>
        </is>
      </c>
      <c r="B605" s="308" t="inlineStr">
        <is>
          <t>DG7040</t>
        </is>
      </c>
      <c r="C605" s="308" t="n">
        <v>21</v>
      </c>
      <c r="D605" s="308" t="inlineStr">
        <is>
          <t>1"-CA-12A</t>
        </is>
      </c>
      <c r="E605" s="308" t="inlineStr">
        <is>
          <t>CA</t>
        </is>
      </c>
      <c r="F605" s="308" t="inlineStr">
        <is>
          <t>12A</t>
        </is>
      </c>
      <c r="G605" s="308" t="inlineStr">
        <is>
          <t>line</t>
        </is>
      </c>
      <c r="H605" s="311" t="n">
        <v>0.87</v>
      </c>
      <c r="I605" s="308" t="inlineStr">
        <is>
          <t>Medium</t>
        </is>
      </c>
      <c r="J605" s="308" t="inlineStr">
        <is>
          <t>drawing</t>
        </is>
      </c>
      <c r="K605" s="308" t="inlineStr">
        <is>
          <t>line:size-prefix</t>
        </is>
      </c>
      <c r="L605" s="308" t="inlineStr">
        <is>
          <t>drawing zone; process page; mapped sheet; repeated x26</t>
        </is>
      </c>
      <c r="M605" s="308" t="inlineStr">
        <is>
          <t>1"-CA-12A</t>
        </is>
      </c>
      <c r="N605" s="308" t="inlineStr">
        <is>
          <t>native</t>
        </is>
      </c>
      <c r="O605" s="308" t="inlineStr">
        <is>
          <t>native-only</t>
        </is>
      </c>
      <c r="P605" s="308" t="inlineStr">
        <is>
          <t>native</t>
        </is>
      </c>
      <c r="Q605" s="308" t="inlineStr"/>
      <c r="R605" s="308" t="inlineStr">
        <is>
          <t>native text sufficient</t>
        </is>
      </c>
      <c r="S605" s="308" t="inlineStr"/>
      <c r="T605" s="308" t="inlineStr">
        <is>
          <t>p21:native:230</t>
        </is>
      </c>
      <c r="U605" s="308" t="n">
        <v>1</v>
      </c>
    </row>
    <row r="606">
      <c r="A606" s="308" t="inlineStr">
        <is>
          <t>Missing in Excel</t>
        </is>
      </c>
      <c r="B606" s="308" t="inlineStr">
        <is>
          <t>DG7040</t>
        </is>
      </c>
      <c r="C606" s="308" t="n">
        <v>21</v>
      </c>
      <c r="D606" s="308" t="inlineStr">
        <is>
          <t>1"-CA-12A</t>
        </is>
      </c>
      <c r="E606" s="308" t="inlineStr">
        <is>
          <t>CA</t>
        </is>
      </c>
      <c r="F606" s="308" t="inlineStr">
        <is>
          <t>12A</t>
        </is>
      </c>
      <c r="G606" s="308" t="inlineStr">
        <is>
          <t>line</t>
        </is>
      </c>
      <c r="H606" s="311" t="n">
        <v>0.87</v>
      </c>
      <c r="I606" s="308" t="inlineStr">
        <is>
          <t>Medium</t>
        </is>
      </c>
      <c r="J606" s="308" t="inlineStr">
        <is>
          <t>drawing</t>
        </is>
      </c>
      <c r="K606" s="308" t="inlineStr">
        <is>
          <t>line:size-prefix</t>
        </is>
      </c>
      <c r="L606" s="308" t="inlineStr">
        <is>
          <t>drawing zone; process page; mapped sheet; repeated x26</t>
        </is>
      </c>
      <c r="M606" s="308" t="inlineStr">
        <is>
          <t>1"-CA-12A</t>
        </is>
      </c>
      <c r="N606" s="308" t="inlineStr">
        <is>
          <t>native</t>
        </is>
      </c>
      <c r="O606" s="308" t="inlineStr">
        <is>
          <t>native-only</t>
        </is>
      </c>
      <c r="P606" s="308" t="inlineStr">
        <is>
          <t>native</t>
        </is>
      </c>
      <c r="Q606" s="308" t="inlineStr"/>
      <c r="R606" s="308" t="inlineStr">
        <is>
          <t>native text sufficient</t>
        </is>
      </c>
      <c r="S606" s="308" t="inlineStr"/>
      <c r="T606" s="308" t="inlineStr">
        <is>
          <t>p21:native:232</t>
        </is>
      </c>
      <c r="U606" s="308" t="n">
        <v>1</v>
      </c>
    </row>
    <row r="607">
      <c r="A607" s="308" t="inlineStr">
        <is>
          <t>Missing in Excel</t>
        </is>
      </c>
      <c r="B607" s="308" t="inlineStr">
        <is>
          <t>DG7040</t>
        </is>
      </c>
      <c r="C607" s="308" t="n">
        <v>21</v>
      </c>
      <c r="D607" s="308" t="inlineStr">
        <is>
          <t>1"-CA-12A</t>
        </is>
      </c>
      <c r="E607" s="308" t="inlineStr">
        <is>
          <t>CA</t>
        </is>
      </c>
      <c r="F607" s="308" t="inlineStr">
        <is>
          <t>12A</t>
        </is>
      </c>
      <c r="G607" s="308" t="inlineStr">
        <is>
          <t>line</t>
        </is>
      </c>
      <c r="H607" s="311" t="n">
        <v>0.87</v>
      </c>
      <c r="I607" s="308" t="inlineStr">
        <is>
          <t>Medium</t>
        </is>
      </c>
      <c r="J607" s="308" t="inlineStr">
        <is>
          <t>drawing</t>
        </is>
      </c>
      <c r="K607" s="308" t="inlineStr">
        <is>
          <t>line:size-prefix</t>
        </is>
      </c>
      <c r="L607" s="308" t="inlineStr">
        <is>
          <t>drawing zone; process page; mapped sheet; repeated x26</t>
        </is>
      </c>
      <c r="M607" s="308" t="inlineStr">
        <is>
          <t>1"-CA-12A</t>
        </is>
      </c>
      <c r="N607" s="308" t="inlineStr">
        <is>
          <t>native</t>
        </is>
      </c>
      <c r="O607" s="308" t="inlineStr">
        <is>
          <t>native-only</t>
        </is>
      </c>
      <c r="P607" s="308" t="inlineStr">
        <is>
          <t>native</t>
        </is>
      </c>
      <c r="Q607" s="308" t="inlineStr"/>
      <c r="R607" s="308" t="inlineStr">
        <is>
          <t>native text sufficient</t>
        </is>
      </c>
      <c r="S607" s="308" t="inlineStr"/>
      <c r="T607" s="308" t="inlineStr">
        <is>
          <t>p21:native:234</t>
        </is>
      </c>
      <c r="U607" s="308" t="n">
        <v>1</v>
      </c>
    </row>
    <row r="608">
      <c r="A608" s="308" t="inlineStr">
        <is>
          <t>Missing in Excel</t>
        </is>
      </c>
      <c r="B608" s="308" t="inlineStr">
        <is>
          <t>DG7040</t>
        </is>
      </c>
      <c r="C608" s="308" t="n">
        <v>21</v>
      </c>
      <c r="D608" s="308" t="inlineStr">
        <is>
          <t>1"-CA-12A</t>
        </is>
      </c>
      <c r="E608" s="308" t="inlineStr">
        <is>
          <t>CA</t>
        </is>
      </c>
      <c r="F608" s="308" t="inlineStr">
        <is>
          <t>12A</t>
        </is>
      </c>
      <c r="G608" s="308" t="inlineStr">
        <is>
          <t>line</t>
        </is>
      </c>
      <c r="H608" s="311" t="n">
        <v>0.87</v>
      </c>
      <c r="I608" s="308" t="inlineStr">
        <is>
          <t>Medium</t>
        </is>
      </c>
      <c r="J608" s="308" t="inlineStr">
        <is>
          <t>drawing</t>
        </is>
      </c>
      <c r="K608" s="308" t="inlineStr">
        <is>
          <t>line:size-prefix</t>
        </is>
      </c>
      <c r="L608" s="308" t="inlineStr">
        <is>
          <t>drawing zone; process page; mapped sheet; repeated x26</t>
        </is>
      </c>
      <c r="M608" s="308" t="inlineStr">
        <is>
          <t>1"-CA-12A</t>
        </is>
      </c>
      <c r="N608" s="308" t="inlineStr">
        <is>
          <t>native</t>
        </is>
      </c>
      <c r="O608" s="308" t="inlineStr">
        <is>
          <t>native-only</t>
        </is>
      </c>
      <c r="P608" s="308" t="inlineStr">
        <is>
          <t>native</t>
        </is>
      </c>
      <c r="Q608" s="308" t="inlineStr"/>
      <c r="R608" s="308" t="inlineStr">
        <is>
          <t>native text sufficient</t>
        </is>
      </c>
      <c r="S608" s="308" t="inlineStr"/>
      <c r="T608" s="308" t="inlineStr">
        <is>
          <t>p21:native:254</t>
        </is>
      </c>
      <c r="U608" s="308" t="n">
        <v>1</v>
      </c>
    </row>
    <row r="609">
      <c r="A609" s="308" t="inlineStr">
        <is>
          <t>Missing in Excel</t>
        </is>
      </c>
      <c r="B609" s="308" t="inlineStr">
        <is>
          <t>DG7040</t>
        </is>
      </c>
      <c r="C609" s="308" t="n">
        <v>21</v>
      </c>
      <c r="D609" s="308" t="inlineStr">
        <is>
          <t>1"-CA-12A</t>
        </is>
      </c>
      <c r="E609" s="308" t="inlineStr">
        <is>
          <t>CA</t>
        </is>
      </c>
      <c r="F609" s="308" t="inlineStr">
        <is>
          <t>12A</t>
        </is>
      </c>
      <c r="G609" s="308" t="inlineStr">
        <is>
          <t>line</t>
        </is>
      </c>
      <c r="H609" s="311" t="n">
        <v>0.87</v>
      </c>
      <c r="I609" s="308" t="inlineStr">
        <is>
          <t>Medium</t>
        </is>
      </c>
      <c r="J609" s="308" t="inlineStr">
        <is>
          <t>drawing</t>
        </is>
      </c>
      <c r="K609" s="308" t="inlineStr">
        <is>
          <t>line:size-prefix</t>
        </is>
      </c>
      <c r="L609" s="308" t="inlineStr">
        <is>
          <t>drawing zone; process page; mapped sheet; repeated x26</t>
        </is>
      </c>
      <c r="M609" s="308" t="inlineStr">
        <is>
          <t>1"-CA-12A RL7</t>
        </is>
      </c>
      <c r="N609" s="308" t="inlineStr">
        <is>
          <t>native</t>
        </is>
      </c>
      <c r="O609" s="308" t="inlineStr">
        <is>
          <t>native-only</t>
        </is>
      </c>
      <c r="P609" s="308" t="inlineStr">
        <is>
          <t>native</t>
        </is>
      </c>
      <c r="Q609" s="308" t="inlineStr"/>
      <c r="R609" s="308" t="inlineStr">
        <is>
          <t>native text sufficient</t>
        </is>
      </c>
      <c r="S609" s="308" t="inlineStr"/>
      <c r="T609" s="308" t="inlineStr">
        <is>
          <t>p21:native:182, p21:native:218</t>
        </is>
      </c>
      <c r="U609" s="308" t="n">
        <v>2</v>
      </c>
    </row>
    <row r="610">
      <c r="A610" s="308" t="inlineStr">
        <is>
          <t>Missing in Excel</t>
        </is>
      </c>
      <c r="B610" s="308" t="inlineStr">
        <is>
          <t>DG7040</t>
        </is>
      </c>
      <c r="C610" s="308" t="n">
        <v>21</v>
      </c>
      <c r="D610" s="308" t="inlineStr">
        <is>
          <t>1"-CA-12A</t>
        </is>
      </c>
      <c r="E610" s="308" t="inlineStr">
        <is>
          <t>CA</t>
        </is>
      </c>
      <c r="F610" s="308" t="inlineStr">
        <is>
          <t>12A</t>
        </is>
      </c>
      <c r="G610" s="308" t="inlineStr">
        <is>
          <t>line</t>
        </is>
      </c>
      <c r="H610" s="311" t="n">
        <v>0.87</v>
      </c>
      <c r="I610" s="308" t="inlineStr">
        <is>
          <t>Medium</t>
        </is>
      </c>
      <c r="J610" s="308" t="inlineStr">
        <is>
          <t>drawing</t>
        </is>
      </c>
      <c r="K610" s="308" t="inlineStr">
        <is>
          <t>line:size-prefix</t>
        </is>
      </c>
      <c r="L610" s="308" t="inlineStr">
        <is>
          <t>drawing zone; process page; mapped sheet; repeated x26</t>
        </is>
      </c>
      <c r="M610" s="308" t="inlineStr">
        <is>
          <t>1"-CA-12A RL7</t>
        </is>
      </c>
      <c r="N610" s="308" t="inlineStr">
        <is>
          <t>native</t>
        </is>
      </c>
      <c r="O610" s="308" t="inlineStr">
        <is>
          <t>native-only</t>
        </is>
      </c>
      <c r="P610" s="308" t="inlineStr">
        <is>
          <t>native</t>
        </is>
      </c>
      <c r="Q610" s="308" t="inlineStr"/>
      <c r="R610" s="308" t="inlineStr">
        <is>
          <t>native text sufficient</t>
        </is>
      </c>
      <c r="S610" s="308" t="inlineStr"/>
      <c r="T610" s="308" t="inlineStr">
        <is>
          <t>p21:native:144, p21:native:212</t>
        </is>
      </c>
      <c r="U610" s="308" t="n">
        <v>2</v>
      </c>
    </row>
    <row r="611">
      <c r="A611" s="308" t="inlineStr">
        <is>
          <t>Missing in Excel</t>
        </is>
      </c>
      <c r="B611" s="308" t="inlineStr">
        <is>
          <t>DG7040</t>
        </is>
      </c>
      <c r="C611" s="308" t="n">
        <v>21</v>
      </c>
      <c r="D611" s="308" t="inlineStr">
        <is>
          <t>1"-CA-12A</t>
        </is>
      </c>
      <c r="E611" s="308" t="inlineStr">
        <is>
          <t>CA</t>
        </is>
      </c>
      <c r="F611" s="308" t="inlineStr">
        <is>
          <t>12A</t>
        </is>
      </c>
      <c r="G611" s="308" t="inlineStr">
        <is>
          <t>line</t>
        </is>
      </c>
      <c r="H611" s="311" t="n">
        <v>0.87</v>
      </c>
      <c r="I611" s="308" t="inlineStr">
        <is>
          <t>Medium</t>
        </is>
      </c>
      <c r="J611" s="308" t="inlineStr">
        <is>
          <t>drawing</t>
        </is>
      </c>
      <c r="K611" s="308" t="inlineStr">
        <is>
          <t>line:size-prefix</t>
        </is>
      </c>
      <c r="L611" s="308" t="inlineStr">
        <is>
          <t>drawing zone; process page; mapped sheet; repeated x26</t>
        </is>
      </c>
      <c r="M611" s="308" t="inlineStr">
        <is>
          <t>1"-CA-12A RL7</t>
        </is>
      </c>
      <c r="N611" s="308" t="inlineStr">
        <is>
          <t>native</t>
        </is>
      </c>
      <c r="O611" s="308" t="inlineStr">
        <is>
          <t>native-only</t>
        </is>
      </c>
      <c r="P611" s="308" t="inlineStr">
        <is>
          <t>native</t>
        </is>
      </c>
      <c r="Q611" s="308" t="inlineStr"/>
      <c r="R611" s="308" t="inlineStr">
        <is>
          <t>native text sufficient</t>
        </is>
      </c>
      <c r="S611" s="308" t="inlineStr"/>
      <c r="T611" s="308" t="inlineStr">
        <is>
          <t>p21:native:143, p21:native:206</t>
        </is>
      </c>
      <c r="U611" s="308" t="n">
        <v>2</v>
      </c>
    </row>
    <row r="612">
      <c r="A612" s="308" t="inlineStr">
        <is>
          <t>Missing in Excel</t>
        </is>
      </c>
      <c r="B612" s="308" t="inlineStr">
        <is>
          <t>DG7040</t>
        </is>
      </c>
      <c r="C612" s="308" t="n">
        <v>21</v>
      </c>
      <c r="D612" s="308" t="inlineStr">
        <is>
          <t>1"-CA-12A</t>
        </is>
      </c>
      <c r="E612" s="308" t="inlineStr">
        <is>
          <t>CA</t>
        </is>
      </c>
      <c r="F612" s="308" t="inlineStr">
        <is>
          <t>12A</t>
        </is>
      </c>
      <c r="G612" s="308" t="inlineStr">
        <is>
          <t>line</t>
        </is>
      </c>
      <c r="H612" s="311" t="n">
        <v>0.87</v>
      </c>
      <c r="I612" s="308" t="inlineStr">
        <is>
          <t>Medium</t>
        </is>
      </c>
      <c r="J612" s="308" t="inlineStr">
        <is>
          <t>drawing</t>
        </is>
      </c>
      <c r="K612" s="308" t="inlineStr">
        <is>
          <t>line:size-prefix</t>
        </is>
      </c>
      <c r="L612" s="308" t="inlineStr">
        <is>
          <t>drawing zone; process page; mapped sheet; repeated x26</t>
        </is>
      </c>
      <c r="M612" s="308" t="inlineStr">
        <is>
          <t>1"-CA-12A RL7</t>
        </is>
      </c>
      <c r="N612" s="308" t="inlineStr">
        <is>
          <t>native</t>
        </is>
      </c>
      <c r="O612" s="308" t="inlineStr">
        <is>
          <t>native-only</t>
        </is>
      </c>
      <c r="P612" s="308" t="inlineStr">
        <is>
          <t>native</t>
        </is>
      </c>
      <c r="Q612" s="308" t="inlineStr"/>
      <c r="R612" s="308" t="inlineStr">
        <is>
          <t>native text sufficient</t>
        </is>
      </c>
      <c r="S612" s="308" t="inlineStr"/>
      <c r="T612" s="308" t="inlineStr">
        <is>
          <t>p21:native:114, p21:native:200</t>
        </is>
      </c>
      <c r="U612" s="308" t="n">
        <v>2</v>
      </c>
    </row>
    <row r="613">
      <c r="A613" s="308" t="inlineStr">
        <is>
          <t>Missing in Excel</t>
        </is>
      </c>
      <c r="B613" s="308" t="inlineStr">
        <is>
          <t>DG7040</t>
        </is>
      </c>
      <c r="C613" s="308" t="n">
        <v>21</v>
      </c>
      <c r="D613" s="308" t="inlineStr">
        <is>
          <t>1"-CA-12A</t>
        </is>
      </c>
      <c r="E613" s="308" t="inlineStr">
        <is>
          <t>CA</t>
        </is>
      </c>
      <c r="F613" s="308" t="inlineStr">
        <is>
          <t>12A</t>
        </is>
      </c>
      <c r="G613" s="308" t="inlineStr">
        <is>
          <t>line</t>
        </is>
      </c>
      <c r="H613" s="311" t="n">
        <v>0.87</v>
      </c>
      <c r="I613" s="308" t="inlineStr">
        <is>
          <t>Medium</t>
        </is>
      </c>
      <c r="J613" s="308" t="inlineStr">
        <is>
          <t>drawing</t>
        </is>
      </c>
      <c r="K613" s="308" t="inlineStr">
        <is>
          <t>line:size-prefix</t>
        </is>
      </c>
      <c r="L613" s="308" t="inlineStr">
        <is>
          <t>drawing zone; process page; mapped sheet; repeated x26</t>
        </is>
      </c>
      <c r="M613" s="308" t="inlineStr">
        <is>
          <t>1"-CA-12A RL7</t>
        </is>
      </c>
      <c r="N613" s="308" t="inlineStr">
        <is>
          <t>native</t>
        </is>
      </c>
      <c r="O613" s="308" t="inlineStr">
        <is>
          <t>native-only</t>
        </is>
      </c>
      <c r="P613" s="308" t="inlineStr">
        <is>
          <t>native</t>
        </is>
      </c>
      <c r="Q613" s="308" t="inlineStr"/>
      <c r="R613" s="308" t="inlineStr">
        <is>
          <t>native text sufficient</t>
        </is>
      </c>
      <c r="S613" s="308" t="inlineStr"/>
      <c r="T613" s="308" t="inlineStr">
        <is>
          <t>p21:native:222, p21:native:225</t>
        </is>
      </c>
      <c r="U613" s="308" t="n">
        <v>2</v>
      </c>
    </row>
    <row r="614">
      <c r="A614" s="308" t="inlineStr">
        <is>
          <t>Missing in Excel</t>
        </is>
      </c>
      <c r="B614" s="308" t="inlineStr">
        <is>
          <t>DG7040</t>
        </is>
      </c>
      <c r="C614" s="308" t="n">
        <v>21</v>
      </c>
      <c r="D614" s="308" t="inlineStr">
        <is>
          <t>1"-CA-12A</t>
        </is>
      </c>
      <c r="E614" s="308" t="inlineStr">
        <is>
          <t>CA</t>
        </is>
      </c>
      <c r="F614" s="308" t="inlineStr">
        <is>
          <t>12A</t>
        </is>
      </c>
      <c r="G614" s="308" t="inlineStr">
        <is>
          <t>line</t>
        </is>
      </c>
      <c r="H614" s="311" t="n">
        <v>0.87</v>
      </c>
      <c r="I614" s="308" t="inlineStr">
        <is>
          <t>Medium</t>
        </is>
      </c>
      <c r="J614" s="308" t="inlineStr">
        <is>
          <t>drawing</t>
        </is>
      </c>
      <c r="K614" s="308" t="inlineStr">
        <is>
          <t>line:size-prefix</t>
        </is>
      </c>
      <c r="L614" s="308" t="inlineStr">
        <is>
          <t>drawing zone; process page; mapped sheet; repeated x26</t>
        </is>
      </c>
      <c r="M614" s="308" t="inlineStr">
        <is>
          <t>RL7 CPK-401 1"-CA-12A</t>
        </is>
      </c>
      <c r="N614" s="308" t="inlineStr">
        <is>
          <t>native</t>
        </is>
      </c>
      <c r="O614" s="308" t="inlineStr">
        <is>
          <t>native-only</t>
        </is>
      </c>
      <c r="P614" s="308" t="inlineStr">
        <is>
          <t>native</t>
        </is>
      </c>
      <c r="Q614" s="308" t="inlineStr"/>
      <c r="R614" s="308" t="inlineStr">
        <is>
          <t>native text sufficient</t>
        </is>
      </c>
      <c r="S614" s="308" t="inlineStr"/>
      <c r="T614" s="308" t="inlineStr">
        <is>
          <t>p21:native:244, p21:native:245, p21:native:230</t>
        </is>
      </c>
      <c r="U614" s="308" t="n">
        <v>3</v>
      </c>
    </row>
    <row r="615">
      <c r="A615" s="308" t="inlineStr">
        <is>
          <t>Missing in Excel</t>
        </is>
      </c>
      <c r="B615" s="308" t="inlineStr">
        <is>
          <t>DG7040</t>
        </is>
      </c>
      <c r="C615" s="308" t="n">
        <v>21</v>
      </c>
      <c r="D615" s="308" t="inlineStr">
        <is>
          <t>1"-CA-12A</t>
        </is>
      </c>
      <c r="E615" s="308" t="inlineStr">
        <is>
          <t>CA</t>
        </is>
      </c>
      <c r="F615" s="308" t="inlineStr">
        <is>
          <t>12A</t>
        </is>
      </c>
      <c r="G615" s="308" t="inlineStr">
        <is>
          <t>line</t>
        </is>
      </c>
      <c r="H615" s="311" t="n">
        <v>0.87</v>
      </c>
      <c r="I615" s="308" t="inlineStr">
        <is>
          <t>Medium</t>
        </is>
      </c>
      <c r="J615" s="308" t="inlineStr">
        <is>
          <t>drawing</t>
        </is>
      </c>
      <c r="K615" s="308" t="inlineStr">
        <is>
          <t>line:size-prefix</t>
        </is>
      </c>
      <c r="L615" s="308" t="inlineStr">
        <is>
          <t>drawing zone; process page; mapped sheet; repeated x26</t>
        </is>
      </c>
      <c r="M615" s="308" t="inlineStr">
        <is>
          <t>CPK-401 1"-CA-12A</t>
        </is>
      </c>
      <c r="N615" s="308" t="inlineStr">
        <is>
          <t>native</t>
        </is>
      </c>
      <c r="O615" s="308" t="inlineStr">
        <is>
          <t>native-only</t>
        </is>
      </c>
      <c r="P615" s="308" t="inlineStr">
        <is>
          <t>native</t>
        </is>
      </c>
      <c r="Q615" s="308" t="inlineStr"/>
      <c r="R615" s="308" t="inlineStr">
        <is>
          <t>native text sufficient</t>
        </is>
      </c>
      <c r="S615" s="308" t="inlineStr"/>
      <c r="T615" s="308" t="inlineStr">
        <is>
          <t>p21:native:245, p21:native:230</t>
        </is>
      </c>
      <c r="U615" s="308" t="n">
        <v>2</v>
      </c>
    </row>
    <row r="616">
      <c r="A616" s="308" t="inlineStr">
        <is>
          <t>Missing in Excel</t>
        </is>
      </c>
      <c r="B616" s="308" t="inlineStr">
        <is>
          <t>DG7040</t>
        </is>
      </c>
      <c r="C616" s="308" t="n">
        <v>21</v>
      </c>
      <c r="D616" s="308" t="inlineStr">
        <is>
          <t>1"-CA-12A</t>
        </is>
      </c>
      <c r="E616" s="308" t="inlineStr">
        <is>
          <t>CA</t>
        </is>
      </c>
      <c r="F616" s="308" t="inlineStr">
        <is>
          <t>12A</t>
        </is>
      </c>
      <c r="G616" s="308" t="inlineStr">
        <is>
          <t>line</t>
        </is>
      </c>
      <c r="H616" s="311" t="n">
        <v>0.87</v>
      </c>
      <c r="I616" s="308" t="inlineStr">
        <is>
          <t>Medium</t>
        </is>
      </c>
      <c r="J616" s="308" t="inlineStr">
        <is>
          <t>drawing</t>
        </is>
      </c>
      <c r="K616" s="308" t="inlineStr">
        <is>
          <t>line:size-prefix</t>
        </is>
      </c>
      <c r="L616" s="308" t="inlineStr">
        <is>
          <t>drawing zone; process page; mapped sheet; repeated x26</t>
        </is>
      </c>
      <c r="M616" s="308" t="inlineStr">
        <is>
          <t>RL7 SCL-402 1"-CA-12A</t>
        </is>
      </c>
      <c r="N616" s="308" t="inlineStr">
        <is>
          <t>native</t>
        </is>
      </c>
      <c r="O616" s="308" t="inlineStr">
        <is>
          <t>native-only</t>
        </is>
      </c>
      <c r="P616" s="308" t="inlineStr">
        <is>
          <t>native</t>
        </is>
      </c>
      <c r="Q616" s="308" t="inlineStr"/>
      <c r="R616" s="308" t="inlineStr">
        <is>
          <t>native text sufficient</t>
        </is>
      </c>
      <c r="S616" s="308" t="inlineStr"/>
      <c r="T616" s="308" t="inlineStr">
        <is>
          <t>p21:native:250, p21:native:251, p21:native:232</t>
        </is>
      </c>
      <c r="U616" s="308" t="n">
        <v>3</v>
      </c>
    </row>
    <row r="617">
      <c r="A617" s="308" t="inlineStr">
        <is>
          <t>Missing in Excel</t>
        </is>
      </c>
      <c r="B617" s="308" t="inlineStr">
        <is>
          <t>DG7040</t>
        </is>
      </c>
      <c r="C617" s="308" t="n">
        <v>21</v>
      </c>
      <c r="D617" s="308" t="inlineStr">
        <is>
          <t>1"-CA-12A</t>
        </is>
      </c>
      <c r="E617" s="308" t="inlineStr">
        <is>
          <t>CA</t>
        </is>
      </c>
      <c r="F617" s="308" t="inlineStr">
        <is>
          <t>12A</t>
        </is>
      </c>
      <c r="G617" s="308" t="inlineStr">
        <is>
          <t>line</t>
        </is>
      </c>
      <c r="H617" s="311" t="n">
        <v>0.87</v>
      </c>
      <c r="I617" s="308" t="inlineStr">
        <is>
          <t>Medium</t>
        </is>
      </c>
      <c r="J617" s="308" t="inlineStr">
        <is>
          <t>drawing</t>
        </is>
      </c>
      <c r="K617" s="308" t="inlineStr">
        <is>
          <t>line:size-prefix</t>
        </is>
      </c>
      <c r="L617" s="308" t="inlineStr">
        <is>
          <t>drawing zone; process page; mapped sheet; repeated x26</t>
        </is>
      </c>
      <c r="M617" s="308" t="inlineStr">
        <is>
          <t>SCL-402 1"-CA-12A</t>
        </is>
      </c>
      <c r="N617" s="308" t="inlineStr">
        <is>
          <t>native</t>
        </is>
      </c>
      <c r="O617" s="308" t="inlineStr">
        <is>
          <t>native-only</t>
        </is>
      </c>
      <c r="P617" s="308" t="inlineStr">
        <is>
          <t>native</t>
        </is>
      </c>
      <c r="Q617" s="308" t="inlineStr"/>
      <c r="R617" s="308" t="inlineStr">
        <is>
          <t>native text sufficient</t>
        </is>
      </c>
      <c r="S617" s="308" t="inlineStr"/>
      <c r="T617" s="308" t="inlineStr">
        <is>
          <t>p21:native:251, p21:native:232</t>
        </is>
      </c>
      <c r="U617" s="308" t="n">
        <v>2</v>
      </c>
    </row>
    <row r="618">
      <c r="A618" s="308" t="inlineStr">
        <is>
          <t>Missing in Excel</t>
        </is>
      </c>
      <c r="B618" s="308" t="inlineStr">
        <is>
          <t>DG7040</t>
        </is>
      </c>
      <c r="C618" s="308" t="n">
        <v>21</v>
      </c>
      <c r="D618" s="308" t="inlineStr">
        <is>
          <t>1"-CA-12A</t>
        </is>
      </c>
      <c r="E618" s="308" t="inlineStr">
        <is>
          <t>CA</t>
        </is>
      </c>
      <c r="F618" s="308" t="inlineStr">
        <is>
          <t>12A</t>
        </is>
      </c>
      <c r="G618" s="308" t="inlineStr">
        <is>
          <t>line</t>
        </is>
      </c>
      <c r="H618" s="311" t="n">
        <v>0.87</v>
      </c>
      <c r="I618" s="308" t="inlineStr">
        <is>
          <t>Medium</t>
        </is>
      </c>
      <c r="J618" s="308" t="inlineStr">
        <is>
          <t>drawing</t>
        </is>
      </c>
      <c r="K618" s="308" t="inlineStr">
        <is>
          <t>line:size-prefix</t>
        </is>
      </c>
      <c r="L618" s="308" t="inlineStr">
        <is>
          <t>drawing zone; process page; mapped sheet; repeated x26</t>
        </is>
      </c>
      <c r="M618" s="308" t="inlineStr">
        <is>
          <t>RL7 CSL-401 1"-CA-12A</t>
        </is>
      </c>
      <c r="N618" s="308" t="inlineStr">
        <is>
          <t>native</t>
        </is>
      </c>
      <c r="O618" s="308" t="inlineStr">
        <is>
          <t>native-only</t>
        </is>
      </c>
      <c r="P618" s="308" t="inlineStr">
        <is>
          <t>native</t>
        </is>
      </c>
      <c r="Q618" s="308" t="inlineStr"/>
      <c r="R618" s="308" t="inlineStr">
        <is>
          <t>native text sufficient</t>
        </is>
      </c>
      <c r="S618" s="308" t="inlineStr"/>
      <c r="T618" s="308" t="inlineStr">
        <is>
          <t>p21:native:258, p21:native:259, p21:native:254</t>
        </is>
      </c>
      <c r="U618" s="308" t="n">
        <v>3</v>
      </c>
    </row>
    <row r="619">
      <c r="A619" s="308" t="inlineStr">
        <is>
          <t>Missing in Excel</t>
        </is>
      </c>
      <c r="B619" s="308" t="inlineStr">
        <is>
          <t>DG7040</t>
        </is>
      </c>
      <c r="C619" s="308" t="n">
        <v>21</v>
      </c>
      <c r="D619" s="308" t="inlineStr">
        <is>
          <t>1"-CA-12A</t>
        </is>
      </c>
      <c r="E619" s="308" t="inlineStr">
        <is>
          <t>CA</t>
        </is>
      </c>
      <c r="F619" s="308" t="inlineStr">
        <is>
          <t>12A</t>
        </is>
      </c>
      <c r="G619" s="308" t="inlineStr">
        <is>
          <t>line</t>
        </is>
      </c>
      <c r="H619" s="311" t="n">
        <v>0.87</v>
      </c>
      <c r="I619" s="308" t="inlineStr">
        <is>
          <t>Medium</t>
        </is>
      </c>
      <c r="J619" s="308" t="inlineStr">
        <is>
          <t>drawing</t>
        </is>
      </c>
      <c r="K619" s="308" t="inlineStr">
        <is>
          <t>line:size-prefix</t>
        </is>
      </c>
      <c r="L619" s="308" t="inlineStr">
        <is>
          <t>drawing zone; process page; mapped sheet; repeated x26</t>
        </is>
      </c>
      <c r="M619" s="308" t="inlineStr">
        <is>
          <t>CSL-401 1"-CA-12A</t>
        </is>
      </c>
      <c r="N619" s="308" t="inlineStr">
        <is>
          <t>native</t>
        </is>
      </c>
      <c r="O619" s="308" t="inlineStr">
        <is>
          <t>native-only</t>
        </is>
      </c>
      <c r="P619" s="308" t="inlineStr">
        <is>
          <t>native</t>
        </is>
      </c>
      <c r="Q619" s="308" t="inlineStr"/>
      <c r="R619" s="308" t="inlineStr">
        <is>
          <t>native text sufficient</t>
        </is>
      </c>
      <c r="S619" s="308" t="inlineStr"/>
      <c r="T619" s="308" t="inlineStr">
        <is>
          <t>p21:native:259, p21:native:254</t>
        </is>
      </c>
      <c r="U619" s="308" t="n">
        <v>2</v>
      </c>
    </row>
    <row r="620">
      <c r="A620" s="308" t="inlineStr">
        <is>
          <t>Missing in Excel</t>
        </is>
      </c>
      <c r="B620" s="308" t="inlineStr">
        <is>
          <t>DG7040</t>
        </is>
      </c>
      <c r="C620" s="308" t="n">
        <v>21</v>
      </c>
      <c r="D620" s="308" t="inlineStr">
        <is>
          <t>1"-CA-12A</t>
        </is>
      </c>
      <c r="E620" s="308" t="inlineStr">
        <is>
          <t>CA</t>
        </is>
      </c>
      <c r="F620" s="308" t="inlineStr">
        <is>
          <t>12A</t>
        </is>
      </c>
      <c r="G620" s="308" t="inlineStr">
        <is>
          <t>line</t>
        </is>
      </c>
      <c r="H620" s="311" t="n">
        <v>0.87</v>
      </c>
      <c r="I620" s="308" t="inlineStr">
        <is>
          <t>Medium</t>
        </is>
      </c>
      <c r="J620" s="308" t="inlineStr">
        <is>
          <t>drawing</t>
        </is>
      </c>
      <c r="K620" s="308" t="inlineStr">
        <is>
          <t>line:size-prefix</t>
        </is>
      </c>
      <c r="L620" s="308" t="inlineStr">
        <is>
          <t>drawing zone; process page; mapped sheet; repeated x26</t>
        </is>
      </c>
      <c r="M620" s="308" t="inlineStr">
        <is>
          <t>1"-CA-12A RL7</t>
        </is>
      </c>
      <c r="N620" s="308" t="inlineStr">
        <is>
          <t>native</t>
        </is>
      </c>
      <c r="O620" s="308" t="inlineStr">
        <is>
          <t>native-only</t>
        </is>
      </c>
      <c r="P620" s="308" t="inlineStr">
        <is>
          <t>native</t>
        </is>
      </c>
      <c r="Q620" s="308" t="inlineStr"/>
      <c r="R620" s="308" t="inlineStr">
        <is>
          <t>native text sufficient</t>
        </is>
      </c>
      <c r="S620" s="308" t="inlineStr"/>
      <c r="T620" s="308" t="inlineStr">
        <is>
          <t>p21:native:234, p21:native:237</t>
        </is>
      </c>
      <c r="U620" s="308" t="n">
        <v>2</v>
      </c>
    </row>
    <row r="621">
      <c r="A621" s="308" t="inlineStr">
        <is>
          <t>Missing in Excel</t>
        </is>
      </c>
      <c r="B621" s="308" t="inlineStr">
        <is>
          <t>DG7040</t>
        </is>
      </c>
      <c r="C621" s="308" t="n">
        <v>21</v>
      </c>
      <c r="D621" s="308" t="inlineStr">
        <is>
          <t>1.5"-CA-12A</t>
        </is>
      </c>
      <c r="E621" s="308" t="inlineStr">
        <is>
          <t>CA</t>
        </is>
      </c>
      <c r="F621" s="308" t="inlineStr">
        <is>
          <t>12A</t>
        </is>
      </c>
      <c r="G621" s="308" t="inlineStr">
        <is>
          <t>line</t>
        </is>
      </c>
      <c r="H621" s="311" t="n">
        <v>0.77</v>
      </c>
      <c r="I621" s="308" t="inlineStr">
        <is>
          <t>Medium</t>
        </is>
      </c>
      <c r="J621" s="308" t="inlineStr">
        <is>
          <t>drawing</t>
        </is>
      </c>
      <c r="K621" s="308" t="inlineStr">
        <is>
          <t>line:size-prefix</t>
        </is>
      </c>
      <c r="L621" s="308" t="inlineStr">
        <is>
          <t>drawing zone; process page; mapped sheet</t>
        </is>
      </c>
      <c r="M621" s="308" t="inlineStr">
        <is>
          <t>1.5"-CA-12A</t>
        </is>
      </c>
      <c r="N621" s="308" t="inlineStr">
        <is>
          <t>native</t>
        </is>
      </c>
      <c r="O621" s="308" t="inlineStr">
        <is>
          <t>native-only</t>
        </is>
      </c>
      <c r="P621" s="308" t="inlineStr">
        <is>
          <t>native</t>
        </is>
      </c>
      <c r="Q621" s="308" t="inlineStr"/>
      <c r="R621" s="308" t="inlineStr">
        <is>
          <t>native text sufficient</t>
        </is>
      </c>
      <c r="S621" s="308" t="inlineStr"/>
      <c r="T621" s="308" t="inlineStr">
        <is>
          <t>p21:native:145</t>
        </is>
      </c>
      <c r="U621" s="308" t="n">
        <v>1</v>
      </c>
    </row>
    <row r="622">
      <c r="A622" s="308" t="inlineStr">
        <is>
          <t>Missing in Excel</t>
        </is>
      </c>
      <c r="B622" s="308" t="inlineStr">
        <is>
          <t>DG7041</t>
        </is>
      </c>
      <c r="C622" s="308" t="n">
        <v>22</v>
      </c>
      <c r="D622" s="308" t="inlineStr">
        <is>
          <t>RL7-LBR-501</t>
        </is>
      </c>
      <c r="E622" s="308" t="inlineStr">
        <is>
          <t>RL7-LBR-501</t>
        </is>
      </c>
      <c r="F622" s="308" t="inlineStr"/>
      <c r="G622" s="308" t="inlineStr">
        <is>
          <t>equipment</t>
        </is>
      </c>
      <c r="H622" s="311" t="n">
        <v>0.77</v>
      </c>
      <c r="I622" s="308" t="inlineStr">
        <is>
          <t>Medium</t>
        </is>
      </c>
      <c r="J622" s="308" t="inlineStr">
        <is>
          <t>drawing</t>
        </is>
      </c>
      <c r="K622" s="308" t="inlineStr">
        <is>
          <t>standalone:asset</t>
        </is>
      </c>
      <c r="L622" s="308" t="inlineStr">
        <is>
          <t>drawing zone; process page; mapped sheet</t>
        </is>
      </c>
      <c r="M622" s="308" t="inlineStr">
        <is>
          <t>RL7-LBR-501</t>
        </is>
      </c>
      <c r="N622" s="308" t="inlineStr">
        <is>
          <t>native</t>
        </is>
      </c>
      <c r="O622" s="308" t="inlineStr">
        <is>
          <t>native-only</t>
        </is>
      </c>
      <c r="P622" s="308" t="inlineStr">
        <is>
          <t>native</t>
        </is>
      </c>
      <c r="Q622" s="308" t="inlineStr"/>
      <c r="R622" s="308" t="inlineStr">
        <is>
          <t>native text sufficient</t>
        </is>
      </c>
      <c r="S622" s="308" t="inlineStr"/>
      <c r="T622" s="308" t="inlineStr">
        <is>
          <t>p22:native:47</t>
        </is>
      </c>
      <c r="U622" s="308" t="n">
        <v>1</v>
      </c>
    </row>
    <row r="623">
      <c r="A623" s="308" t="inlineStr">
        <is>
          <t>Missing in Excel</t>
        </is>
      </c>
      <c r="B623" s="308" t="inlineStr">
        <is>
          <t>DG7041</t>
        </is>
      </c>
      <c r="C623" s="308" t="n">
        <v>22</v>
      </c>
      <c r="D623" s="308" t="inlineStr">
        <is>
          <t>RL7-PLZ-501</t>
        </is>
      </c>
      <c r="E623" s="308" t="inlineStr">
        <is>
          <t>RL7-PLZ-501</t>
        </is>
      </c>
      <c r="F623" s="308" t="inlineStr"/>
      <c r="G623" s="308" t="inlineStr">
        <is>
          <t>equipment</t>
        </is>
      </c>
      <c r="H623" s="311" t="n">
        <v>0.77</v>
      </c>
      <c r="I623" s="308" t="inlineStr">
        <is>
          <t>Medium</t>
        </is>
      </c>
      <c r="J623" s="308" t="inlineStr">
        <is>
          <t>drawing</t>
        </is>
      </c>
      <c r="K623" s="308" t="inlineStr">
        <is>
          <t>standalone:asset</t>
        </is>
      </c>
      <c r="L623" s="308" t="inlineStr">
        <is>
          <t>drawing zone; process page; mapped sheet</t>
        </is>
      </c>
      <c r="M623" s="308" t="inlineStr">
        <is>
          <t>RL7-PLZ-501</t>
        </is>
      </c>
      <c r="N623" s="308" t="inlineStr">
        <is>
          <t>native</t>
        </is>
      </c>
      <c r="O623" s="308" t="inlineStr">
        <is>
          <t>native-only</t>
        </is>
      </c>
      <c r="P623" s="308" t="inlineStr">
        <is>
          <t>native</t>
        </is>
      </c>
      <c r="Q623" s="308" t="inlineStr"/>
      <c r="R623" s="308" t="inlineStr">
        <is>
          <t>native text sufficient</t>
        </is>
      </c>
      <c r="S623" s="308" t="inlineStr"/>
      <c r="T623" s="308" t="inlineStr">
        <is>
          <t>p22:native:1</t>
        </is>
      </c>
      <c r="U623" s="308" t="n">
        <v>1</v>
      </c>
    </row>
    <row r="624">
      <c r="A624" s="308" t="inlineStr">
        <is>
          <t>Missing in Excel</t>
        </is>
      </c>
      <c r="B624" s="308" t="inlineStr">
        <is>
          <t>DG7041</t>
        </is>
      </c>
      <c r="C624" s="308" t="n">
        <v>22</v>
      </c>
      <c r="D624" s="308" t="inlineStr">
        <is>
          <t>RL7-STW-501</t>
        </is>
      </c>
      <c r="E624" s="308" t="inlineStr">
        <is>
          <t>RL7-STW-501</t>
        </is>
      </c>
      <c r="F624" s="308" t="inlineStr"/>
      <c r="G624" s="308" t="inlineStr">
        <is>
          <t>equipment</t>
        </is>
      </c>
      <c r="H624" s="311" t="n">
        <v>0.77</v>
      </c>
      <c r="I624" s="308" t="inlineStr">
        <is>
          <t>Medium</t>
        </is>
      </c>
      <c r="J624" s="308" t="inlineStr">
        <is>
          <t>drawing</t>
        </is>
      </c>
      <c r="K624" s="308" t="inlineStr">
        <is>
          <t>standalone:asset</t>
        </is>
      </c>
      <c r="L624" s="308" t="inlineStr">
        <is>
          <t>drawing zone; process page; mapped sheet</t>
        </is>
      </c>
      <c r="M624" s="308" t="inlineStr">
        <is>
          <t>RL7-STW-501</t>
        </is>
      </c>
      <c r="N624" s="308" t="inlineStr">
        <is>
          <t>native</t>
        </is>
      </c>
      <c r="O624" s="308" t="inlineStr">
        <is>
          <t>native-only</t>
        </is>
      </c>
      <c r="P624" s="308" t="inlineStr">
        <is>
          <t>native</t>
        </is>
      </c>
      <c r="Q624" s="308" t="inlineStr"/>
      <c r="R624" s="308" t="inlineStr">
        <is>
          <t>native text sufficient</t>
        </is>
      </c>
      <c r="S624" s="308" t="inlineStr"/>
      <c r="T624" s="308" t="inlineStr">
        <is>
          <t>p22:native:3</t>
        </is>
      </c>
      <c r="U624" s="308" t="n">
        <v>1</v>
      </c>
    </row>
    <row r="625">
      <c r="A625" s="308" t="inlineStr">
        <is>
          <t>Missing in Excel</t>
        </is>
      </c>
      <c r="B625" s="308" t="inlineStr">
        <is>
          <t>DG7041</t>
        </is>
      </c>
      <c r="C625" s="308" t="n">
        <v>22</v>
      </c>
      <c r="D625" s="308" t="inlineStr">
        <is>
          <t>RL7-PLZ-501-HV001</t>
        </is>
      </c>
      <c r="E625" s="308" t="inlineStr">
        <is>
          <t>RL7-PLZ-501</t>
        </is>
      </c>
      <c r="F625" s="308" t="inlineStr">
        <is>
          <t>HV001</t>
        </is>
      </c>
      <c r="G625" s="308" t="inlineStr">
        <is>
          <t>instrument</t>
        </is>
      </c>
      <c r="H625" s="311" t="n">
        <v>0.57</v>
      </c>
      <c r="I625" s="308" t="inlineStr">
        <is>
          <t>Low</t>
        </is>
      </c>
      <c r="J625" s="308" t="inlineStr">
        <is>
          <t>drawing</t>
        </is>
      </c>
      <c r="K625" s="308" t="inlineStr">
        <is>
          <t>inferred:bare-isa</t>
        </is>
      </c>
      <c r="L625" s="308" t="inlineStr">
        <is>
          <t>drawing zone; process page; mapped sheet</t>
        </is>
      </c>
      <c r="M625" s="308" t="inlineStr">
        <is>
          <t>RL7-PLZ-501 / HV</t>
        </is>
      </c>
      <c r="N625" s="308" t="inlineStr">
        <is>
          <t>native</t>
        </is>
      </c>
      <c r="O625" s="308" t="inlineStr">
        <is>
          <t>native-only</t>
        </is>
      </c>
      <c r="P625" s="308" t="inlineStr">
        <is>
          <t>native</t>
        </is>
      </c>
      <c r="Q625" s="308" t="inlineStr"/>
      <c r="R625" s="308" t="inlineStr">
        <is>
          <t>native text sufficient</t>
        </is>
      </c>
      <c r="S625" s="308" t="inlineStr"/>
      <c r="T625" s="308" t="inlineStr">
        <is>
          <t>p22:native:1, p22:native:29</t>
        </is>
      </c>
      <c r="U625" s="308" t="n">
        <v>2</v>
      </c>
    </row>
    <row r="626">
      <c r="A626" s="308" t="inlineStr">
        <is>
          <t>Missing in Excel</t>
        </is>
      </c>
      <c r="B626" s="308" t="inlineStr">
        <is>
          <t>DG7041</t>
        </is>
      </c>
      <c r="C626" s="308" t="n">
        <v>22</v>
      </c>
      <c r="D626" s="308" t="inlineStr">
        <is>
          <t>RL7-PLZ-501-HV002</t>
        </is>
      </c>
      <c r="E626" s="308" t="inlineStr">
        <is>
          <t>RL7-PLZ-501</t>
        </is>
      </c>
      <c r="F626" s="308" t="inlineStr">
        <is>
          <t>HV002</t>
        </is>
      </c>
      <c r="G626" s="308" t="inlineStr">
        <is>
          <t>instrument</t>
        </is>
      </c>
      <c r="H626" s="311" t="n">
        <v>0.57</v>
      </c>
      <c r="I626" s="308" t="inlineStr">
        <is>
          <t>Low</t>
        </is>
      </c>
      <c r="J626" s="308" t="inlineStr">
        <is>
          <t>drawing</t>
        </is>
      </c>
      <c r="K626" s="308" t="inlineStr">
        <is>
          <t>inferred:bare-isa</t>
        </is>
      </c>
      <c r="L626" s="308" t="inlineStr">
        <is>
          <t>drawing zone; process page; mapped sheet</t>
        </is>
      </c>
      <c r="M626" s="308" t="inlineStr">
        <is>
          <t>RL7-PLZ-501 / HV</t>
        </is>
      </c>
      <c r="N626" s="308" t="inlineStr">
        <is>
          <t>native</t>
        </is>
      </c>
      <c r="O626" s="308" t="inlineStr">
        <is>
          <t>native-only</t>
        </is>
      </c>
      <c r="P626" s="308" t="inlineStr">
        <is>
          <t>native</t>
        </is>
      </c>
      <c r="Q626" s="308" t="inlineStr"/>
      <c r="R626" s="308" t="inlineStr">
        <is>
          <t>native text sufficient</t>
        </is>
      </c>
      <c r="S626" s="308" t="inlineStr"/>
      <c r="T626" s="308" t="inlineStr">
        <is>
          <t>p22:native:1, p22:native:11</t>
        </is>
      </c>
      <c r="U626" s="308" t="n">
        <v>2</v>
      </c>
    </row>
    <row r="627">
      <c r="A627" s="308" t="inlineStr">
        <is>
          <t>Missing in Excel</t>
        </is>
      </c>
      <c r="B627" s="308" t="inlineStr">
        <is>
          <t>DG7041</t>
        </is>
      </c>
      <c r="C627" s="308" t="n">
        <v>22</v>
      </c>
      <c r="D627" s="308" t="inlineStr">
        <is>
          <t>RL7-PLZ-501-PI001</t>
        </is>
      </c>
      <c r="E627" s="308" t="inlineStr">
        <is>
          <t>RL7-PLZ-501</t>
        </is>
      </c>
      <c r="F627" s="308" t="inlineStr">
        <is>
          <t>PI001</t>
        </is>
      </c>
      <c r="G627" s="308" t="inlineStr">
        <is>
          <t>instrument</t>
        </is>
      </c>
      <c r="H627" s="311" t="n">
        <v>0.57</v>
      </c>
      <c r="I627" s="308" t="inlineStr">
        <is>
          <t>Low</t>
        </is>
      </c>
      <c r="J627" s="308" t="inlineStr">
        <is>
          <t>drawing</t>
        </is>
      </c>
      <c r="K627" s="308" t="inlineStr">
        <is>
          <t>inferred:bare-isa</t>
        </is>
      </c>
      <c r="L627" s="308" t="inlineStr">
        <is>
          <t>drawing zone; process page; mapped sheet</t>
        </is>
      </c>
      <c r="M627" s="308" t="inlineStr">
        <is>
          <t>RL7-PLZ-501 / PI</t>
        </is>
      </c>
      <c r="N627" s="308" t="inlineStr">
        <is>
          <t>native</t>
        </is>
      </c>
      <c r="O627" s="308" t="inlineStr">
        <is>
          <t>native-only</t>
        </is>
      </c>
      <c r="P627" s="308" t="inlineStr">
        <is>
          <t>native</t>
        </is>
      </c>
      <c r="Q627" s="308" t="inlineStr"/>
      <c r="R627" s="308" t="inlineStr">
        <is>
          <t>native text sufficient</t>
        </is>
      </c>
      <c r="S627" s="308" t="inlineStr"/>
      <c r="T627" s="308" t="inlineStr">
        <is>
          <t>p22:native:1, p22:native:41</t>
        </is>
      </c>
      <c r="U627" s="308" t="n">
        <v>2</v>
      </c>
    </row>
    <row r="628">
      <c r="A628" s="308" t="inlineStr">
        <is>
          <t>Missing in Excel</t>
        </is>
      </c>
      <c r="B628" s="308" t="inlineStr">
        <is>
          <t>DG7041</t>
        </is>
      </c>
      <c r="C628" s="308" t="n">
        <v>22</v>
      </c>
      <c r="D628" s="308" t="inlineStr">
        <is>
          <t>RL7-PLZ-501-PI002</t>
        </is>
      </c>
      <c r="E628" s="308" t="inlineStr">
        <is>
          <t>RL7-PLZ-501</t>
        </is>
      </c>
      <c r="F628" s="308" t="inlineStr">
        <is>
          <t>PI002</t>
        </is>
      </c>
      <c r="G628" s="308" t="inlineStr">
        <is>
          <t>instrument</t>
        </is>
      </c>
      <c r="H628" s="311" t="n">
        <v>0.57</v>
      </c>
      <c r="I628" s="308" t="inlineStr">
        <is>
          <t>Low</t>
        </is>
      </c>
      <c r="J628" s="308" t="inlineStr">
        <is>
          <t>drawing</t>
        </is>
      </c>
      <c r="K628" s="308" t="inlineStr">
        <is>
          <t>inferred:bare-isa</t>
        </is>
      </c>
      <c r="L628" s="308" t="inlineStr">
        <is>
          <t>drawing zone; process page; mapped sheet</t>
        </is>
      </c>
      <c r="M628" s="308" t="inlineStr">
        <is>
          <t>RL7-PLZ-501 / PI</t>
        </is>
      </c>
      <c r="N628" s="308" t="inlineStr">
        <is>
          <t>native</t>
        </is>
      </c>
      <c r="O628" s="308" t="inlineStr">
        <is>
          <t>native-only</t>
        </is>
      </c>
      <c r="P628" s="308" t="inlineStr">
        <is>
          <t>native</t>
        </is>
      </c>
      <c r="Q628" s="308" t="inlineStr"/>
      <c r="R628" s="308" t="inlineStr">
        <is>
          <t>native text sufficient</t>
        </is>
      </c>
      <c r="S628" s="308" t="inlineStr"/>
      <c r="T628" s="308" t="inlineStr">
        <is>
          <t>p22:native:1, p22:native:50</t>
        </is>
      </c>
      <c r="U628" s="308" t="n">
        <v>2</v>
      </c>
    </row>
    <row r="629">
      <c r="A629" s="308" t="inlineStr">
        <is>
          <t>Missing in Excel</t>
        </is>
      </c>
      <c r="B629" s="308" t="inlineStr">
        <is>
          <t>DG7041</t>
        </is>
      </c>
      <c r="C629" s="308" t="n">
        <v>22</v>
      </c>
      <c r="D629" s="308" t="inlineStr">
        <is>
          <t>RL7-STW-501-PI001</t>
        </is>
      </c>
      <c r="E629" s="308" t="inlineStr">
        <is>
          <t>RL7-STW-501</t>
        </is>
      </c>
      <c r="F629" s="308" t="inlineStr">
        <is>
          <t>PI001</t>
        </is>
      </c>
      <c r="G629" s="308" t="inlineStr">
        <is>
          <t>instrument</t>
        </is>
      </c>
      <c r="H629" s="311" t="n">
        <v>0.57</v>
      </c>
      <c r="I629" s="308" t="inlineStr">
        <is>
          <t>Low</t>
        </is>
      </c>
      <c r="J629" s="308" t="inlineStr">
        <is>
          <t>drawing</t>
        </is>
      </c>
      <c r="K629" s="308" t="inlineStr">
        <is>
          <t>inferred:bare-isa</t>
        </is>
      </c>
      <c r="L629" s="308" t="inlineStr">
        <is>
          <t>drawing zone; process page; mapped sheet</t>
        </is>
      </c>
      <c r="M629" s="308" t="inlineStr">
        <is>
          <t>RL7-STW-501 / PI</t>
        </is>
      </c>
      <c r="N629" s="308" t="inlineStr">
        <is>
          <t>native</t>
        </is>
      </c>
      <c r="O629" s="308" t="inlineStr">
        <is>
          <t>native-only</t>
        </is>
      </c>
      <c r="P629" s="308" t="inlineStr">
        <is>
          <t>native</t>
        </is>
      </c>
      <c r="Q629" s="308" t="inlineStr"/>
      <c r="R629" s="308" t="inlineStr">
        <is>
          <t>native text sufficient</t>
        </is>
      </c>
      <c r="S629" s="308" t="inlineStr"/>
      <c r="T629" s="308" t="inlineStr">
        <is>
          <t>p22:native:3, p22:native:23</t>
        </is>
      </c>
      <c r="U629" s="308" t="n">
        <v>2</v>
      </c>
    </row>
    <row r="630">
      <c r="A630" s="308" t="inlineStr">
        <is>
          <t>Missing in Excel</t>
        </is>
      </c>
      <c r="B630" s="308" t="inlineStr">
        <is>
          <t>DG7041</t>
        </is>
      </c>
      <c r="C630" s="308" t="n">
        <v>22</v>
      </c>
      <c r="D630" s="308" t="inlineStr">
        <is>
          <t>RL7-STW-501-PI002</t>
        </is>
      </c>
      <c r="E630" s="308" t="inlineStr">
        <is>
          <t>RL7-STW-501</t>
        </is>
      </c>
      <c r="F630" s="308" t="inlineStr">
        <is>
          <t>PI002</t>
        </is>
      </c>
      <c r="G630" s="308" t="inlineStr">
        <is>
          <t>instrument</t>
        </is>
      </c>
      <c r="H630" s="311" t="n">
        <v>0.57</v>
      </c>
      <c r="I630" s="308" t="inlineStr">
        <is>
          <t>Low</t>
        </is>
      </c>
      <c r="J630" s="308" t="inlineStr">
        <is>
          <t>drawing</t>
        </is>
      </c>
      <c r="K630" s="308" t="inlineStr">
        <is>
          <t>inferred:bare-isa</t>
        </is>
      </c>
      <c r="L630" s="308" t="inlineStr">
        <is>
          <t>drawing zone; process page; mapped sheet</t>
        </is>
      </c>
      <c r="M630" s="308" t="inlineStr">
        <is>
          <t>RL7-STW-501 / PI</t>
        </is>
      </c>
      <c r="N630" s="308" t="inlineStr">
        <is>
          <t>native</t>
        </is>
      </c>
      <c r="O630" s="308" t="inlineStr">
        <is>
          <t>native-only</t>
        </is>
      </c>
      <c r="P630" s="308" t="inlineStr">
        <is>
          <t>native</t>
        </is>
      </c>
      <c r="Q630" s="308" t="inlineStr"/>
      <c r="R630" s="308" t="inlineStr">
        <is>
          <t>native text sufficient</t>
        </is>
      </c>
      <c r="S630" s="308" t="inlineStr"/>
      <c r="T630" s="308" t="inlineStr">
        <is>
          <t>p22:native:3, p22:native:48</t>
        </is>
      </c>
      <c r="U630" s="308" t="n">
        <v>2</v>
      </c>
    </row>
    <row r="631">
      <c r="A631" s="308" t="inlineStr">
        <is>
          <t>Missing in Excel</t>
        </is>
      </c>
      <c r="B631" s="308" t="inlineStr">
        <is>
          <t>DG7041</t>
        </is>
      </c>
      <c r="C631" s="308" t="n">
        <v>22</v>
      </c>
      <c r="D631" s="308" t="inlineStr">
        <is>
          <t>1"-CA-12A</t>
        </is>
      </c>
      <c r="E631" s="308" t="inlineStr">
        <is>
          <t>CA</t>
        </is>
      </c>
      <c r="F631" s="308" t="inlineStr">
        <is>
          <t>12A</t>
        </is>
      </c>
      <c r="G631" s="308" t="inlineStr">
        <is>
          <t>line</t>
        </is>
      </c>
      <c r="H631" s="311" t="n">
        <v>0.845</v>
      </c>
      <c r="I631" s="308" t="inlineStr">
        <is>
          <t>Medium</t>
        </is>
      </c>
      <c r="J631" s="308" t="inlineStr">
        <is>
          <t>drawing</t>
        </is>
      </c>
      <c r="K631" s="308" t="inlineStr">
        <is>
          <t>line:size-prefix</t>
        </is>
      </c>
      <c r="L631" s="308" t="inlineStr">
        <is>
          <t>drawing zone; process page; mapped sheet; repeated x3</t>
        </is>
      </c>
      <c r="M631" s="308" t="inlineStr">
        <is>
          <t>1"-CA-12A</t>
        </is>
      </c>
      <c r="N631" s="308" t="inlineStr">
        <is>
          <t>native</t>
        </is>
      </c>
      <c r="O631" s="308" t="inlineStr">
        <is>
          <t>native-only</t>
        </is>
      </c>
      <c r="P631" s="308" t="inlineStr">
        <is>
          <t>native</t>
        </is>
      </c>
      <c r="Q631" s="308" t="inlineStr"/>
      <c r="R631" s="308" t="inlineStr">
        <is>
          <t>native text sufficient</t>
        </is>
      </c>
      <c r="S631" s="308" t="inlineStr"/>
      <c r="T631" s="308" t="inlineStr">
        <is>
          <t>p22:native:43</t>
        </is>
      </c>
      <c r="U631" s="308" t="n">
        <v>1</v>
      </c>
    </row>
    <row r="632">
      <c r="A632" s="308" t="inlineStr">
        <is>
          <t>Missing in Excel</t>
        </is>
      </c>
      <c r="B632" s="308" t="inlineStr">
        <is>
          <t>DG7041</t>
        </is>
      </c>
      <c r="C632" s="308" t="n">
        <v>22</v>
      </c>
      <c r="D632" s="308" t="inlineStr">
        <is>
          <t>1"-CA-12A</t>
        </is>
      </c>
      <c r="E632" s="308" t="inlineStr">
        <is>
          <t>CA</t>
        </is>
      </c>
      <c r="F632" s="308" t="inlineStr">
        <is>
          <t>12A</t>
        </is>
      </c>
      <c r="G632" s="308" t="inlineStr">
        <is>
          <t>line</t>
        </is>
      </c>
      <c r="H632" s="311" t="n">
        <v>0.845</v>
      </c>
      <c r="I632" s="308" t="inlineStr">
        <is>
          <t>Medium</t>
        </is>
      </c>
      <c r="J632" s="308" t="inlineStr">
        <is>
          <t>drawing</t>
        </is>
      </c>
      <c r="K632" s="308" t="inlineStr">
        <is>
          <t>line:size-prefix</t>
        </is>
      </c>
      <c r="L632" s="308" t="inlineStr">
        <is>
          <t>drawing zone; process page; mapped sheet; repeated x3</t>
        </is>
      </c>
      <c r="M632" s="308" t="inlineStr">
        <is>
          <t>1"-CA-12A</t>
        </is>
      </c>
      <c r="N632" s="308" t="inlineStr">
        <is>
          <t>native</t>
        </is>
      </c>
      <c r="O632" s="308" t="inlineStr">
        <is>
          <t>native-only</t>
        </is>
      </c>
      <c r="P632" s="308" t="inlineStr">
        <is>
          <t>native</t>
        </is>
      </c>
      <c r="Q632" s="308" t="inlineStr"/>
      <c r="R632" s="308" t="inlineStr">
        <is>
          <t>native text sufficient</t>
        </is>
      </c>
      <c r="S632" s="308" t="inlineStr"/>
      <c r="T632" s="308" t="inlineStr">
        <is>
          <t>p22:native:44</t>
        </is>
      </c>
      <c r="U632" s="308" t="n">
        <v>1</v>
      </c>
    </row>
    <row r="633">
      <c r="A633" s="308" t="inlineStr">
        <is>
          <t>Missing in Excel</t>
        </is>
      </c>
      <c r="B633" s="308" t="inlineStr">
        <is>
          <t>DG7041</t>
        </is>
      </c>
      <c r="C633" s="308" t="n">
        <v>22</v>
      </c>
      <c r="D633" s="308" t="inlineStr">
        <is>
          <t>1"-CA-12A</t>
        </is>
      </c>
      <c r="E633" s="308" t="inlineStr">
        <is>
          <t>CA</t>
        </is>
      </c>
      <c r="F633" s="308" t="inlineStr">
        <is>
          <t>12A</t>
        </is>
      </c>
      <c r="G633" s="308" t="inlineStr">
        <is>
          <t>line</t>
        </is>
      </c>
      <c r="H633" s="311" t="n">
        <v>0.845</v>
      </c>
      <c r="I633" s="308" t="inlineStr">
        <is>
          <t>Medium</t>
        </is>
      </c>
      <c r="J633" s="308" t="inlineStr">
        <is>
          <t>drawing</t>
        </is>
      </c>
      <c r="K633" s="308" t="inlineStr">
        <is>
          <t>line:size-prefix</t>
        </is>
      </c>
      <c r="L633" s="308" t="inlineStr">
        <is>
          <t>drawing zone; process page; mapped sheet; repeated x3</t>
        </is>
      </c>
      <c r="M633" s="308" t="inlineStr">
        <is>
          <t>1"-CA-12A</t>
        </is>
      </c>
      <c r="N633" s="308" t="inlineStr">
        <is>
          <t>native</t>
        </is>
      </c>
      <c r="O633" s="308" t="inlineStr">
        <is>
          <t>native-only</t>
        </is>
      </c>
      <c r="P633" s="308" t="inlineStr">
        <is>
          <t>native</t>
        </is>
      </c>
      <c r="Q633" s="308" t="inlineStr"/>
      <c r="R633" s="308" t="inlineStr">
        <is>
          <t>native text sufficient</t>
        </is>
      </c>
      <c r="S633" s="308" t="inlineStr"/>
      <c r="T633" s="308" t="inlineStr">
        <is>
          <t>p22:native:45</t>
        </is>
      </c>
      <c r="U633" s="308" t="n">
        <v>1</v>
      </c>
    </row>
    <row r="634">
      <c r="A634" s="308" t="inlineStr">
        <is>
          <t>Missing in Excel</t>
        </is>
      </c>
      <c r="B634" s="308" t="inlineStr">
        <is>
          <t>DG7600</t>
        </is>
      </c>
      <c r="C634" s="308" t="n">
        <v>23</v>
      </c>
      <c r="D634" s="308" t="inlineStr">
        <is>
          <t>RL7-AGC-201-CV001</t>
        </is>
      </c>
      <c r="E634" s="308" t="inlineStr">
        <is>
          <t>RL7-AGC-201</t>
        </is>
      </c>
      <c r="F634" s="308" t="inlineStr">
        <is>
          <t>CV001</t>
        </is>
      </c>
      <c r="G634" s="308" t="inlineStr">
        <is>
          <t>instrument</t>
        </is>
      </c>
      <c r="H634" s="311" t="n">
        <v>0.57</v>
      </c>
      <c r="I634" s="308" t="inlineStr">
        <is>
          <t>Low</t>
        </is>
      </c>
      <c r="J634" s="308" t="inlineStr">
        <is>
          <t>drawing</t>
        </is>
      </c>
      <c r="K634" s="308" t="inlineStr">
        <is>
          <t>inferred:bare-isa</t>
        </is>
      </c>
      <c r="L634" s="308" t="inlineStr">
        <is>
          <t>drawing zone; process page; mapped sheet</t>
        </is>
      </c>
      <c r="M634" s="308" t="inlineStr">
        <is>
          <t>RL7-AGC-201 / CV</t>
        </is>
      </c>
      <c r="N634" s="308" t="inlineStr">
        <is>
          <t>native</t>
        </is>
      </c>
      <c r="O634" s="308" t="inlineStr">
        <is>
          <t>native-only</t>
        </is>
      </c>
      <c r="P634" s="308" t="inlineStr">
        <is>
          <t>native</t>
        </is>
      </c>
      <c r="Q634" s="308" t="inlineStr"/>
      <c r="R634" s="308" t="inlineStr">
        <is>
          <t>native text sufficient</t>
        </is>
      </c>
      <c r="S634" s="308" t="inlineStr"/>
      <c r="T634" s="308" t="inlineStr">
        <is>
          <t>p23:native:50, p23:native:59</t>
        </is>
      </c>
      <c r="U634" s="308" t="n">
        <v>2</v>
      </c>
    </row>
    <row r="635">
      <c r="A635" s="308" t="inlineStr">
        <is>
          <t>Missing in Excel</t>
        </is>
      </c>
      <c r="B635" s="308" t="inlineStr">
        <is>
          <t>DG7600</t>
        </is>
      </c>
      <c r="C635" s="308" t="n">
        <v>23</v>
      </c>
      <c r="D635" s="308" t="inlineStr">
        <is>
          <t>RL7-PRM-101-CV001</t>
        </is>
      </c>
      <c r="E635" s="308" t="inlineStr">
        <is>
          <t>RL7-PRM-101</t>
        </is>
      </c>
      <c r="F635" s="308" t="inlineStr">
        <is>
          <t>CV001</t>
        </is>
      </c>
      <c r="G635" s="308" t="inlineStr">
        <is>
          <t>instrument</t>
        </is>
      </c>
      <c r="H635" s="311" t="n">
        <v>0.57</v>
      </c>
      <c r="I635" s="308" t="inlineStr">
        <is>
          <t>Low</t>
        </is>
      </c>
      <c r="J635" s="308" t="inlineStr">
        <is>
          <t>drawing</t>
        </is>
      </c>
      <c r="K635" s="308" t="inlineStr">
        <is>
          <t>inferred:bare-isa</t>
        </is>
      </c>
      <c r="L635" s="308" t="inlineStr">
        <is>
          <t>drawing zone; process page; mapped sheet</t>
        </is>
      </c>
      <c r="M635" s="308" t="inlineStr">
        <is>
          <t>RL7-PRM-101 / CV</t>
        </is>
      </c>
      <c r="N635" s="308" t="inlineStr">
        <is>
          <t>native</t>
        </is>
      </c>
      <c r="O635" s="308" t="inlineStr">
        <is>
          <t>native-only</t>
        </is>
      </c>
      <c r="P635" s="308" t="inlineStr">
        <is>
          <t>native</t>
        </is>
      </c>
      <c r="Q635" s="308" t="inlineStr"/>
      <c r="R635" s="308" t="inlineStr">
        <is>
          <t>native text sufficient</t>
        </is>
      </c>
      <c r="S635" s="308" t="inlineStr"/>
      <c r="T635" s="308" t="inlineStr">
        <is>
          <t>p23:native:46, p23:native:65</t>
        </is>
      </c>
      <c r="U635" s="308" t="n">
        <v>2</v>
      </c>
    </row>
    <row r="636">
      <c r="A636" s="308" t="inlineStr">
        <is>
          <t>Missing in Excel</t>
        </is>
      </c>
      <c r="B636" s="308" t="inlineStr">
        <is>
          <t>DG7600</t>
        </is>
      </c>
      <c r="C636" s="308" t="n">
        <v>23</v>
      </c>
      <c r="D636" s="308" t="inlineStr">
        <is>
          <t>RL7-TNK-101-CV001</t>
        </is>
      </c>
      <c r="E636" s="308" t="inlineStr">
        <is>
          <t>RL7-TNK-101</t>
        </is>
      </c>
      <c r="F636" s="308" t="inlineStr">
        <is>
          <t>CV001</t>
        </is>
      </c>
      <c r="G636" s="308" t="inlineStr">
        <is>
          <t>instrument</t>
        </is>
      </c>
      <c r="H636" s="311" t="n">
        <v>0.57</v>
      </c>
      <c r="I636" s="308" t="inlineStr">
        <is>
          <t>Low</t>
        </is>
      </c>
      <c r="J636" s="308" t="inlineStr">
        <is>
          <t>drawing</t>
        </is>
      </c>
      <c r="K636" s="308" t="inlineStr">
        <is>
          <t>inferred:bare-isa</t>
        </is>
      </c>
      <c r="L636" s="308" t="inlineStr">
        <is>
          <t>drawing zone; process page; mapped sheet</t>
        </is>
      </c>
      <c r="M636" s="308" t="inlineStr">
        <is>
          <t>RL7-TNK-101 / CV</t>
        </is>
      </c>
      <c r="N636" s="308" t="inlineStr">
        <is>
          <t>native</t>
        </is>
      </c>
      <c r="O636" s="308" t="inlineStr">
        <is>
          <t>native-only</t>
        </is>
      </c>
      <c r="P636" s="308" t="inlineStr">
        <is>
          <t>native</t>
        </is>
      </c>
      <c r="Q636" s="308" t="inlineStr"/>
      <c r="R636" s="308" t="inlineStr">
        <is>
          <t>native text sufficient</t>
        </is>
      </c>
      <c r="S636" s="308" t="inlineStr"/>
      <c r="T636" s="308" t="inlineStr">
        <is>
          <t>p23:native:42, p23:native:71</t>
        </is>
      </c>
      <c r="U636" s="308" t="n">
        <v>2</v>
      </c>
    </row>
    <row r="637">
      <c r="A637" s="308" t="inlineStr">
        <is>
          <t>Missing in Excel</t>
        </is>
      </c>
      <c r="B637" s="308" t="inlineStr">
        <is>
          <t>DG7600</t>
        </is>
      </c>
      <c r="C637" s="308" t="n">
        <v>23</v>
      </c>
      <c r="D637" s="308" t="inlineStr">
        <is>
          <t>2"-CIP-T4</t>
        </is>
      </c>
      <c r="E637" s="308" t="inlineStr">
        <is>
          <t>CIP</t>
        </is>
      </c>
      <c r="F637" s="308" t="inlineStr">
        <is>
          <t>T4</t>
        </is>
      </c>
      <c r="G637" s="308" t="inlineStr">
        <is>
          <t>line</t>
        </is>
      </c>
      <c r="H637" s="311" t="n">
        <v>0.87</v>
      </c>
      <c r="I637" s="308" t="inlineStr">
        <is>
          <t>Medium</t>
        </is>
      </c>
      <c r="J637" s="308" t="inlineStr">
        <is>
          <t>drawing</t>
        </is>
      </c>
      <c r="K637" s="308" t="inlineStr">
        <is>
          <t>line:size-prefix</t>
        </is>
      </c>
      <c r="L637" s="308" t="inlineStr">
        <is>
          <t>drawing zone; process page; mapped sheet; repeated x10</t>
        </is>
      </c>
      <c r="M637" s="308" t="inlineStr">
        <is>
          <t>2"-CIP-T4</t>
        </is>
      </c>
      <c r="N637" s="308" t="inlineStr">
        <is>
          <t>native</t>
        </is>
      </c>
      <c r="O637" s="308" t="inlineStr">
        <is>
          <t>native-only</t>
        </is>
      </c>
      <c r="P637" s="308" t="inlineStr">
        <is>
          <t>native</t>
        </is>
      </c>
      <c r="Q637" s="308" t="inlineStr"/>
      <c r="R637" s="308" t="inlineStr">
        <is>
          <t>native text sufficient</t>
        </is>
      </c>
      <c r="S637" s="308" t="inlineStr"/>
      <c r="T637" s="308" t="inlineStr">
        <is>
          <t>p23:native:26</t>
        </is>
      </c>
      <c r="U637" s="308" t="n">
        <v>1</v>
      </c>
    </row>
    <row r="638">
      <c r="A638" s="308" t="inlineStr">
        <is>
          <t>Missing in Excel</t>
        </is>
      </c>
      <c r="B638" s="308" t="inlineStr">
        <is>
          <t>DG7600</t>
        </is>
      </c>
      <c r="C638" s="308" t="n">
        <v>23</v>
      </c>
      <c r="D638" s="308" t="inlineStr">
        <is>
          <t>2"-CIP-T4</t>
        </is>
      </c>
      <c r="E638" s="308" t="inlineStr">
        <is>
          <t>CIP</t>
        </is>
      </c>
      <c r="F638" s="308" t="inlineStr">
        <is>
          <t>T4</t>
        </is>
      </c>
      <c r="G638" s="308" t="inlineStr">
        <is>
          <t>line</t>
        </is>
      </c>
      <c r="H638" s="311" t="n">
        <v>0.87</v>
      </c>
      <c r="I638" s="308" t="inlineStr">
        <is>
          <t>Medium</t>
        </is>
      </c>
      <c r="J638" s="308" t="inlineStr">
        <is>
          <t>drawing</t>
        </is>
      </c>
      <c r="K638" s="308" t="inlineStr">
        <is>
          <t>line:size-prefix</t>
        </is>
      </c>
      <c r="L638" s="308" t="inlineStr">
        <is>
          <t>drawing zone; process page; mapped sheet; repeated x10</t>
        </is>
      </c>
      <c r="M638" s="308" t="inlineStr">
        <is>
          <t>2"-CIP-T4</t>
        </is>
      </c>
      <c r="N638" s="308" t="inlineStr">
        <is>
          <t>native</t>
        </is>
      </c>
      <c r="O638" s="308" t="inlineStr">
        <is>
          <t>native-only</t>
        </is>
      </c>
      <c r="P638" s="308" t="inlineStr">
        <is>
          <t>native</t>
        </is>
      </c>
      <c r="Q638" s="308" t="inlineStr"/>
      <c r="R638" s="308" t="inlineStr">
        <is>
          <t>native text sufficient</t>
        </is>
      </c>
      <c r="S638" s="308" t="inlineStr"/>
      <c r="T638" s="308" t="inlineStr">
        <is>
          <t>p23:native:27</t>
        </is>
      </c>
      <c r="U638" s="308" t="n">
        <v>1</v>
      </c>
    </row>
    <row r="639">
      <c r="A639" s="308" t="inlineStr">
        <is>
          <t>Missing in Excel</t>
        </is>
      </c>
      <c r="B639" s="308" t="inlineStr">
        <is>
          <t>DG7600</t>
        </is>
      </c>
      <c r="C639" s="308" t="n">
        <v>23</v>
      </c>
      <c r="D639" s="308" t="inlineStr">
        <is>
          <t>2"-CIP-T4</t>
        </is>
      </c>
      <c r="E639" s="308" t="inlineStr">
        <is>
          <t>CIP</t>
        </is>
      </c>
      <c r="F639" s="308" t="inlineStr">
        <is>
          <t>T4</t>
        </is>
      </c>
      <c r="G639" s="308" t="inlineStr">
        <is>
          <t>line</t>
        </is>
      </c>
      <c r="H639" s="311" t="n">
        <v>0.87</v>
      </c>
      <c r="I639" s="308" t="inlineStr">
        <is>
          <t>Medium</t>
        </is>
      </c>
      <c r="J639" s="308" t="inlineStr">
        <is>
          <t>drawing</t>
        </is>
      </c>
      <c r="K639" s="308" t="inlineStr">
        <is>
          <t>line:size-prefix</t>
        </is>
      </c>
      <c r="L639" s="308" t="inlineStr">
        <is>
          <t>drawing zone; process page; mapped sheet; repeated x10</t>
        </is>
      </c>
      <c r="M639" s="308" t="inlineStr">
        <is>
          <t>2"-CIP-T4</t>
        </is>
      </c>
      <c r="N639" s="308" t="inlineStr">
        <is>
          <t>native</t>
        </is>
      </c>
      <c r="O639" s="308" t="inlineStr">
        <is>
          <t>native-only</t>
        </is>
      </c>
      <c r="P639" s="308" t="inlineStr">
        <is>
          <t>native</t>
        </is>
      </c>
      <c r="Q639" s="308" t="inlineStr"/>
      <c r="R639" s="308" t="inlineStr">
        <is>
          <t>native text sufficient</t>
        </is>
      </c>
      <c r="S639" s="308" t="inlineStr"/>
      <c r="T639" s="308" t="inlineStr">
        <is>
          <t>p23:native:28</t>
        </is>
      </c>
      <c r="U639" s="308" t="n">
        <v>1</v>
      </c>
    </row>
    <row r="640">
      <c r="A640" s="308" t="inlineStr">
        <is>
          <t>Missing in Excel</t>
        </is>
      </c>
      <c r="B640" s="308" t="inlineStr">
        <is>
          <t>DG7600</t>
        </is>
      </c>
      <c r="C640" s="308" t="n">
        <v>23</v>
      </c>
      <c r="D640" s="308" t="inlineStr">
        <is>
          <t>2"-CIP-T4</t>
        </is>
      </c>
      <c r="E640" s="308" t="inlineStr">
        <is>
          <t>CIP</t>
        </is>
      </c>
      <c r="F640" s="308" t="inlineStr">
        <is>
          <t>T4</t>
        </is>
      </c>
      <c r="G640" s="308" t="inlineStr">
        <is>
          <t>line</t>
        </is>
      </c>
      <c r="H640" s="311" t="n">
        <v>0.87</v>
      </c>
      <c r="I640" s="308" t="inlineStr">
        <is>
          <t>Medium</t>
        </is>
      </c>
      <c r="J640" s="308" t="inlineStr">
        <is>
          <t>drawing</t>
        </is>
      </c>
      <c r="K640" s="308" t="inlineStr">
        <is>
          <t>line:size-prefix</t>
        </is>
      </c>
      <c r="L640" s="308" t="inlineStr">
        <is>
          <t>drawing zone; process page; mapped sheet; repeated x10</t>
        </is>
      </c>
      <c r="M640" s="308" t="inlineStr">
        <is>
          <t>2"-CIP-T4</t>
        </is>
      </c>
      <c r="N640" s="308" t="inlineStr">
        <is>
          <t>native</t>
        </is>
      </c>
      <c r="O640" s="308" t="inlineStr">
        <is>
          <t>native-only</t>
        </is>
      </c>
      <c r="P640" s="308" t="inlineStr">
        <is>
          <t>native</t>
        </is>
      </c>
      <c r="Q640" s="308" t="inlineStr"/>
      <c r="R640" s="308" t="inlineStr">
        <is>
          <t>native text sufficient</t>
        </is>
      </c>
      <c r="S640" s="308" t="inlineStr"/>
      <c r="T640" s="308" t="inlineStr">
        <is>
          <t>p23:native:29</t>
        </is>
      </c>
      <c r="U640" s="308" t="n">
        <v>1</v>
      </c>
    </row>
    <row r="641">
      <c r="A641" s="308" t="inlineStr">
        <is>
          <t>Missing in Excel</t>
        </is>
      </c>
      <c r="B641" s="308" t="inlineStr">
        <is>
          <t>DG7600</t>
        </is>
      </c>
      <c r="C641" s="308" t="n">
        <v>23</v>
      </c>
      <c r="D641" s="308" t="inlineStr">
        <is>
          <t>2"-CIP-T4</t>
        </is>
      </c>
      <c r="E641" s="308" t="inlineStr">
        <is>
          <t>CIP</t>
        </is>
      </c>
      <c r="F641" s="308" t="inlineStr">
        <is>
          <t>T4</t>
        </is>
      </c>
      <c r="G641" s="308" t="inlineStr">
        <is>
          <t>line</t>
        </is>
      </c>
      <c r="H641" s="311" t="n">
        <v>0.87</v>
      </c>
      <c r="I641" s="308" t="inlineStr">
        <is>
          <t>Medium</t>
        </is>
      </c>
      <c r="J641" s="308" t="inlineStr">
        <is>
          <t>drawing</t>
        </is>
      </c>
      <c r="K641" s="308" t="inlineStr">
        <is>
          <t>line:size-prefix</t>
        </is>
      </c>
      <c r="L641" s="308" t="inlineStr">
        <is>
          <t>drawing zone; process page; mapped sheet; repeated x10</t>
        </is>
      </c>
      <c r="M641" s="308" t="inlineStr">
        <is>
          <t>2"-CIP-T4</t>
        </is>
      </c>
      <c r="N641" s="308" t="inlineStr">
        <is>
          <t>native</t>
        </is>
      </c>
      <c r="O641" s="308" t="inlineStr">
        <is>
          <t>native-only</t>
        </is>
      </c>
      <c r="P641" s="308" t="inlineStr">
        <is>
          <t>native</t>
        </is>
      </c>
      <c r="Q641" s="308" t="inlineStr"/>
      <c r="R641" s="308" t="inlineStr">
        <is>
          <t>native text sufficient</t>
        </is>
      </c>
      <c r="S641" s="308" t="inlineStr"/>
      <c r="T641" s="308" t="inlineStr">
        <is>
          <t>p23:native:38</t>
        </is>
      </c>
      <c r="U641" s="308" t="n">
        <v>1</v>
      </c>
    </row>
    <row r="642">
      <c r="A642" s="308" t="inlineStr">
        <is>
          <t>Missing in Excel</t>
        </is>
      </c>
      <c r="B642" s="308" t="inlineStr">
        <is>
          <t>DG7600</t>
        </is>
      </c>
      <c r="C642" s="308" t="n">
        <v>23</v>
      </c>
      <c r="D642" s="308" t="inlineStr">
        <is>
          <t>2"-CIP-T4</t>
        </is>
      </c>
      <c r="E642" s="308" t="inlineStr">
        <is>
          <t>CIP</t>
        </is>
      </c>
      <c r="F642" s="308" t="inlineStr">
        <is>
          <t>T4</t>
        </is>
      </c>
      <c r="G642" s="308" t="inlineStr">
        <is>
          <t>line</t>
        </is>
      </c>
      <c r="H642" s="311" t="n">
        <v>0.87</v>
      </c>
      <c r="I642" s="308" t="inlineStr">
        <is>
          <t>Medium</t>
        </is>
      </c>
      <c r="J642" s="308" t="inlineStr">
        <is>
          <t>drawing</t>
        </is>
      </c>
      <c r="K642" s="308" t="inlineStr">
        <is>
          <t>line:size-prefix</t>
        </is>
      </c>
      <c r="L642" s="308" t="inlineStr">
        <is>
          <t>drawing zone; process page; mapped sheet; repeated x10</t>
        </is>
      </c>
      <c r="M642" s="308" t="inlineStr">
        <is>
          <t>2"-CIP-T4</t>
        </is>
      </c>
      <c r="N642" s="308" t="inlineStr">
        <is>
          <t>native</t>
        </is>
      </c>
      <c r="O642" s="308" t="inlineStr">
        <is>
          <t>native-only</t>
        </is>
      </c>
      <c r="P642" s="308" t="inlineStr">
        <is>
          <t>native</t>
        </is>
      </c>
      <c r="Q642" s="308" t="inlineStr"/>
      <c r="R642" s="308" t="inlineStr">
        <is>
          <t>native text sufficient</t>
        </is>
      </c>
      <c r="S642" s="308" t="inlineStr"/>
      <c r="T642" s="308" t="inlineStr">
        <is>
          <t>p23:native:39</t>
        </is>
      </c>
      <c r="U642" s="308" t="n">
        <v>1</v>
      </c>
    </row>
    <row r="643">
      <c r="A643" s="308" t="inlineStr">
        <is>
          <t>Missing in Excel</t>
        </is>
      </c>
      <c r="B643" s="308" t="inlineStr">
        <is>
          <t>DG7600</t>
        </is>
      </c>
      <c r="C643" s="308" t="n">
        <v>23</v>
      </c>
      <c r="D643" s="308" t="inlineStr">
        <is>
          <t>2"-CIP-T4</t>
        </is>
      </c>
      <c r="E643" s="308" t="inlineStr">
        <is>
          <t>CIP</t>
        </is>
      </c>
      <c r="F643" s="308" t="inlineStr">
        <is>
          <t>T4</t>
        </is>
      </c>
      <c r="G643" s="308" t="inlineStr">
        <is>
          <t>line</t>
        </is>
      </c>
      <c r="H643" s="311" t="n">
        <v>0.87</v>
      </c>
      <c r="I643" s="308" t="inlineStr">
        <is>
          <t>Medium</t>
        </is>
      </c>
      <c r="J643" s="308" t="inlineStr">
        <is>
          <t>drawing</t>
        </is>
      </c>
      <c r="K643" s="308" t="inlineStr">
        <is>
          <t>line:size-prefix</t>
        </is>
      </c>
      <c r="L643" s="308" t="inlineStr">
        <is>
          <t>drawing zone; process page; mapped sheet; repeated x10</t>
        </is>
      </c>
      <c r="M643" s="308" t="inlineStr">
        <is>
          <t>2"-CIP-T4 CIPS</t>
        </is>
      </c>
      <c r="N643" s="308" t="inlineStr">
        <is>
          <t>native</t>
        </is>
      </c>
      <c r="O643" s="308" t="inlineStr">
        <is>
          <t>native-only</t>
        </is>
      </c>
      <c r="P643" s="308" t="inlineStr">
        <is>
          <t>native</t>
        </is>
      </c>
      <c r="Q643" s="308" t="inlineStr"/>
      <c r="R643" s="308" t="inlineStr">
        <is>
          <t>native text sufficient</t>
        </is>
      </c>
      <c r="S643" s="308" t="inlineStr"/>
      <c r="T643" s="308" t="inlineStr">
        <is>
          <t>p23:native:39, p23:native:37</t>
        </is>
      </c>
      <c r="U643" s="308" t="n">
        <v>2</v>
      </c>
    </row>
    <row r="644">
      <c r="A644" s="308" t="inlineStr">
        <is>
          <t>Missing in Excel</t>
        </is>
      </c>
      <c r="B644" s="308" t="inlineStr">
        <is>
          <t>DG7600</t>
        </is>
      </c>
      <c r="C644" s="308" t="n">
        <v>23</v>
      </c>
      <c r="D644" s="308" t="inlineStr">
        <is>
          <t>2"-CIP-T4</t>
        </is>
      </c>
      <c r="E644" s="308" t="inlineStr">
        <is>
          <t>CIP</t>
        </is>
      </c>
      <c r="F644" s="308" t="inlineStr">
        <is>
          <t>T4</t>
        </is>
      </c>
      <c r="G644" s="308" t="inlineStr">
        <is>
          <t>line</t>
        </is>
      </c>
      <c r="H644" s="311" t="n">
        <v>0.87</v>
      </c>
      <c r="I644" s="308" t="inlineStr">
        <is>
          <t>Medium</t>
        </is>
      </c>
      <c r="J644" s="308" t="inlineStr">
        <is>
          <t>drawing</t>
        </is>
      </c>
      <c r="K644" s="308" t="inlineStr">
        <is>
          <t>line:size-prefix</t>
        </is>
      </c>
      <c r="L644" s="308" t="inlineStr">
        <is>
          <t>drawing zone; process page; mapped sheet; repeated x10</t>
        </is>
      </c>
      <c r="M644" s="308" t="inlineStr">
        <is>
          <t>2"-CIP-T4 CIPS</t>
        </is>
      </c>
      <c r="N644" s="308" t="inlineStr">
        <is>
          <t>native</t>
        </is>
      </c>
      <c r="O644" s="308" t="inlineStr">
        <is>
          <t>native-only</t>
        </is>
      </c>
      <c r="P644" s="308" t="inlineStr">
        <is>
          <t>native</t>
        </is>
      </c>
      <c r="Q644" s="308" t="inlineStr"/>
      <c r="R644" s="308" t="inlineStr">
        <is>
          <t>native text sufficient</t>
        </is>
      </c>
      <c r="S644" s="308" t="inlineStr"/>
      <c r="T644" s="308" t="inlineStr">
        <is>
          <t>p23:native:26, p23:native:25</t>
        </is>
      </c>
      <c r="U644" s="308" t="n">
        <v>2</v>
      </c>
    </row>
    <row r="645">
      <c r="A645" s="308" t="inlineStr">
        <is>
          <t>Missing in Excel</t>
        </is>
      </c>
      <c r="B645" s="308" t="inlineStr">
        <is>
          <t>DG7600</t>
        </is>
      </c>
      <c r="C645" s="308" t="n">
        <v>23</v>
      </c>
      <c r="D645" s="308" t="inlineStr">
        <is>
          <t>2"-CIP-T4</t>
        </is>
      </c>
      <c r="E645" s="308" t="inlineStr">
        <is>
          <t>CIP</t>
        </is>
      </c>
      <c r="F645" s="308" t="inlineStr">
        <is>
          <t>T4</t>
        </is>
      </c>
      <c r="G645" s="308" t="inlineStr">
        <is>
          <t>line</t>
        </is>
      </c>
      <c r="H645" s="311" t="n">
        <v>0.87</v>
      </c>
      <c r="I645" s="308" t="inlineStr">
        <is>
          <t>Medium</t>
        </is>
      </c>
      <c r="J645" s="308" t="inlineStr">
        <is>
          <t>drawing</t>
        </is>
      </c>
      <c r="K645" s="308" t="inlineStr">
        <is>
          <t>line:size-prefix</t>
        </is>
      </c>
      <c r="L645" s="308" t="inlineStr">
        <is>
          <t>drawing zone; process page; mapped sheet; repeated x10</t>
        </is>
      </c>
      <c r="M645" s="308" t="inlineStr">
        <is>
          <t>2"-CIP-T4 CIPS</t>
        </is>
      </c>
      <c r="N645" s="308" t="inlineStr">
        <is>
          <t>native</t>
        </is>
      </c>
      <c r="O645" s="308" t="inlineStr">
        <is>
          <t>native-only</t>
        </is>
      </c>
      <c r="P645" s="308" t="inlineStr">
        <is>
          <t>native</t>
        </is>
      </c>
      <c r="Q645" s="308" t="inlineStr"/>
      <c r="R645" s="308" t="inlineStr">
        <is>
          <t>native text sufficient</t>
        </is>
      </c>
      <c r="S645" s="308" t="inlineStr"/>
      <c r="T645" s="308" t="inlineStr">
        <is>
          <t>p23:native:27, p23:native:21</t>
        </is>
      </c>
      <c r="U645" s="308" t="n">
        <v>2</v>
      </c>
    </row>
    <row r="646">
      <c r="A646" s="308" t="inlineStr">
        <is>
          <t>Missing in Excel</t>
        </is>
      </c>
      <c r="B646" s="308" t="inlineStr">
        <is>
          <t>DG7600</t>
        </is>
      </c>
      <c r="C646" s="308" t="n">
        <v>23</v>
      </c>
      <c r="D646" s="308" t="inlineStr">
        <is>
          <t>2"-CIP-T4</t>
        </is>
      </c>
      <c r="E646" s="308" t="inlineStr">
        <is>
          <t>CIP</t>
        </is>
      </c>
      <c r="F646" s="308" t="inlineStr">
        <is>
          <t>T4</t>
        </is>
      </c>
      <c r="G646" s="308" t="inlineStr">
        <is>
          <t>line</t>
        </is>
      </c>
      <c r="H646" s="311" t="n">
        <v>0.87</v>
      </c>
      <c r="I646" s="308" t="inlineStr">
        <is>
          <t>Medium</t>
        </is>
      </c>
      <c r="J646" s="308" t="inlineStr">
        <is>
          <t>drawing</t>
        </is>
      </c>
      <c r="K646" s="308" t="inlineStr">
        <is>
          <t>line:size-prefix</t>
        </is>
      </c>
      <c r="L646" s="308" t="inlineStr">
        <is>
          <t>drawing zone; process page; mapped sheet; repeated x10</t>
        </is>
      </c>
      <c r="M646" s="308" t="inlineStr">
        <is>
          <t>2"-CIP-T4 CIPS</t>
        </is>
      </c>
      <c r="N646" s="308" t="inlineStr">
        <is>
          <t>native</t>
        </is>
      </c>
      <c r="O646" s="308" t="inlineStr">
        <is>
          <t>native-only</t>
        </is>
      </c>
      <c r="P646" s="308" t="inlineStr">
        <is>
          <t>native</t>
        </is>
      </c>
      <c r="Q646" s="308" t="inlineStr"/>
      <c r="R646" s="308" t="inlineStr">
        <is>
          <t>native text sufficient</t>
        </is>
      </c>
      <c r="S646" s="308" t="inlineStr"/>
      <c r="T646" s="308" t="inlineStr">
        <is>
          <t>p23:native:28, p23:native:17</t>
        </is>
      </c>
      <c r="U646" s="308" t="n">
        <v>2</v>
      </c>
    </row>
    <row r="647">
      <c r="A647" s="308" t="inlineStr">
        <is>
          <t>Missing in Excel</t>
        </is>
      </c>
      <c r="B647" s="308" t="inlineStr">
        <is>
          <t>DG7600</t>
        </is>
      </c>
      <c r="C647" s="308" t="n">
        <v>23</v>
      </c>
      <c r="D647" s="308" t="inlineStr">
        <is>
          <t>3"-CIP-T4</t>
        </is>
      </c>
      <c r="E647" s="308" t="inlineStr">
        <is>
          <t>CIP</t>
        </is>
      </c>
      <c r="F647" s="308" t="inlineStr">
        <is>
          <t>T4</t>
        </is>
      </c>
      <c r="G647" s="308" t="inlineStr">
        <is>
          <t>line</t>
        </is>
      </c>
      <c r="H647" s="311" t="n">
        <v>0.845</v>
      </c>
      <c r="I647" s="308" t="inlineStr">
        <is>
          <t>Medium</t>
        </is>
      </c>
      <c r="J647" s="308" t="inlineStr">
        <is>
          <t>drawing</t>
        </is>
      </c>
      <c r="K647" s="308" t="inlineStr">
        <is>
          <t>line:size-prefix</t>
        </is>
      </c>
      <c r="L647" s="308" t="inlineStr">
        <is>
          <t>drawing zone; process page; mapped sheet; repeated x3</t>
        </is>
      </c>
      <c r="M647" s="308" t="inlineStr">
        <is>
          <t>3"-CIP-T4</t>
        </is>
      </c>
      <c r="N647" s="308" t="inlineStr">
        <is>
          <t>native</t>
        </is>
      </c>
      <c r="O647" s="308" t="inlineStr">
        <is>
          <t>native-only</t>
        </is>
      </c>
      <c r="P647" s="308" t="inlineStr">
        <is>
          <t>native</t>
        </is>
      </c>
      <c r="Q647" s="308" t="inlineStr"/>
      <c r="R647" s="308" t="inlineStr">
        <is>
          <t>native text sufficient</t>
        </is>
      </c>
      <c r="S647" s="308" t="inlineStr"/>
      <c r="T647" s="308" t="inlineStr">
        <is>
          <t>p23:native:52</t>
        </is>
      </c>
      <c r="U647" s="308" t="n">
        <v>1</v>
      </c>
    </row>
    <row r="648">
      <c r="A648" s="308" t="inlineStr">
        <is>
          <t>Missing in Excel</t>
        </is>
      </c>
      <c r="B648" s="308" t="inlineStr">
        <is>
          <t>DG7600</t>
        </is>
      </c>
      <c r="C648" s="308" t="n">
        <v>23</v>
      </c>
      <c r="D648" s="308" t="inlineStr">
        <is>
          <t>3"-CIP-T4</t>
        </is>
      </c>
      <c r="E648" s="308" t="inlineStr">
        <is>
          <t>CIP</t>
        </is>
      </c>
      <c r="F648" s="308" t="inlineStr">
        <is>
          <t>T4</t>
        </is>
      </c>
      <c r="G648" s="308" t="inlineStr">
        <is>
          <t>line</t>
        </is>
      </c>
      <c r="H648" s="311" t="n">
        <v>0.845</v>
      </c>
      <c r="I648" s="308" t="inlineStr">
        <is>
          <t>Medium</t>
        </is>
      </c>
      <c r="J648" s="308" t="inlineStr">
        <is>
          <t>drawing</t>
        </is>
      </c>
      <c r="K648" s="308" t="inlineStr">
        <is>
          <t>line:size-prefix</t>
        </is>
      </c>
      <c r="L648" s="308" t="inlineStr">
        <is>
          <t>drawing zone; process page; mapped sheet; repeated x3</t>
        </is>
      </c>
      <c r="M648" s="308" t="inlineStr">
        <is>
          <t>3"-CIP-T4</t>
        </is>
      </c>
      <c r="N648" s="308" t="inlineStr">
        <is>
          <t>native</t>
        </is>
      </c>
      <c r="O648" s="308" t="inlineStr">
        <is>
          <t>native-only</t>
        </is>
      </c>
      <c r="P648" s="308" t="inlineStr">
        <is>
          <t>native</t>
        </is>
      </c>
      <c r="Q648" s="308" t="inlineStr"/>
      <c r="R648" s="308" t="inlineStr">
        <is>
          <t>native text sufficient</t>
        </is>
      </c>
      <c r="S648" s="308" t="inlineStr"/>
      <c r="T648" s="308" t="inlineStr">
        <is>
          <t>p23:native:53</t>
        </is>
      </c>
      <c r="U648" s="308" t="n">
        <v>1</v>
      </c>
    </row>
    <row r="649">
      <c r="A649" s="308" t="inlineStr">
        <is>
          <t>Missing in Excel</t>
        </is>
      </c>
      <c r="B649" s="308" t="inlineStr">
        <is>
          <t>DG7600</t>
        </is>
      </c>
      <c r="C649" s="308" t="n">
        <v>23</v>
      </c>
      <c r="D649" s="308" t="inlineStr">
        <is>
          <t>3"-CIP-T4</t>
        </is>
      </c>
      <c r="E649" s="308" t="inlineStr">
        <is>
          <t>CIP</t>
        </is>
      </c>
      <c r="F649" s="308" t="inlineStr">
        <is>
          <t>T4</t>
        </is>
      </c>
      <c r="G649" s="308" t="inlineStr">
        <is>
          <t>line</t>
        </is>
      </c>
      <c r="H649" s="311" t="n">
        <v>0.845</v>
      </c>
      <c r="I649" s="308" t="inlineStr">
        <is>
          <t>Medium</t>
        </is>
      </c>
      <c r="J649" s="308" t="inlineStr">
        <is>
          <t>drawing</t>
        </is>
      </c>
      <c r="K649" s="308" t="inlineStr">
        <is>
          <t>line:size-prefix</t>
        </is>
      </c>
      <c r="L649" s="308" t="inlineStr">
        <is>
          <t>drawing zone; process page; mapped sheet; repeated x3</t>
        </is>
      </c>
      <c r="M649" s="308" t="inlineStr">
        <is>
          <t>3"-CIP-T4</t>
        </is>
      </c>
      <c r="N649" s="308" t="inlineStr">
        <is>
          <t>native</t>
        </is>
      </c>
      <c r="O649" s="308" t="inlineStr">
        <is>
          <t>native-only</t>
        </is>
      </c>
      <c r="P649" s="308" t="inlineStr">
        <is>
          <t>native</t>
        </is>
      </c>
      <c r="Q649" s="308" t="inlineStr"/>
      <c r="R649" s="308" t="inlineStr">
        <is>
          <t>native text sufficient</t>
        </is>
      </c>
      <c r="S649" s="308" t="inlineStr"/>
      <c r="T649" s="308" t="inlineStr">
        <is>
          <t>p23:native:54</t>
        </is>
      </c>
      <c r="U649" s="308" t="n">
        <v>1</v>
      </c>
    </row>
    <row r="650">
      <c r="A650" s="308" t="inlineStr">
        <is>
          <t>Missing in Excel</t>
        </is>
      </c>
      <c r="B650" s="308" t="inlineStr">
        <is>
          <t>DG7600</t>
        </is>
      </c>
      <c r="C650" s="308" t="n">
        <v>23</v>
      </c>
      <c r="D650" s="308" t="inlineStr">
        <is>
          <t>RL7-AGC-201</t>
        </is>
      </c>
      <c r="E650" s="308" t="inlineStr">
        <is>
          <t>RL7-AGC-201</t>
        </is>
      </c>
      <c r="F650" s="308" t="inlineStr"/>
      <c r="G650" s="308" t="inlineStr">
        <is>
          <t>equipment</t>
        </is>
      </c>
      <c r="H650" s="311" t="n">
        <v>0.49</v>
      </c>
      <c r="I650" s="308" t="inlineStr">
        <is>
          <t>Low</t>
        </is>
      </c>
      <c r="J650" s="308" t="inlineStr">
        <is>
          <t>title-block/right</t>
        </is>
      </c>
      <c r="K650" s="308" t="inlineStr">
        <is>
          <t>standalone:asset</t>
        </is>
      </c>
      <c r="L650" s="308" t="inlineStr">
        <is>
          <t>title-block penalty; process page; mapped sheet</t>
        </is>
      </c>
      <c r="M650" s="308" t="inlineStr">
        <is>
          <t>RL7-AGC-201</t>
        </is>
      </c>
      <c r="N650" s="308" t="inlineStr">
        <is>
          <t>native</t>
        </is>
      </c>
      <c r="O650" s="308" t="inlineStr">
        <is>
          <t>native-only</t>
        </is>
      </c>
      <c r="P650" s="308" t="inlineStr">
        <is>
          <t>native</t>
        </is>
      </c>
      <c r="Q650" s="308" t="inlineStr"/>
      <c r="R650" s="308" t="inlineStr">
        <is>
          <t>native text sufficient</t>
        </is>
      </c>
      <c r="S650" s="308" t="inlineStr"/>
      <c r="T650" s="308" t="inlineStr">
        <is>
          <t>p23:native:36</t>
        </is>
      </c>
      <c r="U650" s="308" t="n">
        <v>1</v>
      </c>
    </row>
    <row r="651">
      <c r="A651" s="308" t="inlineStr">
        <is>
          <t>Missing in Excel</t>
        </is>
      </c>
      <c r="B651" s="308" t="inlineStr">
        <is>
          <t>DG7600</t>
        </is>
      </c>
      <c r="C651" s="308" t="n">
        <v>23</v>
      </c>
      <c r="D651" s="308" t="inlineStr">
        <is>
          <t>RL7-CKR-101</t>
        </is>
      </c>
      <c r="E651" s="308" t="inlineStr">
        <is>
          <t>RL7-CKR-101</t>
        </is>
      </c>
      <c r="F651" s="308" t="inlineStr"/>
      <c r="G651" s="308" t="inlineStr">
        <is>
          <t>equipment</t>
        </is>
      </c>
      <c r="H651" s="311" t="n">
        <v>0.49</v>
      </c>
      <c r="I651" s="308" t="inlineStr">
        <is>
          <t>Low</t>
        </is>
      </c>
      <c r="J651" s="308" t="inlineStr">
        <is>
          <t>title-block/right</t>
        </is>
      </c>
      <c r="K651" s="308" t="inlineStr">
        <is>
          <t>standalone:asset</t>
        </is>
      </c>
      <c r="L651" s="308" t="inlineStr">
        <is>
          <t>title-block penalty; process page; mapped sheet</t>
        </is>
      </c>
      <c r="M651" s="308" t="inlineStr">
        <is>
          <t>RL7-CKR-101</t>
        </is>
      </c>
      <c r="N651" s="308" t="inlineStr">
        <is>
          <t>native</t>
        </is>
      </c>
      <c r="O651" s="308" t="inlineStr">
        <is>
          <t>native-only</t>
        </is>
      </c>
      <c r="P651" s="308" t="inlineStr">
        <is>
          <t>native</t>
        </is>
      </c>
      <c r="Q651" s="308" t="inlineStr"/>
      <c r="R651" s="308" t="inlineStr">
        <is>
          <t>native text sufficient</t>
        </is>
      </c>
      <c r="S651" s="308" t="inlineStr"/>
      <c r="T651" s="308" t="inlineStr">
        <is>
          <t>p23:native:20</t>
        </is>
      </c>
      <c r="U651" s="308" t="n">
        <v>1</v>
      </c>
    </row>
    <row r="652">
      <c r="A652" s="308" t="inlineStr">
        <is>
          <t>Missing in Excel</t>
        </is>
      </c>
      <c r="B652" s="308" t="inlineStr">
        <is>
          <t>DG7600</t>
        </is>
      </c>
      <c r="C652" s="308" t="n">
        <v>23</v>
      </c>
      <c r="D652" s="308" t="inlineStr">
        <is>
          <t>RL7-CKR-102</t>
        </is>
      </c>
      <c r="E652" s="308" t="inlineStr">
        <is>
          <t>RL7-CKR-102</t>
        </is>
      </c>
      <c r="F652" s="308" t="inlineStr"/>
      <c r="G652" s="308" t="inlineStr">
        <is>
          <t>equipment</t>
        </is>
      </c>
      <c r="H652" s="311" t="n">
        <v>0.49</v>
      </c>
      <c r="I652" s="308" t="inlineStr">
        <is>
          <t>Low</t>
        </is>
      </c>
      <c r="J652" s="308" t="inlineStr">
        <is>
          <t>title-block/right</t>
        </is>
      </c>
      <c r="K652" s="308" t="inlineStr">
        <is>
          <t>standalone:asset</t>
        </is>
      </c>
      <c r="L652" s="308" t="inlineStr">
        <is>
          <t>title-block penalty; process page; mapped sheet</t>
        </is>
      </c>
      <c r="M652" s="308" t="inlineStr">
        <is>
          <t>RL7-CKR-102</t>
        </is>
      </c>
      <c r="N652" s="308" t="inlineStr">
        <is>
          <t>native</t>
        </is>
      </c>
      <c r="O652" s="308" t="inlineStr">
        <is>
          <t>native-only</t>
        </is>
      </c>
      <c r="P652" s="308" t="inlineStr">
        <is>
          <t>native</t>
        </is>
      </c>
      <c r="Q652" s="308" t="inlineStr"/>
      <c r="R652" s="308" t="inlineStr">
        <is>
          <t>native text sufficient</t>
        </is>
      </c>
      <c r="S652" s="308" t="inlineStr"/>
      <c r="T652" s="308" t="inlineStr">
        <is>
          <t>p23:native:24</t>
        </is>
      </c>
      <c r="U652" s="308" t="n">
        <v>1</v>
      </c>
    </row>
    <row r="653">
      <c r="A653" s="308" t="inlineStr">
        <is>
          <t>Missing in Excel</t>
        </is>
      </c>
      <c r="B653" s="308" t="inlineStr">
        <is>
          <t>DG7600</t>
        </is>
      </c>
      <c r="C653" s="308" t="n">
        <v>23</v>
      </c>
      <c r="D653" s="308" t="inlineStr">
        <is>
          <t>RL7-PRM-101</t>
        </is>
      </c>
      <c r="E653" s="308" t="inlineStr">
        <is>
          <t>RL7-PRM-101</t>
        </is>
      </c>
      <c r="F653" s="308" t="inlineStr"/>
      <c r="G653" s="308" t="inlineStr">
        <is>
          <t>equipment</t>
        </is>
      </c>
      <c r="H653" s="311" t="n">
        <v>0.49</v>
      </c>
      <c r="I653" s="308" t="inlineStr">
        <is>
          <t>Low</t>
        </is>
      </c>
      <c r="J653" s="308" t="inlineStr">
        <is>
          <t>title-block/right</t>
        </is>
      </c>
      <c r="K653" s="308" t="inlineStr">
        <is>
          <t>standalone:asset</t>
        </is>
      </c>
      <c r="L653" s="308" t="inlineStr">
        <is>
          <t>title-block penalty; process page; mapped sheet</t>
        </is>
      </c>
      <c r="M653" s="308" t="inlineStr">
        <is>
          <t>RL7-PRM-101</t>
        </is>
      </c>
      <c r="N653" s="308" t="inlineStr">
        <is>
          <t>native</t>
        </is>
      </c>
      <c r="O653" s="308" t="inlineStr">
        <is>
          <t>native-only</t>
        </is>
      </c>
      <c r="P653" s="308" t="inlineStr">
        <is>
          <t>native</t>
        </is>
      </c>
      <c r="Q653" s="308" t="inlineStr"/>
      <c r="R653" s="308" t="inlineStr">
        <is>
          <t>native text sufficient</t>
        </is>
      </c>
      <c r="S653" s="308" t="inlineStr"/>
      <c r="T653" s="308" t="inlineStr">
        <is>
          <t>p23:native:32</t>
        </is>
      </c>
      <c r="U653" s="308" t="n">
        <v>1</v>
      </c>
    </row>
    <row r="654">
      <c r="A654" s="308" t="inlineStr">
        <is>
          <t>Missing in Excel</t>
        </is>
      </c>
      <c r="B654" s="308" t="inlineStr">
        <is>
          <t>DG7600</t>
        </is>
      </c>
      <c r="C654" s="308" t="n">
        <v>23</v>
      </c>
      <c r="D654" s="308" t="inlineStr">
        <is>
          <t>RL7-TNK-101</t>
        </is>
      </c>
      <c r="E654" s="308" t="inlineStr">
        <is>
          <t>RL7-TNK-101</t>
        </is>
      </c>
      <c r="F654" s="308" t="inlineStr"/>
      <c r="G654" s="308" t="inlineStr">
        <is>
          <t>equipment</t>
        </is>
      </c>
      <c r="H654" s="311" t="n">
        <v>0.49</v>
      </c>
      <c r="I654" s="308" t="inlineStr">
        <is>
          <t>Low</t>
        </is>
      </c>
      <c r="J654" s="308" t="inlineStr">
        <is>
          <t>title-block/right</t>
        </is>
      </c>
      <c r="K654" s="308" t="inlineStr">
        <is>
          <t>standalone:asset</t>
        </is>
      </c>
      <c r="L654" s="308" t="inlineStr">
        <is>
          <t>title-block penalty; process page; mapped sheet</t>
        </is>
      </c>
      <c r="M654" s="308" t="inlineStr">
        <is>
          <t>RL7-TNK-101</t>
        </is>
      </c>
      <c r="N654" s="308" t="inlineStr">
        <is>
          <t>native</t>
        </is>
      </c>
      <c r="O654" s="308" t="inlineStr">
        <is>
          <t>native-only</t>
        </is>
      </c>
      <c r="P654" s="308" t="inlineStr">
        <is>
          <t>native</t>
        </is>
      </c>
      <c r="Q654" s="308" t="inlineStr"/>
      <c r="R654" s="308" t="inlineStr">
        <is>
          <t>native text sufficient</t>
        </is>
      </c>
      <c r="S654" s="308" t="inlineStr"/>
      <c r="T654" s="308" t="inlineStr">
        <is>
          <t>p23:native:16</t>
        </is>
      </c>
      <c r="U654" s="308" t="n">
        <v>1</v>
      </c>
    </row>
    <row r="655">
      <c r="A655" s="308" t="inlineStr">
        <is>
          <t>Missing in Excel</t>
        </is>
      </c>
      <c r="B655" s="308" t="inlineStr">
        <is>
          <t>DG7601</t>
        </is>
      </c>
      <c r="C655" s="308" t="n">
        <v>24</v>
      </c>
      <c r="D655" s="308" t="inlineStr">
        <is>
          <t>RL7-TNK-211</t>
        </is>
      </c>
      <c r="E655" s="308" t="inlineStr">
        <is>
          <t>RL7-TNK-211</t>
        </is>
      </c>
      <c r="F655" s="308" t="inlineStr"/>
      <c r="G655" s="308" t="inlineStr">
        <is>
          <t>equipment</t>
        </is>
      </c>
      <c r="H655" s="311" t="n">
        <v>0.77</v>
      </c>
      <c r="I655" s="308" t="inlineStr">
        <is>
          <t>Medium</t>
        </is>
      </c>
      <c r="J655" s="308" t="inlineStr">
        <is>
          <t>drawing</t>
        </is>
      </c>
      <c r="K655" s="308" t="inlineStr">
        <is>
          <t>standalone:asset</t>
        </is>
      </c>
      <c r="L655" s="308" t="inlineStr">
        <is>
          <t>drawing zone; process page; mapped sheet</t>
        </is>
      </c>
      <c r="M655" s="308" t="inlineStr">
        <is>
          <t>RL7-TNK-211</t>
        </is>
      </c>
      <c r="N655" s="308" t="inlineStr">
        <is>
          <t>native</t>
        </is>
      </c>
      <c r="O655" s="308" t="inlineStr">
        <is>
          <t>native-only</t>
        </is>
      </c>
      <c r="P655" s="308" t="inlineStr">
        <is>
          <t>native</t>
        </is>
      </c>
      <c r="Q655" s="308" t="inlineStr"/>
      <c r="R655" s="308" t="inlineStr">
        <is>
          <t>native text sufficient</t>
        </is>
      </c>
      <c r="S655" s="308" t="inlineStr"/>
      <c r="T655" s="308" t="inlineStr">
        <is>
          <t>p24:native:28</t>
        </is>
      </c>
      <c r="U655" s="308" t="n">
        <v>1</v>
      </c>
    </row>
    <row r="656">
      <c r="A656" s="308" t="inlineStr">
        <is>
          <t>Missing in Excel</t>
        </is>
      </c>
      <c r="B656" s="308" t="inlineStr">
        <is>
          <t>DG7601</t>
        </is>
      </c>
      <c r="C656" s="308" t="n">
        <v>24</v>
      </c>
      <c r="D656" s="308" t="inlineStr">
        <is>
          <t>RL7-TNK-211-LIT01</t>
        </is>
      </c>
      <c r="E656" s="308" t="inlineStr">
        <is>
          <t>RL7-TNK-211</t>
        </is>
      </c>
      <c r="F656" s="308" t="inlineStr">
        <is>
          <t>LIT01</t>
        </is>
      </c>
      <c r="G656" s="308" t="inlineStr">
        <is>
          <t>instrument</t>
        </is>
      </c>
      <c r="H656" s="311" t="n">
        <v>0.99</v>
      </c>
      <c r="I656" s="308" t="inlineStr">
        <is>
          <t>High</t>
        </is>
      </c>
      <c r="J656" s="308" t="inlineStr">
        <is>
          <t>drawing</t>
        </is>
      </c>
      <c r="K656" s="308" t="inlineStr">
        <is>
          <t>stacked:isa</t>
        </is>
      </c>
      <c r="L656" s="308" t="inlineStr">
        <is>
          <t>drawing zone; process page; mapped sheet</t>
        </is>
      </c>
      <c r="M656" s="308" t="inlineStr">
        <is>
          <t>RL7-TNK-211 / LIT-01</t>
        </is>
      </c>
      <c r="N656" s="308" t="inlineStr">
        <is>
          <t>native</t>
        </is>
      </c>
      <c r="O656" s="308" t="inlineStr">
        <is>
          <t>native-only</t>
        </is>
      </c>
      <c r="P656" s="308" t="inlineStr">
        <is>
          <t>native</t>
        </is>
      </c>
      <c r="Q656" s="308" t="inlineStr"/>
      <c r="R656" s="308" t="inlineStr">
        <is>
          <t>native text sufficient</t>
        </is>
      </c>
      <c r="S656" s="308" t="inlineStr"/>
      <c r="T656" s="308" t="inlineStr">
        <is>
          <t>p24:native:53, p24:native:54</t>
        </is>
      </c>
      <c r="U656" s="308" t="n">
        <v>2</v>
      </c>
    </row>
    <row r="657">
      <c r="A657" s="308" t="inlineStr">
        <is>
          <t>Missing in Excel</t>
        </is>
      </c>
      <c r="B657" s="308" t="inlineStr">
        <is>
          <t>DG7601</t>
        </is>
      </c>
      <c r="C657" s="308" t="n">
        <v>24</v>
      </c>
      <c r="D657" s="308" t="inlineStr">
        <is>
          <t>RL7-TNK-211-LSL01</t>
        </is>
      </c>
      <c r="E657" s="308" t="inlineStr">
        <is>
          <t>RL7-TNK-211</t>
        </is>
      </c>
      <c r="F657" s="308" t="inlineStr">
        <is>
          <t>LSL01</t>
        </is>
      </c>
      <c r="G657" s="308" t="inlineStr">
        <is>
          <t>instrument</t>
        </is>
      </c>
      <c r="H657" s="311" t="n">
        <v>0.99</v>
      </c>
      <c r="I657" s="308" t="inlineStr">
        <is>
          <t>High</t>
        </is>
      </c>
      <c r="J657" s="308" t="inlineStr">
        <is>
          <t>drawing</t>
        </is>
      </c>
      <c r="K657" s="308" t="inlineStr">
        <is>
          <t>stacked:isa</t>
        </is>
      </c>
      <c r="L657" s="308" t="inlineStr">
        <is>
          <t>drawing zone; process page; mapped sheet</t>
        </is>
      </c>
      <c r="M657" s="308" t="inlineStr">
        <is>
          <t>RL7-TNK-211 / LSL-01</t>
        </is>
      </c>
      <c r="N657" s="308" t="inlineStr">
        <is>
          <t>native</t>
        </is>
      </c>
      <c r="O657" s="308" t="inlineStr">
        <is>
          <t>native-only</t>
        </is>
      </c>
      <c r="P657" s="308" t="inlineStr">
        <is>
          <t>native</t>
        </is>
      </c>
      <c r="Q657" s="308" t="inlineStr"/>
      <c r="R657" s="308" t="inlineStr">
        <is>
          <t>native text sufficient</t>
        </is>
      </c>
      <c r="S657" s="308" t="inlineStr"/>
      <c r="T657" s="308" t="inlineStr">
        <is>
          <t>p24:native:55, p24:native:56</t>
        </is>
      </c>
      <c r="U657" s="308" t="n">
        <v>2</v>
      </c>
    </row>
    <row r="658">
      <c r="A658" s="308" t="inlineStr">
        <is>
          <t>Missing in Excel</t>
        </is>
      </c>
      <c r="B658" s="308" t="inlineStr">
        <is>
          <t>DG7601</t>
        </is>
      </c>
      <c r="C658" s="308" t="n">
        <v>24</v>
      </c>
      <c r="D658" s="308" t="inlineStr">
        <is>
          <t>RL7-TNK-211-XV01</t>
        </is>
      </c>
      <c r="E658" s="308" t="inlineStr">
        <is>
          <t>RL7-TNK-211</t>
        </is>
      </c>
      <c r="F658" s="308" t="inlineStr">
        <is>
          <t>XV01</t>
        </is>
      </c>
      <c r="G658" s="308" t="inlineStr">
        <is>
          <t>instrument</t>
        </is>
      </c>
      <c r="H658" s="311" t="n">
        <v>0.99</v>
      </c>
      <c r="I658" s="308" t="inlineStr">
        <is>
          <t>High</t>
        </is>
      </c>
      <c r="J658" s="308" t="inlineStr">
        <is>
          <t>drawing</t>
        </is>
      </c>
      <c r="K658" s="308" t="inlineStr">
        <is>
          <t>stacked:isa</t>
        </is>
      </c>
      <c r="L658" s="308" t="inlineStr">
        <is>
          <t>drawing zone; process page; mapped sheet</t>
        </is>
      </c>
      <c r="M658" s="308" t="inlineStr">
        <is>
          <t>RL7-TNK-211 / XV-01</t>
        </is>
      </c>
      <c r="N658" s="308" t="inlineStr">
        <is>
          <t>native</t>
        </is>
      </c>
      <c r="O658" s="308" t="inlineStr">
        <is>
          <t>native-only</t>
        </is>
      </c>
      <c r="P658" s="308" t="inlineStr">
        <is>
          <t>native</t>
        </is>
      </c>
      <c r="Q658" s="308" t="inlineStr"/>
      <c r="R658" s="308" t="inlineStr">
        <is>
          <t>native text sufficient</t>
        </is>
      </c>
      <c r="S658" s="308" t="inlineStr"/>
      <c r="T658" s="308" t="inlineStr">
        <is>
          <t>p24:native:28, p24:native:29</t>
        </is>
      </c>
      <c r="U658" s="308" t="n">
        <v>2</v>
      </c>
    </row>
    <row r="659">
      <c r="A659" s="308" t="inlineStr">
        <is>
          <t>Missing in Excel</t>
        </is>
      </c>
      <c r="B659" s="308" t="inlineStr">
        <is>
          <t>DG7601</t>
        </is>
      </c>
      <c r="C659" s="308" t="n">
        <v>24</v>
      </c>
      <c r="D659" s="308" t="inlineStr">
        <is>
          <t>RL7-TNK-211-ZSC01</t>
        </is>
      </c>
      <c r="E659" s="308" t="inlineStr">
        <is>
          <t>RL7-TNK-211</t>
        </is>
      </c>
      <c r="F659" s="308" t="inlineStr">
        <is>
          <t>ZSC01</t>
        </is>
      </c>
      <c r="G659" s="308" t="inlineStr">
        <is>
          <t>instrument</t>
        </is>
      </c>
      <c r="H659" s="311" t="n">
        <v>0.99</v>
      </c>
      <c r="I659" s="308" t="inlineStr">
        <is>
          <t>High</t>
        </is>
      </c>
      <c r="J659" s="308" t="inlineStr">
        <is>
          <t>drawing</t>
        </is>
      </c>
      <c r="K659" s="308" t="inlineStr">
        <is>
          <t>stacked:isa</t>
        </is>
      </c>
      <c r="L659" s="308" t="inlineStr">
        <is>
          <t>drawing zone; process page; mapped sheet</t>
        </is>
      </c>
      <c r="M659" s="308" t="inlineStr">
        <is>
          <t>RL7-TNK-211 / ZSC-01</t>
        </is>
      </c>
      <c r="N659" s="308" t="inlineStr">
        <is>
          <t>native</t>
        </is>
      </c>
      <c r="O659" s="308" t="inlineStr">
        <is>
          <t>native-only</t>
        </is>
      </c>
      <c r="P659" s="308" t="inlineStr">
        <is>
          <t>native</t>
        </is>
      </c>
      <c r="Q659" s="308" t="inlineStr"/>
      <c r="R659" s="308" t="inlineStr">
        <is>
          <t>native text sufficient</t>
        </is>
      </c>
      <c r="S659" s="308" t="inlineStr"/>
      <c r="T659" s="308" t="inlineStr">
        <is>
          <t>p24:native:74, p24:native:75</t>
        </is>
      </c>
      <c r="U659" s="308" t="n">
        <v>2</v>
      </c>
    </row>
    <row r="660">
      <c r="A660" s="308" t="inlineStr">
        <is>
          <t>Missing in Excel</t>
        </is>
      </c>
      <c r="B660" s="308" t="inlineStr">
        <is>
          <t>DG7601</t>
        </is>
      </c>
      <c r="C660" s="308" t="n">
        <v>24</v>
      </c>
      <c r="D660" s="308" t="inlineStr">
        <is>
          <t>RL7-TNK-211-ZSO01</t>
        </is>
      </c>
      <c r="E660" s="308" t="inlineStr">
        <is>
          <t>RL7-TNK-211</t>
        </is>
      </c>
      <c r="F660" s="308" t="inlineStr">
        <is>
          <t>ZSO01</t>
        </is>
      </c>
      <c r="G660" s="308" t="inlineStr">
        <is>
          <t>instrument</t>
        </is>
      </c>
      <c r="H660" s="311" t="n">
        <v>0.99</v>
      </c>
      <c r="I660" s="308" t="inlineStr">
        <is>
          <t>High</t>
        </is>
      </c>
      <c r="J660" s="308" t="inlineStr">
        <is>
          <t>drawing</t>
        </is>
      </c>
      <c r="K660" s="308" t="inlineStr">
        <is>
          <t>stacked:isa</t>
        </is>
      </c>
      <c r="L660" s="308" t="inlineStr">
        <is>
          <t>drawing zone; process page; mapped sheet</t>
        </is>
      </c>
      <c r="M660" s="308" t="inlineStr">
        <is>
          <t>RL7-TNK-211 / ZSO-01</t>
        </is>
      </c>
      <c r="N660" s="308" t="inlineStr">
        <is>
          <t>native</t>
        </is>
      </c>
      <c r="O660" s="308" t="inlineStr">
        <is>
          <t>native-only</t>
        </is>
      </c>
      <c r="P660" s="308" t="inlineStr">
        <is>
          <t>native</t>
        </is>
      </c>
      <c r="Q660" s="308" t="inlineStr"/>
      <c r="R660" s="308" t="inlineStr">
        <is>
          <t>native text sufficient</t>
        </is>
      </c>
      <c r="S660" s="308" t="inlineStr"/>
      <c r="T660" s="308" t="inlineStr">
        <is>
          <t>p24:native:72, p24:native:73</t>
        </is>
      </c>
      <c r="U660" s="308" t="n">
        <v>2</v>
      </c>
    </row>
    <row r="661">
      <c r="A661" s="308" t="inlineStr">
        <is>
          <t>Missing in Excel</t>
        </is>
      </c>
      <c r="B661" s="308" t="inlineStr">
        <is>
          <t>DG7601</t>
        </is>
      </c>
      <c r="C661" s="308" t="n">
        <v>24</v>
      </c>
      <c r="D661" s="308" t="inlineStr">
        <is>
          <t>RL7-TNK-211-HV001</t>
        </is>
      </c>
      <c r="E661" s="308" t="inlineStr">
        <is>
          <t>RL7-TNK-211</t>
        </is>
      </c>
      <c r="F661" s="308" t="inlineStr">
        <is>
          <t>HV001</t>
        </is>
      </c>
      <c r="G661" s="308" t="inlineStr">
        <is>
          <t>instrument</t>
        </is>
      </c>
      <c r="H661" s="311" t="n">
        <v>0.57</v>
      </c>
      <c r="I661" s="308" t="inlineStr">
        <is>
          <t>Low</t>
        </is>
      </c>
      <c r="J661" s="308" t="inlineStr">
        <is>
          <t>drawing</t>
        </is>
      </c>
      <c r="K661" s="308" t="inlineStr">
        <is>
          <t>inferred:bare-isa</t>
        </is>
      </c>
      <c r="L661" s="308" t="inlineStr">
        <is>
          <t>drawing zone; process page; mapped sheet</t>
        </is>
      </c>
      <c r="M661" s="308" t="inlineStr">
        <is>
          <t>RL7-TNK-211 / HV</t>
        </is>
      </c>
      <c r="N661" s="308" t="inlineStr">
        <is>
          <t>native</t>
        </is>
      </c>
      <c r="O661" s="308" t="inlineStr">
        <is>
          <t>native-only</t>
        </is>
      </c>
      <c r="P661" s="308" t="inlineStr">
        <is>
          <t>native</t>
        </is>
      </c>
      <c r="Q661" s="308" t="inlineStr"/>
      <c r="R661" s="308" t="inlineStr">
        <is>
          <t>native text sufficient</t>
        </is>
      </c>
      <c r="S661" s="308" t="inlineStr"/>
      <c r="T661" s="308" t="inlineStr">
        <is>
          <t>p24:native:74, p24:native:50</t>
        </is>
      </c>
      <c r="U661" s="308" t="n">
        <v>2</v>
      </c>
    </row>
    <row r="662">
      <c r="A662" s="308" t="inlineStr">
        <is>
          <t>Missing in Excel</t>
        </is>
      </c>
      <c r="B662" s="308" t="inlineStr">
        <is>
          <t>DG7601</t>
        </is>
      </c>
      <c r="C662" s="308" t="n">
        <v>24</v>
      </c>
      <c r="D662" s="308" t="inlineStr">
        <is>
          <t>RL7-TNK-211-HV002</t>
        </is>
      </c>
      <c r="E662" s="308" t="inlineStr">
        <is>
          <t>RL7-TNK-211</t>
        </is>
      </c>
      <c r="F662" s="308" t="inlineStr">
        <is>
          <t>HV002</t>
        </is>
      </c>
      <c r="G662" s="308" t="inlineStr">
        <is>
          <t>instrument</t>
        </is>
      </c>
      <c r="H662" s="311" t="n">
        <v>0.57</v>
      </c>
      <c r="I662" s="308" t="inlineStr">
        <is>
          <t>Low</t>
        </is>
      </c>
      <c r="J662" s="308" t="inlineStr">
        <is>
          <t>drawing</t>
        </is>
      </c>
      <c r="K662" s="308" t="inlineStr">
        <is>
          <t>inferred:bare-isa</t>
        </is>
      </c>
      <c r="L662" s="308" t="inlineStr">
        <is>
          <t>drawing zone; process page; mapped sheet</t>
        </is>
      </c>
      <c r="M662" s="308" t="inlineStr">
        <is>
          <t>RL7-TNK-211 / HV</t>
        </is>
      </c>
      <c r="N662" s="308" t="inlineStr">
        <is>
          <t>native</t>
        </is>
      </c>
      <c r="O662" s="308" t="inlineStr">
        <is>
          <t>native-only</t>
        </is>
      </c>
      <c r="P662" s="308" t="inlineStr">
        <is>
          <t>native</t>
        </is>
      </c>
      <c r="Q662" s="308" t="inlineStr"/>
      <c r="R662" s="308" t="inlineStr">
        <is>
          <t>native text sufficient</t>
        </is>
      </c>
      <c r="S662" s="308" t="inlineStr"/>
      <c r="T662" s="308" t="inlineStr">
        <is>
          <t>p24:native:55, p24:native:14</t>
        </is>
      </c>
      <c r="U662" s="308" t="n">
        <v>2</v>
      </c>
    </row>
    <row r="663">
      <c r="A663" s="308" t="inlineStr">
        <is>
          <t>Missing in Excel</t>
        </is>
      </c>
      <c r="B663" s="308" t="inlineStr">
        <is>
          <t>DG7601</t>
        </is>
      </c>
      <c r="C663" s="308" t="n">
        <v>24</v>
      </c>
      <c r="D663" s="308" t="inlineStr">
        <is>
          <t>RL7-TNK-211-HV003</t>
        </is>
      </c>
      <c r="E663" s="308" t="inlineStr">
        <is>
          <t>RL7-TNK-211</t>
        </is>
      </c>
      <c r="F663" s="308" t="inlineStr">
        <is>
          <t>HV003</t>
        </is>
      </c>
      <c r="G663" s="308" t="inlineStr">
        <is>
          <t>instrument</t>
        </is>
      </c>
      <c r="H663" s="311" t="n">
        <v>0.57</v>
      </c>
      <c r="I663" s="308" t="inlineStr">
        <is>
          <t>Low</t>
        </is>
      </c>
      <c r="J663" s="308" t="inlineStr">
        <is>
          <t>drawing</t>
        </is>
      </c>
      <c r="K663" s="308" t="inlineStr">
        <is>
          <t>inferred:bare-isa</t>
        </is>
      </c>
      <c r="L663" s="308" t="inlineStr">
        <is>
          <t>drawing zone; process page; mapped sheet</t>
        </is>
      </c>
      <c r="M663" s="308" t="inlineStr">
        <is>
          <t>RL7-TNK-211 / HV</t>
        </is>
      </c>
      <c r="N663" s="308" t="inlineStr">
        <is>
          <t>native</t>
        </is>
      </c>
      <c r="O663" s="308" t="inlineStr">
        <is>
          <t>native-only</t>
        </is>
      </c>
      <c r="P663" s="308" t="inlineStr">
        <is>
          <t>native</t>
        </is>
      </c>
      <c r="Q663" s="308" t="inlineStr"/>
      <c r="R663" s="308" t="inlineStr">
        <is>
          <t>native text sufficient</t>
        </is>
      </c>
      <c r="S663" s="308" t="inlineStr"/>
      <c r="T663" s="308" t="inlineStr">
        <is>
          <t>p24:native:55, p24:native:61</t>
        </is>
      </c>
      <c r="U663" s="308" t="n">
        <v>2</v>
      </c>
    </row>
    <row r="664">
      <c r="A664" s="308" t="inlineStr">
        <is>
          <t>Missing in Excel</t>
        </is>
      </c>
      <c r="B664" s="308" t="inlineStr">
        <is>
          <t>DG7601</t>
        </is>
      </c>
      <c r="C664" s="308" t="n">
        <v>24</v>
      </c>
      <c r="D664" s="308" t="inlineStr">
        <is>
          <t>RL7-TNK-211-PI001</t>
        </is>
      </c>
      <c r="E664" s="308" t="inlineStr">
        <is>
          <t>RL7-TNK-211</t>
        </is>
      </c>
      <c r="F664" s="308" t="inlineStr">
        <is>
          <t>PI001</t>
        </is>
      </c>
      <c r="G664" s="308" t="inlineStr">
        <is>
          <t>instrument</t>
        </is>
      </c>
      <c r="H664" s="311" t="n">
        <v>0.57</v>
      </c>
      <c r="I664" s="308" t="inlineStr">
        <is>
          <t>Low</t>
        </is>
      </c>
      <c r="J664" s="308" t="inlineStr">
        <is>
          <t>drawing</t>
        </is>
      </c>
      <c r="K664" s="308" t="inlineStr">
        <is>
          <t>inferred:bare-isa</t>
        </is>
      </c>
      <c r="L664" s="308" t="inlineStr">
        <is>
          <t>drawing zone; process page; mapped sheet</t>
        </is>
      </c>
      <c r="M664" s="308" t="inlineStr">
        <is>
          <t>RL7-TNK-211 / PI</t>
        </is>
      </c>
      <c r="N664" s="308" t="inlineStr">
        <is>
          <t>native</t>
        </is>
      </c>
      <c r="O664" s="308" t="inlineStr">
        <is>
          <t>native-only</t>
        </is>
      </c>
      <c r="P664" s="308" t="inlineStr">
        <is>
          <t>native</t>
        </is>
      </c>
      <c r="Q664" s="308" t="inlineStr"/>
      <c r="R664" s="308" t="inlineStr">
        <is>
          <t>native text sufficient</t>
        </is>
      </c>
      <c r="S664" s="308" t="inlineStr"/>
      <c r="T664" s="308" t="inlineStr">
        <is>
          <t>p24:native:74, p24:native:9</t>
        </is>
      </c>
      <c r="U664" s="308" t="n">
        <v>2</v>
      </c>
    </row>
    <row r="665">
      <c r="A665" s="308" t="inlineStr">
        <is>
          <t>Missing in Excel</t>
        </is>
      </c>
      <c r="B665" s="308" t="inlineStr">
        <is>
          <t>DG7601</t>
        </is>
      </c>
      <c r="C665" s="308" t="n">
        <v>24</v>
      </c>
      <c r="D665" s="308" t="inlineStr">
        <is>
          <t>RL7-TNK-211-PI002</t>
        </is>
      </c>
      <c r="E665" s="308" t="inlineStr">
        <is>
          <t>RL7-TNK-211</t>
        </is>
      </c>
      <c r="F665" s="308" t="inlineStr">
        <is>
          <t>PI002</t>
        </is>
      </c>
      <c r="G665" s="308" t="inlineStr">
        <is>
          <t>instrument</t>
        </is>
      </c>
      <c r="H665" s="311" t="n">
        <v>0.57</v>
      </c>
      <c r="I665" s="308" t="inlineStr">
        <is>
          <t>Low</t>
        </is>
      </c>
      <c r="J665" s="308" t="inlineStr">
        <is>
          <t>drawing</t>
        </is>
      </c>
      <c r="K665" s="308" t="inlineStr">
        <is>
          <t>inferred:bare-isa</t>
        </is>
      </c>
      <c r="L665" s="308" t="inlineStr">
        <is>
          <t>drawing zone; process page; mapped sheet</t>
        </is>
      </c>
      <c r="M665" s="308" t="inlineStr">
        <is>
          <t>RL7-TNK-211 / PI</t>
        </is>
      </c>
      <c r="N665" s="308" t="inlineStr">
        <is>
          <t>native</t>
        </is>
      </c>
      <c r="O665" s="308" t="inlineStr">
        <is>
          <t>native-only</t>
        </is>
      </c>
      <c r="P665" s="308" t="inlineStr">
        <is>
          <t>native</t>
        </is>
      </c>
      <c r="Q665" s="308" t="inlineStr"/>
      <c r="R665" s="308" t="inlineStr">
        <is>
          <t>native text sufficient</t>
        </is>
      </c>
      <c r="S665" s="308" t="inlineStr"/>
      <c r="T665" s="308" t="inlineStr">
        <is>
          <t>p24:native:28, p24:native:26</t>
        </is>
      </c>
      <c r="U665" s="308" t="n">
        <v>2</v>
      </c>
    </row>
    <row r="666">
      <c r="A666" s="308" t="inlineStr">
        <is>
          <t>Missing in Excel</t>
        </is>
      </c>
      <c r="B666" s="308" t="inlineStr">
        <is>
          <t>DG7601</t>
        </is>
      </c>
      <c r="C666" s="308" t="n">
        <v>24</v>
      </c>
      <c r="D666" s="308" t="inlineStr">
        <is>
          <t>1"-CA-12A</t>
        </is>
      </c>
      <c r="E666" s="308" t="inlineStr">
        <is>
          <t>CA</t>
        </is>
      </c>
      <c r="F666" s="308" t="inlineStr">
        <is>
          <t>12A</t>
        </is>
      </c>
      <c r="G666" s="308" t="inlineStr">
        <is>
          <t>line</t>
        </is>
      </c>
      <c r="H666" s="311" t="n">
        <v>0.77</v>
      </c>
      <c r="I666" s="308" t="inlineStr">
        <is>
          <t>Medium</t>
        </is>
      </c>
      <c r="J666" s="308" t="inlineStr">
        <is>
          <t>drawing</t>
        </is>
      </c>
      <c r="K666" s="308" t="inlineStr">
        <is>
          <t>line:size-prefix</t>
        </is>
      </c>
      <c r="L666" s="308" t="inlineStr">
        <is>
          <t>drawing zone; process page; mapped sheet</t>
        </is>
      </c>
      <c r="M666" s="308" t="inlineStr">
        <is>
          <t>1"-CA-12A</t>
        </is>
      </c>
      <c r="N666" s="308" t="inlineStr">
        <is>
          <t>native</t>
        </is>
      </c>
      <c r="O666" s="308" t="inlineStr">
        <is>
          <t>native-only</t>
        </is>
      </c>
      <c r="P666" s="308" t="inlineStr">
        <is>
          <t>native</t>
        </is>
      </c>
      <c r="Q666" s="308" t="inlineStr"/>
      <c r="R666" s="308" t="inlineStr">
        <is>
          <t>native text sufficient</t>
        </is>
      </c>
      <c r="S666" s="308" t="inlineStr"/>
      <c r="T666" s="308" t="inlineStr">
        <is>
          <t>p24:native:42</t>
        </is>
      </c>
      <c r="U666" s="308" t="n">
        <v>1</v>
      </c>
    </row>
    <row r="667">
      <c r="A667" s="308" t="inlineStr">
        <is>
          <t>Missing in Excel</t>
        </is>
      </c>
      <c r="B667" s="308" t="inlineStr">
        <is>
          <t>DG7601</t>
        </is>
      </c>
      <c r="C667" s="308" t="n">
        <v>24</v>
      </c>
      <c r="D667" s="308" t="inlineStr">
        <is>
          <t>RL7-CHR-201</t>
        </is>
      </c>
      <c r="E667" s="308" t="inlineStr">
        <is>
          <t>RL7-CHR-201</t>
        </is>
      </c>
      <c r="F667" s="308" t="inlineStr"/>
      <c r="G667" s="308" t="inlineStr">
        <is>
          <t>equipment</t>
        </is>
      </c>
      <c r="H667" s="311" t="n">
        <v>0.49</v>
      </c>
      <c r="I667" s="308" t="inlineStr">
        <is>
          <t>Low</t>
        </is>
      </c>
      <c r="J667" s="308" t="inlineStr">
        <is>
          <t>title-block/right</t>
        </is>
      </c>
      <c r="K667" s="308" t="inlineStr">
        <is>
          <t>standalone:asset</t>
        </is>
      </c>
      <c r="L667" s="308" t="inlineStr">
        <is>
          <t>title-block penalty; process page; mapped sheet</t>
        </is>
      </c>
      <c r="M667" s="308" t="inlineStr">
        <is>
          <t>RL7-CHR-201</t>
        </is>
      </c>
      <c r="N667" s="308" t="inlineStr">
        <is>
          <t>native</t>
        </is>
      </c>
      <c r="O667" s="308" t="inlineStr">
        <is>
          <t>native-only</t>
        </is>
      </c>
      <c r="P667" s="308" t="inlineStr">
        <is>
          <t>native</t>
        </is>
      </c>
      <c r="Q667" s="308" t="inlineStr"/>
      <c r="R667" s="308" t="inlineStr">
        <is>
          <t>native text sufficient</t>
        </is>
      </c>
      <c r="S667" s="308" t="inlineStr"/>
      <c r="T667" s="308" t="inlineStr">
        <is>
          <t>p24:native:6</t>
        </is>
      </c>
      <c r="U667" s="308" t="n">
        <v>1</v>
      </c>
    </row>
    <row r="668">
      <c r="A668" s="308" t="inlineStr">
        <is>
          <t>Missing in Excel</t>
        </is>
      </c>
      <c r="B668" s="308" t="inlineStr">
        <is>
          <t>DG7602</t>
        </is>
      </c>
      <c r="C668" s="308" t="n">
        <v>25</v>
      </c>
      <c r="D668" s="308" t="inlineStr">
        <is>
          <t>RL7-SKD-201</t>
        </is>
      </c>
      <c r="E668" s="308" t="inlineStr">
        <is>
          <t>RL7-SKD-201</t>
        </is>
      </c>
      <c r="F668" s="308" t="inlineStr"/>
      <c r="G668" s="308" t="inlineStr">
        <is>
          <t>equipment</t>
        </is>
      </c>
      <c r="H668" s="311" t="n">
        <v>0.77</v>
      </c>
      <c r="I668" s="308" t="inlineStr">
        <is>
          <t>Medium</t>
        </is>
      </c>
      <c r="J668" s="308" t="inlineStr">
        <is>
          <t>drawing</t>
        </is>
      </c>
      <c r="K668" s="308" t="inlineStr">
        <is>
          <t>standalone:asset</t>
        </is>
      </c>
      <c r="L668" s="308" t="inlineStr">
        <is>
          <t>drawing zone; process page; mapped sheet</t>
        </is>
      </c>
      <c r="M668" s="308" t="inlineStr">
        <is>
          <t>RL7-SKD-201</t>
        </is>
      </c>
      <c r="N668" s="308" t="inlineStr">
        <is>
          <t>native</t>
        </is>
      </c>
      <c r="O668" s="308" t="inlineStr">
        <is>
          <t>native-only</t>
        </is>
      </c>
      <c r="P668" s="308" t="inlineStr">
        <is>
          <t>native</t>
        </is>
      </c>
      <c r="Q668" s="308" t="inlineStr"/>
      <c r="R668" s="308" t="inlineStr">
        <is>
          <t>native text sufficient</t>
        </is>
      </c>
      <c r="S668" s="308" t="inlineStr"/>
      <c r="T668" s="308" t="inlineStr">
        <is>
          <t>p25:native:3</t>
        </is>
      </c>
      <c r="U668" s="308" t="n">
        <v>1</v>
      </c>
    </row>
    <row r="669">
      <c r="A669" s="308" t="inlineStr">
        <is>
          <t>Missing in Excel</t>
        </is>
      </c>
      <c r="B669" s="308" t="inlineStr">
        <is>
          <t>DG7602</t>
        </is>
      </c>
      <c r="C669" s="308" t="n">
        <v>25</v>
      </c>
      <c r="D669" s="308" t="inlineStr">
        <is>
          <t>RL7-SKD-201-XV03</t>
        </is>
      </c>
      <c r="E669" s="308" t="inlineStr">
        <is>
          <t>RL7-SKD-201</t>
        </is>
      </c>
      <c r="F669" s="308" t="inlineStr">
        <is>
          <t>XV03</t>
        </is>
      </c>
      <c r="G669" s="308" t="inlineStr">
        <is>
          <t>instrument</t>
        </is>
      </c>
      <c r="H669" s="311" t="n">
        <v>0.99</v>
      </c>
      <c r="I669" s="308" t="inlineStr">
        <is>
          <t>High</t>
        </is>
      </c>
      <c r="J669" s="308" t="inlineStr">
        <is>
          <t>drawing</t>
        </is>
      </c>
      <c r="K669" s="308" t="inlineStr">
        <is>
          <t>stacked:isa</t>
        </is>
      </c>
      <c r="L669" s="308" t="inlineStr">
        <is>
          <t>drawing zone; process page; mapped sheet</t>
        </is>
      </c>
      <c r="M669" s="308" t="inlineStr">
        <is>
          <t>RL7-SKD-201 / XV-03</t>
        </is>
      </c>
      <c r="N669" s="308" t="inlineStr">
        <is>
          <t>native</t>
        </is>
      </c>
      <c r="O669" s="308" t="inlineStr">
        <is>
          <t>native-only</t>
        </is>
      </c>
      <c r="P669" s="308" t="inlineStr">
        <is>
          <t>native</t>
        </is>
      </c>
      <c r="Q669" s="308" t="inlineStr"/>
      <c r="R669" s="308" t="inlineStr">
        <is>
          <t>native text sufficient</t>
        </is>
      </c>
      <c r="S669" s="308" t="inlineStr"/>
      <c r="T669" s="308" t="inlineStr">
        <is>
          <t>p25:native:20, p25:native:21</t>
        </is>
      </c>
      <c r="U669" s="308" t="n">
        <v>2</v>
      </c>
    </row>
    <row r="670">
      <c r="A670" s="308" t="inlineStr">
        <is>
          <t>Missing in Excel</t>
        </is>
      </c>
      <c r="B670" s="308" t="inlineStr">
        <is>
          <t>DG7602</t>
        </is>
      </c>
      <c r="C670" s="308" t="n">
        <v>25</v>
      </c>
      <c r="D670" s="308" t="inlineStr">
        <is>
          <t>RL7-SKD-201-XV04</t>
        </is>
      </c>
      <c r="E670" s="308" t="inlineStr">
        <is>
          <t>RL7-SKD-201</t>
        </is>
      </c>
      <c r="F670" s="308" t="inlineStr">
        <is>
          <t>XV04</t>
        </is>
      </c>
      <c r="G670" s="308" t="inlineStr">
        <is>
          <t>instrument</t>
        </is>
      </c>
      <c r="H670" s="311" t="n">
        <v>0.99</v>
      </c>
      <c r="I670" s="308" t="inlineStr">
        <is>
          <t>High</t>
        </is>
      </c>
      <c r="J670" s="308" t="inlineStr">
        <is>
          <t>drawing</t>
        </is>
      </c>
      <c r="K670" s="308" t="inlineStr">
        <is>
          <t>stacked:isa</t>
        </is>
      </c>
      <c r="L670" s="308" t="inlineStr">
        <is>
          <t>drawing zone; process page; mapped sheet</t>
        </is>
      </c>
      <c r="M670" s="308" t="inlineStr">
        <is>
          <t>RL7-SKD-201 / XV-04</t>
        </is>
      </c>
      <c r="N670" s="308" t="inlineStr">
        <is>
          <t>native</t>
        </is>
      </c>
      <c r="O670" s="308" t="inlineStr">
        <is>
          <t>native-only</t>
        </is>
      </c>
      <c r="P670" s="308" t="inlineStr">
        <is>
          <t>native</t>
        </is>
      </c>
      <c r="Q670" s="308" t="inlineStr"/>
      <c r="R670" s="308" t="inlineStr">
        <is>
          <t>native text sufficient</t>
        </is>
      </c>
      <c r="S670" s="308" t="inlineStr"/>
      <c r="T670" s="308" t="inlineStr">
        <is>
          <t>p25:native:28, p25:native:29</t>
        </is>
      </c>
      <c r="U670" s="308" t="n">
        <v>2</v>
      </c>
    </row>
    <row r="671">
      <c r="A671" s="308" t="inlineStr">
        <is>
          <t>Missing in Excel</t>
        </is>
      </c>
      <c r="B671" s="308" t="inlineStr">
        <is>
          <t>DG7602</t>
        </is>
      </c>
      <c r="C671" s="308" t="n">
        <v>25</v>
      </c>
      <c r="D671" s="308" t="inlineStr">
        <is>
          <t>RL7-SKD-201-XV05</t>
        </is>
      </c>
      <c r="E671" s="308" t="inlineStr">
        <is>
          <t>RL7-SKD-201</t>
        </is>
      </c>
      <c r="F671" s="308" t="inlineStr">
        <is>
          <t>XV05</t>
        </is>
      </c>
      <c r="G671" s="308" t="inlineStr">
        <is>
          <t>instrument</t>
        </is>
      </c>
      <c r="H671" s="311" t="n">
        <v>0.99</v>
      </c>
      <c r="I671" s="308" t="inlineStr">
        <is>
          <t>High</t>
        </is>
      </c>
      <c r="J671" s="308" t="inlineStr">
        <is>
          <t>drawing</t>
        </is>
      </c>
      <c r="K671" s="308" t="inlineStr">
        <is>
          <t>stacked:isa</t>
        </is>
      </c>
      <c r="L671" s="308" t="inlineStr">
        <is>
          <t>drawing zone; process page; mapped sheet</t>
        </is>
      </c>
      <c r="M671" s="308" t="inlineStr">
        <is>
          <t>RL7-SKD-201 / XV-05</t>
        </is>
      </c>
      <c r="N671" s="308" t="inlineStr">
        <is>
          <t>native</t>
        </is>
      </c>
      <c r="O671" s="308" t="inlineStr">
        <is>
          <t>native-only</t>
        </is>
      </c>
      <c r="P671" s="308" t="inlineStr">
        <is>
          <t>native</t>
        </is>
      </c>
      <c r="Q671" s="308" t="inlineStr"/>
      <c r="R671" s="308" t="inlineStr">
        <is>
          <t>native text sufficient</t>
        </is>
      </c>
      <c r="S671" s="308" t="inlineStr"/>
      <c r="T671" s="308" t="inlineStr">
        <is>
          <t>p25:native:36, p25:native:37</t>
        </is>
      </c>
      <c r="U671" s="308" t="n">
        <v>2</v>
      </c>
    </row>
    <row r="672">
      <c r="A672" s="308" t="inlineStr">
        <is>
          <t>Missing in Excel</t>
        </is>
      </c>
      <c r="B672" s="308" t="inlineStr">
        <is>
          <t>DG7602</t>
        </is>
      </c>
      <c r="C672" s="308" t="n">
        <v>25</v>
      </c>
      <c r="D672" s="308" t="inlineStr">
        <is>
          <t>RL7-SKD-201-XV06</t>
        </is>
      </c>
      <c r="E672" s="308" t="inlineStr">
        <is>
          <t>RL7-SKD-201</t>
        </is>
      </c>
      <c r="F672" s="308" t="inlineStr">
        <is>
          <t>XV06</t>
        </is>
      </c>
      <c r="G672" s="308" t="inlineStr">
        <is>
          <t>instrument</t>
        </is>
      </c>
      <c r="H672" s="311" t="n">
        <v>0.99</v>
      </c>
      <c r="I672" s="308" t="inlineStr">
        <is>
          <t>High</t>
        </is>
      </c>
      <c r="J672" s="308" t="inlineStr">
        <is>
          <t>drawing</t>
        </is>
      </c>
      <c r="K672" s="308" t="inlineStr">
        <is>
          <t>stacked:isa</t>
        </is>
      </c>
      <c r="L672" s="308" t="inlineStr">
        <is>
          <t>drawing zone; process page; mapped sheet</t>
        </is>
      </c>
      <c r="M672" s="308" t="inlineStr">
        <is>
          <t>RL7-SKD-201 / XV-06</t>
        </is>
      </c>
      <c r="N672" s="308" t="inlineStr">
        <is>
          <t>native</t>
        </is>
      </c>
      <c r="O672" s="308" t="inlineStr">
        <is>
          <t>native-only</t>
        </is>
      </c>
      <c r="P672" s="308" t="inlineStr">
        <is>
          <t>native</t>
        </is>
      </c>
      <c r="Q672" s="308" t="inlineStr"/>
      <c r="R672" s="308" t="inlineStr">
        <is>
          <t>native text sufficient</t>
        </is>
      </c>
      <c r="S672" s="308" t="inlineStr"/>
      <c r="T672" s="308" t="inlineStr">
        <is>
          <t>p25:native:123, p25:native:124</t>
        </is>
      </c>
      <c r="U672" s="308" t="n">
        <v>2</v>
      </c>
    </row>
    <row r="673">
      <c r="A673" s="308" t="inlineStr">
        <is>
          <t>Missing in Excel</t>
        </is>
      </c>
      <c r="B673" s="308" t="inlineStr">
        <is>
          <t>DG7602</t>
        </is>
      </c>
      <c r="C673" s="308" t="n">
        <v>25</v>
      </c>
      <c r="D673" s="308" t="inlineStr">
        <is>
          <t>RL7-SKD-201-XV07</t>
        </is>
      </c>
      <c r="E673" s="308" t="inlineStr">
        <is>
          <t>RL7-SKD-201</t>
        </is>
      </c>
      <c r="F673" s="308" t="inlineStr">
        <is>
          <t>XV07</t>
        </is>
      </c>
      <c r="G673" s="308" t="inlineStr">
        <is>
          <t>instrument</t>
        </is>
      </c>
      <c r="H673" s="311" t="n">
        <v>0.99</v>
      </c>
      <c r="I673" s="308" t="inlineStr">
        <is>
          <t>High</t>
        </is>
      </c>
      <c r="J673" s="308" t="inlineStr">
        <is>
          <t>drawing</t>
        </is>
      </c>
      <c r="K673" s="308" t="inlineStr">
        <is>
          <t>stacked:isa</t>
        </is>
      </c>
      <c r="L673" s="308" t="inlineStr">
        <is>
          <t>drawing zone; process page; mapped sheet</t>
        </is>
      </c>
      <c r="M673" s="308" t="inlineStr">
        <is>
          <t>RL7-SKD-201 / XV-07</t>
        </is>
      </c>
      <c r="N673" s="308" t="inlineStr">
        <is>
          <t>native</t>
        </is>
      </c>
      <c r="O673" s="308" t="inlineStr">
        <is>
          <t>native-only</t>
        </is>
      </c>
      <c r="P673" s="308" t="inlineStr">
        <is>
          <t>native</t>
        </is>
      </c>
      <c r="Q673" s="308" t="inlineStr"/>
      <c r="R673" s="308" t="inlineStr">
        <is>
          <t>native text sufficient</t>
        </is>
      </c>
      <c r="S673" s="308" t="inlineStr"/>
      <c r="T673" s="308" t="inlineStr">
        <is>
          <t>p25:native:131, p25:native:132</t>
        </is>
      </c>
      <c r="U673" s="308" t="n">
        <v>2</v>
      </c>
    </row>
    <row r="674">
      <c r="A674" s="308" t="inlineStr">
        <is>
          <t>Missing in Excel</t>
        </is>
      </c>
      <c r="B674" s="308" t="inlineStr">
        <is>
          <t>DG7602</t>
        </is>
      </c>
      <c r="C674" s="308" t="n">
        <v>25</v>
      </c>
      <c r="D674" s="308" t="inlineStr">
        <is>
          <t>RL7-SKD-201-XV08</t>
        </is>
      </c>
      <c r="E674" s="308" t="inlineStr">
        <is>
          <t>RL7-SKD-201</t>
        </is>
      </c>
      <c r="F674" s="308" t="inlineStr">
        <is>
          <t>XV08</t>
        </is>
      </c>
      <c r="G674" s="308" t="inlineStr">
        <is>
          <t>instrument</t>
        </is>
      </c>
      <c r="H674" s="311" t="n">
        <v>0.99</v>
      </c>
      <c r="I674" s="308" t="inlineStr">
        <is>
          <t>High</t>
        </is>
      </c>
      <c r="J674" s="308" t="inlineStr">
        <is>
          <t>drawing</t>
        </is>
      </c>
      <c r="K674" s="308" t="inlineStr">
        <is>
          <t>stacked:isa</t>
        </is>
      </c>
      <c r="L674" s="308" t="inlineStr">
        <is>
          <t>drawing zone; process page; mapped sheet</t>
        </is>
      </c>
      <c r="M674" s="308" t="inlineStr">
        <is>
          <t>RL7-SKD-201 / XV-08</t>
        </is>
      </c>
      <c r="N674" s="308" t="inlineStr">
        <is>
          <t>native</t>
        </is>
      </c>
      <c r="O674" s="308" t="inlineStr">
        <is>
          <t>native-only</t>
        </is>
      </c>
      <c r="P674" s="308" t="inlineStr">
        <is>
          <t>native</t>
        </is>
      </c>
      <c r="Q674" s="308" t="inlineStr"/>
      <c r="R674" s="308" t="inlineStr">
        <is>
          <t>native text sufficient</t>
        </is>
      </c>
      <c r="S674" s="308" t="inlineStr"/>
      <c r="T674" s="308" t="inlineStr">
        <is>
          <t>p25:native:119, p25:native:120</t>
        </is>
      </c>
      <c r="U674" s="308" t="n">
        <v>2</v>
      </c>
    </row>
    <row r="675">
      <c r="A675" s="308" t="inlineStr">
        <is>
          <t>Missing in Excel</t>
        </is>
      </c>
      <c r="B675" s="308" t="inlineStr">
        <is>
          <t>DG7602</t>
        </is>
      </c>
      <c r="C675" s="308" t="n">
        <v>25</v>
      </c>
      <c r="D675" s="308" t="inlineStr">
        <is>
          <t>RL7-SKD-201-XV09</t>
        </is>
      </c>
      <c r="E675" s="308" t="inlineStr">
        <is>
          <t>RL7-SKD-201</t>
        </is>
      </c>
      <c r="F675" s="308" t="inlineStr">
        <is>
          <t>XV09</t>
        </is>
      </c>
      <c r="G675" s="308" t="inlineStr">
        <is>
          <t>instrument</t>
        </is>
      </c>
      <c r="H675" s="311" t="n">
        <v>0.99</v>
      </c>
      <c r="I675" s="308" t="inlineStr">
        <is>
          <t>High</t>
        </is>
      </c>
      <c r="J675" s="308" t="inlineStr">
        <is>
          <t>drawing</t>
        </is>
      </c>
      <c r="K675" s="308" t="inlineStr">
        <is>
          <t>stacked:isa</t>
        </is>
      </c>
      <c r="L675" s="308" t="inlineStr">
        <is>
          <t>drawing zone; process page; mapped sheet</t>
        </is>
      </c>
      <c r="M675" s="308" t="inlineStr">
        <is>
          <t>RL7-SKD-201 / XV-09</t>
        </is>
      </c>
      <c r="N675" s="308" t="inlineStr">
        <is>
          <t>native</t>
        </is>
      </c>
      <c r="O675" s="308" t="inlineStr">
        <is>
          <t>native-only</t>
        </is>
      </c>
      <c r="P675" s="308" t="inlineStr">
        <is>
          <t>native</t>
        </is>
      </c>
      <c r="Q675" s="308" t="inlineStr"/>
      <c r="R675" s="308" t="inlineStr">
        <is>
          <t>native text sufficient</t>
        </is>
      </c>
      <c r="S675" s="308" t="inlineStr"/>
      <c r="T675" s="308" t="inlineStr">
        <is>
          <t>p25:native:50, p25:native:51</t>
        </is>
      </c>
      <c r="U675" s="308" t="n">
        <v>2</v>
      </c>
    </row>
    <row r="676">
      <c r="A676" s="308" t="inlineStr">
        <is>
          <t>Missing in Excel</t>
        </is>
      </c>
      <c r="B676" s="308" t="inlineStr">
        <is>
          <t>DG7602</t>
        </is>
      </c>
      <c r="C676" s="308" t="n">
        <v>25</v>
      </c>
      <c r="D676" s="308" t="inlineStr">
        <is>
          <t>RL7-SKD-201-XV10</t>
        </is>
      </c>
      <c r="E676" s="308" t="inlineStr">
        <is>
          <t>RL7-SKD-201</t>
        </is>
      </c>
      <c r="F676" s="308" t="inlineStr">
        <is>
          <t>XV10</t>
        </is>
      </c>
      <c r="G676" s="308" t="inlineStr">
        <is>
          <t>instrument</t>
        </is>
      </c>
      <c r="H676" s="311" t="n">
        <v>0.99</v>
      </c>
      <c r="I676" s="308" t="inlineStr">
        <is>
          <t>High</t>
        </is>
      </c>
      <c r="J676" s="308" t="inlineStr">
        <is>
          <t>drawing</t>
        </is>
      </c>
      <c r="K676" s="308" t="inlineStr">
        <is>
          <t>stacked:isa</t>
        </is>
      </c>
      <c r="L676" s="308" t="inlineStr">
        <is>
          <t>drawing zone; process page; mapped sheet</t>
        </is>
      </c>
      <c r="M676" s="308" t="inlineStr">
        <is>
          <t>RL7-SKD-201 / XV-10</t>
        </is>
      </c>
      <c r="N676" s="308" t="inlineStr">
        <is>
          <t>native</t>
        </is>
      </c>
      <c r="O676" s="308" t="inlineStr">
        <is>
          <t>native-only</t>
        </is>
      </c>
      <c r="P676" s="308" t="inlineStr">
        <is>
          <t>native</t>
        </is>
      </c>
      <c r="Q676" s="308" t="inlineStr"/>
      <c r="R676" s="308" t="inlineStr">
        <is>
          <t>native text sufficient</t>
        </is>
      </c>
      <c r="S676" s="308" t="inlineStr"/>
      <c r="T676" s="308" t="inlineStr">
        <is>
          <t>p25:native:58, p25:native:59</t>
        </is>
      </c>
      <c r="U676" s="308" t="n">
        <v>2</v>
      </c>
    </row>
    <row r="677">
      <c r="A677" s="308" t="inlineStr">
        <is>
          <t>Missing in Excel</t>
        </is>
      </c>
      <c r="B677" s="308" t="inlineStr">
        <is>
          <t>DG7602</t>
        </is>
      </c>
      <c r="C677" s="308" t="n">
        <v>25</v>
      </c>
      <c r="D677" s="308" t="inlineStr">
        <is>
          <t>RL7-SKD-201-XV11</t>
        </is>
      </c>
      <c r="E677" s="308" t="inlineStr">
        <is>
          <t>RL7-SKD-201</t>
        </is>
      </c>
      <c r="F677" s="308" t="inlineStr">
        <is>
          <t>XV11</t>
        </is>
      </c>
      <c r="G677" s="308" t="inlineStr">
        <is>
          <t>instrument</t>
        </is>
      </c>
      <c r="H677" s="311" t="n">
        <v>0.99</v>
      </c>
      <c r="I677" s="308" t="inlineStr">
        <is>
          <t>High</t>
        </is>
      </c>
      <c r="J677" s="308" t="inlineStr">
        <is>
          <t>drawing</t>
        </is>
      </c>
      <c r="K677" s="308" t="inlineStr">
        <is>
          <t>stacked:isa</t>
        </is>
      </c>
      <c r="L677" s="308" t="inlineStr">
        <is>
          <t>drawing zone; process page; mapped sheet</t>
        </is>
      </c>
      <c r="M677" s="308" t="inlineStr">
        <is>
          <t>RL7-SKD-201 / XV-11</t>
        </is>
      </c>
      <c r="N677" s="308" t="inlineStr">
        <is>
          <t>native</t>
        </is>
      </c>
      <c r="O677" s="308" t="inlineStr">
        <is>
          <t>native-only</t>
        </is>
      </c>
      <c r="P677" s="308" t="inlineStr">
        <is>
          <t>native</t>
        </is>
      </c>
      <c r="Q677" s="308" t="inlineStr"/>
      <c r="R677" s="308" t="inlineStr">
        <is>
          <t>native text sufficient</t>
        </is>
      </c>
      <c r="S677" s="308" t="inlineStr"/>
      <c r="T677" s="308" t="inlineStr">
        <is>
          <t>p25:native:66, p25:native:67</t>
        </is>
      </c>
      <c r="U677" s="308" t="n">
        <v>2</v>
      </c>
    </row>
    <row r="678">
      <c r="A678" s="308" t="inlineStr">
        <is>
          <t>Missing in Excel</t>
        </is>
      </c>
      <c r="B678" s="308" t="inlineStr">
        <is>
          <t>DG7602</t>
        </is>
      </c>
      <c r="C678" s="308" t="n">
        <v>25</v>
      </c>
      <c r="D678" s="308" t="inlineStr">
        <is>
          <t>RL7-SKD-201-CV001</t>
        </is>
      </c>
      <c r="E678" s="308" t="inlineStr">
        <is>
          <t>RL7-SKD-201</t>
        </is>
      </c>
      <c r="F678" s="308" t="inlineStr">
        <is>
          <t>CV001</t>
        </is>
      </c>
      <c r="G678" s="308" t="inlineStr">
        <is>
          <t>instrument</t>
        </is>
      </c>
      <c r="H678" s="311" t="n">
        <v>0.57</v>
      </c>
      <c r="I678" s="308" t="inlineStr">
        <is>
          <t>Low</t>
        </is>
      </c>
      <c r="J678" s="308" t="inlineStr">
        <is>
          <t>drawing</t>
        </is>
      </c>
      <c r="K678" s="308" t="inlineStr">
        <is>
          <t>inferred:bare-isa</t>
        </is>
      </c>
      <c r="L678" s="308" t="inlineStr">
        <is>
          <t>drawing zone; process page; mapped sheet</t>
        </is>
      </c>
      <c r="M678" s="308" t="inlineStr">
        <is>
          <t>RL7-SKD-201 / CV</t>
        </is>
      </c>
      <c r="N678" s="308" t="inlineStr">
        <is>
          <t>native</t>
        </is>
      </c>
      <c r="O678" s="308" t="inlineStr">
        <is>
          <t>native-only</t>
        </is>
      </c>
      <c r="P678" s="308" t="inlineStr">
        <is>
          <t>native</t>
        </is>
      </c>
      <c r="Q678" s="308" t="inlineStr"/>
      <c r="R678" s="308" t="inlineStr">
        <is>
          <t>native text sufficient</t>
        </is>
      </c>
      <c r="S678" s="308" t="inlineStr"/>
      <c r="T678" s="308" t="inlineStr">
        <is>
          <t>p25:native:95, p25:native:163</t>
        </is>
      </c>
      <c r="U678" s="308" t="n">
        <v>2</v>
      </c>
    </row>
    <row r="679">
      <c r="A679" s="308" t="inlineStr">
        <is>
          <t>Missing in Excel</t>
        </is>
      </c>
      <c r="B679" s="308" t="inlineStr">
        <is>
          <t>DG7602</t>
        </is>
      </c>
      <c r="C679" s="308" t="n">
        <v>25</v>
      </c>
      <c r="D679" s="308" t="inlineStr">
        <is>
          <t>RL7-SKD-201-CV002</t>
        </is>
      </c>
      <c r="E679" s="308" t="inlineStr">
        <is>
          <t>RL7-SKD-201</t>
        </is>
      </c>
      <c r="F679" s="308" t="inlineStr">
        <is>
          <t>CV002</t>
        </is>
      </c>
      <c r="G679" s="308" t="inlineStr">
        <is>
          <t>instrument</t>
        </is>
      </c>
      <c r="H679" s="311" t="n">
        <v>0.57</v>
      </c>
      <c r="I679" s="308" t="inlineStr">
        <is>
          <t>Low</t>
        </is>
      </c>
      <c r="J679" s="308" t="inlineStr">
        <is>
          <t>drawing</t>
        </is>
      </c>
      <c r="K679" s="308" t="inlineStr">
        <is>
          <t>inferred:bare-isa</t>
        </is>
      </c>
      <c r="L679" s="308" t="inlineStr">
        <is>
          <t>drawing zone; process page; mapped sheet</t>
        </is>
      </c>
      <c r="M679" s="308" t="inlineStr">
        <is>
          <t>RL7-SKD-201 / CV</t>
        </is>
      </c>
      <c r="N679" s="308" t="inlineStr">
        <is>
          <t>native</t>
        </is>
      </c>
      <c r="O679" s="308" t="inlineStr">
        <is>
          <t>native-only</t>
        </is>
      </c>
      <c r="P679" s="308" t="inlineStr">
        <is>
          <t>native</t>
        </is>
      </c>
      <c r="Q679" s="308" t="inlineStr"/>
      <c r="R679" s="308" t="inlineStr">
        <is>
          <t>native text sufficient</t>
        </is>
      </c>
      <c r="S679" s="308" t="inlineStr"/>
      <c r="T679" s="308" t="inlineStr">
        <is>
          <t>p25:native:109, p25:native:157</t>
        </is>
      </c>
      <c r="U679" s="308" t="n">
        <v>2</v>
      </c>
    </row>
    <row r="680">
      <c r="A680" s="308" t="inlineStr">
        <is>
          <t>Missing in Excel</t>
        </is>
      </c>
      <c r="B680" s="308" t="inlineStr">
        <is>
          <t>DG7602</t>
        </is>
      </c>
      <c r="C680" s="308" t="n">
        <v>25</v>
      </c>
      <c r="D680" s="308" t="inlineStr">
        <is>
          <t>RL7-SKD-201-HV001</t>
        </is>
      </c>
      <c r="E680" s="308" t="inlineStr">
        <is>
          <t>RL7-SKD-201</t>
        </is>
      </c>
      <c r="F680" s="308" t="inlineStr">
        <is>
          <t>HV001</t>
        </is>
      </c>
      <c r="G680" s="308" t="inlineStr">
        <is>
          <t>instrument</t>
        </is>
      </c>
      <c r="H680" s="311" t="n">
        <v>0.57</v>
      </c>
      <c r="I680" s="308" t="inlineStr">
        <is>
          <t>Low</t>
        </is>
      </c>
      <c r="J680" s="308" t="inlineStr">
        <is>
          <t>drawing</t>
        </is>
      </c>
      <c r="K680" s="308" t="inlineStr">
        <is>
          <t>inferred:bare-isa</t>
        </is>
      </c>
      <c r="L680" s="308" t="inlineStr">
        <is>
          <t>drawing zone; process page; mapped sheet</t>
        </is>
      </c>
      <c r="M680" s="308" t="inlineStr">
        <is>
          <t>RL7-SKD-201 / HV</t>
        </is>
      </c>
      <c r="N680" s="308" t="inlineStr">
        <is>
          <t>native</t>
        </is>
      </c>
      <c r="O680" s="308" t="inlineStr">
        <is>
          <t>native-only</t>
        </is>
      </c>
      <c r="P680" s="308" t="inlineStr">
        <is>
          <t>native</t>
        </is>
      </c>
      <c r="Q680" s="308" t="inlineStr"/>
      <c r="R680" s="308" t="inlineStr">
        <is>
          <t>native text sufficient</t>
        </is>
      </c>
      <c r="S680" s="308" t="inlineStr"/>
      <c r="T680" s="308" t="inlineStr">
        <is>
          <t>p25:native:93, p25:native:101</t>
        </is>
      </c>
      <c r="U680" s="308" t="n">
        <v>2</v>
      </c>
    </row>
    <row r="681">
      <c r="A681" s="308" t="inlineStr">
        <is>
          <t>Missing in Excel</t>
        </is>
      </c>
      <c r="B681" s="308" t="inlineStr">
        <is>
          <t>DG7602</t>
        </is>
      </c>
      <c r="C681" s="308" t="n">
        <v>25</v>
      </c>
      <c r="D681" s="308" t="inlineStr">
        <is>
          <t>RL7-SKD-201-HV002</t>
        </is>
      </c>
      <c r="E681" s="308" t="inlineStr">
        <is>
          <t>RL7-SKD-201</t>
        </is>
      </c>
      <c r="F681" s="308" t="inlineStr">
        <is>
          <t>HV002</t>
        </is>
      </c>
      <c r="G681" s="308" t="inlineStr">
        <is>
          <t>instrument</t>
        </is>
      </c>
      <c r="H681" s="311" t="n">
        <v>0.57</v>
      </c>
      <c r="I681" s="308" t="inlineStr">
        <is>
          <t>Low</t>
        </is>
      </c>
      <c r="J681" s="308" t="inlineStr">
        <is>
          <t>drawing</t>
        </is>
      </c>
      <c r="K681" s="308" t="inlineStr">
        <is>
          <t>inferred:bare-isa</t>
        </is>
      </c>
      <c r="L681" s="308" t="inlineStr">
        <is>
          <t>drawing zone; process page; mapped sheet</t>
        </is>
      </c>
      <c r="M681" s="308" t="inlineStr">
        <is>
          <t>RL7-SKD-201 / HV</t>
        </is>
      </c>
      <c r="N681" s="308" t="inlineStr">
        <is>
          <t>native</t>
        </is>
      </c>
      <c r="O681" s="308" t="inlineStr">
        <is>
          <t>native-only</t>
        </is>
      </c>
      <c r="P681" s="308" t="inlineStr">
        <is>
          <t>native</t>
        </is>
      </c>
      <c r="Q681" s="308" t="inlineStr"/>
      <c r="R681" s="308" t="inlineStr">
        <is>
          <t>native text sufficient</t>
        </is>
      </c>
      <c r="S681" s="308" t="inlineStr"/>
      <c r="T681" s="308" t="inlineStr">
        <is>
          <t>p25:native:93, p25:native:107</t>
        </is>
      </c>
      <c r="U681" s="308" t="n">
        <v>2</v>
      </c>
    </row>
    <row r="682">
      <c r="A682" s="308" t="inlineStr">
        <is>
          <t>Missing in Excel</t>
        </is>
      </c>
      <c r="B682" s="308" t="inlineStr">
        <is>
          <t>DG7602</t>
        </is>
      </c>
      <c r="C682" s="308" t="n">
        <v>25</v>
      </c>
      <c r="D682" s="308" t="inlineStr">
        <is>
          <t>RL7-SKD-201-HV003</t>
        </is>
      </c>
      <c r="E682" s="308" t="inlineStr">
        <is>
          <t>RL7-SKD-201</t>
        </is>
      </c>
      <c r="F682" s="308" t="inlineStr">
        <is>
          <t>HV003</t>
        </is>
      </c>
      <c r="G682" s="308" t="inlineStr">
        <is>
          <t>instrument</t>
        </is>
      </c>
      <c r="H682" s="311" t="n">
        <v>0.57</v>
      </c>
      <c r="I682" s="308" t="inlineStr">
        <is>
          <t>Low</t>
        </is>
      </c>
      <c r="J682" s="308" t="inlineStr">
        <is>
          <t>drawing</t>
        </is>
      </c>
      <c r="K682" s="308" t="inlineStr">
        <is>
          <t>inferred:bare-isa</t>
        </is>
      </c>
      <c r="L682" s="308" t="inlineStr">
        <is>
          <t>drawing zone; process page; mapped sheet</t>
        </is>
      </c>
      <c r="M682" s="308" t="inlineStr">
        <is>
          <t>RL7-SKD-201 / HV</t>
        </is>
      </c>
      <c r="N682" s="308" t="inlineStr">
        <is>
          <t>native</t>
        </is>
      </c>
      <c r="O682" s="308" t="inlineStr">
        <is>
          <t>native-only</t>
        </is>
      </c>
      <c r="P682" s="308" t="inlineStr">
        <is>
          <t>native</t>
        </is>
      </c>
      <c r="Q682" s="308" t="inlineStr"/>
      <c r="R682" s="308" t="inlineStr">
        <is>
          <t>native text sufficient</t>
        </is>
      </c>
      <c r="S682" s="308" t="inlineStr"/>
      <c r="T682" s="308" t="inlineStr">
        <is>
          <t>p25:native:109, p25:native:115</t>
        </is>
      </c>
      <c r="U682" s="308" t="n">
        <v>2</v>
      </c>
    </row>
    <row r="683">
      <c r="A683" s="308" t="inlineStr">
        <is>
          <t>Missing in Excel</t>
        </is>
      </c>
      <c r="B683" s="308" t="inlineStr">
        <is>
          <t>DG7602</t>
        </is>
      </c>
      <c r="C683" s="308" t="n">
        <v>25</v>
      </c>
      <c r="D683" s="308" t="inlineStr">
        <is>
          <t>RL7-SKD-201-HV004</t>
        </is>
      </c>
      <c r="E683" s="308" t="inlineStr">
        <is>
          <t>RL7-SKD-201</t>
        </is>
      </c>
      <c r="F683" s="308" t="inlineStr">
        <is>
          <t>HV004</t>
        </is>
      </c>
      <c r="G683" s="308" t="inlineStr">
        <is>
          <t>instrument</t>
        </is>
      </c>
      <c r="H683" s="311" t="n">
        <v>0.57</v>
      </c>
      <c r="I683" s="308" t="inlineStr">
        <is>
          <t>Low</t>
        </is>
      </c>
      <c r="J683" s="308" t="inlineStr">
        <is>
          <t>drawing</t>
        </is>
      </c>
      <c r="K683" s="308" t="inlineStr">
        <is>
          <t>inferred:bare-isa</t>
        </is>
      </c>
      <c r="L683" s="308" t="inlineStr">
        <is>
          <t>drawing zone; process page; mapped sheet</t>
        </is>
      </c>
      <c r="M683" s="308" t="inlineStr">
        <is>
          <t>RL7-SKD-201 / HV</t>
        </is>
      </c>
      <c r="N683" s="308" t="inlineStr">
        <is>
          <t>native</t>
        </is>
      </c>
      <c r="O683" s="308" t="inlineStr">
        <is>
          <t>native-only</t>
        </is>
      </c>
      <c r="P683" s="308" t="inlineStr">
        <is>
          <t>native</t>
        </is>
      </c>
      <c r="Q683" s="308" t="inlineStr"/>
      <c r="R683" s="308" t="inlineStr">
        <is>
          <t>native text sufficient</t>
        </is>
      </c>
      <c r="S683" s="308" t="inlineStr"/>
      <c r="T683" s="308" t="inlineStr">
        <is>
          <t>p25:native:12, p25:native:18</t>
        </is>
      </c>
      <c r="U683" s="308" t="n">
        <v>2</v>
      </c>
    </row>
    <row r="684">
      <c r="A684" s="308" t="inlineStr">
        <is>
          <t>Missing in Excel</t>
        </is>
      </c>
      <c r="B684" s="308" t="inlineStr">
        <is>
          <t>DG7602</t>
        </is>
      </c>
      <c r="C684" s="308" t="n">
        <v>25</v>
      </c>
      <c r="D684" s="308" t="inlineStr">
        <is>
          <t>RL7-SKD-201-HV005</t>
        </is>
      </c>
      <c r="E684" s="308" t="inlineStr">
        <is>
          <t>RL7-SKD-201</t>
        </is>
      </c>
      <c r="F684" s="308" t="inlineStr">
        <is>
          <t>HV005</t>
        </is>
      </c>
      <c r="G684" s="308" t="inlineStr">
        <is>
          <t>instrument</t>
        </is>
      </c>
      <c r="H684" s="311" t="n">
        <v>0.57</v>
      </c>
      <c r="I684" s="308" t="inlineStr">
        <is>
          <t>Low</t>
        </is>
      </c>
      <c r="J684" s="308" t="inlineStr">
        <is>
          <t>drawing</t>
        </is>
      </c>
      <c r="K684" s="308" t="inlineStr">
        <is>
          <t>inferred:bare-isa</t>
        </is>
      </c>
      <c r="L684" s="308" t="inlineStr">
        <is>
          <t>drawing zone; process page; mapped sheet</t>
        </is>
      </c>
      <c r="M684" s="308" t="inlineStr">
        <is>
          <t>RL7-SKD-201 / HV</t>
        </is>
      </c>
      <c r="N684" s="308" t="inlineStr">
        <is>
          <t>native</t>
        </is>
      </c>
      <c r="O684" s="308" t="inlineStr">
        <is>
          <t>native-only</t>
        </is>
      </c>
      <c r="P684" s="308" t="inlineStr">
        <is>
          <t>native</t>
        </is>
      </c>
      <c r="Q684" s="308" t="inlineStr"/>
      <c r="R684" s="308" t="inlineStr">
        <is>
          <t>native text sufficient</t>
        </is>
      </c>
      <c r="S684" s="308" t="inlineStr"/>
      <c r="T684" s="308" t="inlineStr">
        <is>
          <t>p25:native:121, p25:native:175</t>
        </is>
      </c>
      <c r="U684" s="308" t="n">
        <v>2</v>
      </c>
    </row>
    <row r="685">
      <c r="A685" s="308" t="inlineStr">
        <is>
          <t>Missing in Excel</t>
        </is>
      </c>
      <c r="B685" s="308" t="inlineStr">
        <is>
          <t>DG7602</t>
        </is>
      </c>
      <c r="C685" s="308" t="n">
        <v>25</v>
      </c>
      <c r="D685" s="308" t="inlineStr">
        <is>
          <t>RL7-SKD-201-HV006</t>
        </is>
      </c>
      <c r="E685" s="308" t="inlineStr">
        <is>
          <t>RL7-SKD-201</t>
        </is>
      </c>
      <c r="F685" s="308" t="inlineStr">
        <is>
          <t>HV006</t>
        </is>
      </c>
      <c r="G685" s="308" t="inlineStr">
        <is>
          <t>instrument</t>
        </is>
      </c>
      <c r="H685" s="311" t="n">
        <v>0.57</v>
      </c>
      <c r="I685" s="308" t="inlineStr">
        <is>
          <t>Low</t>
        </is>
      </c>
      <c r="J685" s="308" t="inlineStr">
        <is>
          <t>drawing</t>
        </is>
      </c>
      <c r="K685" s="308" t="inlineStr">
        <is>
          <t>inferred:bare-isa</t>
        </is>
      </c>
      <c r="L685" s="308" t="inlineStr">
        <is>
          <t>drawing zone; process page; mapped sheet</t>
        </is>
      </c>
      <c r="M685" s="308" t="inlineStr">
        <is>
          <t>RL7-SKD-201 / HV</t>
        </is>
      </c>
      <c r="N685" s="308" t="inlineStr">
        <is>
          <t>native</t>
        </is>
      </c>
      <c r="O685" s="308" t="inlineStr">
        <is>
          <t>native-only</t>
        </is>
      </c>
      <c r="P685" s="308" t="inlineStr">
        <is>
          <t>native</t>
        </is>
      </c>
      <c r="Q685" s="308" t="inlineStr"/>
      <c r="R685" s="308" t="inlineStr">
        <is>
          <t>native text sufficient</t>
        </is>
      </c>
      <c r="S685" s="308" t="inlineStr"/>
      <c r="T685" s="308" t="inlineStr">
        <is>
          <t>p25:native:20, p25:native:26</t>
        </is>
      </c>
      <c r="U685" s="308" t="n">
        <v>2</v>
      </c>
    </row>
    <row r="686">
      <c r="A686" s="308" t="inlineStr">
        <is>
          <t>Missing in Excel</t>
        </is>
      </c>
      <c r="B686" s="308" t="inlineStr">
        <is>
          <t>DG7602</t>
        </is>
      </c>
      <c r="C686" s="308" t="n">
        <v>25</v>
      </c>
      <c r="D686" s="308" t="inlineStr">
        <is>
          <t>RL7-SKD-201-HV007</t>
        </is>
      </c>
      <c r="E686" s="308" t="inlineStr">
        <is>
          <t>RL7-SKD-201</t>
        </is>
      </c>
      <c r="F686" s="308" t="inlineStr">
        <is>
          <t>HV007</t>
        </is>
      </c>
      <c r="G686" s="308" t="inlineStr">
        <is>
          <t>instrument</t>
        </is>
      </c>
      <c r="H686" s="311" t="n">
        <v>0.57</v>
      </c>
      <c r="I686" s="308" t="inlineStr">
        <is>
          <t>Low</t>
        </is>
      </c>
      <c r="J686" s="308" t="inlineStr">
        <is>
          <t>drawing</t>
        </is>
      </c>
      <c r="K686" s="308" t="inlineStr">
        <is>
          <t>inferred:bare-isa</t>
        </is>
      </c>
      <c r="L686" s="308" t="inlineStr">
        <is>
          <t>drawing zone; process page; mapped sheet</t>
        </is>
      </c>
      <c r="M686" s="308" t="inlineStr">
        <is>
          <t>RL7-SKD-201 / HV</t>
        </is>
      </c>
      <c r="N686" s="308" t="inlineStr">
        <is>
          <t>native</t>
        </is>
      </c>
      <c r="O686" s="308" t="inlineStr">
        <is>
          <t>native-only</t>
        </is>
      </c>
      <c r="P686" s="308" t="inlineStr">
        <is>
          <t>native</t>
        </is>
      </c>
      <c r="Q686" s="308" t="inlineStr"/>
      <c r="R686" s="308" t="inlineStr">
        <is>
          <t>native text sufficient</t>
        </is>
      </c>
      <c r="S686" s="308" t="inlineStr"/>
      <c r="T686" s="308" t="inlineStr">
        <is>
          <t>p25:native:28, p25:native:34</t>
        </is>
      </c>
      <c r="U686" s="308" t="n">
        <v>2</v>
      </c>
    </row>
    <row r="687">
      <c r="A687" s="308" t="inlineStr">
        <is>
          <t>Missing in Excel</t>
        </is>
      </c>
      <c r="B687" s="308" t="inlineStr">
        <is>
          <t>DG7602</t>
        </is>
      </c>
      <c r="C687" s="308" t="n">
        <v>25</v>
      </c>
      <c r="D687" s="308" t="inlineStr">
        <is>
          <t>RL7-SKD-201-HV008</t>
        </is>
      </c>
      <c r="E687" s="308" t="inlineStr">
        <is>
          <t>RL7-SKD-201</t>
        </is>
      </c>
      <c r="F687" s="308" t="inlineStr">
        <is>
          <t>HV008</t>
        </is>
      </c>
      <c r="G687" s="308" t="inlineStr">
        <is>
          <t>instrument</t>
        </is>
      </c>
      <c r="H687" s="311" t="n">
        <v>0.57</v>
      </c>
      <c r="I687" s="308" t="inlineStr">
        <is>
          <t>Low</t>
        </is>
      </c>
      <c r="J687" s="308" t="inlineStr">
        <is>
          <t>drawing</t>
        </is>
      </c>
      <c r="K687" s="308" t="inlineStr">
        <is>
          <t>inferred:bare-isa</t>
        </is>
      </c>
      <c r="L687" s="308" t="inlineStr">
        <is>
          <t>drawing zone; process page; mapped sheet</t>
        </is>
      </c>
      <c r="M687" s="308" t="inlineStr">
        <is>
          <t>RL7-SKD-201 / HV</t>
        </is>
      </c>
      <c r="N687" s="308" t="inlineStr">
        <is>
          <t>native</t>
        </is>
      </c>
      <c r="O687" s="308" t="inlineStr">
        <is>
          <t>native-only</t>
        </is>
      </c>
      <c r="P687" s="308" t="inlineStr">
        <is>
          <t>native</t>
        </is>
      </c>
      <c r="Q687" s="308" t="inlineStr"/>
      <c r="R687" s="308" t="inlineStr">
        <is>
          <t>native text sufficient</t>
        </is>
      </c>
      <c r="S687" s="308" t="inlineStr"/>
      <c r="T687" s="308" t="inlineStr">
        <is>
          <t>p25:native:36, p25:native:42</t>
        </is>
      </c>
      <c r="U687" s="308" t="n">
        <v>2</v>
      </c>
    </row>
    <row r="688">
      <c r="A688" s="308" t="inlineStr">
        <is>
          <t>Missing in Excel</t>
        </is>
      </c>
      <c r="B688" s="308" t="inlineStr">
        <is>
          <t>DG7602</t>
        </is>
      </c>
      <c r="C688" s="308" t="n">
        <v>25</v>
      </c>
      <c r="D688" s="308" t="inlineStr">
        <is>
          <t>RL7-SKD-201-HV009</t>
        </is>
      </c>
      <c r="E688" s="308" t="inlineStr">
        <is>
          <t>RL7-SKD-201</t>
        </is>
      </c>
      <c r="F688" s="308" t="inlineStr">
        <is>
          <t>HV009</t>
        </is>
      </c>
      <c r="G688" s="308" t="inlineStr">
        <is>
          <t>instrument</t>
        </is>
      </c>
      <c r="H688" s="311" t="n">
        <v>0.57</v>
      </c>
      <c r="I688" s="308" t="inlineStr">
        <is>
          <t>Low</t>
        </is>
      </c>
      <c r="J688" s="308" t="inlineStr">
        <is>
          <t>drawing</t>
        </is>
      </c>
      <c r="K688" s="308" t="inlineStr">
        <is>
          <t>inferred:bare-isa</t>
        </is>
      </c>
      <c r="L688" s="308" t="inlineStr">
        <is>
          <t>drawing zone; process page; mapped sheet</t>
        </is>
      </c>
      <c r="M688" s="308" t="inlineStr">
        <is>
          <t>RL7-SKD-201 / HV</t>
        </is>
      </c>
      <c r="N688" s="308" t="inlineStr">
        <is>
          <t>native</t>
        </is>
      </c>
      <c r="O688" s="308" t="inlineStr">
        <is>
          <t>native-only</t>
        </is>
      </c>
      <c r="P688" s="308" t="inlineStr">
        <is>
          <t>native</t>
        </is>
      </c>
      <c r="Q688" s="308" t="inlineStr"/>
      <c r="R688" s="308" t="inlineStr">
        <is>
          <t>native text sufficient</t>
        </is>
      </c>
      <c r="S688" s="308" t="inlineStr"/>
      <c r="T688" s="308" t="inlineStr">
        <is>
          <t>p25:native:123, p25:native:129</t>
        </is>
      </c>
      <c r="U688" s="308" t="n">
        <v>2</v>
      </c>
    </row>
    <row r="689">
      <c r="A689" s="308" t="inlineStr">
        <is>
          <t>Missing in Excel</t>
        </is>
      </c>
      <c r="B689" s="308" t="inlineStr">
        <is>
          <t>DG7602</t>
        </is>
      </c>
      <c r="C689" s="308" t="n">
        <v>25</v>
      </c>
      <c r="D689" s="308" t="inlineStr">
        <is>
          <t>RL7-SKD-201-HV010</t>
        </is>
      </c>
      <c r="E689" s="308" t="inlineStr">
        <is>
          <t>RL7-SKD-201</t>
        </is>
      </c>
      <c r="F689" s="308" t="inlineStr">
        <is>
          <t>HV010</t>
        </is>
      </c>
      <c r="G689" s="308" t="inlineStr">
        <is>
          <t>instrument</t>
        </is>
      </c>
      <c r="H689" s="311" t="n">
        <v>0.57</v>
      </c>
      <c r="I689" s="308" t="inlineStr">
        <is>
          <t>Low</t>
        </is>
      </c>
      <c r="J689" s="308" t="inlineStr">
        <is>
          <t>drawing</t>
        </is>
      </c>
      <c r="K689" s="308" t="inlineStr">
        <is>
          <t>inferred:bare-isa</t>
        </is>
      </c>
      <c r="L689" s="308" t="inlineStr">
        <is>
          <t>drawing zone; process page; mapped sheet</t>
        </is>
      </c>
      <c r="M689" s="308" t="inlineStr">
        <is>
          <t>RL7-SKD-201 / HV</t>
        </is>
      </c>
      <c r="N689" s="308" t="inlineStr">
        <is>
          <t>native</t>
        </is>
      </c>
      <c r="O689" s="308" t="inlineStr">
        <is>
          <t>native-only</t>
        </is>
      </c>
      <c r="P689" s="308" t="inlineStr">
        <is>
          <t>native</t>
        </is>
      </c>
      <c r="Q689" s="308" t="inlineStr"/>
      <c r="R689" s="308" t="inlineStr">
        <is>
          <t>native text sufficient</t>
        </is>
      </c>
      <c r="S689" s="308" t="inlineStr"/>
      <c r="T689" s="308" t="inlineStr">
        <is>
          <t>p25:native:131, p25:native:137</t>
        </is>
      </c>
      <c r="U689" s="308" t="n">
        <v>2</v>
      </c>
    </row>
    <row r="690">
      <c r="A690" s="308" t="inlineStr">
        <is>
          <t>Missing in Excel</t>
        </is>
      </c>
      <c r="B690" s="308" t="inlineStr">
        <is>
          <t>DG7602</t>
        </is>
      </c>
      <c r="C690" s="308" t="n">
        <v>25</v>
      </c>
      <c r="D690" s="308" t="inlineStr">
        <is>
          <t>RL7-SKD-201-HV011</t>
        </is>
      </c>
      <c r="E690" s="308" t="inlineStr">
        <is>
          <t>RL7-SKD-201</t>
        </is>
      </c>
      <c r="F690" s="308" t="inlineStr">
        <is>
          <t>HV011</t>
        </is>
      </c>
      <c r="G690" s="308" t="inlineStr">
        <is>
          <t>instrument</t>
        </is>
      </c>
      <c r="H690" s="311" t="n">
        <v>0.57</v>
      </c>
      <c r="I690" s="308" t="inlineStr">
        <is>
          <t>Low</t>
        </is>
      </c>
      <c r="J690" s="308" t="inlineStr">
        <is>
          <t>drawing</t>
        </is>
      </c>
      <c r="K690" s="308" t="inlineStr">
        <is>
          <t>inferred:bare-isa</t>
        </is>
      </c>
      <c r="L690" s="308" t="inlineStr">
        <is>
          <t>drawing zone; process page; mapped sheet</t>
        </is>
      </c>
      <c r="M690" s="308" t="inlineStr">
        <is>
          <t>RL7-SKD-201 / HV</t>
        </is>
      </c>
      <c r="N690" s="308" t="inlineStr">
        <is>
          <t>native</t>
        </is>
      </c>
      <c r="O690" s="308" t="inlineStr">
        <is>
          <t>native-only</t>
        </is>
      </c>
      <c r="P690" s="308" t="inlineStr">
        <is>
          <t>native</t>
        </is>
      </c>
      <c r="Q690" s="308" t="inlineStr"/>
      <c r="R690" s="308" t="inlineStr">
        <is>
          <t>native text sufficient</t>
        </is>
      </c>
      <c r="S690" s="308" t="inlineStr"/>
      <c r="T690" s="308" t="inlineStr">
        <is>
          <t>p25:native:119, p25:native:48</t>
        </is>
      </c>
      <c r="U690" s="308" t="n">
        <v>2</v>
      </c>
    </row>
    <row r="691">
      <c r="A691" s="308" t="inlineStr">
        <is>
          <t>Missing in Excel</t>
        </is>
      </c>
      <c r="B691" s="308" t="inlineStr">
        <is>
          <t>DG7602</t>
        </is>
      </c>
      <c r="C691" s="308" t="n">
        <v>25</v>
      </c>
      <c r="D691" s="308" t="inlineStr">
        <is>
          <t>RL7-SKD-201-HV012</t>
        </is>
      </c>
      <c r="E691" s="308" t="inlineStr">
        <is>
          <t>RL7-SKD-201</t>
        </is>
      </c>
      <c r="F691" s="308" t="inlineStr">
        <is>
          <t>HV012</t>
        </is>
      </c>
      <c r="G691" s="308" t="inlineStr">
        <is>
          <t>instrument</t>
        </is>
      </c>
      <c r="H691" s="311" t="n">
        <v>0.57</v>
      </c>
      <c r="I691" s="308" t="inlineStr">
        <is>
          <t>Low</t>
        </is>
      </c>
      <c r="J691" s="308" t="inlineStr">
        <is>
          <t>drawing</t>
        </is>
      </c>
      <c r="K691" s="308" t="inlineStr">
        <is>
          <t>inferred:bare-isa</t>
        </is>
      </c>
      <c r="L691" s="308" t="inlineStr">
        <is>
          <t>drawing zone; process page; mapped sheet</t>
        </is>
      </c>
      <c r="M691" s="308" t="inlineStr">
        <is>
          <t>RL7-SKD-201 / HV</t>
        </is>
      </c>
      <c r="N691" s="308" t="inlineStr">
        <is>
          <t>native</t>
        </is>
      </c>
      <c r="O691" s="308" t="inlineStr">
        <is>
          <t>native-only</t>
        </is>
      </c>
      <c r="P691" s="308" t="inlineStr">
        <is>
          <t>native</t>
        </is>
      </c>
      <c r="Q691" s="308" t="inlineStr"/>
      <c r="R691" s="308" t="inlineStr">
        <is>
          <t>native text sufficient</t>
        </is>
      </c>
      <c r="S691" s="308" t="inlineStr"/>
      <c r="T691" s="308" t="inlineStr">
        <is>
          <t>p25:native:50, p25:native:56</t>
        </is>
      </c>
      <c r="U691" s="308" t="n">
        <v>2</v>
      </c>
    </row>
    <row r="692">
      <c r="A692" s="308" t="inlineStr">
        <is>
          <t>Missing in Excel</t>
        </is>
      </c>
      <c r="B692" s="308" t="inlineStr">
        <is>
          <t>DG7602</t>
        </is>
      </c>
      <c r="C692" s="308" t="n">
        <v>25</v>
      </c>
      <c r="D692" s="308" t="inlineStr">
        <is>
          <t>RL7-SKD-201-HV013</t>
        </is>
      </c>
      <c r="E692" s="308" t="inlineStr">
        <is>
          <t>RL7-SKD-201</t>
        </is>
      </c>
      <c r="F692" s="308" t="inlineStr">
        <is>
          <t>HV013</t>
        </is>
      </c>
      <c r="G692" s="308" t="inlineStr">
        <is>
          <t>instrument</t>
        </is>
      </c>
      <c r="H692" s="311" t="n">
        <v>0.57</v>
      </c>
      <c r="I692" s="308" t="inlineStr">
        <is>
          <t>Low</t>
        </is>
      </c>
      <c r="J692" s="308" t="inlineStr">
        <is>
          <t>drawing</t>
        </is>
      </c>
      <c r="K692" s="308" t="inlineStr">
        <is>
          <t>inferred:bare-isa</t>
        </is>
      </c>
      <c r="L692" s="308" t="inlineStr">
        <is>
          <t>drawing zone; process page; mapped sheet</t>
        </is>
      </c>
      <c r="M692" s="308" t="inlineStr">
        <is>
          <t>RL7-SKD-201 / HV</t>
        </is>
      </c>
      <c r="N692" s="308" t="inlineStr">
        <is>
          <t>native</t>
        </is>
      </c>
      <c r="O692" s="308" t="inlineStr">
        <is>
          <t>native-only</t>
        </is>
      </c>
      <c r="P692" s="308" t="inlineStr">
        <is>
          <t>native</t>
        </is>
      </c>
      <c r="Q692" s="308" t="inlineStr"/>
      <c r="R692" s="308" t="inlineStr">
        <is>
          <t>native text sufficient</t>
        </is>
      </c>
      <c r="S692" s="308" t="inlineStr"/>
      <c r="T692" s="308" t="inlineStr">
        <is>
          <t>p25:native:58, p25:native:64</t>
        </is>
      </c>
      <c r="U692" s="308" t="n">
        <v>2</v>
      </c>
    </row>
    <row r="693">
      <c r="A693" s="308" t="inlineStr">
        <is>
          <t>Missing in Excel</t>
        </is>
      </c>
      <c r="B693" s="308" t="inlineStr">
        <is>
          <t>DG7602</t>
        </is>
      </c>
      <c r="C693" s="308" t="n">
        <v>25</v>
      </c>
      <c r="D693" s="308" t="inlineStr">
        <is>
          <t>RL7-SKD-201-HV014</t>
        </is>
      </c>
      <c r="E693" s="308" t="inlineStr">
        <is>
          <t>RL7-SKD-201</t>
        </is>
      </c>
      <c r="F693" s="308" t="inlineStr">
        <is>
          <t>HV014</t>
        </is>
      </c>
      <c r="G693" s="308" t="inlineStr">
        <is>
          <t>instrument</t>
        </is>
      </c>
      <c r="H693" s="311" t="n">
        <v>0.57</v>
      </c>
      <c r="I693" s="308" t="inlineStr">
        <is>
          <t>Low</t>
        </is>
      </c>
      <c r="J693" s="308" t="inlineStr">
        <is>
          <t>drawing</t>
        </is>
      </c>
      <c r="K693" s="308" t="inlineStr">
        <is>
          <t>inferred:bare-isa</t>
        </is>
      </c>
      <c r="L693" s="308" t="inlineStr">
        <is>
          <t>drawing zone; process page; mapped sheet</t>
        </is>
      </c>
      <c r="M693" s="308" t="inlineStr">
        <is>
          <t>RL7-SKD-201 / HV</t>
        </is>
      </c>
      <c r="N693" s="308" t="inlineStr">
        <is>
          <t>native</t>
        </is>
      </c>
      <c r="O693" s="308" t="inlineStr">
        <is>
          <t>native-only</t>
        </is>
      </c>
      <c r="P693" s="308" t="inlineStr">
        <is>
          <t>native</t>
        </is>
      </c>
      <c r="Q693" s="308" t="inlineStr"/>
      <c r="R693" s="308" t="inlineStr">
        <is>
          <t>native text sufficient</t>
        </is>
      </c>
      <c r="S693" s="308" t="inlineStr"/>
      <c r="T693" s="308" t="inlineStr">
        <is>
          <t>p25:native:66, p25:native:72</t>
        </is>
      </c>
      <c r="U693" s="308" t="n">
        <v>2</v>
      </c>
    </row>
    <row r="694">
      <c r="A694" s="308" t="inlineStr">
        <is>
          <t>Missing in Excel</t>
        </is>
      </c>
      <c r="B694" s="308" t="inlineStr">
        <is>
          <t>DG7602</t>
        </is>
      </c>
      <c r="C694" s="308" t="n">
        <v>25</v>
      </c>
      <c r="D694" s="308" t="inlineStr">
        <is>
          <t>XV15</t>
        </is>
      </c>
      <c r="E694" s="308" t="inlineStr"/>
      <c r="F694" s="308" t="inlineStr">
        <is>
          <t>XV15</t>
        </is>
      </c>
      <c r="G694" s="308" t="inlineStr">
        <is>
          <t>instrument</t>
        </is>
      </c>
      <c r="H694" s="311" t="n">
        <v>0.51</v>
      </c>
      <c r="I694" s="308" t="inlineStr">
        <is>
          <t>Low</t>
        </is>
      </c>
      <c r="J694" s="308" t="inlineStr">
        <is>
          <t>drawing</t>
        </is>
      </c>
      <c r="K694" s="308" t="inlineStr">
        <is>
          <t>standalone:isa</t>
        </is>
      </c>
      <c r="L694" s="308" t="inlineStr">
        <is>
          <t>drawing zone; process page; mapped sheet</t>
        </is>
      </c>
      <c r="M694" s="308" t="inlineStr">
        <is>
          <t>XV-15</t>
        </is>
      </c>
      <c r="N694" s="308" t="inlineStr">
        <is>
          <t>native</t>
        </is>
      </c>
      <c r="O694" s="308" t="inlineStr">
        <is>
          <t>native-only</t>
        </is>
      </c>
      <c r="P694" s="308" t="inlineStr">
        <is>
          <t>native</t>
        </is>
      </c>
      <c r="Q694" s="308" t="inlineStr"/>
      <c r="R694" s="308" t="inlineStr">
        <is>
          <t>native text sufficient</t>
        </is>
      </c>
      <c r="S694" s="308" t="inlineStr"/>
      <c r="T694" s="308" t="inlineStr">
        <is>
          <t>p25:native:122</t>
        </is>
      </c>
      <c r="U694" s="308" t="n">
        <v>1</v>
      </c>
    </row>
    <row r="695">
      <c r="A695" s="308" t="inlineStr">
        <is>
          <t>Missing in Excel</t>
        </is>
      </c>
      <c r="B695" s="308" t="inlineStr">
        <is>
          <t>DG7602</t>
        </is>
      </c>
      <c r="C695" s="308" t="n">
        <v>25</v>
      </c>
      <c r="D695" s="308" t="inlineStr">
        <is>
          <t>2"-PHW140-12A</t>
        </is>
      </c>
      <c r="E695" s="308" t="inlineStr">
        <is>
          <t>PHW140</t>
        </is>
      </c>
      <c r="F695" s="308" t="inlineStr">
        <is>
          <t>12A</t>
        </is>
      </c>
      <c r="G695" s="308" t="inlineStr">
        <is>
          <t>line</t>
        </is>
      </c>
      <c r="H695" s="311" t="n">
        <v>0.87</v>
      </c>
      <c r="I695" s="308" t="inlineStr">
        <is>
          <t>Medium</t>
        </is>
      </c>
      <c r="J695" s="308" t="inlineStr">
        <is>
          <t>drawing</t>
        </is>
      </c>
      <c r="K695" s="308" t="inlineStr">
        <is>
          <t>line:size-prefix</t>
        </is>
      </c>
      <c r="L695" s="308" t="inlineStr">
        <is>
          <t>drawing zone; process page; mapped sheet; repeated x29</t>
        </is>
      </c>
      <c r="M695" s="308" t="inlineStr">
        <is>
          <t>2"-PHW140-12A</t>
        </is>
      </c>
      <c r="N695" s="308" t="inlineStr">
        <is>
          <t>native</t>
        </is>
      </c>
      <c r="O695" s="308" t="inlineStr">
        <is>
          <t>native-only</t>
        </is>
      </c>
      <c r="P695" s="308" t="inlineStr">
        <is>
          <t>native</t>
        </is>
      </c>
      <c r="Q695" s="308" t="inlineStr"/>
      <c r="R695" s="308" t="inlineStr">
        <is>
          <t>native text sufficient</t>
        </is>
      </c>
      <c r="S695" s="308" t="inlineStr"/>
      <c r="T695" s="308" t="inlineStr">
        <is>
          <t>p25:native:75</t>
        </is>
      </c>
      <c r="U695" s="308" t="n">
        <v>1</v>
      </c>
    </row>
    <row r="696">
      <c r="A696" s="308" t="inlineStr">
        <is>
          <t>Missing in Excel</t>
        </is>
      </c>
      <c r="B696" s="308" t="inlineStr">
        <is>
          <t>DG7602</t>
        </is>
      </c>
      <c r="C696" s="308" t="n">
        <v>25</v>
      </c>
      <c r="D696" s="308" t="inlineStr">
        <is>
          <t>2"-PHW140-12A</t>
        </is>
      </c>
      <c r="E696" s="308" t="inlineStr">
        <is>
          <t>PHW140</t>
        </is>
      </c>
      <c r="F696" s="308" t="inlineStr">
        <is>
          <t>12A</t>
        </is>
      </c>
      <c r="G696" s="308" t="inlineStr">
        <is>
          <t>line</t>
        </is>
      </c>
      <c r="H696" s="311" t="n">
        <v>0.87</v>
      </c>
      <c r="I696" s="308" t="inlineStr">
        <is>
          <t>Medium</t>
        </is>
      </c>
      <c r="J696" s="308" t="inlineStr">
        <is>
          <t>drawing</t>
        </is>
      </c>
      <c r="K696" s="308" t="inlineStr">
        <is>
          <t>line:size-prefix</t>
        </is>
      </c>
      <c r="L696" s="308" t="inlineStr">
        <is>
          <t>drawing zone; process page; mapped sheet; repeated x29</t>
        </is>
      </c>
      <c r="M696" s="308" t="inlineStr">
        <is>
          <t>2"-PHW140-12A</t>
        </is>
      </c>
      <c r="N696" s="308" t="inlineStr">
        <is>
          <t>native</t>
        </is>
      </c>
      <c r="O696" s="308" t="inlineStr">
        <is>
          <t>native-only</t>
        </is>
      </c>
      <c r="P696" s="308" t="inlineStr">
        <is>
          <t>native</t>
        </is>
      </c>
      <c r="Q696" s="308" t="inlineStr"/>
      <c r="R696" s="308" t="inlineStr">
        <is>
          <t>native text sufficient</t>
        </is>
      </c>
      <c r="S696" s="308" t="inlineStr"/>
      <c r="T696" s="308" t="inlineStr">
        <is>
          <t>p25:native:76</t>
        </is>
      </c>
      <c r="U696" s="308" t="n">
        <v>1</v>
      </c>
    </row>
    <row r="697">
      <c r="A697" s="308" t="inlineStr">
        <is>
          <t>Missing in Excel</t>
        </is>
      </c>
      <c r="B697" s="308" t="inlineStr">
        <is>
          <t>DG7602</t>
        </is>
      </c>
      <c r="C697" s="308" t="n">
        <v>25</v>
      </c>
      <c r="D697" s="308" t="inlineStr">
        <is>
          <t>2"-PHW140-12A</t>
        </is>
      </c>
      <c r="E697" s="308" t="inlineStr">
        <is>
          <t>PHW140</t>
        </is>
      </c>
      <c r="F697" s="308" t="inlineStr">
        <is>
          <t>12A</t>
        </is>
      </c>
      <c r="G697" s="308" t="inlineStr">
        <is>
          <t>line</t>
        </is>
      </c>
      <c r="H697" s="311" t="n">
        <v>0.87</v>
      </c>
      <c r="I697" s="308" t="inlineStr">
        <is>
          <t>Medium</t>
        </is>
      </c>
      <c r="J697" s="308" t="inlineStr">
        <is>
          <t>drawing</t>
        </is>
      </c>
      <c r="K697" s="308" t="inlineStr">
        <is>
          <t>line:size-prefix</t>
        </is>
      </c>
      <c r="L697" s="308" t="inlineStr">
        <is>
          <t>drawing zone; process page; mapped sheet; repeated x29</t>
        </is>
      </c>
      <c r="M697" s="308" t="inlineStr">
        <is>
          <t>2"-PHW140-12A</t>
        </is>
      </c>
      <c r="N697" s="308" t="inlineStr">
        <is>
          <t>native</t>
        </is>
      </c>
      <c r="O697" s="308" t="inlineStr">
        <is>
          <t>native-only</t>
        </is>
      </c>
      <c r="P697" s="308" t="inlineStr">
        <is>
          <t>native</t>
        </is>
      </c>
      <c r="Q697" s="308" t="inlineStr"/>
      <c r="R697" s="308" t="inlineStr">
        <is>
          <t>native text sufficient</t>
        </is>
      </c>
      <c r="S697" s="308" t="inlineStr"/>
      <c r="T697" s="308" t="inlineStr">
        <is>
          <t>p25:native:77</t>
        </is>
      </c>
      <c r="U697" s="308" t="n">
        <v>1</v>
      </c>
    </row>
    <row r="698">
      <c r="A698" s="308" t="inlineStr">
        <is>
          <t>Missing in Excel</t>
        </is>
      </c>
      <c r="B698" s="308" t="inlineStr">
        <is>
          <t>DG7602</t>
        </is>
      </c>
      <c r="C698" s="308" t="n">
        <v>25</v>
      </c>
      <c r="D698" s="308" t="inlineStr">
        <is>
          <t>2"-PHW140-12A</t>
        </is>
      </c>
      <c r="E698" s="308" t="inlineStr">
        <is>
          <t>PHW140</t>
        </is>
      </c>
      <c r="F698" s="308" t="inlineStr">
        <is>
          <t>12A</t>
        </is>
      </c>
      <c r="G698" s="308" t="inlineStr">
        <is>
          <t>line</t>
        </is>
      </c>
      <c r="H698" s="311" t="n">
        <v>0.87</v>
      </c>
      <c r="I698" s="308" t="inlineStr">
        <is>
          <t>Medium</t>
        </is>
      </c>
      <c r="J698" s="308" t="inlineStr">
        <is>
          <t>drawing</t>
        </is>
      </c>
      <c r="K698" s="308" t="inlineStr">
        <is>
          <t>line:size-prefix</t>
        </is>
      </c>
      <c r="L698" s="308" t="inlineStr">
        <is>
          <t>drawing zone; process page; mapped sheet; repeated x29</t>
        </is>
      </c>
      <c r="M698" s="308" t="inlineStr">
        <is>
          <t>2"-PHW140-12A</t>
        </is>
      </c>
      <c r="N698" s="308" t="inlineStr">
        <is>
          <t>native</t>
        </is>
      </c>
      <c r="O698" s="308" t="inlineStr">
        <is>
          <t>native-only</t>
        </is>
      </c>
      <c r="P698" s="308" t="inlineStr">
        <is>
          <t>native</t>
        </is>
      </c>
      <c r="Q698" s="308" t="inlineStr"/>
      <c r="R698" s="308" t="inlineStr">
        <is>
          <t>native text sufficient</t>
        </is>
      </c>
      <c r="S698" s="308" t="inlineStr"/>
      <c r="T698" s="308" t="inlineStr">
        <is>
          <t>p25:native:78</t>
        </is>
      </c>
      <c r="U698" s="308" t="n">
        <v>1</v>
      </c>
    </row>
    <row r="699">
      <c r="A699" s="308" t="inlineStr">
        <is>
          <t>Missing in Excel</t>
        </is>
      </c>
      <c r="B699" s="308" t="inlineStr">
        <is>
          <t>DG7602</t>
        </is>
      </c>
      <c r="C699" s="308" t="n">
        <v>25</v>
      </c>
      <c r="D699" s="308" t="inlineStr">
        <is>
          <t>2"-PHW140-12A</t>
        </is>
      </c>
      <c r="E699" s="308" t="inlineStr">
        <is>
          <t>PHW140</t>
        </is>
      </c>
      <c r="F699" s="308" t="inlineStr">
        <is>
          <t>12A</t>
        </is>
      </c>
      <c r="G699" s="308" t="inlineStr">
        <is>
          <t>line</t>
        </is>
      </c>
      <c r="H699" s="311" t="n">
        <v>0.87</v>
      </c>
      <c r="I699" s="308" t="inlineStr">
        <is>
          <t>Medium</t>
        </is>
      </c>
      <c r="J699" s="308" t="inlineStr">
        <is>
          <t>drawing</t>
        </is>
      </c>
      <c r="K699" s="308" t="inlineStr">
        <is>
          <t>line:size-prefix</t>
        </is>
      </c>
      <c r="L699" s="308" t="inlineStr">
        <is>
          <t>drawing zone; process page; mapped sheet; repeated x29</t>
        </is>
      </c>
      <c r="M699" s="308" t="inlineStr">
        <is>
          <t>2"-PHW140-12A</t>
        </is>
      </c>
      <c r="N699" s="308" t="inlineStr">
        <is>
          <t>native</t>
        </is>
      </c>
      <c r="O699" s="308" t="inlineStr">
        <is>
          <t>native-only</t>
        </is>
      </c>
      <c r="P699" s="308" t="inlineStr">
        <is>
          <t>native</t>
        </is>
      </c>
      <c r="Q699" s="308" t="inlineStr"/>
      <c r="R699" s="308" t="inlineStr">
        <is>
          <t>native text sufficient</t>
        </is>
      </c>
      <c r="S699" s="308" t="inlineStr"/>
      <c r="T699" s="308" t="inlineStr">
        <is>
          <t>p25:native:79</t>
        </is>
      </c>
      <c r="U699" s="308" t="n">
        <v>1</v>
      </c>
    </row>
    <row r="700">
      <c r="A700" s="308" t="inlineStr">
        <is>
          <t>Missing in Excel</t>
        </is>
      </c>
      <c r="B700" s="308" t="inlineStr">
        <is>
          <t>DG7602</t>
        </is>
      </c>
      <c r="C700" s="308" t="n">
        <v>25</v>
      </c>
      <c r="D700" s="308" t="inlineStr">
        <is>
          <t>2"-PHW140-12A</t>
        </is>
      </c>
      <c r="E700" s="308" t="inlineStr">
        <is>
          <t>PHW140</t>
        </is>
      </c>
      <c r="F700" s="308" t="inlineStr">
        <is>
          <t>12A</t>
        </is>
      </c>
      <c r="G700" s="308" t="inlineStr">
        <is>
          <t>line</t>
        </is>
      </c>
      <c r="H700" s="311" t="n">
        <v>0.87</v>
      </c>
      <c r="I700" s="308" t="inlineStr">
        <is>
          <t>Medium</t>
        </is>
      </c>
      <c r="J700" s="308" t="inlineStr">
        <is>
          <t>drawing</t>
        </is>
      </c>
      <c r="K700" s="308" t="inlineStr">
        <is>
          <t>line:size-prefix</t>
        </is>
      </c>
      <c r="L700" s="308" t="inlineStr">
        <is>
          <t>drawing zone; process page; mapped sheet; repeated x29</t>
        </is>
      </c>
      <c r="M700" s="308" t="inlineStr">
        <is>
          <t>2"-PHW140-12A</t>
        </is>
      </c>
      <c r="N700" s="308" t="inlineStr">
        <is>
          <t>native</t>
        </is>
      </c>
      <c r="O700" s="308" t="inlineStr">
        <is>
          <t>native-only</t>
        </is>
      </c>
      <c r="P700" s="308" t="inlineStr">
        <is>
          <t>native</t>
        </is>
      </c>
      <c r="Q700" s="308" t="inlineStr"/>
      <c r="R700" s="308" t="inlineStr">
        <is>
          <t>native text sufficient</t>
        </is>
      </c>
      <c r="S700" s="308" t="inlineStr"/>
      <c r="T700" s="308" t="inlineStr">
        <is>
          <t>p25:native:80</t>
        </is>
      </c>
      <c r="U700" s="308" t="n">
        <v>1</v>
      </c>
    </row>
    <row r="701">
      <c r="A701" s="308" t="inlineStr">
        <is>
          <t>Missing in Excel</t>
        </is>
      </c>
      <c r="B701" s="308" t="inlineStr">
        <is>
          <t>DG7602</t>
        </is>
      </c>
      <c r="C701" s="308" t="n">
        <v>25</v>
      </c>
      <c r="D701" s="308" t="inlineStr">
        <is>
          <t>2"-PHW140-12A</t>
        </is>
      </c>
      <c r="E701" s="308" t="inlineStr">
        <is>
          <t>PHW140</t>
        </is>
      </c>
      <c r="F701" s="308" t="inlineStr">
        <is>
          <t>12A</t>
        </is>
      </c>
      <c r="G701" s="308" t="inlineStr">
        <is>
          <t>line</t>
        </is>
      </c>
      <c r="H701" s="311" t="n">
        <v>0.87</v>
      </c>
      <c r="I701" s="308" t="inlineStr">
        <is>
          <t>Medium</t>
        </is>
      </c>
      <c r="J701" s="308" t="inlineStr">
        <is>
          <t>drawing</t>
        </is>
      </c>
      <c r="K701" s="308" t="inlineStr">
        <is>
          <t>line:size-prefix</t>
        </is>
      </c>
      <c r="L701" s="308" t="inlineStr">
        <is>
          <t>drawing zone; process page; mapped sheet; repeated x29</t>
        </is>
      </c>
      <c r="M701" s="308" t="inlineStr">
        <is>
          <t>2"-PHW140-12A</t>
        </is>
      </c>
      <c r="N701" s="308" t="inlineStr">
        <is>
          <t>native</t>
        </is>
      </c>
      <c r="O701" s="308" t="inlineStr">
        <is>
          <t>native-only</t>
        </is>
      </c>
      <c r="P701" s="308" t="inlineStr">
        <is>
          <t>native</t>
        </is>
      </c>
      <c r="Q701" s="308" t="inlineStr"/>
      <c r="R701" s="308" t="inlineStr">
        <is>
          <t>native text sufficient</t>
        </is>
      </c>
      <c r="S701" s="308" t="inlineStr"/>
      <c r="T701" s="308" t="inlineStr">
        <is>
          <t>p25:native:81</t>
        </is>
      </c>
      <c r="U701" s="308" t="n">
        <v>1</v>
      </c>
    </row>
    <row r="702">
      <c r="A702" s="308" t="inlineStr">
        <is>
          <t>Missing in Excel</t>
        </is>
      </c>
      <c r="B702" s="308" t="inlineStr">
        <is>
          <t>DG7602</t>
        </is>
      </c>
      <c r="C702" s="308" t="n">
        <v>25</v>
      </c>
      <c r="D702" s="308" t="inlineStr">
        <is>
          <t>2"-PHW140-12A</t>
        </is>
      </c>
      <c r="E702" s="308" t="inlineStr">
        <is>
          <t>PHW140</t>
        </is>
      </c>
      <c r="F702" s="308" t="inlineStr">
        <is>
          <t>12A</t>
        </is>
      </c>
      <c r="G702" s="308" t="inlineStr">
        <is>
          <t>line</t>
        </is>
      </c>
      <c r="H702" s="311" t="n">
        <v>0.87</v>
      </c>
      <c r="I702" s="308" t="inlineStr">
        <is>
          <t>Medium</t>
        </is>
      </c>
      <c r="J702" s="308" t="inlineStr">
        <is>
          <t>drawing</t>
        </is>
      </c>
      <c r="K702" s="308" t="inlineStr">
        <is>
          <t>line:size-prefix</t>
        </is>
      </c>
      <c r="L702" s="308" t="inlineStr">
        <is>
          <t>drawing zone; process page; mapped sheet; repeated x29</t>
        </is>
      </c>
      <c r="M702" s="308" t="inlineStr">
        <is>
          <t>2"-PHW140-12A</t>
        </is>
      </c>
      <c r="N702" s="308" t="inlineStr">
        <is>
          <t>native</t>
        </is>
      </c>
      <c r="O702" s="308" t="inlineStr">
        <is>
          <t>native-only</t>
        </is>
      </c>
      <c r="P702" s="308" t="inlineStr">
        <is>
          <t>native</t>
        </is>
      </c>
      <c r="Q702" s="308" t="inlineStr"/>
      <c r="R702" s="308" t="inlineStr">
        <is>
          <t>native text sufficient</t>
        </is>
      </c>
      <c r="S702" s="308" t="inlineStr"/>
      <c r="T702" s="308" t="inlineStr">
        <is>
          <t>p25:native:82</t>
        </is>
      </c>
      <c r="U702" s="308" t="n">
        <v>1</v>
      </c>
    </row>
    <row r="703">
      <c r="A703" s="308" t="inlineStr">
        <is>
          <t>Missing in Excel</t>
        </is>
      </c>
      <c r="B703" s="308" t="inlineStr">
        <is>
          <t>DG7602</t>
        </is>
      </c>
      <c r="C703" s="308" t="n">
        <v>25</v>
      </c>
      <c r="D703" s="308" t="inlineStr">
        <is>
          <t>2"-PHW140-12A</t>
        </is>
      </c>
      <c r="E703" s="308" t="inlineStr">
        <is>
          <t>PHW140</t>
        </is>
      </c>
      <c r="F703" s="308" t="inlineStr">
        <is>
          <t>12A</t>
        </is>
      </c>
      <c r="G703" s="308" t="inlineStr">
        <is>
          <t>line</t>
        </is>
      </c>
      <c r="H703" s="311" t="n">
        <v>0.87</v>
      </c>
      <c r="I703" s="308" t="inlineStr">
        <is>
          <t>Medium</t>
        </is>
      </c>
      <c r="J703" s="308" t="inlineStr">
        <is>
          <t>drawing</t>
        </is>
      </c>
      <c r="K703" s="308" t="inlineStr">
        <is>
          <t>line:size-prefix</t>
        </is>
      </c>
      <c r="L703" s="308" t="inlineStr">
        <is>
          <t>drawing zone; process page; mapped sheet; repeated x29</t>
        </is>
      </c>
      <c r="M703" s="308" t="inlineStr">
        <is>
          <t>2"-PHW140-12A</t>
        </is>
      </c>
      <c r="N703" s="308" t="inlineStr">
        <is>
          <t>native</t>
        </is>
      </c>
      <c r="O703" s="308" t="inlineStr">
        <is>
          <t>native-only</t>
        </is>
      </c>
      <c r="P703" s="308" t="inlineStr">
        <is>
          <t>native</t>
        </is>
      </c>
      <c r="Q703" s="308" t="inlineStr"/>
      <c r="R703" s="308" t="inlineStr">
        <is>
          <t>native text sufficient</t>
        </is>
      </c>
      <c r="S703" s="308" t="inlineStr"/>
      <c r="T703" s="308" t="inlineStr">
        <is>
          <t>p25:native:83</t>
        </is>
      </c>
      <c r="U703" s="308" t="n">
        <v>1</v>
      </c>
    </row>
    <row r="704">
      <c r="A704" s="308" t="inlineStr">
        <is>
          <t>Missing in Excel</t>
        </is>
      </c>
      <c r="B704" s="308" t="inlineStr">
        <is>
          <t>DG7602</t>
        </is>
      </c>
      <c r="C704" s="308" t="n">
        <v>25</v>
      </c>
      <c r="D704" s="308" t="inlineStr">
        <is>
          <t>2"-PHW140-12A</t>
        </is>
      </c>
      <c r="E704" s="308" t="inlineStr">
        <is>
          <t>PHW140</t>
        </is>
      </c>
      <c r="F704" s="308" t="inlineStr">
        <is>
          <t>12A</t>
        </is>
      </c>
      <c r="G704" s="308" t="inlineStr">
        <is>
          <t>line</t>
        </is>
      </c>
      <c r="H704" s="311" t="n">
        <v>0.87</v>
      </c>
      <c r="I704" s="308" t="inlineStr">
        <is>
          <t>Medium</t>
        </is>
      </c>
      <c r="J704" s="308" t="inlineStr">
        <is>
          <t>drawing</t>
        </is>
      </c>
      <c r="K704" s="308" t="inlineStr">
        <is>
          <t>line:size-prefix</t>
        </is>
      </c>
      <c r="L704" s="308" t="inlineStr">
        <is>
          <t>drawing zone; process page; mapped sheet; repeated x29</t>
        </is>
      </c>
      <c r="M704" s="308" t="inlineStr">
        <is>
          <t>2"-PHW140-12A</t>
        </is>
      </c>
      <c r="N704" s="308" t="inlineStr">
        <is>
          <t>native</t>
        </is>
      </c>
      <c r="O704" s="308" t="inlineStr">
        <is>
          <t>native-only</t>
        </is>
      </c>
      <c r="P704" s="308" t="inlineStr">
        <is>
          <t>native</t>
        </is>
      </c>
      <c r="Q704" s="308" t="inlineStr"/>
      <c r="R704" s="308" t="inlineStr">
        <is>
          <t>native text sufficient</t>
        </is>
      </c>
      <c r="S704" s="308" t="inlineStr"/>
      <c r="T704" s="308" t="inlineStr">
        <is>
          <t>p25:native:139</t>
        </is>
      </c>
      <c r="U704" s="308" t="n">
        <v>1</v>
      </c>
    </row>
    <row r="705">
      <c r="A705" s="308" t="inlineStr">
        <is>
          <t>Missing in Excel</t>
        </is>
      </c>
      <c r="B705" s="308" t="inlineStr">
        <is>
          <t>DG7602</t>
        </is>
      </c>
      <c r="C705" s="308" t="n">
        <v>25</v>
      </c>
      <c r="D705" s="308" t="inlineStr">
        <is>
          <t>2"-PHW140-12A</t>
        </is>
      </c>
      <c r="E705" s="308" t="inlineStr">
        <is>
          <t>PHW140</t>
        </is>
      </c>
      <c r="F705" s="308" t="inlineStr">
        <is>
          <t>12A</t>
        </is>
      </c>
      <c r="G705" s="308" t="inlineStr">
        <is>
          <t>line</t>
        </is>
      </c>
      <c r="H705" s="311" t="n">
        <v>0.87</v>
      </c>
      <c r="I705" s="308" t="inlineStr">
        <is>
          <t>Medium</t>
        </is>
      </c>
      <c r="J705" s="308" t="inlineStr">
        <is>
          <t>drawing</t>
        </is>
      </c>
      <c r="K705" s="308" t="inlineStr">
        <is>
          <t>line:size-prefix</t>
        </is>
      </c>
      <c r="L705" s="308" t="inlineStr">
        <is>
          <t>drawing zone; process page; mapped sheet; repeated x29</t>
        </is>
      </c>
      <c r="M705" s="308" t="inlineStr">
        <is>
          <t>2"-PHW140-12A</t>
        </is>
      </c>
      <c r="N705" s="308" t="inlineStr">
        <is>
          <t>native</t>
        </is>
      </c>
      <c r="O705" s="308" t="inlineStr">
        <is>
          <t>native-only</t>
        </is>
      </c>
      <c r="P705" s="308" t="inlineStr">
        <is>
          <t>native</t>
        </is>
      </c>
      <c r="Q705" s="308" t="inlineStr"/>
      <c r="R705" s="308" t="inlineStr">
        <is>
          <t>native text sufficient</t>
        </is>
      </c>
      <c r="S705" s="308" t="inlineStr"/>
      <c r="T705" s="308" t="inlineStr">
        <is>
          <t>p25:native:140</t>
        </is>
      </c>
      <c r="U705" s="308" t="n">
        <v>1</v>
      </c>
    </row>
    <row r="706">
      <c r="A706" s="308" t="inlineStr">
        <is>
          <t>Missing in Excel</t>
        </is>
      </c>
      <c r="B706" s="308" t="inlineStr">
        <is>
          <t>DG7602</t>
        </is>
      </c>
      <c r="C706" s="308" t="n">
        <v>25</v>
      </c>
      <c r="D706" s="308" t="inlineStr">
        <is>
          <t>2"-PHW140-12A</t>
        </is>
      </c>
      <c r="E706" s="308" t="inlineStr">
        <is>
          <t>PHW140</t>
        </is>
      </c>
      <c r="F706" s="308" t="inlineStr">
        <is>
          <t>12A</t>
        </is>
      </c>
      <c r="G706" s="308" t="inlineStr">
        <is>
          <t>line</t>
        </is>
      </c>
      <c r="H706" s="311" t="n">
        <v>0.87</v>
      </c>
      <c r="I706" s="308" t="inlineStr">
        <is>
          <t>Medium</t>
        </is>
      </c>
      <c r="J706" s="308" t="inlineStr">
        <is>
          <t>drawing</t>
        </is>
      </c>
      <c r="K706" s="308" t="inlineStr">
        <is>
          <t>line:size-prefix</t>
        </is>
      </c>
      <c r="L706" s="308" t="inlineStr">
        <is>
          <t>drawing zone; process page; mapped sheet; repeated x29</t>
        </is>
      </c>
      <c r="M706" s="308" t="inlineStr">
        <is>
          <t>004 2"-PHW140-12A</t>
        </is>
      </c>
      <c r="N706" s="308" t="inlineStr">
        <is>
          <t>native</t>
        </is>
      </c>
      <c r="O706" s="308" t="inlineStr">
        <is>
          <t>native-only</t>
        </is>
      </c>
      <c r="P706" s="308" t="inlineStr">
        <is>
          <t>native</t>
        </is>
      </c>
      <c r="Q706" s="308" t="inlineStr"/>
      <c r="R706" s="308" t="inlineStr">
        <is>
          <t>native text sufficient</t>
        </is>
      </c>
      <c r="S706" s="308" t="inlineStr"/>
      <c r="T706" s="308" t="inlineStr">
        <is>
          <t>p25:native:19, p25:native:76</t>
        </is>
      </c>
      <c r="U706" s="308" t="n">
        <v>2</v>
      </c>
    </row>
    <row r="707">
      <c r="A707" s="308" t="inlineStr">
        <is>
          <t>Missing in Excel</t>
        </is>
      </c>
      <c r="B707" s="308" t="inlineStr">
        <is>
          <t>DG7602</t>
        </is>
      </c>
      <c r="C707" s="308" t="n">
        <v>25</v>
      </c>
      <c r="D707" s="308" t="inlineStr">
        <is>
          <t>2"-PHW140-12A</t>
        </is>
      </c>
      <c r="E707" s="308" t="inlineStr">
        <is>
          <t>PHW140</t>
        </is>
      </c>
      <c r="F707" s="308" t="inlineStr">
        <is>
          <t>12A</t>
        </is>
      </c>
      <c r="G707" s="308" t="inlineStr">
        <is>
          <t>line</t>
        </is>
      </c>
      <c r="H707" s="311" t="n">
        <v>0.87</v>
      </c>
      <c r="I707" s="308" t="inlineStr">
        <is>
          <t>Medium</t>
        </is>
      </c>
      <c r="J707" s="308" t="inlineStr">
        <is>
          <t>drawing</t>
        </is>
      </c>
      <c r="K707" s="308" t="inlineStr">
        <is>
          <t>line:size-prefix</t>
        </is>
      </c>
      <c r="L707" s="308" t="inlineStr">
        <is>
          <t>drawing zone; process page; mapped sheet; repeated x29</t>
        </is>
      </c>
      <c r="M707" s="308" t="inlineStr">
        <is>
          <t>HV 005 2"-PHW140-12A</t>
        </is>
      </c>
      <c r="N707" s="308" t="inlineStr">
        <is>
          <t>native</t>
        </is>
      </c>
      <c r="O707" s="308" t="inlineStr">
        <is>
          <t>native-only</t>
        </is>
      </c>
      <c r="P707" s="308" t="inlineStr">
        <is>
          <t>native</t>
        </is>
      </c>
      <c r="Q707" s="308" t="inlineStr"/>
      <c r="R707" s="308" t="inlineStr">
        <is>
          <t>native text sufficient</t>
        </is>
      </c>
      <c r="S707" s="308" t="inlineStr"/>
      <c r="T707" s="308" t="inlineStr">
        <is>
          <t>p25:native:26, p25:native:27, p25:native:77</t>
        </is>
      </c>
      <c r="U707" s="308" t="n">
        <v>3</v>
      </c>
    </row>
    <row r="708">
      <c r="A708" s="308" t="inlineStr">
        <is>
          <t>Missing in Excel</t>
        </is>
      </c>
      <c r="B708" s="308" t="inlineStr">
        <is>
          <t>DG7602</t>
        </is>
      </c>
      <c r="C708" s="308" t="n">
        <v>25</v>
      </c>
      <c r="D708" s="308" t="inlineStr">
        <is>
          <t>2"-PHW140-12A</t>
        </is>
      </c>
      <c r="E708" s="308" t="inlineStr">
        <is>
          <t>PHW140</t>
        </is>
      </c>
      <c r="F708" s="308" t="inlineStr">
        <is>
          <t>12A</t>
        </is>
      </c>
      <c r="G708" s="308" t="inlineStr">
        <is>
          <t>line</t>
        </is>
      </c>
      <c r="H708" s="311" t="n">
        <v>0.87</v>
      </c>
      <c r="I708" s="308" t="inlineStr">
        <is>
          <t>Medium</t>
        </is>
      </c>
      <c r="J708" s="308" t="inlineStr">
        <is>
          <t>drawing</t>
        </is>
      </c>
      <c r="K708" s="308" t="inlineStr">
        <is>
          <t>line:size-prefix</t>
        </is>
      </c>
      <c r="L708" s="308" t="inlineStr">
        <is>
          <t>drawing zone; process page; mapped sheet; repeated x29</t>
        </is>
      </c>
      <c r="M708" s="308" t="inlineStr">
        <is>
          <t>005 2"-PHW140-12A</t>
        </is>
      </c>
      <c r="N708" s="308" t="inlineStr">
        <is>
          <t>native</t>
        </is>
      </c>
      <c r="O708" s="308" t="inlineStr">
        <is>
          <t>native-only</t>
        </is>
      </c>
      <c r="P708" s="308" t="inlineStr">
        <is>
          <t>native</t>
        </is>
      </c>
      <c r="Q708" s="308" t="inlineStr"/>
      <c r="R708" s="308" t="inlineStr">
        <is>
          <t>native text sufficient</t>
        </is>
      </c>
      <c r="S708" s="308" t="inlineStr"/>
      <c r="T708" s="308" t="inlineStr">
        <is>
          <t>p25:native:27, p25:native:77</t>
        </is>
      </c>
      <c r="U708" s="308" t="n">
        <v>2</v>
      </c>
    </row>
    <row r="709">
      <c r="A709" s="308" t="inlineStr">
        <is>
          <t>Missing in Excel</t>
        </is>
      </c>
      <c r="B709" s="308" t="inlineStr">
        <is>
          <t>DG7602</t>
        </is>
      </c>
      <c r="C709" s="308" t="n">
        <v>25</v>
      </c>
      <c r="D709" s="308" t="inlineStr">
        <is>
          <t>2"-PHW140-12A</t>
        </is>
      </c>
      <c r="E709" s="308" t="inlineStr">
        <is>
          <t>PHW140</t>
        </is>
      </c>
      <c r="F709" s="308" t="inlineStr">
        <is>
          <t>12A</t>
        </is>
      </c>
      <c r="G709" s="308" t="inlineStr">
        <is>
          <t>line</t>
        </is>
      </c>
      <c r="H709" s="311" t="n">
        <v>0.87</v>
      </c>
      <c r="I709" s="308" t="inlineStr">
        <is>
          <t>Medium</t>
        </is>
      </c>
      <c r="J709" s="308" t="inlineStr">
        <is>
          <t>drawing</t>
        </is>
      </c>
      <c r="K709" s="308" t="inlineStr">
        <is>
          <t>line:size-prefix</t>
        </is>
      </c>
      <c r="L709" s="308" t="inlineStr">
        <is>
          <t>drawing zone; process page; mapped sheet; repeated x29</t>
        </is>
      </c>
      <c r="M709" s="308" t="inlineStr">
        <is>
          <t>HV 006 2"-PHW140-12A</t>
        </is>
      </c>
      <c r="N709" s="308" t="inlineStr">
        <is>
          <t>native</t>
        </is>
      </c>
      <c r="O709" s="308" t="inlineStr">
        <is>
          <t>native-only</t>
        </is>
      </c>
      <c r="P709" s="308" t="inlineStr">
        <is>
          <t>native</t>
        </is>
      </c>
      <c r="Q709" s="308" t="inlineStr"/>
      <c r="R709" s="308" t="inlineStr">
        <is>
          <t>native text sufficient</t>
        </is>
      </c>
      <c r="S709" s="308" t="inlineStr"/>
      <c r="T709" s="308" t="inlineStr">
        <is>
          <t>p25:native:34, p25:native:35, p25:native:78</t>
        </is>
      </c>
      <c r="U709" s="308" t="n">
        <v>3</v>
      </c>
    </row>
    <row r="710">
      <c r="A710" s="308" t="inlineStr">
        <is>
          <t>Missing in Excel</t>
        </is>
      </c>
      <c r="B710" s="308" t="inlineStr">
        <is>
          <t>DG7602</t>
        </is>
      </c>
      <c r="C710" s="308" t="n">
        <v>25</v>
      </c>
      <c r="D710" s="308" t="inlineStr">
        <is>
          <t>2"-PHW140-12A</t>
        </is>
      </c>
      <c r="E710" s="308" t="inlineStr">
        <is>
          <t>PHW140</t>
        </is>
      </c>
      <c r="F710" s="308" t="inlineStr">
        <is>
          <t>12A</t>
        </is>
      </c>
      <c r="G710" s="308" t="inlineStr">
        <is>
          <t>line</t>
        </is>
      </c>
      <c r="H710" s="311" t="n">
        <v>0.87</v>
      </c>
      <c r="I710" s="308" t="inlineStr">
        <is>
          <t>Medium</t>
        </is>
      </c>
      <c r="J710" s="308" t="inlineStr">
        <is>
          <t>drawing</t>
        </is>
      </c>
      <c r="K710" s="308" t="inlineStr">
        <is>
          <t>line:size-prefix</t>
        </is>
      </c>
      <c r="L710" s="308" t="inlineStr">
        <is>
          <t>drawing zone; process page; mapped sheet; repeated x29</t>
        </is>
      </c>
      <c r="M710" s="308" t="inlineStr">
        <is>
          <t>006 2"-PHW140-12A</t>
        </is>
      </c>
      <c r="N710" s="308" t="inlineStr">
        <is>
          <t>native</t>
        </is>
      </c>
      <c r="O710" s="308" t="inlineStr">
        <is>
          <t>native-only</t>
        </is>
      </c>
      <c r="P710" s="308" t="inlineStr">
        <is>
          <t>native</t>
        </is>
      </c>
      <c r="Q710" s="308" t="inlineStr"/>
      <c r="R710" s="308" t="inlineStr">
        <is>
          <t>native text sufficient</t>
        </is>
      </c>
      <c r="S710" s="308" t="inlineStr"/>
      <c r="T710" s="308" t="inlineStr">
        <is>
          <t>p25:native:35, p25:native:78</t>
        </is>
      </c>
      <c r="U710" s="308" t="n">
        <v>2</v>
      </c>
    </row>
    <row r="711">
      <c r="A711" s="308" t="inlineStr">
        <is>
          <t>Missing in Excel</t>
        </is>
      </c>
      <c r="B711" s="308" t="inlineStr">
        <is>
          <t>DG7602</t>
        </is>
      </c>
      <c r="C711" s="308" t="n">
        <v>25</v>
      </c>
      <c r="D711" s="308" t="inlineStr">
        <is>
          <t>2"-PHW140-12A</t>
        </is>
      </c>
      <c r="E711" s="308" t="inlineStr">
        <is>
          <t>PHW140</t>
        </is>
      </c>
      <c r="F711" s="308" t="inlineStr">
        <is>
          <t>12A</t>
        </is>
      </c>
      <c r="G711" s="308" t="inlineStr">
        <is>
          <t>line</t>
        </is>
      </c>
      <c r="H711" s="311" t="n">
        <v>0.87</v>
      </c>
      <c r="I711" s="308" t="inlineStr">
        <is>
          <t>Medium</t>
        </is>
      </c>
      <c r="J711" s="308" t="inlineStr">
        <is>
          <t>drawing</t>
        </is>
      </c>
      <c r="K711" s="308" t="inlineStr">
        <is>
          <t>line:size-prefix</t>
        </is>
      </c>
      <c r="L711" s="308" t="inlineStr">
        <is>
          <t>drawing zone; process page; mapped sheet; repeated x29</t>
        </is>
      </c>
      <c r="M711" s="308" t="inlineStr">
        <is>
          <t>HV 007 2"-PHW140-12A</t>
        </is>
      </c>
      <c r="N711" s="308" t="inlineStr">
        <is>
          <t>native</t>
        </is>
      </c>
      <c r="O711" s="308" t="inlineStr">
        <is>
          <t>native-only</t>
        </is>
      </c>
      <c r="P711" s="308" t="inlineStr">
        <is>
          <t>native</t>
        </is>
      </c>
      <c r="Q711" s="308" t="inlineStr"/>
      <c r="R711" s="308" t="inlineStr">
        <is>
          <t>native text sufficient</t>
        </is>
      </c>
      <c r="S711" s="308" t="inlineStr"/>
      <c r="T711" s="308" t="inlineStr">
        <is>
          <t>p25:native:42, p25:native:43, p25:native:79</t>
        </is>
      </c>
      <c r="U711" s="308" t="n">
        <v>3</v>
      </c>
    </row>
    <row r="712">
      <c r="A712" s="308" t="inlineStr">
        <is>
          <t>Missing in Excel</t>
        </is>
      </c>
      <c r="B712" s="308" t="inlineStr">
        <is>
          <t>DG7602</t>
        </is>
      </c>
      <c r="C712" s="308" t="n">
        <v>25</v>
      </c>
      <c r="D712" s="308" t="inlineStr">
        <is>
          <t>2"-PHW140-12A</t>
        </is>
      </c>
      <c r="E712" s="308" t="inlineStr">
        <is>
          <t>PHW140</t>
        </is>
      </c>
      <c r="F712" s="308" t="inlineStr">
        <is>
          <t>12A</t>
        </is>
      </c>
      <c r="G712" s="308" t="inlineStr">
        <is>
          <t>line</t>
        </is>
      </c>
      <c r="H712" s="311" t="n">
        <v>0.87</v>
      </c>
      <c r="I712" s="308" t="inlineStr">
        <is>
          <t>Medium</t>
        </is>
      </c>
      <c r="J712" s="308" t="inlineStr">
        <is>
          <t>drawing</t>
        </is>
      </c>
      <c r="K712" s="308" t="inlineStr">
        <is>
          <t>line:size-prefix</t>
        </is>
      </c>
      <c r="L712" s="308" t="inlineStr">
        <is>
          <t>drawing zone; process page; mapped sheet; repeated x29</t>
        </is>
      </c>
      <c r="M712" s="308" t="inlineStr">
        <is>
          <t>007 2"-PHW140-12A</t>
        </is>
      </c>
      <c r="N712" s="308" t="inlineStr">
        <is>
          <t>native</t>
        </is>
      </c>
      <c r="O712" s="308" t="inlineStr">
        <is>
          <t>native-only</t>
        </is>
      </c>
      <c r="P712" s="308" t="inlineStr">
        <is>
          <t>native</t>
        </is>
      </c>
      <c r="Q712" s="308" t="inlineStr"/>
      <c r="R712" s="308" t="inlineStr">
        <is>
          <t>native text sufficient</t>
        </is>
      </c>
      <c r="S712" s="308" t="inlineStr"/>
      <c r="T712" s="308" t="inlineStr">
        <is>
          <t>p25:native:43, p25:native:79</t>
        </is>
      </c>
      <c r="U712" s="308" t="n">
        <v>2</v>
      </c>
    </row>
    <row r="713">
      <c r="A713" s="308" t="inlineStr">
        <is>
          <t>Missing in Excel</t>
        </is>
      </c>
      <c r="B713" s="308" t="inlineStr">
        <is>
          <t>DG7602</t>
        </is>
      </c>
      <c r="C713" s="308" t="n">
        <v>25</v>
      </c>
      <c r="D713" s="308" t="inlineStr">
        <is>
          <t>2"-PHW140-12A</t>
        </is>
      </c>
      <c r="E713" s="308" t="inlineStr">
        <is>
          <t>PHW140</t>
        </is>
      </c>
      <c r="F713" s="308" t="inlineStr">
        <is>
          <t>12A</t>
        </is>
      </c>
      <c r="G713" s="308" t="inlineStr">
        <is>
          <t>line</t>
        </is>
      </c>
      <c r="H713" s="311" t="n">
        <v>0.87</v>
      </c>
      <c r="I713" s="308" t="inlineStr">
        <is>
          <t>Medium</t>
        </is>
      </c>
      <c r="J713" s="308" t="inlineStr">
        <is>
          <t>drawing</t>
        </is>
      </c>
      <c r="K713" s="308" t="inlineStr">
        <is>
          <t>line:size-prefix</t>
        </is>
      </c>
      <c r="L713" s="308" t="inlineStr">
        <is>
          <t>drawing zone; process page; mapped sheet; repeated x29</t>
        </is>
      </c>
      <c r="M713" s="308" t="inlineStr">
        <is>
          <t>008 2"-PHW140-12A</t>
        </is>
      </c>
      <c r="N713" s="308" t="inlineStr">
        <is>
          <t>native</t>
        </is>
      </c>
      <c r="O713" s="308" t="inlineStr">
        <is>
          <t>native-only</t>
        </is>
      </c>
      <c r="P713" s="308" t="inlineStr">
        <is>
          <t>native</t>
        </is>
      </c>
      <c r="Q713" s="308" t="inlineStr"/>
      <c r="R713" s="308" t="inlineStr">
        <is>
          <t>native text sufficient</t>
        </is>
      </c>
      <c r="S713" s="308" t="inlineStr"/>
      <c r="T713" s="308" t="inlineStr">
        <is>
          <t>p25:native:130, p25:native:139</t>
        </is>
      </c>
      <c r="U713" s="308" t="n">
        <v>2</v>
      </c>
    </row>
    <row r="714">
      <c r="A714" s="308" t="inlineStr">
        <is>
          <t>Missing in Excel</t>
        </is>
      </c>
      <c r="B714" s="308" t="inlineStr">
        <is>
          <t>DG7602</t>
        </is>
      </c>
      <c r="C714" s="308" t="n">
        <v>25</v>
      </c>
      <c r="D714" s="308" t="inlineStr">
        <is>
          <t>2"-PHW140-12A</t>
        </is>
      </c>
      <c r="E714" s="308" t="inlineStr">
        <is>
          <t>PHW140</t>
        </is>
      </c>
      <c r="F714" s="308" t="inlineStr">
        <is>
          <t>12A</t>
        </is>
      </c>
      <c r="G714" s="308" t="inlineStr">
        <is>
          <t>line</t>
        </is>
      </c>
      <c r="H714" s="311" t="n">
        <v>0.87</v>
      </c>
      <c r="I714" s="308" t="inlineStr">
        <is>
          <t>Medium</t>
        </is>
      </c>
      <c r="J714" s="308" t="inlineStr">
        <is>
          <t>drawing</t>
        </is>
      </c>
      <c r="K714" s="308" t="inlineStr">
        <is>
          <t>line:size-prefix</t>
        </is>
      </c>
      <c r="L714" s="308" t="inlineStr">
        <is>
          <t>drawing zone; process page; mapped sheet; repeated x29</t>
        </is>
      </c>
      <c r="M714" s="308" t="inlineStr">
        <is>
          <t>HV 009 2"-PHW140-12A</t>
        </is>
      </c>
      <c r="N714" s="308" t="inlineStr">
        <is>
          <t>native</t>
        </is>
      </c>
      <c r="O714" s="308" t="inlineStr">
        <is>
          <t>native-only</t>
        </is>
      </c>
      <c r="P714" s="308" t="inlineStr">
        <is>
          <t>native</t>
        </is>
      </c>
      <c r="Q714" s="308" t="inlineStr"/>
      <c r="R714" s="308" t="inlineStr">
        <is>
          <t>native text sufficient</t>
        </is>
      </c>
      <c r="S714" s="308" t="inlineStr"/>
      <c r="T714" s="308" t="inlineStr">
        <is>
          <t>p25:native:137, p25:native:138, p25:native:140</t>
        </is>
      </c>
      <c r="U714" s="308" t="n">
        <v>3</v>
      </c>
    </row>
    <row r="715">
      <c r="A715" s="308" t="inlineStr">
        <is>
          <t>Missing in Excel</t>
        </is>
      </c>
      <c r="B715" s="308" t="inlineStr">
        <is>
          <t>DG7602</t>
        </is>
      </c>
      <c r="C715" s="308" t="n">
        <v>25</v>
      </c>
      <c r="D715" s="308" t="inlineStr">
        <is>
          <t>2"-PHW140-12A</t>
        </is>
      </c>
      <c r="E715" s="308" t="inlineStr">
        <is>
          <t>PHW140</t>
        </is>
      </c>
      <c r="F715" s="308" t="inlineStr">
        <is>
          <t>12A</t>
        </is>
      </c>
      <c r="G715" s="308" t="inlineStr">
        <is>
          <t>line</t>
        </is>
      </c>
      <c r="H715" s="311" t="n">
        <v>0.87</v>
      </c>
      <c r="I715" s="308" t="inlineStr">
        <is>
          <t>Medium</t>
        </is>
      </c>
      <c r="J715" s="308" t="inlineStr">
        <is>
          <t>drawing</t>
        </is>
      </c>
      <c r="K715" s="308" t="inlineStr">
        <is>
          <t>line:size-prefix</t>
        </is>
      </c>
      <c r="L715" s="308" t="inlineStr">
        <is>
          <t>drawing zone; process page; mapped sheet; repeated x29</t>
        </is>
      </c>
      <c r="M715" s="308" t="inlineStr">
        <is>
          <t>009 2"-PHW140-12A</t>
        </is>
      </c>
      <c r="N715" s="308" t="inlineStr">
        <is>
          <t>native</t>
        </is>
      </c>
      <c r="O715" s="308" t="inlineStr">
        <is>
          <t>native-only</t>
        </is>
      </c>
      <c r="P715" s="308" t="inlineStr">
        <is>
          <t>native</t>
        </is>
      </c>
      <c r="Q715" s="308" t="inlineStr"/>
      <c r="R715" s="308" t="inlineStr">
        <is>
          <t>native text sufficient</t>
        </is>
      </c>
      <c r="S715" s="308" t="inlineStr"/>
      <c r="T715" s="308" t="inlineStr">
        <is>
          <t>p25:native:138, p25:native:140</t>
        </is>
      </c>
      <c r="U715" s="308" t="n">
        <v>2</v>
      </c>
    </row>
    <row r="716">
      <c r="A716" s="308" t="inlineStr">
        <is>
          <t>Missing in Excel</t>
        </is>
      </c>
      <c r="B716" s="308" t="inlineStr">
        <is>
          <t>DG7602</t>
        </is>
      </c>
      <c r="C716" s="308" t="n">
        <v>25</v>
      </c>
      <c r="D716" s="308" t="inlineStr">
        <is>
          <t>2"-PHW140-12A</t>
        </is>
      </c>
      <c r="E716" s="308" t="inlineStr">
        <is>
          <t>PHW140</t>
        </is>
      </c>
      <c r="F716" s="308" t="inlineStr">
        <is>
          <t>12A</t>
        </is>
      </c>
      <c r="G716" s="308" t="inlineStr">
        <is>
          <t>line</t>
        </is>
      </c>
      <c r="H716" s="311" t="n">
        <v>0.87</v>
      </c>
      <c r="I716" s="308" t="inlineStr">
        <is>
          <t>Medium</t>
        </is>
      </c>
      <c r="J716" s="308" t="inlineStr">
        <is>
          <t>drawing</t>
        </is>
      </c>
      <c r="K716" s="308" t="inlineStr">
        <is>
          <t>line:size-prefix</t>
        </is>
      </c>
      <c r="L716" s="308" t="inlineStr">
        <is>
          <t>drawing zone; process page; mapped sheet; repeated x29</t>
        </is>
      </c>
      <c r="M716" s="308" t="inlineStr">
        <is>
          <t>HV 010 2"-PHW140-12A</t>
        </is>
      </c>
      <c r="N716" s="308" t="inlineStr">
        <is>
          <t>native</t>
        </is>
      </c>
      <c r="O716" s="308" t="inlineStr">
        <is>
          <t>native-only</t>
        </is>
      </c>
      <c r="P716" s="308" t="inlineStr">
        <is>
          <t>native</t>
        </is>
      </c>
      <c r="Q716" s="308" t="inlineStr"/>
      <c r="R716" s="308" t="inlineStr">
        <is>
          <t>native text sufficient</t>
        </is>
      </c>
      <c r="S716" s="308" t="inlineStr"/>
      <c r="T716" s="308" t="inlineStr">
        <is>
          <t>p25:native:48, p25:native:49, p25:native:80</t>
        </is>
      </c>
      <c r="U716" s="308" t="n">
        <v>3</v>
      </c>
    </row>
    <row r="717">
      <c r="A717" s="308" t="inlineStr">
        <is>
          <t>Missing in Excel</t>
        </is>
      </c>
      <c r="B717" s="308" t="inlineStr">
        <is>
          <t>DG7602</t>
        </is>
      </c>
      <c r="C717" s="308" t="n">
        <v>25</v>
      </c>
      <c r="D717" s="308" t="inlineStr">
        <is>
          <t>2"-PHW140-12A</t>
        </is>
      </c>
      <c r="E717" s="308" t="inlineStr">
        <is>
          <t>PHW140</t>
        </is>
      </c>
      <c r="F717" s="308" t="inlineStr">
        <is>
          <t>12A</t>
        </is>
      </c>
      <c r="G717" s="308" t="inlineStr">
        <is>
          <t>line</t>
        </is>
      </c>
      <c r="H717" s="311" t="n">
        <v>0.87</v>
      </c>
      <c r="I717" s="308" t="inlineStr">
        <is>
          <t>Medium</t>
        </is>
      </c>
      <c r="J717" s="308" t="inlineStr">
        <is>
          <t>drawing</t>
        </is>
      </c>
      <c r="K717" s="308" t="inlineStr">
        <is>
          <t>line:size-prefix</t>
        </is>
      </c>
      <c r="L717" s="308" t="inlineStr">
        <is>
          <t>drawing zone; process page; mapped sheet; repeated x29</t>
        </is>
      </c>
      <c r="M717" s="308" t="inlineStr">
        <is>
          <t>010 2"-PHW140-12A</t>
        </is>
      </c>
      <c r="N717" s="308" t="inlineStr">
        <is>
          <t>native</t>
        </is>
      </c>
      <c r="O717" s="308" t="inlineStr">
        <is>
          <t>native-only</t>
        </is>
      </c>
      <c r="P717" s="308" t="inlineStr">
        <is>
          <t>native</t>
        </is>
      </c>
      <c r="Q717" s="308" t="inlineStr"/>
      <c r="R717" s="308" t="inlineStr">
        <is>
          <t>native text sufficient</t>
        </is>
      </c>
      <c r="S717" s="308" t="inlineStr"/>
      <c r="T717" s="308" t="inlineStr">
        <is>
          <t>p25:native:49, p25:native:80</t>
        </is>
      </c>
      <c r="U717" s="308" t="n">
        <v>2</v>
      </c>
    </row>
    <row r="718">
      <c r="A718" s="308" t="inlineStr">
        <is>
          <t>Missing in Excel</t>
        </is>
      </c>
      <c r="B718" s="308" t="inlineStr">
        <is>
          <t>DG7602</t>
        </is>
      </c>
      <c r="C718" s="308" t="n">
        <v>25</v>
      </c>
      <c r="D718" s="308" t="inlineStr">
        <is>
          <t>2"-PHW140-12A</t>
        </is>
      </c>
      <c r="E718" s="308" t="inlineStr">
        <is>
          <t>PHW140</t>
        </is>
      </c>
      <c r="F718" s="308" t="inlineStr">
        <is>
          <t>12A</t>
        </is>
      </c>
      <c r="G718" s="308" t="inlineStr">
        <is>
          <t>line</t>
        </is>
      </c>
      <c r="H718" s="311" t="n">
        <v>0.87</v>
      </c>
      <c r="I718" s="308" t="inlineStr">
        <is>
          <t>Medium</t>
        </is>
      </c>
      <c r="J718" s="308" t="inlineStr">
        <is>
          <t>drawing</t>
        </is>
      </c>
      <c r="K718" s="308" t="inlineStr">
        <is>
          <t>line:size-prefix</t>
        </is>
      </c>
      <c r="L718" s="308" t="inlineStr">
        <is>
          <t>drawing zone; process page; mapped sheet; repeated x29</t>
        </is>
      </c>
      <c r="M718" s="308" t="inlineStr">
        <is>
          <t>HV 011 2"-PHW140-12A</t>
        </is>
      </c>
      <c r="N718" s="308" t="inlineStr">
        <is>
          <t>native</t>
        </is>
      </c>
      <c r="O718" s="308" t="inlineStr">
        <is>
          <t>native-only</t>
        </is>
      </c>
      <c r="P718" s="308" t="inlineStr">
        <is>
          <t>native</t>
        </is>
      </c>
      <c r="Q718" s="308" t="inlineStr"/>
      <c r="R718" s="308" t="inlineStr">
        <is>
          <t>native text sufficient</t>
        </is>
      </c>
      <c r="S718" s="308" t="inlineStr"/>
      <c r="T718" s="308" t="inlineStr">
        <is>
          <t>p25:native:56, p25:native:57, p25:native:81</t>
        </is>
      </c>
      <c r="U718" s="308" t="n">
        <v>3</v>
      </c>
    </row>
    <row r="719">
      <c r="A719" s="308" t="inlineStr">
        <is>
          <t>Missing in Excel</t>
        </is>
      </c>
      <c r="B719" s="308" t="inlineStr">
        <is>
          <t>DG7602</t>
        </is>
      </c>
      <c r="C719" s="308" t="n">
        <v>25</v>
      </c>
      <c r="D719" s="308" t="inlineStr">
        <is>
          <t>2"-PHW140-12A</t>
        </is>
      </c>
      <c r="E719" s="308" t="inlineStr">
        <is>
          <t>PHW140</t>
        </is>
      </c>
      <c r="F719" s="308" t="inlineStr">
        <is>
          <t>12A</t>
        </is>
      </c>
      <c r="G719" s="308" t="inlineStr">
        <is>
          <t>line</t>
        </is>
      </c>
      <c r="H719" s="311" t="n">
        <v>0.87</v>
      </c>
      <c r="I719" s="308" t="inlineStr">
        <is>
          <t>Medium</t>
        </is>
      </c>
      <c r="J719" s="308" t="inlineStr">
        <is>
          <t>drawing</t>
        </is>
      </c>
      <c r="K719" s="308" t="inlineStr">
        <is>
          <t>line:size-prefix</t>
        </is>
      </c>
      <c r="L719" s="308" t="inlineStr">
        <is>
          <t>drawing zone; process page; mapped sheet; repeated x29</t>
        </is>
      </c>
      <c r="M719" s="308" t="inlineStr">
        <is>
          <t>011 2"-PHW140-12A</t>
        </is>
      </c>
      <c r="N719" s="308" t="inlineStr">
        <is>
          <t>native</t>
        </is>
      </c>
      <c r="O719" s="308" t="inlineStr">
        <is>
          <t>native-only</t>
        </is>
      </c>
      <c r="P719" s="308" t="inlineStr">
        <is>
          <t>native</t>
        </is>
      </c>
      <c r="Q719" s="308" t="inlineStr"/>
      <c r="R719" s="308" t="inlineStr">
        <is>
          <t>native text sufficient</t>
        </is>
      </c>
      <c r="S719" s="308" t="inlineStr"/>
      <c r="T719" s="308" t="inlineStr">
        <is>
          <t>p25:native:57, p25:native:81</t>
        </is>
      </c>
      <c r="U719" s="308" t="n">
        <v>2</v>
      </c>
    </row>
    <row r="720">
      <c r="A720" s="308" t="inlineStr">
        <is>
          <t>Missing in Excel</t>
        </is>
      </c>
      <c r="B720" s="308" t="inlineStr">
        <is>
          <t>DG7602</t>
        </is>
      </c>
      <c r="C720" s="308" t="n">
        <v>25</v>
      </c>
      <c r="D720" s="308" t="inlineStr">
        <is>
          <t>2"-PHW140-12A</t>
        </is>
      </c>
      <c r="E720" s="308" t="inlineStr">
        <is>
          <t>PHW140</t>
        </is>
      </c>
      <c r="F720" s="308" t="inlineStr">
        <is>
          <t>12A</t>
        </is>
      </c>
      <c r="G720" s="308" t="inlineStr">
        <is>
          <t>line</t>
        </is>
      </c>
      <c r="H720" s="311" t="n">
        <v>0.87</v>
      </c>
      <c r="I720" s="308" t="inlineStr">
        <is>
          <t>Medium</t>
        </is>
      </c>
      <c r="J720" s="308" t="inlineStr">
        <is>
          <t>drawing</t>
        </is>
      </c>
      <c r="K720" s="308" t="inlineStr">
        <is>
          <t>line:size-prefix</t>
        </is>
      </c>
      <c r="L720" s="308" t="inlineStr">
        <is>
          <t>drawing zone; process page; mapped sheet; repeated x29</t>
        </is>
      </c>
      <c r="M720" s="308" t="inlineStr">
        <is>
          <t>HV 012 2"-PHW140-12A</t>
        </is>
      </c>
      <c r="N720" s="308" t="inlineStr">
        <is>
          <t>native</t>
        </is>
      </c>
      <c r="O720" s="308" t="inlineStr">
        <is>
          <t>native-only</t>
        </is>
      </c>
      <c r="P720" s="308" t="inlineStr">
        <is>
          <t>native</t>
        </is>
      </c>
      <c r="Q720" s="308" t="inlineStr"/>
      <c r="R720" s="308" t="inlineStr">
        <is>
          <t>native text sufficient</t>
        </is>
      </c>
      <c r="S720" s="308" t="inlineStr"/>
      <c r="T720" s="308" t="inlineStr">
        <is>
          <t>p25:native:64, p25:native:65, p25:native:82</t>
        </is>
      </c>
      <c r="U720" s="308" t="n">
        <v>3</v>
      </c>
    </row>
    <row r="721">
      <c r="A721" s="308" t="inlineStr">
        <is>
          <t>Missing in Excel</t>
        </is>
      </c>
      <c r="B721" s="308" t="inlineStr">
        <is>
          <t>DG7602</t>
        </is>
      </c>
      <c r="C721" s="308" t="n">
        <v>25</v>
      </c>
      <c r="D721" s="308" t="inlineStr">
        <is>
          <t>2"-PHW140-12A</t>
        </is>
      </c>
      <c r="E721" s="308" t="inlineStr">
        <is>
          <t>PHW140</t>
        </is>
      </c>
      <c r="F721" s="308" t="inlineStr">
        <is>
          <t>12A</t>
        </is>
      </c>
      <c r="G721" s="308" t="inlineStr">
        <is>
          <t>line</t>
        </is>
      </c>
      <c r="H721" s="311" t="n">
        <v>0.87</v>
      </c>
      <c r="I721" s="308" t="inlineStr">
        <is>
          <t>Medium</t>
        </is>
      </c>
      <c r="J721" s="308" t="inlineStr">
        <is>
          <t>drawing</t>
        </is>
      </c>
      <c r="K721" s="308" t="inlineStr">
        <is>
          <t>line:size-prefix</t>
        </is>
      </c>
      <c r="L721" s="308" t="inlineStr">
        <is>
          <t>drawing zone; process page; mapped sheet; repeated x29</t>
        </is>
      </c>
      <c r="M721" s="308" t="inlineStr">
        <is>
          <t>012 2"-PHW140-12A</t>
        </is>
      </c>
      <c r="N721" s="308" t="inlineStr">
        <is>
          <t>native</t>
        </is>
      </c>
      <c r="O721" s="308" t="inlineStr">
        <is>
          <t>native-only</t>
        </is>
      </c>
      <c r="P721" s="308" t="inlineStr">
        <is>
          <t>native</t>
        </is>
      </c>
      <c r="Q721" s="308" t="inlineStr"/>
      <c r="R721" s="308" t="inlineStr">
        <is>
          <t>native text sufficient</t>
        </is>
      </c>
      <c r="S721" s="308" t="inlineStr"/>
      <c r="T721" s="308" t="inlineStr">
        <is>
          <t>p25:native:65, p25:native:82</t>
        </is>
      </c>
      <c r="U721" s="308" t="n">
        <v>2</v>
      </c>
    </row>
    <row r="722">
      <c r="A722" s="308" t="inlineStr">
        <is>
          <t>Missing in Excel</t>
        </is>
      </c>
      <c r="B722" s="308" t="inlineStr">
        <is>
          <t>DG7602</t>
        </is>
      </c>
      <c r="C722" s="308" t="n">
        <v>25</v>
      </c>
      <c r="D722" s="308" t="inlineStr">
        <is>
          <t>2"-PHW140-12A</t>
        </is>
      </c>
      <c r="E722" s="308" t="inlineStr">
        <is>
          <t>PHW140</t>
        </is>
      </c>
      <c r="F722" s="308" t="inlineStr">
        <is>
          <t>12A</t>
        </is>
      </c>
      <c r="G722" s="308" t="inlineStr">
        <is>
          <t>line</t>
        </is>
      </c>
      <c r="H722" s="311" t="n">
        <v>0.87</v>
      </c>
      <c r="I722" s="308" t="inlineStr">
        <is>
          <t>Medium</t>
        </is>
      </c>
      <c r="J722" s="308" t="inlineStr">
        <is>
          <t>drawing</t>
        </is>
      </c>
      <c r="K722" s="308" t="inlineStr">
        <is>
          <t>line:size-prefix</t>
        </is>
      </c>
      <c r="L722" s="308" t="inlineStr">
        <is>
          <t>drawing zone; process page; mapped sheet; repeated x29</t>
        </is>
      </c>
      <c r="M722" s="308" t="inlineStr">
        <is>
          <t>HV 013 2"-PHW140-12A</t>
        </is>
      </c>
      <c r="N722" s="308" t="inlineStr">
        <is>
          <t>native</t>
        </is>
      </c>
      <c r="O722" s="308" t="inlineStr">
        <is>
          <t>native-only</t>
        </is>
      </c>
      <c r="P722" s="308" t="inlineStr">
        <is>
          <t>native</t>
        </is>
      </c>
      <c r="Q722" s="308" t="inlineStr"/>
      <c r="R722" s="308" t="inlineStr">
        <is>
          <t>native text sufficient</t>
        </is>
      </c>
      <c r="S722" s="308" t="inlineStr"/>
      <c r="T722" s="308" t="inlineStr">
        <is>
          <t>p25:native:72, p25:native:73, p25:native:83</t>
        </is>
      </c>
      <c r="U722" s="308" t="n">
        <v>3</v>
      </c>
    </row>
    <row r="723">
      <c r="A723" s="308" t="inlineStr">
        <is>
          <t>Missing in Excel</t>
        </is>
      </c>
      <c r="B723" s="308" t="inlineStr">
        <is>
          <t>DG7602</t>
        </is>
      </c>
      <c r="C723" s="308" t="n">
        <v>25</v>
      </c>
      <c r="D723" s="308" t="inlineStr">
        <is>
          <t>2"-PHW140-12A</t>
        </is>
      </c>
      <c r="E723" s="308" t="inlineStr">
        <is>
          <t>PHW140</t>
        </is>
      </c>
      <c r="F723" s="308" t="inlineStr">
        <is>
          <t>12A</t>
        </is>
      </c>
      <c r="G723" s="308" t="inlineStr">
        <is>
          <t>line</t>
        </is>
      </c>
      <c r="H723" s="311" t="n">
        <v>0.87</v>
      </c>
      <c r="I723" s="308" t="inlineStr">
        <is>
          <t>Medium</t>
        </is>
      </c>
      <c r="J723" s="308" t="inlineStr">
        <is>
          <t>drawing</t>
        </is>
      </c>
      <c r="K723" s="308" t="inlineStr">
        <is>
          <t>line:size-prefix</t>
        </is>
      </c>
      <c r="L723" s="308" t="inlineStr">
        <is>
          <t>drawing zone; process page; mapped sheet; repeated x29</t>
        </is>
      </c>
      <c r="M723" s="308" t="inlineStr">
        <is>
          <t>013 2"-PHW140-12A</t>
        </is>
      </c>
      <c r="N723" s="308" t="inlineStr">
        <is>
          <t>native</t>
        </is>
      </c>
      <c r="O723" s="308" t="inlineStr">
        <is>
          <t>native-only</t>
        </is>
      </c>
      <c r="P723" s="308" t="inlineStr">
        <is>
          <t>native</t>
        </is>
      </c>
      <c r="Q723" s="308" t="inlineStr"/>
      <c r="R723" s="308" t="inlineStr">
        <is>
          <t>native text sufficient</t>
        </is>
      </c>
      <c r="S723" s="308" t="inlineStr"/>
      <c r="T723" s="308" t="inlineStr">
        <is>
          <t>p25:native:73, p25:native:83</t>
        </is>
      </c>
      <c r="U723" s="308" t="n">
        <v>2</v>
      </c>
    </row>
    <row r="724">
      <c r="A724" s="308" t="inlineStr">
        <is>
          <t>Missing in Excel</t>
        </is>
      </c>
      <c r="B724" s="308" t="inlineStr">
        <is>
          <t>DG7602</t>
        </is>
      </c>
      <c r="C724" s="308" t="n">
        <v>25</v>
      </c>
      <c r="D724" s="308" t="inlineStr">
        <is>
          <t>2"-PCW-12A</t>
        </is>
      </c>
      <c r="E724" s="308" t="inlineStr">
        <is>
          <t>PCW</t>
        </is>
      </c>
      <c r="F724" s="308" t="inlineStr">
        <is>
          <t>12A</t>
        </is>
      </c>
      <c r="G724" s="308" t="inlineStr">
        <is>
          <t>line</t>
        </is>
      </c>
      <c r="H724" s="311" t="n">
        <v>0.845</v>
      </c>
      <c r="I724" s="308" t="inlineStr">
        <is>
          <t>Medium</t>
        </is>
      </c>
      <c r="J724" s="308" t="inlineStr">
        <is>
          <t>drawing</t>
        </is>
      </c>
      <c r="K724" s="308" t="inlineStr">
        <is>
          <t>line:size-prefix</t>
        </is>
      </c>
      <c r="L724" s="308" t="inlineStr">
        <is>
          <t>drawing zone; process page; mapped sheet; repeated x3</t>
        </is>
      </c>
      <c r="M724" s="308" t="inlineStr">
        <is>
          <t>2"-PCW-12A</t>
        </is>
      </c>
      <c r="N724" s="308" t="inlineStr">
        <is>
          <t>native</t>
        </is>
      </c>
      <c r="O724" s="308" t="inlineStr">
        <is>
          <t>native-only</t>
        </is>
      </c>
      <c r="P724" s="308" t="inlineStr">
        <is>
          <t>native</t>
        </is>
      </c>
      <c r="Q724" s="308" t="inlineStr"/>
      <c r="R724" s="308" t="inlineStr">
        <is>
          <t>native text sufficient</t>
        </is>
      </c>
      <c r="S724" s="308" t="inlineStr"/>
      <c r="T724" s="308" t="inlineStr">
        <is>
          <t>p25:native:118</t>
        </is>
      </c>
      <c r="U724" s="308" t="n">
        <v>1</v>
      </c>
    </row>
    <row r="725">
      <c r="A725" s="308" t="inlineStr">
        <is>
          <t>Missing in Excel</t>
        </is>
      </c>
      <c r="B725" s="308" t="inlineStr">
        <is>
          <t>DG7602</t>
        </is>
      </c>
      <c r="C725" s="308" t="n">
        <v>25</v>
      </c>
      <c r="D725" s="308" t="inlineStr">
        <is>
          <t>2"-PCW-12A</t>
        </is>
      </c>
      <c r="E725" s="308" t="inlineStr">
        <is>
          <t>PCW</t>
        </is>
      </c>
      <c r="F725" s="308" t="inlineStr">
        <is>
          <t>12A</t>
        </is>
      </c>
      <c r="G725" s="308" t="inlineStr">
        <is>
          <t>line</t>
        </is>
      </c>
      <c r="H725" s="311" t="n">
        <v>0.845</v>
      </c>
      <c r="I725" s="308" t="inlineStr">
        <is>
          <t>Medium</t>
        </is>
      </c>
      <c r="J725" s="308" t="inlineStr">
        <is>
          <t>drawing</t>
        </is>
      </c>
      <c r="K725" s="308" t="inlineStr">
        <is>
          <t>line:size-prefix</t>
        </is>
      </c>
      <c r="L725" s="308" t="inlineStr">
        <is>
          <t>drawing zone; process page; mapped sheet; repeated x3</t>
        </is>
      </c>
      <c r="M725" s="308" t="inlineStr">
        <is>
          <t>2"-PCW-12A HV</t>
        </is>
      </c>
      <c r="N725" s="308" t="inlineStr">
        <is>
          <t>native</t>
        </is>
      </c>
      <c r="O725" s="308" t="inlineStr">
        <is>
          <t>native-only</t>
        </is>
      </c>
      <c r="P725" s="308" t="inlineStr">
        <is>
          <t>native</t>
        </is>
      </c>
      <c r="Q725" s="308" t="inlineStr"/>
      <c r="R725" s="308" t="inlineStr">
        <is>
          <t>native text sufficient</t>
        </is>
      </c>
      <c r="S725" s="308" t="inlineStr"/>
      <c r="T725" s="308" t="inlineStr">
        <is>
          <t>p25:native:118, p25:native:101</t>
        </is>
      </c>
      <c r="U725" s="308" t="n">
        <v>2</v>
      </c>
    </row>
    <row r="726">
      <c r="A726" s="308" t="inlineStr">
        <is>
          <t>Missing in Excel</t>
        </is>
      </c>
      <c r="B726" s="308" t="inlineStr">
        <is>
          <t>DG7602</t>
        </is>
      </c>
      <c r="C726" s="308" t="n">
        <v>25</v>
      </c>
      <c r="D726" s="308" t="inlineStr">
        <is>
          <t>1.5"-CA-12A</t>
        </is>
      </c>
      <c r="E726" s="308" t="inlineStr">
        <is>
          <t>CA</t>
        </is>
      </c>
      <c r="F726" s="308" t="inlineStr">
        <is>
          <t>12A</t>
        </is>
      </c>
      <c r="G726" s="308" t="inlineStr">
        <is>
          <t>line</t>
        </is>
      </c>
      <c r="H726" s="311" t="n">
        <v>0.77</v>
      </c>
      <c r="I726" s="308" t="inlineStr">
        <is>
          <t>Medium</t>
        </is>
      </c>
      <c r="J726" s="308" t="inlineStr">
        <is>
          <t>drawing</t>
        </is>
      </c>
      <c r="K726" s="308" t="inlineStr">
        <is>
          <t>line:size-prefix</t>
        </is>
      </c>
      <c r="L726" s="308" t="inlineStr">
        <is>
          <t>drawing zone; process page; mapped sheet</t>
        </is>
      </c>
      <c r="M726" s="308" t="inlineStr">
        <is>
          <t>1.5"-CA-12A</t>
        </is>
      </c>
      <c r="N726" s="308" t="inlineStr">
        <is>
          <t>native</t>
        </is>
      </c>
      <c r="O726" s="308" t="inlineStr">
        <is>
          <t>native-only</t>
        </is>
      </c>
      <c r="P726" s="308" t="inlineStr">
        <is>
          <t>native</t>
        </is>
      </c>
      <c r="Q726" s="308" t="inlineStr"/>
      <c r="R726" s="308" t="inlineStr">
        <is>
          <t>native text sufficient</t>
        </is>
      </c>
      <c r="S726" s="308" t="inlineStr"/>
      <c r="T726" s="308" t="inlineStr">
        <is>
          <t>p25:native:11</t>
        </is>
      </c>
      <c r="U726" s="308" t="n">
        <v>1</v>
      </c>
    </row>
    <row r="727">
      <c r="A727" s="308" t="inlineStr">
        <is>
          <t>Missing in Excel</t>
        </is>
      </c>
      <c r="B727" s="308" t="inlineStr">
        <is>
          <t>DG7602</t>
        </is>
      </c>
      <c r="C727" s="308" t="n">
        <v>25</v>
      </c>
      <c r="D727" s="308" t="inlineStr">
        <is>
          <t>2"-FOAM-12A</t>
        </is>
      </c>
      <c r="E727" s="308" t="inlineStr">
        <is>
          <t>FOAM</t>
        </is>
      </c>
      <c r="F727" s="308" t="inlineStr">
        <is>
          <t>12A</t>
        </is>
      </c>
      <c r="G727" s="308" t="inlineStr">
        <is>
          <t>line</t>
        </is>
      </c>
      <c r="H727" s="311" t="n">
        <v>0.77</v>
      </c>
      <c r="I727" s="308" t="inlineStr">
        <is>
          <t>Medium</t>
        </is>
      </c>
      <c r="J727" s="308" t="inlineStr">
        <is>
          <t>drawing</t>
        </is>
      </c>
      <c r="K727" s="308" t="inlineStr">
        <is>
          <t>line:size-prefix</t>
        </is>
      </c>
      <c r="L727" s="308" t="inlineStr">
        <is>
          <t>drawing zone; process page; mapped sheet</t>
        </is>
      </c>
      <c r="M727" s="308" t="inlineStr">
        <is>
          <t>2"-FOAM-12A</t>
        </is>
      </c>
      <c r="N727" s="308" t="inlineStr">
        <is>
          <t>native</t>
        </is>
      </c>
      <c r="O727" s="308" t="inlineStr">
        <is>
          <t>native-only</t>
        </is>
      </c>
      <c r="P727" s="308" t="inlineStr">
        <is>
          <t>native</t>
        </is>
      </c>
      <c r="Q727" s="308" t="inlineStr"/>
      <c r="R727" s="308" t="inlineStr">
        <is>
          <t>native text sufficient</t>
        </is>
      </c>
      <c r="S727" s="308" t="inlineStr"/>
      <c r="T727" s="308" t="inlineStr">
        <is>
          <t>p25:native:10</t>
        </is>
      </c>
      <c r="U727" s="308" t="n">
        <v>1</v>
      </c>
    </row>
    <row r="728">
      <c r="A728" s="308" t="inlineStr">
        <is>
          <t>Missing in Excel</t>
        </is>
      </c>
      <c r="B728" s="308" t="inlineStr">
        <is>
          <t>DG7602</t>
        </is>
      </c>
      <c r="C728" s="308" t="n">
        <v>25</v>
      </c>
      <c r="D728" s="308" t="inlineStr">
        <is>
          <t>3"-PHW140-12A</t>
        </is>
      </c>
      <c r="E728" s="308" t="inlineStr">
        <is>
          <t>PHW140</t>
        </is>
      </c>
      <c r="F728" s="308" t="inlineStr">
        <is>
          <t>12A</t>
        </is>
      </c>
      <c r="G728" s="308" t="inlineStr">
        <is>
          <t>line</t>
        </is>
      </c>
      <c r="H728" s="311" t="n">
        <v>0.77</v>
      </c>
      <c r="I728" s="308" t="inlineStr">
        <is>
          <t>Medium</t>
        </is>
      </c>
      <c r="J728" s="308" t="inlineStr">
        <is>
          <t>drawing</t>
        </is>
      </c>
      <c r="K728" s="308" t="inlineStr">
        <is>
          <t>line:size-prefix</t>
        </is>
      </c>
      <c r="L728" s="308" t="inlineStr">
        <is>
          <t>drawing zone; process page; mapped sheet</t>
        </is>
      </c>
      <c r="M728" s="308" t="inlineStr">
        <is>
          <t>3"-PHW140-12A</t>
        </is>
      </c>
      <c r="N728" s="308" t="inlineStr">
        <is>
          <t>native</t>
        </is>
      </c>
      <c r="O728" s="308" t="inlineStr">
        <is>
          <t>native-only</t>
        </is>
      </c>
      <c r="P728" s="308" t="inlineStr">
        <is>
          <t>native</t>
        </is>
      </c>
      <c r="Q728" s="308" t="inlineStr"/>
      <c r="R728" s="308" t="inlineStr">
        <is>
          <t>native text sufficient</t>
        </is>
      </c>
      <c r="S728" s="308" t="inlineStr"/>
      <c r="T728" s="308" t="inlineStr">
        <is>
          <t>p25:native:74</t>
        </is>
      </c>
      <c r="U728" s="308" t="n">
        <v>1</v>
      </c>
    </row>
    <row r="729">
      <c r="A729" s="308" t="inlineStr">
        <is>
          <t>Missing in Excel</t>
        </is>
      </c>
      <c r="B729" s="308" t="inlineStr">
        <is>
          <t>DG7602</t>
        </is>
      </c>
      <c r="C729" s="308" t="n">
        <v>25</v>
      </c>
      <c r="D729" s="308" t="inlineStr">
        <is>
          <t>4"-PCW-12A</t>
        </is>
      </c>
      <c r="E729" s="308" t="inlineStr">
        <is>
          <t>PCW</t>
        </is>
      </c>
      <c r="F729" s="308" t="inlineStr">
        <is>
          <t>12A</t>
        </is>
      </c>
      <c r="G729" s="308" t="inlineStr">
        <is>
          <t>line</t>
        </is>
      </c>
      <c r="H729" s="311" t="n">
        <v>0.77</v>
      </c>
      <c r="I729" s="308" t="inlineStr">
        <is>
          <t>Medium</t>
        </is>
      </c>
      <c r="J729" s="308" t="inlineStr">
        <is>
          <t>drawing</t>
        </is>
      </c>
      <c r="K729" s="308" t="inlineStr">
        <is>
          <t>line:size-prefix</t>
        </is>
      </c>
      <c r="L729" s="308" t="inlineStr">
        <is>
          <t>drawing zone; process page; mapped sheet</t>
        </is>
      </c>
      <c r="M729" s="308" t="inlineStr">
        <is>
          <t>4"-PCW-12A</t>
        </is>
      </c>
      <c r="N729" s="308" t="inlineStr">
        <is>
          <t>native</t>
        </is>
      </c>
      <c r="O729" s="308" t="inlineStr">
        <is>
          <t>native-only</t>
        </is>
      </c>
      <c r="P729" s="308" t="inlineStr">
        <is>
          <t>native</t>
        </is>
      </c>
      <c r="Q729" s="308" t="inlineStr"/>
      <c r="R729" s="308" t="inlineStr">
        <is>
          <t>native text sufficient</t>
        </is>
      </c>
      <c r="S729" s="308" t="inlineStr"/>
      <c r="T729" s="308" t="inlineStr">
        <is>
          <t>p25:native:9</t>
        </is>
      </c>
      <c r="U729" s="308" t="n">
        <v>1</v>
      </c>
    </row>
    <row r="730">
      <c r="A730" s="308" t="inlineStr">
        <is>
          <t>Missing in Excel</t>
        </is>
      </c>
      <c r="B730" s="308" t="inlineStr">
        <is>
          <t>DG7604</t>
        </is>
      </c>
      <c r="C730" s="308" t="n">
        <v>26</v>
      </c>
      <c r="D730" s="308" t="inlineStr">
        <is>
          <t>RL7-SKD-102</t>
        </is>
      </c>
      <c r="E730" s="308" t="inlineStr">
        <is>
          <t>RL7-SKD-102</t>
        </is>
      </c>
      <c r="F730" s="308" t="inlineStr"/>
      <c r="G730" s="308" t="inlineStr">
        <is>
          <t>equipment</t>
        </is>
      </c>
      <c r="H730" s="311" t="n">
        <v>0.77</v>
      </c>
      <c r="I730" s="308" t="inlineStr">
        <is>
          <t>Medium</t>
        </is>
      </c>
      <c r="J730" s="308" t="inlineStr">
        <is>
          <t>drawing</t>
        </is>
      </c>
      <c r="K730" s="308" t="inlineStr">
        <is>
          <t>standalone:asset</t>
        </is>
      </c>
      <c r="L730" s="308" t="inlineStr">
        <is>
          <t>drawing zone; process page; mapped sheet</t>
        </is>
      </c>
      <c r="M730" s="308" t="inlineStr">
        <is>
          <t>RL7-SKD-102</t>
        </is>
      </c>
      <c r="N730" s="308" t="inlineStr">
        <is>
          <t>native</t>
        </is>
      </c>
      <c r="O730" s="308" t="inlineStr">
        <is>
          <t>native-only</t>
        </is>
      </c>
      <c r="P730" s="308" t="inlineStr">
        <is>
          <t>native</t>
        </is>
      </c>
      <c r="Q730" s="308" t="inlineStr"/>
      <c r="R730" s="308" t="inlineStr">
        <is>
          <t>native text sufficient</t>
        </is>
      </c>
      <c r="S730" s="308" t="inlineStr"/>
      <c r="T730" s="308" t="inlineStr">
        <is>
          <t>p26:native:4</t>
        </is>
      </c>
      <c r="U730" s="308" t="n">
        <v>1</v>
      </c>
    </row>
    <row r="731">
      <c r="A731" s="308" t="inlineStr">
        <is>
          <t>Missing in Excel</t>
        </is>
      </c>
      <c r="B731" s="308" t="inlineStr">
        <is>
          <t>DG7604</t>
        </is>
      </c>
      <c r="C731" s="308" t="n">
        <v>26</v>
      </c>
      <c r="D731" s="308" t="inlineStr">
        <is>
          <t>RL7-SKD-102-CV001</t>
        </is>
      </c>
      <c r="E731" s="308" t="inlineStr">
        <is>
          <t>RL7-SKD-102</t>
        </is>
      </c>
      <c r="F731" s="308" t="inlineStr">
        <is>
          <t>CV001</t>
        </is>
      </c>
      <c r="G731" s="308" t="inlineStr">
        <is>
          <t>instrument</t>
        </is>
      </c>
      <c r="H731" s="311" t="n">
        <v>0.57</v>
      </c>
      <c r="I731" s="308" t="inlineStr">
        <is>
          <t>Low</t>
        </is>
      </c>
      <c r="J731" s="308" t="inlineStr">
        <is>
          <t>drawing</t>
        </is>
      </c>
      <c r="K731" s="308" t="inlineStr">
        <is>
          <t>inferred:bare-isa</t>
        </is>
      </c>
      <c r="L731" s="308" t="inlineStr">
        <is>
          <t>drawing zone; process page; mapped sheet</t>
        </is>
      </c>
      <c r="M731" s="308" t="inlineStr">
        <is>
          <t>RL7-SKD-102 / CV</t>
        </is>
      </c>
      <c r="N731" s="308" t="inlineStr">
        <is>
          <t>native</t>
        </is>
      </c>
      <c r="O731" s="308" t="inlineStr">
        <is>
          <t>native-only</t>
        </is>
      </c>
      <c r="P731" s="308" t="inlineStr">
        <is>
          <t>native</t>
        </is>
      </c>
      <c r="Q731" s="308" t="inlineStr"/>
      <c r="R731" s="308" t="inlineStr">
        <is>
          <t>native text sufficient</t>
        </is>
      </c>
      <c r="S731" s="308" t="inlineStr"/>
      <c r="T731" s="308" t="inlineStr">
        <is>
          <t>p26:native:11, p26:native:69</t>
        </is>
      </c>
      <c r="U731" s="308" t="n">
        <v>2</v>
      </c>
    </row>
    <row r="732">
      <c r="A732" s="308" t="inlineStr">
        <is>
          <t>Missing in Excel</t>
        </is>
      </c>
      <c r="B732" s="308" t="inlineStr">
        <is>
          <t>DG7604</t>
        </is>
      </c>
      <c r="C732" s="308" t="n">
        <v>26</v>
      </c>
      <c r="D732" s="308" t="inlineStr">
        <is>
          <t>RL7-SKD-102-HV001</t>
        </is>
      </c>
      <c r="E732" s="308" t="inlineStr">
        <is>
          <t>RL7-SKD-102</t>
        </is>
      </c>
      <c r="F732" s="308" t="inlineStr">
        <is>
          <t>HV001</t>
        </is>
      </c>
      <c r="G732" s="308" t="inlineStr">
        <is>
          <t>instrument</t>
        </is>
      </c>
      <c r="H732" s="311" t="n">
        <v>0.57</v>
      </c>
      <c r="I732" s="308" t="inlineStr">
        <is>
          <t>Low</t>
        </is>
      </c>
      <c r="J732" s="308" t="inlineStr">
        <is>
          <t>drawing</t>
        </is>
      </c>
      <c r="K732" s="308" t="inlineStr">
        <is>
          <t>inferred:bare-isa</t>
        </is>
      </c>
      <c r="L732" s="308" t="inlineStr">
        <is>
          <t>drawing zone; process page; mapped sheet</t>
        </is>
      </c>
      <c r="M732" s="308" t="inlineStr">
        <is>
          <t>RL7-SKD-102 / HV</t>
        </is>
      </c>
      <c r="N732" s="308" t="inlineStr">
        <is>
          <t>native</t>
        </is>
      </c>
      <c r="O732" s="308" t="inlineStr">
        <is>
          <t>native-only</t>
        </is>
      </c>
      <c r="P732" s="308" t="inlineStr">
        <is>
          <t>native</t>
        </is>
      </c>
      <c r="Q732" s="308" t="inlineStr"/>
      <c r="R732" s="308" t="inlineStr">
        <is>
          <t>native text sufficient</t>
        </is>
      </c>
      <c r="S732" s="308" t="inlineStr"/>
      <c r="T732" s="308" t="inlineStr">
        <is>
          <t>p26:native:4, p26:native:27</t>
        </is>
      </c>
      <c r="U732" s="308" t="n">
        <v>2</v>
      </c>
    </row>
    <row r="733">
      <c r="A733" s="308" t="inlineStr">
        <is>
          <t>Missing in Excel</t>
        </is>
      </c>
      <c r="B733" s="308" t="inlineStr">
        <is>
          <t>DG7604</t>
        </is>
      </c>
      <c r="C733" s="308" t="n">
        <v>26</v>
      </c>
      <c r="D733" s="308" t="inlineStr">
        <is>
          <t>RL7-SKD-102-HV002</t>
        </is>
      </c>
      <c r="E733" s="308" t="inlineStr">
        <is>
          <t>RL7-SKD-102</t>
        </is>
      </c>
      <c r="F733" s="308" t="inlineStr">
        <is>
          <t>HV002</t>
        </is>
      </c>
      <c r="G733" s="308" t="inlineStr">
        <is>
          <t>instrument</t>
        </is>
      </c>
      <c r="H733" s="311" t="n">
        <v>0.57</v>
      </c>
      <c r="I733" s="308" t="inlineStr">
        <is>
          <t>Low</t>
        </is>
      </c>
      <c r="J733" s="308" t="inlineStr">
        <is>
          <t>drawing</t>
        </is>
      </c>
      <c r="K733" s="308" t="inlineStr">
        <is>
          <t>inferred:bare-isa</t>
        </is>
      </c>
      <c r="L733" s="308" t="inlineStr">
        <is>
          <t>drawing zone; process page; mapped sheet</t>
        </is>
      </c>
      <c r="M733" s="308" t="inlineStr">
        <is>
          <t>RL7-SKD-102 / HV</t>
        </is>
      </c>
      <c r="N733" s="308" t="inlineStr">
        <is>
          <t>native</t>
        </is>
      </c>
      <c r="O733" s="308" t="inlineStr">
        <is>
          <t>native-only</t>
        </is>
      </c>
      <c r="P733" s="308" t="inlineStr">
        <is>
          <t>native</t>
        </is>
      </c>
      <c r="Q733" s="308" t="inlineStr"/>
      <c r="R733" s="308" t="inlineStr">
        <is>
          <t>native text sufficient</t>
        </is>
      </c>
      <c r="S733" s="308" t="inlineStr"/>
      <c r="T733" s="308" t="inlineStr">
        <is>
          <t>p26:native:4, p26:native:33</t>
        </is>
      </c>
      <c r="U733" s="308" t="n">
        <v>2</v>
      </c>
    </row>
    <row r="734">
      <c r="A734" s="308" t="inlineStr">
        <is>
          <t>Missing in Excel</t>
        </is>
      </c>
      <c r="B734" s="308" t="inlineStr">
        <is>
          <t>DG7604</t>
        </is>
      </c>
      <c r="C734" s="308" t="n">
        <v>26</v>
      </c>
      <c r="D734" s="308" t="inlineStr">
        <is>
          <t>RL7-SKD-102-HV003</t>
        </is>
      </c>
      <c r="E734" s="308" t="inlineStr">
        <is>
          <t>RL7-SKD-102</t>
        </is>
      </c>
      <c r="F734" s="308" t="inlineStr">
        <is>
          <t>HV003</t>
        </is>
      </c>
      <c r="G734" s="308" t="inlineStr">
        <is>
          <t>instrument</t>
        </is>
      </c>
      <c r="H734" s="311" t="n">
        <v>0.57</v>
      </c>
      <c r="I734" s="308" t="inlineStr">
        <is>
          <t>Low</t>
        </is>
      </c>
      <c r="J734" s="308" t="inlineStr">
        <is>
          <t>drawing</t>
        </is>
      </c>
      <c r="K734" s="308" t="inlineStr">
        <is>
          <t>inferred:bare-isa</t>
        </is>
      </c>
      <c r="L734" s="308" t="inlineStr">
        <is>
          <t>drawing zone; process page; mapped sheet</t>
        </is>
      </c>
      <c r="M734" s="308" t="inlineStr">
        <is>
          <t>RL7-SKD-102 / HV</t>
        </is>
      </c>
      <c r="N734" s="308" t="inlineStr">
        <is>
          <t>native</t>
        </is>
      </c>
      <c r="O734" s="308" t="inlineStr">
        <is>
          <t>native-only</t>
        </is>
      </c>
      <c r="P734" s="308" t="inlineStr">
        <is>
          <t>native</t>
        </is>
      </c>
      <c r="Q734" s="308" t="inlineStr"/>
      <c r="R734" s="308" t="inlineStr">
        <is>
          <t>native text sufficient</t>
        </is>
      </c>
      <c r="S734" s="308" t="inlineStr"/>
      <c r="T734" s="308" t="inlineStr">
        <is>
          <t>p26:native:11, p26:native:78</t>
        </is>
      </c>
      <c r="U734" s="308" t="n">
        <v>2</v>
      </c>
    </row>
    <row r="735">
      <c r="A735" s="308" t="inlineStr">
        <is>
          <t>Missing in Excel</t>
        </is>
      </c>
      <c r="B735" s="308" t="inlineStr">
        <is>
          <t>DG7604</t>
        </is>
      </c>
      <c r="C735" s="308" t="n">
        <v>26</v>
      </c>
      <c r="D735" s="308" t="inlineStr">
        <is>
          <t>RL7-SKD-102-HV004</t>
        </is>
      </c>
      <c r="E735" s="308" t="inlineStr">
        <is>
          <t>RL7-SKD-102</t>
        </is>
      </c>
      <c r="F735" s="308" t="inlineStr">
        <is>
          <t>HV004</t>
        </is>
      </c>
      <c r="G735" s="308" t="inlineStr">
        <is>
          <t>instrument</t>
        </is>
      </c>
      <c r="H735" s="311" t="n">
        <v>0.57</v>
      </c>
      <c r="I735" s="308" t="inlineStr">
        <is>
          <t>Low</t>
        </is>
      </c>
      <c r="J735" s="308" t="inlineStr">
        <is>
          <t>drawing</t>
        </is>
      </c>
      <c r="K735" s="308" t="inlineStr">
        <is>
          <t>inferred:bare-isa</t>
        </is>
      </c>
      <c r="L735" s="308" t="inlineStr">
        <is>
          <t>drawing zone; process page; mapped sheet</t>
        </is>
      </c>
      <c r="M735" s="308" t="inlineStr">
        <is>
          <t>RL7-SKD-102 / HV</t>
        </is>
      </c>
      <c r="N735" s="308" t="inlineStr">
        <is>
          <t>native</t>
        </is>
      </c>
      <c r="O735" s="308" t="inlineStr">
        <is>
          <t>native-only</t>
        </is>
      </c>
      <c r="P735" s="308" t="inlineStr">
        <is>
          <t>native</t>
        </is>
      </c>
      <c r="Q735" s="308" t="inlineStr"/>
      <c r="R735" s="308" t="inlineStr">
        <is>
          <t>native text sufficient</t>
        </is>
      </c>
      <c r="S735" s="308" t="inlineStr"/>
      <c r="T735" s="308" t="inlineStr">
        <is>
          <t>p26:native:4, p26:native:39</t>
        </is>
      </c>
      <c r="U735" s="308" t="n">
        <v>2</v>
      </c>
    </row>
    <row r="736">
      <c r="A736" s="308" t="inlineStr">
        <is>
          <t>Missing in Excel</t>
        </is>
      </c>
      <c r="B736" s="308" t="inlineStr">
        <is>
          <t>DG7604</t>
        </is>
      </c>
      <c r="C736" s="308" t="n">
        <v>26</v>
      </c>
      <c r="D736" s="308" t="inlineStr">
        <is>
          <t>RL7-SKD-102-HV005</t>
        </is>
      </c>
      <c r="E736" s="308" t="inlineStr">
        <is>
          <t>RL7-SKD-102</t>
        </is>
      </c>
      <c r="F736" s="308" t="inlineStr">
        <is>
          <t>HV005</t>
        </is>
      </c>
      <c r="G736" s="308" t="inlineStr">
        <is>
          <t>instrument</t>
        </is>
      </c>
      <c r="H736" s="311" t="n">
        <v>0.57</v>
      </c>
      <c r="I736" s="308" t="inlineStr">
        <is>
          <t>Low</t>
        </is>
      </c>
      <c r="J736" s="308" t="inlineStr">
        <is>
          <t>drawing</t>
        </is>
      </c>
      <c r="K736" s="308" t="inlineStr">
        <is>
          <t>inferred:bare-isa</t>
        </is>
      </c>
      <c r="L736" s="308" t="inlineStr">
        <is>
          <t>drawing zone; process page; mapped sheet</t>
        </is>
      </c>
      <c r="M736" s="308" t="inlineStr">
        <is>
          <t>RL7-SKD-102 / HV</t>
        </is>
      </c>
      <c r="N736" s="308" t="inlineStr">
        <is>
          <t>native</t>
        </is>
      </c>
      <c r="O736" s="308" t="inlineStr">
        <is>
          <t>native-only</t>
        </is>
      </c>
      <c r="P736" s="308" t="inlineStr">
        <is>
          <t>native</t>
        </is>
      </c>
      <c r="Q736" s="308" t="inlineStr"/>
      <c r="R736" s="308" t="inlineStr">
        <is>
          <t>native text sufficient</t>
        </is>
      </c>
      <c r="S736" s="308" t="inlineStr"/>
      <c r="T736" s="308" t="inlineStr">
        <is>
          <t>p26:native:4, p26:native:51</t>
        </is>
      </c>
      <c r="U736" s="308" t="n">
        <v>2</v>
      </c>
    </row>
    <row r="737">
      <c r="A737" s="308" t="inlineStr">
        <is>
          <t>Missing in Excel</t>
        </is>
      </c>
      <c r="B737" s="308" t="inlineStr">
        <is>
          <t>DG7604</t>
        </is>
      </c>
      <c r="C737" s="308" t="n">
        <v>26</v>
      </c>
      <c r="D737" s="308" t="inlineStr">
        <is>
          <t>RL7-SKD-102-HV006</t>
        </is>
      </c>
      <c r="E737" s="308" t="inlineStr">
        <is>
          <t>RL7-SKD-102</t>
        </is>
      </c>
      <c r="F737" s="308" t="inlineStr">
        <is>
          <t>HV006</t>
        </is>
      </c>
      <c r="G737" s="308" t="inlineStr">
        <is>
          <t>instrument</t>
        </is>
      </c>
      <c r="H737" s="311" t="n">
        <v>0.57</v>
      </c>
      <c r="I737" s="308" t="inlineStr">
        <is>
          <t>Low</t>
        </is>
      </c>
      <c r="J737" s="308" t="inlineStr">
        <is>
          <t>drawing</t>
        </is>
      </c>
      <c r="K737" s="308" t="inlineStr">
        <is>
          <t>inferred:bare-isa</t>
        </is>
      </c>
      <c r="L737" s="308" t="inlineStr">
        <is>
          <t>drawing zone; process page; mapped sheet</t>
        </is>
      </c>
      <c r="M737" s="308" t="inlineStr">
        <is>
          <t>RL7-SKD-102 / HV</t>
        </is>
      </c>
      <c r="N737" s="308" t="inlineStr">
        <is>
          <t>native</t>
        </is>
      </c>
      <c r="O737" s="308" t="inlineStr">
        <is>
          <t>native-only</t>
        </is>
      </c>
      <c r="P737" s="308" t="inlineStr">
        <is>
          <t>native</t>
        </is>
      </c>
      <c r="Q737" s="308" t="inlineStr"/>
      <c r="R737" s="308" t="inlineStr">
        <is>
          <t>native text sufficient</t>
        </is>
      </c>
      <c r="S737" s="308" t="inlineStr"/>
      <c r="T737" s="308" t="inlineStr">
        <is>
          <t>p26:native:10, p26:native:63</t>
        </is>
      </c>
      <c r="U737" s="308" t="n">
        <v>2</v>
      </c>
    </row>
    <row r="738">
      <c r="A738" s="308" t="inlineStr">
        <is>
          <t>Missing in Excel</t>
        </is>
      </c>
      <c r="B738" s="308" t="inlineStr">
        <is>
          <t>DG7604</t>
        </is>
      </c>
      <c r="C738" s="308" t="n">
        <v>26</v>
      </c>
      <c r="D738" s="308" t="inlineStr">
        <is>
          <t>RL7-SKD-102-HV007</t>
        </is>
      </c>
      <c r="E738" s="308" t="inlineStr">
        <is>
          <t>RL7-SKD-102</t>
        </is>
      </c>
      <c r="F738" s="308" t="inlineStr">
        <is>
          <t>HV007</t>
        </is>
      </c>
      <c r="G738" s="308" t="inlineStr">
        <is>
          <t>instrument</t>
        </is>
      </c>
      <c r="H738" s="311" t="n">
        <v>0.57</v>
      </c>
      <c r="I738" s="308" t="inlineStr">
        <is>
          <t>Low</t>
        </is>
      </c>
      <c r="J738" s="308" t="inlineStr">
        <is>
          <t>drawing</t>
        </is>
      </c>
      <c r="K738" s="308" t="inlineStr">
        <is>
          <t>inferred:bare-isa</t>
        </is>
      </c>
      <c r="L738" s="308" t="inlineStr">
        <is>
          <t>drawing zone; process page; mapped sheet</t>
        </is>
      </c>
      <c r="M738" s="308" t="inlineStr">
        <is>
          <t>RL7-SKD-102 / HV</t>
        </is>
      </c>
      <c r="N738" s="308" t="inlineStr">
        <is>
          <t>native</t>
        </is>
      </c>
      <c r="O738" s="308" t="inlineStr">
        <is>
          <t>native-only</t>
        </is>
      </c>
      <c r="P738" s="308" t="inlineStr">
        <is>
          <t>native</t>
        </is>
      </c>
      <c r="Q738" s="308" t="inlineStr"/>
      <c r="R738" s="308" t="inlineStr">
        <is>
          <t>native text sufficient</t>
        </is>
      </c>
      <c r="S738" s="308" t="inlineStr"/>
      <c r="T738" s="308" t="inlineStr">
        <is>
          <t>p26:native:4, p26:native:45</t>
        </is>
      </c>
      <c r="U738" s="308" t="n">
        <v>2</v>
      </c>
    </row>
    <row r="739">
      <c r="A739" s="308" t="inlineStr">
        <is>
          <t>Missing in Excel</t>
        </is>
      </c>
      <c r="B739" s="308" t="inlineStr">
        <is>
          <t>DG7604</t>
        </is>
      </c>
      <c r="C739" s="308" t="n">
        <v>26</v>
      </c>
      <c r="D739" s="308" t="inlineStr">
        <is>
          <t>RL7-SKD-102-PR001</t>
        </is>
      </c>
      <c r="E739" s="308" t="inlineStr">
        <is>
          <t>RL7-SKD-102</t>
        </is>
      </c>
      <c r="F739" s="308" t="inlineStr">
        <is>
          <t>PR001</t>
        </is>
      </c>
      <c r="G739" s="308" t="inlineStr">
        <is>
          <t>instrument</t>
        </is>
      </c>
      <c r="H739" s="311" t="n">
        <v>0.57</v>
      </c>
      <c r="I739" s="308" t="inlineStr">
        <is>
          <t>Low</t>
        </is>
      </c>
      <c r="J739" s="308" t="inlineStr">
        <is>
          <t>drawing</t>
        </is>
      </c>
      <c r="K739" s="308" t="inlineStr">
        <is>
          <t>inferred:bare-isa</t>
        </is>
      </c>
      <c r="L739" s="308" t="inlineStr">
        <is>
          <t>drawing zone; process page; mapped sheet</t>
        </is>
      </c>
      <c r="M739" s="308" t="inlineStr">
        <is>
          <t>RL7-SKD-102 / PR</t>
        </is>
      </c>
      <c r="N739" s="308" t="inlineStr">
        <is>
          <t>native</t>
        </is>
      </c>
      <c r="O739" s="308" t="inlineStr">
        <is>
          <t>native-only</t>
        </is>
      </c>
      <c r="P739" s="308" t="inlineStr">
        <is>
          <t>native</t>
        </is>
      </c>
      <c r="Q739" s="308" t="inlineStr"/>
      <c r="R739" s="308" t="inlineStr">
        <is>
          <t>native text sufficient</t>
        </is>
      </c>
      <c r="S739" s="308" t="inlineStr"/>
      <c r="T739" s="308" t="inlineStr">
        <is>
          <t>p26:native:11, p26:native:57</t>
        </is>
      </c>
      <c r="U739" s="308" t="n">
        <v>2</v>
      </c>
    </row>
    <row r="740">
      <c r="A740" s="308" t="inlineStr">
        <is>
          <t>Missing in Excel</t>
        </is>
      </c>
      <c r="B740" s="308" t="inlineStr">
        <is>
          <t>DG7604</t>
        </is>
      </c>
      <c r="C740" s="308" t="n">
        <v>26</v>
      </c>
      <c r="D740" s="308" t="inlineStr">
        <is>
          <t>1"-LAC-T4</t>
        </is>
      </c>
      <c r="E740" s="308" t="inlineStr">
        <is>
          <t>LAC</t>
        </is>
      </c>
      <c r="F740" s="308" t="inlineStr">
        <is>
          <t>T4</t>
        </is>
      </c>
      <c r="G740" s="308" t="inlineStr">
        <is>
          <t>line</t>
        </is>
      </c>
      <c r="H740" s="311" t="n">
        <v>0.845</v>
      </c>
      <c r="I740" s="308" t="inlineStr">
        <is>
          <t>Medium</t>
        </is>
      </c>
      <c r="J740" s="308" t="inlineStr">
        <is>
          <t>drawing</t>
        </is>
      </c>
      <c r="K740" s="308" t="inlineStr">
        <is>
          <t>line:size-prefix</t>
        </is>
      </c>
      <c r="L740" s="308" t="inlineStr">
        <is>
          <t>drawing zone; process page; mapped sheet; repeated x3</t>
        </is>
      </c>
      <c r="M740" s="308" t="inlineStr">
        <is>
          <t>1"-LAC-T4</t>
        </is>
      </c>
      <c r="N740" s="308" t="inlineStr">
        <is>
          <t>native</t>
        </is>
      </c>
      <c r="O740" s="308" t="inlineStr">
        <is>
          <t>native-only</t>
        </is>
      </c>
      <c r="P740" s="308" t="inlineStr">
        <is>
          <t>native</t>
        </is>
      </c>
      <c r="Q740" s="308" t="inlineStr"/>
      <c r="R740" s="308" t="inlineStr">
        <is>
          <t>native text sufficient</t>
        </is>
      </c>
      <c r="S740" s="308" t="inlineStr"/>
      <c r="T740" s="308" t="inlineStr">
        <is>
          <t>p26:native:71</t>
        </is>
      </c>
      <c r="U740" s="308" t="n">
        <v>1</v>
      </c>
    </row>
    <row r="741">
      <c r="A741" s="308" t="inlineStr">
        <is>
          <t>Missing in Excel</t>
        </is>
      </c>
      <c r="B741" s="308" t="inlineStr">
        <is>
          <t>DG7604</t>
        </is>
      </c>
      <c r="C741" s="308" t="n">
        <v>26</v>
      </c>
      <c r="D741" s="308" t="inlineStr">
        <is>
          <t>1"-LAC-T4</t>
        </is>
      </c>
      <c r="E741" s="308" t="inlineStr">
        <is>
          <t>LAC</t>
        </is>
      </c>
      <c r="F741" s="308" t="inlineStr">
        <is>
          <t>T4</t>
        </is>
      </c>
      <c r="G741" s="308" t="inlineStr">
        <is>
          <t>line</t>
        </is>
      </c>
      <c r="H741" s="311" t="n">
        <v>0.845</v>
      </c>
      <c r="I741" s="308" t="inlineStr">
        <is>
          <t>Medium</t>
        </is>
      </c>
      <c r="J741" s="308" t="inlineStr">
        <is>
          <t>drawing</t>
        </is>
      </c>
      <c r="K741" s="308" t="inlineStr">
        <is>
          <t>line:size-prefix</t>
        </is>
      </c>
      <c r="L741" s="308" t="inlineStr">
        <is>
          <t>drawing zone; process page; mapped sheet; repeated x3</t>
        </is>
      </c>
      <c r="M741" s="308" t="inlineStr">
        <is>
          <t>1"-LAC-T4</t>
        </is>
      </c>
      <c r="N741" s="308" t="inlineStr">
        <is>
          <t>native</t>
        </is>
      </c>
      <c r="O741" s="308" t="inlineStr">
        <is>
          <t>native-only</t>
        </is>
      </c>
      <c r="P741" s="308" t="inlineStr">
        <is>
          <t>native</t>
        </is>
      </c>
      <c r="Q741" s="308" t="inlineStr"/>
      <c r="R741" s="308" t="inlineStr">
        <is>
          <t>native text sufficient</t>
        </is>
      </c>
      <c r="S741" s="308" t="inlineStr"/>
      <c r="T741" s="308" t="inlineStr">
        <is>
          <t>p26:native:82</t>
        </is>
      </c>
      <c r="U741" s="308" t="n">
        <v>1</v>
      </c>
    </row>
    <row r="742">
      <c r="A742" s="308" t="inlineStr">
        <is>
          <t>Missing in Excel</t>
        </is>
      </c>
      <c r="B742" s="308" t="inlineStr">
        <is>
          <t>DG7604</t>
        </is>
      </c>
      <c r="C742" s="308" t="n">
        <v>26</v>
      </c>
      <c r="D742" s="308" t="inlineStr">
        <is>
          <t>1"-LAC-T4</t>
        </is>
      </c>
      <c r="E742" s="308" t="inlineStr">
        <is>
          <t>LAC</t>
        </is>
      </c>
      <c r="F742" s="308" t="inlineStr">
        <is>
          <t>T4</t>
        </is>
      </c>
      <c r="G742" s="308" t="inlineStr">
        <is>
          <t>line</t>
        </is>
      </c>
      <c r="H742" s="311" t="n">
        <v>0.845</v>
      </c>
      <c r="I742" s="308" t="inlineStr">
        <is>
          <t>Medium</t>
        </is>
      </c>
      <c r="J742" s="308" t="inlineStr">
        <is>
          <t>drawing</t>
        </is>
      </c>
      <c r="K742" s="308" t="inlineStr">
        <is>
          <t>line:size-prefix</t>
        </is>
      </c>
      <c r="L742" s="308" t="inlineStr">
        <is>
          <t>drawing zone; process page; mapped sheet; repeated x3</t>
        </is>
      </c>
      <c r="M742" s="308" t="inlineStr">
        <is>
          <t>1"-LAC-T4</t>
        </is>
      </c>
      <c r="N742" s="308" t="inlineStr">
        <is>
          <t>native</t>
        </is>
      </c>
      <c r="O742" s="308" t="inlineStr">
        <is>
          <t>native-only</t>
        </is>
      </c>
      <c r="P742" s="308" t="inlineStr">
        <is>
          <t>native</t>
        </is>
      </c>
      <c r="Q742" s="308" t="inlineStr"/>
      <c r="R742" s="308" t="inlineStr">
        <is>
          <t>native text sufficient</t>
        </is>
      </c>
      <c r="S742" s="308" t="inlineStr"/>
      <c r="T742" s="308" t="inlineStr">
        <is>
          <t>p26:native:83</t>
        </is>
      </c>
      <c r="U742" s="308" t="n">
        <v>1</v>
      </c>
    </row>
    <row r="743">
      <c r="A743" s="308" t="inlineStr">
        <is>
          <t>Missing in Excel</t>
        </is>
      </c>
      <c r="B743" s="308" t="inlineStr">
        <is>
          <t>DG7604</t>
        </is>
      </c>
      <c r="C743" s="308" t="n">
        <v>26</v>
      </c>
      <c r="D743" s="308" t="inlineStr">
        <is>
          <t>RL7-CRK-101</t>
        </is>
      </c>
      <c r="E743" s="308" t="inlineStr">
        <is>
          <t>RL7-CRK-101</t>
        </is>
      </c>
      <c r="F743" s="308" t="inlineStr"/>
      <c r="G743" s="308" t="inlineStr">
        <is>
          <t>equipment</t>
        </is>
      </c>
      <c r="H743" s="311" t="n">
        <v>0.49</v>
      </c>
      <c r="I743" s="308" t="inlineStr">
        <is>
          <t>Low</t>
        </is>
      </c>
      <c r="J743" s="308" t="inlineStr">
        <is>
          <t>title-block/right</t>
        </is>
      </c>
      <c r="K743" s="308" t="inlineStr">
        <is>
          <t>standalone:asset</t>
        </is>
      </c>
      <c r="L743" s="308" t="inlineStr">
        <is>
          <t>title-block penalty; process page; mapped sheet</t>
        </is>
      </c>
      <c r="M743" s="308" t="inlineStr">
        <is>
          <t>RL7-CRK-101</t>
        </is>
      </c>
      <c r="N743" s="308" t="inlineStr">
        <is>
          <t>native</t>
        </is>
      </c>
      <c r="O743" s="308" t="inlineStr">
        <is>
          <t>native-only</t>
        </is>
      </c>
      <c r="P743" s="308" t="inlineStr">
        <is>
          <t>native</t>
        </is>
      </c>
      <c r="Q743" s="308" t="inlineStr"/>
      <c r="R743" s="308" t="inlineStr">
        <is>
          <t>native text sufficient</t>
        </is>
      </c>
      <c r="S743" s="308" t="inlineStr"/>
      <c r="T743" s="308" t="inlineStr">
        <is>
          <t>p26:native:17</t>
        </is>
      </c>
      <c r="U743" s="308" t="n">
        <v>1</v>
      </c>
    </row>
    <row r="744">
      <c r="A744" s="308" t="inlineStr">
        <is>
          <t>Missing in Excel</t>
        </is>
      </c>
      <c r="B744" s="308" t="inlineStr">
        <is>
          <t>DG7604</t>
        </is>
      </c>
      <c r="C744" s="308" t="n">
        <v>26</v>
      </c>
      <c r="D744" s="308" t="inlineStr">
        <is>
          <t>RL7-CRK-102</t>
        </is>
      </c>
      <c r="E744" s="308" t="inlineStr">
        <is>
          <t>RL7-CRK-102</t>
        </is>
      </c>
      <c r="F744" s="308" t="inlineStr"/>
      <c r="G744" s="308" t="inlineStr">
        <is>
          <t>equipment</t>
        </is>
      </c>
      <c r="H744" s="311" t="n">
        <v>0.49</v>
      </c>
      <c r="I744" s="308" t="inlineStr">
        <is>
          <t>Low</t>
        </is>
      </c>
      <c r="J744" s="308" t="inlineStr">
        <is>
          <t>title-block/right</t>
        </is>
      </c>
      <c r="K744" s="308" t="inlineStr">
        <is>
          <t>standalone:asset</t>
        </is>
      </c>
      <c r="L744" s="308" t="inlineStr">
        <is>
          <t>title-block penalty; process page; mapped sheet</t>
        </is>
      </c>
      <c r="M744" s="308" t="inlineStr">
        <is>
          <t>RL7-CRK-102</t>
        </is>
      </c>
      <c r="N744" s="308" t="inlineStr">
        <is>
          <t>native</t>
        </is>
      </c>
      <c r="O744" s="308" t="inlineStr">
        <is>
          <t>native-only</t>
        </is>
      </c>
      <c r="P744" s="308" t="inlineStr">
        <is>
          <t>native</t>
        </is>
      </c>
      <c r="Q744" s="308" t="inlineStr"/>
      <c r="R744" s="308" t="inlineStr">
        <is>
          <t>native text sufficient</t>
        </is>
      </c>
      <c r="S744" s="308" t="inlineStr"/>
      <c r="T744" s="308" t="inlineStr">
        <is>
          <t>p26:native:21</t>
        </is>
      </c>
      <c r="U744" s="308" t="n">
        <v>1</v>
      </c>
    </row>
    <row r="745">
      <c r="A745" s="308" t="inlineStr">
        <is>
          <t>Missing in Excel</t>
        </is>
      </c>
      <c r="B745" s="308" t="inlineStr">
        <is>
          <t>DG7606</t>
        </is>
      </c>
      <c r="C745" s="308" t="n">
        <v>27</v>
      </c>
      <c r="D745" s="308" t="inlineStr">
        <is>
          <t>RL7-ASP-101</t>
        </is>
      </c>
      <c r="E745" s="308" t="inlineStr">
        <is>
          <t>RL7-ASP-101</t>
        </is>
      </c>
      <c r="F745" s="308" t="inlineStr"/>
      <c r="G745" s="308" t="inlineStr">
        <is>
          <t>equipment</t>
        </is>
      </c>
      <c r="H745" s="311" t="n">
        <v>0.77</v>
      </c>
      <c r="I745" s="308" t="inlineStr">
        <is>
          <t>Medium</t>
        </is>
      </c>
      <c r="J745" s="308" t="inlineStr">
        <is>
          <t>drawing</t>
        </is>
      </c>
      <c r="K745" s="308" t="inlineStr">
        <is>
          <t>standalone:asset</t>
        </is>
      </c>
      <c r="L745" s="308" t="inlineStr">
        <is>
          <t>drawing zone; process page; mapped sheet</t>
        </is>
      </c>
      <c r="M745" s="308" t="inlineStr">
        <is>
          <t>RL7-ASP-101</t>
        </is>
      </c>
      <c r="N745" s="308" t="inlineStr">
        <is>
          <t>native</t>
        </is>
      </c>
      <c r="O745" s="308" t="inlineStr">
        <is>
          <t>native-only</t>
        </is>
      </c>
      <c r="P745" s="308" t="inlineStr">
        <is>
          <t>native</t>
        </is>
      </c>
      <c r="Q745" s="308" t="inlineStr"/>
      <c r="R745" s="308" t="inlineStr">
        <is>
          <t>native text sufficient</t>
        </is>
      </c>
      <c r="S745" s="308" t="inlineStr"/>
      <c r="T745" s="308" t="inlineStr">
        <is>
          <t>p27:native:275</t>
        </is>
      </c>
      <c r="U745" s="308" t="n">
        <v>1</v>
      </c>
    </row>
    <row r="746">
      <c r="A746" s="308" t="inlineStr">
        <is>
          <t>Missing in Excel</t>
        </is>
      </c>
      <c r="B746" s="308" t="inlineStr">
        <is>
          <t>DG7606</t>
        </is>
      </c>
      <c r="C746" s="308" t="n">
        <v>27</v>
      </c>
      <c r="D746" s="308" t="inlineStr">
        <is>
          <t>RL7-CKR-101</t>
        </is>
      </c>
      <c r="E746" s="308" t="inlineStr">
        <is>
          <t>RL7-CKR-101</t>
        </is>
      </c>
      <c r="F746" s="308" t="inlineStr"/>
      <c r="G746" s="308" t="inlineStr">
        <is>
          <t>equipment</t>
        </is>
      </c>
      <c r="H746" s="311" t="n">
        <v>0.77</v>
      </c>
      <c r="I746" s="308" t="inlineStr">
        <is>
          <t>Medium</t>
        </is>
      </c>
      <c r="J746" s="308" t="inlineStr">
        <is>
          <t>drawing</t>
        </is>
      </c>
      <c r="K746" s="308" t="inlineStr">
        <is>
          <t>standalone:asset</t>
        </is>
      </c>
      <c r="L746" s="308" t="inlineStr">
        <is>
          <t>drawing zone; process page; mapped sheet</t>
        </is>
      </c>
      <c r="M746" s="308" t="inlineStr">
        <is>
          <t>RL7-CKR-101</t>
        </is>
      </c>
      <c r="N746" s="308" t="inlineStr">
        <is>
          <t>native</t>
        </is>
      </c>
      <c r="O746" s="308" t="inlineStr">
        <is>
          <t>native-only</t>
        </is>
      </c>
      <c r="P746" s="308" t="inlineStr">
        <is>
          <t>native</t>
        </is>
      </c>
      <c r="Q746" s="308" t="inlineStr"/>
      <c r="R746" s="308" t="inlineStr">
        <is>
          <t>native text sufficient</t>
        </is>
      </c>
      <c r="S746" s="308" t="inlineStr"/>
      <c r="T746" s="308" t="inlineStr">
        <is>
          <t>p27:native:355</t>
        </is>
      </c>
      <c r="U746" s="308" t="n">
        <v>1</v>
      </c>
    </row>
    <row r="747">
      <c r="A747" s="308" t="inlineStr">
        <is>
          <t>Missing in Excel</t>
        </is>
      </c>
      <c r="B747" s="308" t="inlineStr">
        <is>
          <t>DG7606</t>
        </is>
      </c>
      <c r="C747" s="308" t="n">
        <v>27</v>
      </c>
      <c r="D747" s="308" t="inlineStr">
        <is>
          <t>RL7-CKR-102</t>
        </is>
      </c>
      <c r="E747" s="308" t="inlineStr">
        <is>
          <t>RL7-CKR-102</t>
        </is>
      </c>
      <c r="F747" s="308" t="inlineStr"/>
      <c r="G747" s="308" t="inlineStr">
        <is>
          <t>equipment</t>
        </is>
      </c>
      <c r="H747" s="311" t="n">
        <v>0.77</v>
      </c>
      <c r="I747" s="308" t="inlineStr">
        <is>
          <t>Medium</t>
        </is>
      </c>
      <c r="J747" s="308" t="inlineStr">
        <is>
          <t>drawing</t>
        </is>
      </c>
      <c r="K747" s="308" t="inlineStr">
        <is>
          <t>standalone:asset</t>
        </is>
      </c>
      <c r="L747" s="308" t="inlineStr">
        <is>
          <t>drawing zone; process page; mapped sheet</t>
        </is>
      </c>
      <c r="M747" s="308" t="inlineStr">
        <is>
          <t>RL7-CKR-102</t>
        </is>
      </c>
      <c r="N747" s="308" t="inlineStr">
        <is>
          <t>native</t>
        </is>
      </c>
      <c r="O747" s="308" t="inlineStr">
        <is>
          <t>native-only</t>
        </is>
      </c>
      <c r="P747" s="308" t="inlineStr">
        <is>
          <t>native</t>
        </is>
      </c>
      <c r="Q747" s="308" t="inlineStr"/>
      <c r="R747" s="308" t="inlineStr">
        <is>
          <t>native text sufficient</t>
        </is>
      </c>
      <c r="S747" s="308" t="inlineStr"/>
      <c r="T747" s="308" t="inlineStr">
        <is>
          <t>p27:native:398</t>
        </is>
      </c>
      <c r="U747" s="308" t="n">
        <v>1</v>
      </c>
    </row>
    <row r="748">
      <c r="A748" s="308" t="inlineStr">
        <is>
          <t>Missing in Excel</t>
        </is>
      </c>
      <c r="B748" s="308" t="inlineStr">
        <is>
          <t>DG7606</t>
        </is>
      </c>
      <c r="C748" s="308" t="n">
        <v>27</v>
      </c>
      <c r="D748" s="308" t="inlineStr">
        <is>
          <t>RL7-HTX-101</t>
        </is>
      </c>
      <c r="E748" s="308" t="inlineStr">
        <is>
          <t>RL7-HTX-101</t>
        </is>
      </c>
      <c r="F748" s="308" t="inlineStr"/>
      <c r="G748" s="308" t="inlineStr">
        <is>
          <t>equipment</t>
        </is>
      </c>
      <c r="H748" s="311" t="n">
        <v>0.77</v>
      </c>
      <c r="I748" s="308" t="inlineStr">
        <is>
          <t>Medium</t>
        </is>
      </c>
      <c r="J748" s="308" t="inlineStr">
        <is>
          <t>drawing</t>
        </is>
      </c>
      <c r="K748" s="308" t="inlineStr">
        <is>
          <t>standalone:asset</t>
        </is>
      </c>
      <c r="L748" s="308" t="inlineStr">
        <is>
          <t>drawing zone; process page; mapped sheet</t>
        </is>
      </c>
      <c r="M748" s="308" t="inlineStr">
        <is>
          <t>RL7-HTX-101</t>
        </is>
      </c>
      <c r="N748" s="308" t="inlineStr">
        <is>
          <t>native</t>
        </is>
      </c>
      <c r="O748" s="308" t="inlineStr">
        <is>
          <t>native-only</t>
        </is>
      </c>
      <c r="P748" s="308" t="inlineStr">
        <is>
          <t>native</t>
        </is>
      </c>
      <c r="Q748" s="308" t="inlineStr"/>
      <c r="R748" s="308" t="inlineStr">
        <is>
          <t>native text sufficient</t>
        </is>
      </c>
      <c r="S748" s="308" t="inlineStr"/>
      <c r="T748" s="308" t="inlineStr">
        <is>
          <t>p27:native:159</t>
        </is>
      </c>
      <c r="U748" s="308" t="n">
        <v>1</v>
      </c>
    </row>
    <row r="749">
      <c r="A749" s="308" t="inlineStr">
        <is>
          <t>Missing in Excel</t>
        </is>
      </c>
      <c r="B749" s="308" t="inlineStr">
        <is>
          <t>DG7606</t>
        </is>
      </c>
      <c r="C749" s="308" t="n">
        <v>27</v>
      </c>
      <c r="D749" s="308" t="inlineStr">
        <is>
          <t>RL7-PMP-108</t>
        </is>
      </c>
      <c r="E749" s="308" t="inlineStr">
        <is>
          <t>RL7-PMP-108</t>
        </is>
      </c>
      <c r="F749" s="308" t="inlineStr"/>
      <c r="G749" s="308" t="inlineStr">
        <is>
          <t>equipment</t>
        </is>
      </c>
      <c r="H749" s="311" t="n">
        <v>0.77</v>
      </c>
      <c r="I749" s="308" t="inlineStr">
        <is>
          <t>Medium</t>
        </is>
      </c>
      <c r="J749" s="308" t="inlineStr">
        <is>
          <t>drawing</t>
        </is>
      </c>
      <c r="K749" s="308" t="inlineStr">
        <is>
          <t>standalone:asset</t>
        </is>
      </c>
      <c r="L749" s="308" t="inlineStr">
        <is>
          <t>drawing zone; process page; mapped sheet</t>
        </is>
      </c>
      <c r="M749" s="308" t="inlineStr">
        <is>
          <t>RL7-PMP-108</t>
        </is>
      </c>
      <c r="N749" s="308" t="inlineStr">
        <is>
          <t>native</t>
        </is>
      </c>
      <c r="O749" s="308" t="inlineStr">
        <is>
          <t>native-only</t>
        </is>
      </c>
      <c r="P749" s="308" t="inlineStr">
        <is>
          <t>native</t>
        </is>
      </c>
      <c r="Q749" s="308" t="inlineStr"/>
      <c r="R749" s="308" t="inlineStr">
        <is>
          <t>native text sufficient</t>
        </is>
      </c>
      <c r="S749" s="308" t="inlineStr"/>
      <c r="T749" s="308" t="inlineStr">
        <is>
          <t>p27:native:277</t>
        </is>
      </c>
      <c r="U749" s="308" t="n">
        <v>1</v>
      </c>
    </row>
    <row r="750">
      <c r="A750" s="308" t="inlineStr">
        <is>
          <t>Missing in Excel</t>
        </is>
      </c>
      <c r="B750" s="308" t="inlineStr">
        <is>
          <t>DG7606</t>
        </is>
      </c>
      <c r="C750" s="308" t="n">
        <v>27</v>
      </c>
      <c r="D750" s="308" t="inlineStr">
        <is>
          <t>RL7-PMP-109</t>
        </is>
      </c>
      <c r="E750" s="308" t="inlineStr">
        <is>
          <t>RL7-PMP-109</t>
        </is>
      </c>
      <c r="F750" s="308" t="inlineStr"/>
      <c r="G750" s="308" t="inlineStr">
        <is>
          <t>equipment</t>
        </is>
      </c>
      <c r="H750" s="311" t="n">
        <v>0.77</v>
      </c>
      <c r="I750" s="308" t="inlineStr">
        <is>
          <t>Medium</t>
        </is>
      </c>
      <c r="J750" s="308" t="inlineStr">
        <is>
          <t>drawing</t>
        </is>
      </c>
      <c r="K750" s="308" t="inlineStr">
        <is>
          <t>standalone:asset</t>
        </is>
      </c>
      <c r="L750" s="308" t="inlineStr">
        <is>
          <t>drawing zone; process page; mapped sheet</t>
        </is>
      </c>
      <c r="M750" s="308" t="inlineStr">
        <is>
          <t>RL7-PMP-109</t>
        </is>
      </c>
      <c r="N750" s="308" t="inlineStr">
        <is>
          <t>native</t>
        </is>
      </c>
      <c r="O750" s="308" t="inlineStr">
        <is>
          <t>native-only</t>
        </is>
      </c>
      <c r="P750" s="308" t="inlineStr">
        <is>
          <t>native</t>
        </is>
      </c>
      <c r="Q750" s="308" t="inlineStr"/>
      <c r="R750" s="308" t="inlineStr">
        <is>
          <t>native text sufficient</t>
        </is>
      </c>
      <c r="S750" s="308" t="inlineStr"/>
      <c r="T750" s="308" t="inlineStr">
        <is>
          <t>p27:native:279</t>
        </is>
      </c>
      <c r="U750" s="308" t="n">
        <v>1</v>
      </c>
    </row>
    <row r="751">
      <c r="A751" s="308" t="inlineStr">
        <is>
          <t>Missing in Excel</t>
        </is>
      </c>
      <c r="B751" s="308" t="inlineStr">
        <is>
          <t>DG7606</t>
        </is>
      </c>
      <c r="C751" s="308" t="n">
        <v>27</v>
      </c>
      <c r="D751" s="308" t="inlineStr">
        <is>
          <t>RL7-TNK-102</t>
        </is>
      </c>
      <c r="E751" s="308" t="inlineStr">
        <is>
          <t>RL7-TNK-102</t>
        </is>
      </c>
      <c r="F751" s="308" t="inlineStr"/>
      <c r="G751" s="308" t="inlineStr">
        <is>
          <t>equipment</t>
        </is>
      </c>
      <c r="H751" s="311" t="n">
        <v>0.77</v>
      </c>
      <c r="I751" s="308" t="inlineStr">
        <is>
          <t>Medium</t>
        </is>
      </c>
      <c r="J751" s="308" t="inlineStr">
        <is>
          <t>drawing</t>
        </is>
      </c>
      <c r="K751" s="308" t="inlineStr">
        <is>
          <t>standalone:asset</t>
        </is>
      </c>
      <c r="L751" s="308" t="inlineStr">
        <is>
          <t>drawing zone; process page; mapped sheet</t>
        </is>
      </c>
      <c r="M751" s="308" t="inlineStr">
        <is>
          <t>RL7-TNK-102</t>
        </is>
      </c>
      <c r="N751" s="308" t="inlineStr">
        <is>
          <t>native</t>
        </is>
      </c>
      <c r="O751" s="308" t="inlineStr">
        <is>
          <t>native-only</t>
        </is>
      </c>
      <c r="P751" s="308" t="inlineStr">
        <is>
          <t>native</t>
        </is>
      </c>
      <c r="Q751" s="308" t="inlineStr"/>
      <c r="R751" s="308" t="inlineStr">
        <is>
          <t>native text sufficient</t>
        </is>
      </c>
      <c r="S751" s="308" t="inlineStr"/>
      <c r="T751" s="308" t="inlineStr">
        <is>
          <t>p27:native:6</t>
        </is>
      </c>
      <c r="U751" s="308" t="n">
        <v>1</v>
      </c>
    </row>
    <row r="752">
      <c r="A752" s="308" t="inlineStr">
        <is>
          <t>Missing in Excel</t>
        </is>
      </c>
      <c r="B752" s="308" t="inlineStr">
        <is>
          <t>DG7606</t>
        </is>
      </c>
      <c r="C752" s="308" t="n">
        <v>27</v>
      </c>
      <c r="D752" s="308" t="inlineStr">
        <is>
          <t>RL7-TNK-103</t>
        </is>
      </c>
      <c r="E752" s="308" t="inlineStr">
        <is>
          <t>RL7-TNK-103</t>
        </is>
      </c>
      <c r="F752" s="308" t="inlineStr"/>
      <c r="G752" s="308" t="inlineStr">
        <is>
          <t>equipment</t>
        </is>
      </c>
      <c r="H752" s="311" t="n">
        <v>0.77</v>
      </c>
      <c r="I752" s="308" t="inlineStr">
        <is>
          <t>Medium</t>
        </is>
      </c>
      <c r="J752" s="308" t="inlineStr">
        <is>
          <t>drawing</t>
        </is>
      </c>
      <c r="K752" s="308" t="inlineStr">
        <is>
          <t>standalone:asset</t>
        </is>
      </c>
      <c r="L752" s="308" t="inlineStr">
        <is>
          <t>drawing zone; process page; mapped sheet</t>
        </is>
      </c>
      <c r="M752" s="308" t="inlineStr">
        <is>
          <t>RL7-TNK-103</t>
        </is>
      </c>
      <c r="N752" s="308" t="inlineStr">
        <is>
          <t>native</t>
        </is>
      </c>
      <c r="O752" s="308" t="inlineStr">
        <is>
          <t>native-only</t>
        </is>
      </c>
      <c r="P752" s="308" t="inlineStr">
        <is>
          <t>native</t>
        </is>
      </c>
      <c r="Q752" s="308" t="inlineStr"/>
      <c r="R752" s="308" t="inlineStr">
        <is>
          <t>native text sufficient</t>
        </is>
      </c>
      <c r="S752" s="308" t="inlineStr"/>
      <c r="T752" s="308" t="inlineStr">
        <is>
          <t>p27:native:273</t>
        </is>
      </c>
      <c r="U752" s="308" t="n">
        <v>1</v>
      </c>
    </row>
    <row r="753">
      <c r="A753" s="308" t="inlineStr">
        <is>
          <t>Missing in Excel</t>
        </is>
      </c>
      <c r="B753" s="308" t="inlineStr">
        <is>
          <t>DG7606</t>
        </is>
      </c>
      <c r="C753" s="308" t="n">
        <v>27</v>
      </c>
      <c r="D753" s="308" t="inlineStr">
        <is>
          <t>RL7-TNK-104</t>
        </is>
      </c>
      <c r="E753" s="308" t="inlineStr">
        <is>
          <t>RL7-TNK-104</t>
        </is>
      </c>
      <c r="F753" s="308" t="inlineStr"/>
      <c r="G753" s="308" t="inlineStr">
        <is>
          <t>equipment</t>
        </is>
      </c>
      <c r="H753" s="311" t="n">
        <v>0.77</v>
      </c>
      <c r="I753" s="308" t="inlineStr">
        <is>
          <t>Medium</t>
        </is>
      </c>
      <c r="J753" s="308" t="inlineStr">
        <is>
          <t>drawing</t>
        </is>
      </c>
      <c r="K753" s="308" t="inlineStr">
        <is>
          <t>standalone:asset</t>
        </is>
      </c>
      <c r="L753" s="308" t="inlineStr">
        <is>
          <t>drawing zone; process page; mapped sheet</t>
        </is>
      </c>
      <c r="M753" s="308" t="inlineStr">
        <is>
          <t>RL7-TNK-104</t>
        </is>
      </c>
      <c r="N753" s="308" t="inlineStr">
        <is>
          <t>native</t>
        </is>
      </c>
      <c r="O753" s="308" t="inlineStr">
        <is>
          <t>native-only</t>
        </is>
      </c>
      <c r="P753" s="308" t="inlineStr">
        <is>
          <t>native</t>
        </is>
      </c>
      <c r="Q753" s="308" t="inlineStr"/>
      <c r="R753" s="308" t="inlineStr">
        <is>
          <t>native text sufficient</t>
        </is>
      </c>
      <c r="S753" s="308" t="inlineStr"/>
      <c r="T753" s="308" t="inlineStr">
        <is>
          <t>p27:native:271</t>
        </is>
      </c>
      <c r="U753" s="308" t="n">
        <v>1</v>
      </c>
    </row>
    <row r="754">
      <c r="A754" s="308" t="inlineStr">
        <is>
          <t>Missing in Excel</t>
        </is>
      </c>
      <c r="B754" s="308" t="inlineStr">
        <is>
          <t>DG7606</t>
        </is>
      </c>
      <c r="C754" s="308" t="n">
        <v>27</v>
      </c>
      <c r="D754" s="308" t="inlineStr">
        <is>
          <t>RL7-AGC-201-FE01</t>
        </is>
      </c>
      <c r="E754" s="308" t="inlineStr">
        <is>
          <t>RL7-AGC-201</t>
        </is>
      </c>
      <c r="F754" s="308" t="inlineStr">
        <is>
          <t>FE01</t>
        </is>
      </c>
      <c r="G754" s="308" t="inlineStr">
        <is>
          <t>instrument</t>
        </is>
      </c>
      <c r="H754" s="311" t="n">
        <v>0.99</v>
      </c>
      <c r="I754" s="308" t="inlineStr">
        <is>
          <t>High</t>
        </is>
      </c>
      <c r="J754" s="308" t="inlineStr">
        <is>
          <t>drawing</t>
        </is>
      </c>
      <c r="K754" s="308" t="inlineStr">
        <is>
          <t>stacked:isa</t>
        </is>
      </c>
      <c r="L754" s="308" t="inlineStr">
        <is>
          <t>drawing zone; process page; mapped sheet</t>
        </is>
      </c>
      <c r="M754" s="308" t="inlineStr">
        <is>
          <t>RL7-AGC-201 / FE-01</t>
        </is>
      </c>
      <c r="N754" s="308" t="inlineStr">
        <is>
          <t>native</t>
        </is>
      </c>
      <c r="O754" s="308" t="inlineStr">
        <is>
          <t>native-only</t>
        </is>
      </c>
      <c r="P754" s="308" t="inlineStr">
        <is>
          <t>native</t>
        </is>
      </c>
      <c r="Q754" s="308" t="inlineStr"/>
      <c r="R754" s="308" t="inlineStr">
        <is>
          <t>native text sufficient</t>
        </is>
      </c>
      <c r="S754" s="308" t="inlineStr"/>
      <c r="T754" s="308" t="inlineStr">
        <is>
          <t>p27:native:419, p27:native:420</t>
        </is>
      </c>
      <c r="U754" s="308" t="n">
        <v>2</v>
      </c>
    </row>
    <row r="755">
      <c r="A755" s="308" t="inlineStr">
        <is>
          <t>Missing in Excel</t>
        </is>
      </c>
      <c r="B755" s="308" t="inlineStr">
        <is>
          <t>DG7606</t>
        </is>
      </c>
      <c r="C755" s="308" t="n">
        <v>27</v>
      </c>
      <c r="D755" s="308" t="inlineStr">
        <is>
          <t>RL7-AGC-201-TE03</t>
        </is>
      </c>
      <c r="E755" s="308" t="inlineStr">
        <is>
          <t>RL7-AGC-201</t>
        </is>
      </c>
      <c r="F755" s="308" t="inlineStr">
        <is>
          <t>TE03</t>
        </is>
      </c>
      <c r="G755" s="308" t="inlineStr">
        <is>
          <t>instrument</t>
        </is>
      </c>
      <c r="H755" s="311" t="n">
        <v>0.99</v>
      </c>
      <c r="I755" s="308" t="inlineStr">
        <is>
          <t>High</t>
        </is>
      </c>
      <c r="J755" s="308" t="inlineStr">
        <is>
          <t>drawing</t>
        </is>
      </c>
      <c r="K755" s="308" t="inlineStr">
        <is>
          <t>stacked:isa</t>
        </is>
      </c>
      <c r="L755" s="308" t="inlineStr">
        <is>
          <t>drawing zone; process page; mapped sheet</t>
        </is>
      </c>
      <c r="M755" s="308" t="inlineStr">
        <is>
          <t>RL7-AGC-201 / TE-03</t>
        </is>
      </c>
      <c r="N755" s="308" t="inlineStr">
        <is>
          <t>native</t>
        </is>
      </c>
      <c r="O755" s="308" t="inlineStr">
        <is>
          <t>native-only</t>
        </is>
      </c>
      <c r="P755" s="308" t="inlineStr">
        <is>
          <t>native</t>
        </is>
      </c>
      <c r="Q755" s="308" t="inlineStr"/>
      <c r="R755" s="308" t="inlineStr">
        <is>
          <t>native text sufficient</t>
        </is>
      </c>
      <c r="S755" s="308" t="inlineStr"/>
      <c r="T755" s="308" t="inlineStr">
        <is>
          <t>p27:native:491, p27:native:492</t>
        </is>
      </c>
      <c r="U755" s="308" t="n">
        <v>2</v>
      </c>
    </row>
    <row r="756">
      <c r="A756" s="308" t="inlineStr">
        <is>
          <t>Missing in Excel</t>
        </is>
      </c>
      <c r="B756" s="308" t="inlineStr">
        <is>
          <t>DG7606</t>
        </is>
      </c>
      <c r="C756" s="308" t="n">
        <v>27</v>
      </c>
      <c r="D756" s="308" t="inlineStr">
        <is>
          <t>RL7-CKR-101-FE01</t>
        </is>
      </c>
      <c r="E756" s="308" t="inlineStr">
        <is>
          <t>RL7-CKR-101</t>
        </is>
      </c>
      <c r="F756" s="308" t="inlineStr">
        <is>
          <t>FE01</t>
        </is>
      </c>
      <c r="G756" s="308" t="inlineStr">
        <is>
          <t>instrument</t>
        </is>
      </c>
      <c r="H756" s="311" t="n">
        <v>0.99</v>
      </c>
      <c r="I756" s="308" t="inlineStr">
        <is>
          <t>High</t>
        </is>
      </c>
      <c r="J756" s="308" t="inlineStr">
        <is>
          <t>drawing</t>
        </is>
      </c>
      <c r="K756" s="308" t="inlineStr">
        <is>
          <t>stacked:isa</t>
        </is>
      </c>
      <c r="L756" s="308" t="inlineStr">
        <is>
          <t>drawing zone; process page; mapped sheet</t>
        </is>
      </c>
      <c r="M756" s="308" t="inlineStr">
        <is>
          <t>RL7-CKR-101 / FE-01</t>
        </is>
      </c>
      <c r="N756" s="308" t="inlineStr">
        <is>
          <t>native</t>
        </is>
      </c>
      <c r="O756" s="308" t="inlineStr">
        <is>
          <t>native-only</t>
        </is>
      </c>
      <c r="P756" s="308" t="inlineStr">
        <is>
          <t>native</t>
        </is>
      </c>
      <c r="Q756" s="308" t="inlineStr"/>
      <c r="R756" s="308" t="inlineStr">
        <is>
          <t>native text sufficient</t>
        </is>
      </c>
      <c r="S756" s="308" t="inlineStr"/>
      <c r="T756" s="308" t="inlineStr">
        <is>
          <t>p27:native:357, p27:native:358</t>
        </is>
      </c>
      <c r="U756" s="308" t="n">
        <v>2</v>
      </c>
    </row>
    <row r="757">
      <c r="A757" s="308" t="inlineStr">
        <is>
          <t>Missing in Excel</t>
        </is>
      </c>
      <c r="B757" s="308" t="inlineStr">
        <is>
          <t>DG7606</t>
        </is>
      </c>
      <c r="C757" s="308" t="n">
        <v>27</v>
      </c>
      <c r="D757" s="308" t="inlineStr">
        <is>
          <t>RL7-CKR-101-TE03</t>
        </is>
      </c>
      <c r="E757" s="308" t="inlineStr">
        <is>
          <t>RL7-CKR-101</t>
        </is>
      </c>
      <c r="F757" s="308" t="inlineStr">
        <is>
          <t>TE03</t>
        </is>
      </c>
      <c r="G757" s="308" t="inlineStr">
        <is>
          <t>instrument</t>
        </is>
      </c>
      <c r="H757" s="311" t="n">
        <v>0.99</v>
      </c>
      <c r="I757" s="308" t="inlineStr">
        <is>
          <t>High</t>
        </is>
      </c>
      <c r="J757" s="308" t="inlineStr">
        <is>
          <t>drawing</t>
        </is>
      </c>
      <c r="K757" s="308" t="inlineStr">
        <is>
          <t>stacked:isa</t>
        </is>
      </c>
      <c r="L757" s="308" t="inlineStr">
        <is>
          <t>drawing zone; process page; mapped sheet</t>
        </is>
      </c>
      <c r="M757" s="308" t="inlineStr">
        <is>
          <t>RL7-CKR-101 / TE-03</t>
        </is>
      </c>
      <c r="N757" s="308" t="inlineStr">
        <is>
          <t>native</t>
        </is>
      </c>
      <c r="O757" s="308" t="inlineStr">
        <is>
          <t>native-only</t>
        </is>
      </c>
      <c r="P757" s="308" t="inlineStr">
        <is>
          <t>native</t>
        </is>
      </c>
      <c r="Q757" s="308" t="inlineStr"/>
      <c r="R757" s="308" t="inlineStr">
        <is>
          <t>native text sufficient</t>
        </is>
      </c>
      <c r="S757" s="308" t="inlineStr"/>
      <c r="T757" s="308" t="inlineStr">
        <is>
          <t>p27:native:371, p27:native:372</t>
        </is>
      </c>
      <c r="U757" s="308" t="n">
        <v>2</v>
      </c>
    </row>
    <row r="758">
      <c r="A758" s="308" t="inlineStr">
        <is>
          <t>Missing in Excel</t>
        </is>
      </c>
      <c r="B758" s="308" t="inlineStr">
        <is>
          <t>DG7606</t>
        </is>
      </c>
      <c r="C758" s="308" t="n">
        <v>27</v>
      </c>
      <c r="D758" s="308" t="inlineStr">
        <is>
          <t>RL7-CKR-101-XV27</t>
        </is>
      </c>
      <c r="E758" s="308" t="inlineStr">
        <is>
          <t>RL7-CKR-101</t>
        </is>
      </c>
      <c r="F758" s="308" t="inlineStr">
        <is>
          <t>XV27</t>
        </is>
      </c>
      <c r="G758" s="308" t="inlineStr">
        <is>
          <t>instrument</t>
        </is>
      </c>
      <c r="H758" s="311" t="n">
        <v>0.99</v>
      </c>
      <c r="I758" s="308" t="inlineStr">
        <is>
          <t>High</t>
        </is>
      </c>
      <c r="J758" s="308" t="inlineStr">
        <is>
          <t>drawing</t>
        </is>
      </c>
      <c r="K758" s="308" t="inlineStr">
        <is>
          <t>stacked:isa</t>
        </is>
      </c>
      <c r="L758" s="308" t="inlineStr">
        <is>
          <t>drawing zone; process page; mapped sheet</t>
        </is>
      </c>
      <c r="M758" s="308" t="inlineStr">
        <is>
          <t>RL7-CKR-101 / XV-27</t>
        </is>
      </c>
      <c r="N758" s="308" t="inlineStr">
        <is>
          <t>native</t>
        </is>
      </c>
      <c r="O758" s="308" t="inlineStr">
        <is>
          <t>native-only</t>
        </is>
      </c>
      <c r="P758" s="308" t="inlineStr">
        <is>
          <t>native</t>
        </is>
      </c>
      <c r="Q758" s="308" t="inlineStr"/>
      <c r="R758" s="308" t="inlineStr">
        <is>
          <t>native text sufficient</t>
        </is>
      </c>
      <c r="S758" s="308" t="inlineStr"/>
      <c r="T758" s="308" t="inlineStr">
        <is>
          <t>p27:native:355, p27:native:356</t>
        </is>
      </c>
      <c r="U758" s="308" t="n">
        <v>2</v>
      </c>
    </row>
    <row r="759">
      <c r="A759" s="308" t="inlineStr">
        <is>
          <t>Missing in Excel</t>
        </is>
      </c>
      <c r="B759" s="308" t="inlineStr">
        <is>
          <t>DG7606</t>
        </is>
      </c>
      <c r="C759" s="308" t="n">
        <v>27</v>
      </c>
      <c r="D759" s="308" t="inlineStr">
        <is>
          <t>RL7-CKR-102-FE01</t>
        </is>
      </c>
      <c r="E759" s="308" t="inlineStr">
        <is>
          <t>RL7-CKR-102</t>
        </is>
      </c>
      <c r="F759" s="308" t="inlineStr">
        <is>
          <t>FE01</t>
        </is>
      </c>
      <c r="G759" s="308" t="inlineStr">
        <is>
          <t>instrument</t>
        </is>
      </c>
      <c r="H759" s="311" t="n">
        <v>0.99</v>
      </c>
      <c r="I759" s="308" t="inlineStr">
        <is>
          <t>High</t>
        </is>
      </c>
      <c r="J759" s="308" t="inlineStr">
        <is>
          <t>drawing</t>
        </is>
      </c>
      <c r="K759" s="308" t="inlineStr">
        <is>
          <t>stacked:isa</t>
        </is>
      </c>
      <c r="L759" s="308" t="inlineStr">
        <is>
          <t>drawing zone; process page; mapped sheet</t>
        </is>
      </c>
      <c r="M759" s="308" t="inlineStr">
        <is>
          <t>RL7-CKR-102 / FE-01</t>
        </is>
      </c>
      <c r="N759" s="308" t="inlineStr">
        <is>
          <t>native</t>
        </is>
      </c>
      <c r="O759" s="308" t="inlineStr">
        <is>
          <t>native-only</t>
        </is>
      </c>
      <c r="P759" s="308" t="inlineStr">
        <is>
          <t>native</t>
        </is>
      </c>
      <c r="Q759" s="308" t="inlineStr"/>
      <c r="R759" s="308" t="inlineStr">
        <is>
          <t>native text sufficient</t>
        </is>
      </c>
      <c r="S759" s="308" t="inlineStr"/>
      <c r="T759" s="308" t="inlineStr">
        <is>
          <t>p27:native:400, p27:native:401</t>
        </is>
      </c>
      <c r="U759" s="308" t="n">
        <v>2</v>
      </c>
    </row>
    <row r="760">
      <c r="A760" s="308" t="inlineStr">
        <is>
          <t>Missing in Excel</t>
        </is>
      </c>
      <c r="B760" s="308" t="inlineStr">
        <is>
          <t>DG7606</t>
        </is>
      </c>
      <c r="C760" s="308" t="n">
        <v>27</v>
      </c>
      <c r="D760" s="308" t="inlineStr">
        <is>
          <t>RL7-CKR-102-TCV01</t>
        </is>
      </c>
      <c r="E760" s="308" t="inlineStr">
        <is>
          <t>RL7-CKR-102</t>
        </is>
      </c>
      <c r="F760" s="308" t="inlineStr">
        <is>
          <t>TCV01</t>
        </is>
      </c>
      <c r="G760" s="308" t="inlineStr">
        <is>
          <t>instrument</t>
        </is>
      </c>
      <c r="H760" s="311" t="n">
        <v>0.99</v>
      </c>
      <c r="I760" s="308" t="inlineStr">
        <is>
          <t>High</t>
        </is>
      </c>
      <c r="J760" s="308" t="inlineStr">
        <is>
          <t>drawing</t>
        </is>
      </c>
      <c r="K760" s="308" t="inlineStr">
        <is>
          <t>stacked:isa</t>
        </is>
      </c>
      <c r="L760" s="308" t="inlineStr">
        <is>
          <t>drawing zone; process page; mapped sheet</t>
        </is>
      </c>
      <c r="M760" s="308" t="inlineStr">
        <is>
          <t>RL7-CKR-102 / TCV-01</t>
        </is>
      </c>
      <c r="N760" s="308" t="inlineStr">
        <is>
          <t>native</t>
        </is>
      </c>
      <c r="O760" s="308" t="inlineStr">
        <is>
          <t>native-only</t>
        </is>
      </c>
      <c r="P760" s="308" t="inlineStr">
        <is>
          <t>native</t>
        </is>
      </c>
      <c r="Q760" s="308" t="inlineStr"/>
      <c r="R760" s="308" t="inlineStr">
        <is>
          <t>native text sufficient</t>
        </is>
      </c>
      <c r="S760" s="308" t="inlineStr"/>
      <c r="T760" s="308" t="inlineStr">
        <is>
          <t>p27:native:474, p27:native:475</t>
        </is>
      </c>
      <c r="U760" s="308" t="n">
        <v>2</v>
      </c>
    </row>
    <row r="761">
      <c r="A761" s="308" t="inlineStr">
        <is>
          <t>Missing in Excel</t>
        </is>
      </c>
      <c r="B761" s="308" t="inlineStr">
        <is>
          <t>DG7606</t>
        </is>
      </c>
      <c r="C761" s="308" t="n">
        <v>27</v>
      </c>
      <c r="D761" s="308" t="inlineStr">
        <is>
          <t>RL7-CKR-102-TE03</t>
        </is>
      </c>
      <c r="E761" s="308" t="inlineStr">
        <is>
          <t>RL7-CKR-102</t>
        </is>
      </c>
      <c r="F761" s="308" t="inlineStr">
        <is>
          <t>TE03</t>
        </is>
      </c>
      <c r="G761" s="308" t="inlineStr">
        <is>
          <t>instrument</t>
        </is>
      </c>
      <c r="H761" s="311" t="n">
        <v>0.99</v>
      </c>
      <c r="I761" s="308" t="inlineStr">
        <is>
          <t>High</t>
        </is>
      </c>
      <c r="J761" s="308" t="inlineStr">
        <is>
          <t>drawing</t>
        </is>
      </c>
      <c r="K761" s="308" t="inlineStr">
        <is>
          <t>stacked:isa</t>
        </is>
      </c>
      <c r="L761" s="308" t="inlineStr">
        <is>
          <t>drawing zone; process page; mapped sheet</t>
        </is>
      </c>
      <c r="M761" s="308" t="inlineStr">
        <is>
          <t>RL7-CKR-102 / TE-03</t>
        </is>
      </c>
      <c r="N761" s="308" t="inlineStr">
        <is>
          <t>native</t>
        </is>
      </c>
      <c r="O761" s="308" t="inlineStr">
        <is>
          <t>native-only</t>
        </is>
      </c>
      <c r="P761" s="308" t="inlineStr">
        <is>
          <t>native</t>
        </is>
      </c>
      <c r="Q761" s="308" t="inlineStr"/>
      <c r="R761" s="308" t="inlineStr">
        <is>
          <t>native text sufficient</t>
        </is>
      </c>
      <c r="S761" s="308" t="inlineStr"/>
      <c r="T761" s="308" t="inlineStr">
        <is>
          <t>p27:native:476, p27:native:477</t>
        </is>
      </c>
      <c r="U761" s="308" t="n">
        <v>2</v>
      </c>
    </row>
    <row r="762">
      <c r="A762" s="308" t="inlineStr">
        <is>
          <t>Missing in Excel</t>
        </is>
      </c>
      <c r="B762" s="308" t="inlineStr">
        <is>
          <t>DG7606</t>
        </is>
      </c>
      <c r="C762" s="308" t="n">
        <v>27</v>
      </c>
      <c r="D762" s="308" t="inlineStr">
        <is>
          <t>RL7-HTX-101-FE01</t>
        </is>
      </c>
      <c r="E762" s="308" t="inlineStr">
        <is>
          <t>RL7-HTX-101</t>
        </is>
      </c>
      <c r="F762" s="308" t="inlineStr">
        <is>
          <t>FE01</t>
        </is>
      </c>
      <c r="G762" s="308" t="inlineStr">
        <is>
          <t>instrument</t>
        </is>
      </c>
      <c r="H762" s="311" t="n">
        <v>0.99</v>
      </c>
      <c r="I762" s="308" t="inlineStr">
        <is>
          <t>High</t>
        </is>
      </c>
      <c r="J762" s="308" t="inlineStr">
        <is>
          <t>drawing</t>
        </is>
      </c>
      <c r="K762" s="308" t="inlineStr">
        <is>
          <t>stacked:isa</t>
        </is>
      </c>
      <c r="L762" s="308" t="inlineStr">
        <is>
          <t>drawing zone; process page; mapped sheet</t>
        </is>
      </c>
      <c r="M762" s="308" t="inlineStr">
        <is>
          <t>RL7-HTX-101 / FE-01</t>
        </is>
      </c>
      <c r="N762" s="308" t="inlineStr">
        <is>
          <t>native</t>
        </is>
      </c>
      <c r="O762" s="308" t="inlineStr">
        <is>
          <t>native-only</t>
        </is>
      </c>
      <c r="P762" s="308" t="inlineStr">
        <is>
          <t>native</t>
        </is>
      </c>
      <c r="Q762" s="308" t="inlineStr"/>
      <c r="R762" s="308" t="inlineStr">
        <is>
          <t>native text sufficient</t>
        </is>
      </c>
      <c r="S762" s="308" t="inlineStr"/>
      <c r="T762" s="308" t="inlineStr">
        <is>
          <t>p27:native:203, p27:native:204</t>
        </is>
      </c>
      <c r="U762" s="308" t="n">
        <v>2</v>
      </c>
    </row>
    <row r="763">
      <c r="A763" s="308" t="inlineStr">
        <is>
          <t>Missing in Excel</t>
        </is>
      </c>
      <c r="B763" s="308" t="inlineStr">
        <is>
          <t>DG7606</t>
        </is>
      </c>
      <c r="C763" s="308" t="n">
        <v>27</v>
      </c>
      <c r="D763" s="308" t="inlineStr">
        <is>
          <t>RL7-HTX-101-TE01</t>
        </is>
      </c>
      <c r="E763" s="308" t="inlineStr">
        <is>
          <t>RL7-HTX-101</t>
        </is>
      </c>
      <c r="F763" s="308" t="inlineStr">
        <is>
          <t>TE01</t>
        </is>
      </c>
      <c r="G763" s="308" t="inlineStr">
        <is>
          <t>instrument</t>
        </is>
      </c>
      <c r="H763" s="311" t="n">
        <v>0.99</v>
      </c>
      <c r="I763" s="308" t="inlineStr">
        <is>
          <t>High</t>
        </is>
      </c>
      <c r="J763" s="308" t="inlineStr">
        <is>
          <t>drawing</t>
        </is>
      </c>
      <c r="K763" s="308" t="inlineStr">
        <is>
          <t>stacked:isa</t>
        </is>
      </c>
      <c r="L763" s="308" t="inlineStr">
        <is>
          <t>drawing zone; process page; mapped sheet</t>
        </is>
      </c>
      <c r="M763" s="308" t="inlineStr">
        <is>
          <t>RL7-HTX-101 / TE-01</t>
        </is>
      </c>
      <c r="N763" s="308" t="inlineStr">
        <is>
          <t>native</t>
        </is>
      </c>
      <c r="O763" s="308" t="inlineStr">
        <is>
          <t>native-only</t>
        </is>
      </c>
      <c r="P763" s="308" t="inlineStr">
        <is>
          <t>native</t>
        </is>
      </c>
      <c r="Q763" s="308" t="inlineStr"/>
      <c r="R763" s="308" t="inlineStr">
        <is>
          <t>native text sufficient</t>
        </is>
      </c>
      <c r="S763" s="308" t="inlineStr"/>
      <c r="T763" s="308" t="inlineStr">
        <is>
          <t>p27:native:159, p27:native:160</t>
        </is>
      </c>
      <c r="U763" s="308" t="n">
        <v>2</v>
      </c>
    </row>
    <row r="764">
      <c r="A764" s="308" t="inlineStr">
        <is>
          <t>Missing in Excel</t>
        </is>
      </c>
      <c r="B764" s="308" t="inlineStr">
        <is>
          <t>DG7606</t>
        </is>
      </c>
      <c r="C764" s="308" t="n">
        <v>27</v>
      </c>
      <c r="D764" s="308" t="inlineStr">
        <is>
          <t>RL7-TNK-102-FE01</t>
        </is>
      </c>
      <c r="E764" s="308" t="inlineStr">
        <is>
          <t>RL7-TNK-102</t>
        </is>
      </c>
      <c r="F764" s="308" t="inlineStr">
        <is>
          <t>FE01</t>
        </is>
      </c>
      <c r="G764" s="308" t="inlineStr">
        <is>
          <t>instrument</t>
        </is>
      </c>
      <c r="H764" s="311" t="n">
        <v>0.99</v>
      </c>
      <c r="I764" s="308" t="inlineStr">
        <is>
          <t>High</t>
        </is>
      </c>
      <c r="J764" s="308" t="inlineStr">
        <is>
          <t>drawing</t>
        </is>
      </c>
      <c r="K764" s="308" t="inlineStr">
        <is>
          <t>stacked:isa</t>
        </is>
      </c>
      <c r="L764" s="308" t="inlineStr">
        <is>
          <t>drawing zone; process page; mapped sheet</t>
        </is>
      </c>
      <c r="M764" s="308" t="inlineStr">
        <is>
          <t>RL7-TNK-102 / FE-01</t>
        </is>
      </c>
      <c r="N764" s="308" t="inlineStr">
        <is>
          <t>native</t>
        </is>
      </c>
      <c r="O764" s="308" t="inlineStr">
        <is>
          <t>native-only</t>
        </is>
      </c>
      <c r="P764" s="308" t="inlineStr">
        <is>
          <t>native</t>
        </is>
      </c>
      <c r="Q764" s="308" t="inlineStr"/>
      <c r="R764" s="308" t="inlineStr">
        <is>
          <t>native text sufficient</t>
        </is>
      </c>
      <c r="S764" s="308" t="inlineStr"/>
      <c r="T764" s="308" t="inlineStr">
        <is>
          <t>p27:native:6, p27:native:7</t>
        </is>
      </c>
      <c r="U764" s="308" t="n">
        <v>2</v>
      </c>
    </row>
    <row r="765">
      <c r="A765" s="308" t="inlineStr">
        <is>
          <t>Missing in Excel</t>
        </is>
      </c>
      <c r="B765" s="308" t="inlineStr">
        <is>
          <t>DG7606</t>
        </is>
      </c>
      <c r="C765" s="308" t="n">
        <v>27</v>
      </c>
      <c r="D765" s="308" t="inlineStr">
        <is>
          <t>RL7-TNK-102-LE01</t>
        </is>
      </c>
      <c r="E765" s="308" t="inlineStr">
        <is>
          <t>RL7-TNK-102</t>
        </is>
      </c>
      <c r="F765" s="308" t="inlineStr">
        <is>
          <t>LE01</t>
        </is>
      </c>
      <c r="G765" s="308" t="inlineStr">
        <is>
          <t>instrument</t>
        </is>
      </c>
      <c r="H765" s="311" t="n">
        <v>0.99</v>
      </c>
      <c r="I765" s="308" t="inlineStr">
        <is>
          <t>High</t>
        </is>
      </c>
      <c r="J765" s="308" t="inlineStr">
        <is>
          <t>drawing</t>
        </is>
      </c>
      <c r="K765" s="308" t="inlineStr">
        <is>
          <t>stacked:isa</t>
        </is>
      </c>
      <c r="L765" s="308" t="inlineStr">
        <is>
          <t>drawing zone; process page; mapped sheet</t>
        </is>
      </c>
      <c r="M765" s="308" t="inlineStr">
        <is>
          <t>RL7-TNK-102 / LE-01</t>
        </is>
      </c>
      <c r="N765" s="308" t="inlineStr">
        <is>
          <t>native</t>
        </is>
      </c>
      <c r="O765" s="308" t="inlineStr">
        <is>
          <t>native-only</t>
        </is>
      </c>
      <c r="P765" s="308" t="inlineStr">
        <is>
          <t>native</t>
        </is>
      </c>
      <c r="Q765" s="308" t="inlineStr"/>
      <c r="R765" s="308" t="inlineStr">
        <is>
          <t>native text sufficient</t>
        </is>
      </c>
      <c r="S765" s="308" t="inlineStr"/>
      <c r="T765" s="308" t="inlineStr">
        <is>
          <t>p27:native:53, p27:native:54</t>
        </is>
      </c>
      <c r="U765" s="308" t="n">
        <v>2</v>
      </c>
    </row>
    <row r="766">
      <c r="A766" s="308" t="inlineStr">
        <is>
          <t>Missing in Excel</t>
        </is>
      </c>
      <c r="B766" s="308" t="inlineStr">
        <is>
          <t>DG7606</t>
        </is>
      </c>
      <c r="C766" s="308" t="n">
        <v>27</v>
      </c>
      <c r="D766" s="308" t="inlineStr">
        <is>
          <t>RL7-TNK-102-TE01</t>
        </is>
      </c>
      <c r="E766" s="308" t="inlineStr">
        <is>
          <t>RL7-TNK-102</t>
        </is>
      </c>
      <c r="F766" s="308" t="inlineStr">
        <is>
          <t>TE01</t>
        </is>
      </c>
      <c r="G766" s="308" t="inlineStr">
        <is>
          <t>instrument</t>
        </is>
      </c>
      <c r="H766" s="311" t="n">
        <v>0.99</v>
      </c>
      <c r="I766" s="308" t="inlineStr">
        <is>
          <t>High</t>
        </is>
      </c>
      <c r="J766" s="308" t="inlineStr">
        <is>
          <t>drawing</t>
        </is>
      </c>
      <c r="K766" s="308" t="inlineStr">
        <is>
          <t>stacked:isa</t>
        </is>
      </c>
      <c r="L766" s="308" t="inlineStr">
        <is>
          <t>drawing zone; process page; mapped sheet</t>
        </is>
      </c>
      <c r="M766" s="308" t="inlineStr">
        <is>
          <t>RL7-TNK-102 / TE-01</t>
        </is>
      </c>
      <c r="N766" s="308" t="inlineStr">
        <is>
          <t>native</t>
        </is>
      </c>
      <c r="O766" s="308" t="inlineStr">
        <is>
          <t>native-only</t>
        </is>
      </c>
      <c r="P766" s="308" t="inlineStr">
        <is>
          <t>native</t>
        </is>
      </c>
      <c r="Q766" s="308" t="inlineStr"/>
      <c r="R766" s="308" t="inlineStr">
        <is>
          <t>native text sufficient</t>
        </is>
      </c>
      <c r="S766" s="308" t="inlineStr"/>
      <c r="T766" s="308" t="inlineStr">
        <is>
          <t>p27:native:57, p27:native:58</t>
        </is>
      </c>
      <c r="U766" s="308" t="n">
        <v>2</v>
      </c>
    </row>
    <row r="767">
      <c r="A767" s="308" t="inlineStr">
        <is>
          <t>Missing in Excel</t>
        </is>
      </c>
      <c r="B767" s="308" t="inlineStr">
        <is>
          <t>DG7606</t>
        </is>
      </c>
      <c r="C767" s="308" t="n">
        <v>27</v>
      </c>
      <c r="D767" s="308" t="inlineStr">
        <is>
          <t>RL7-AGC-201-HV001</t>
        </is>
      </c>
      <c r="E767" s="308" t="inlineStr">
        <is>
          <t>RL7-AGC-201</t>
        </is>
      </c>
      <c r="F767" s="308" t="inlineStr">
        <is>
          <t>HV001</t>
        </is>
      </c>
      <c r="G767" s="308" t="inlineStr">
        <is>
          <t>instrument</t>
        </is>
      </c>
      <c r="H767" s="311" t="n">
        <v>0.57</v>
      </c>
      <c r="I767" s="308" t="inlineStr">
        <is>
          <t>Low</t>
        </is>
      </c>
      <c r="J767" s="308" t="inlineStr">
        <is>
          <t>drawing</t>
        </is>
      </c>
      <c r="K767" s="308" t="inlineStr">
        <is>
          <t>inferred:bare-isa</t>
        </is>
      </c>
      <c r="L767" s="308" t="inlineStr">
        <is>
          <t>drawing zone; process page; mapped sheet</t>
        </is>
      </c>
      <c r="M767" s="308" t="inlineStr">
        <is>
          <t>RL7-AGC-201 / HV</t>
        </is>
      </c>
      <c r="N767" s="308" t="inlineStr">
        <is>
          <t>native</t>
        </is>
      </c>
      <c r="O767" s="308" t="inlineStr">
        <is>
          <t>native-only</t>
        </is>
      </c>
      <c r="P767" s="308" t="inlineStr">
        <is>
          <t>native</t>
        </is>
      </c>
      <c r="Q767" s="308" t="inlineStr"/>
      <c r="R767" s="308" t="inlineStr">
        <is>
          <t>native text sufficient</t>
        </is>
      </c>
      <c r="S767" s="308" t="inlineStr"/>
      <c r="T767" s="308" t="inlineStr">
        <is>
          <t>p27:native:417, p27:native:428</t>
        </is>
      </c>
      <c r="U767" s="308" t="n">
        <v>2</v>
      </c>
    </row>
    <row r="768">
      <c r="A768" s="308" t="inlineStr">
        <is>
          <t>Missing in Excel</t>
        </is>
      </c>
      <c r="B768" s="308" t="inlineStr">
        <is>
          <t>DG7606</t>
        </is>
      </c>
      <c r="C768" s="308" t="n">
        <v>27</v>
      </c>
      <c r="D768" s="308" t="inlineStr">
        <is>
          <t>RL7-AGC-201-HV002</t>
        </is>
      </c>
      <c r="E768" s="308" t="inlineStr">
        <is>
          <t>RL7-AGC-201</t>
        </is>
      </c>
      <c r="F768" s="308" t="inlineStr">
        <is>
          <t>HV002</t>
        </is>
      </c>
      <c r="G768" s="308" t="inlineStr">
        <is>
          <t>instrument</t>
        </is>
      </c>
      <c r="H768" s="311" t="n">
        <v>0.57</v>
      </c>
      <c r="I768" s="308" t="inlineStr">
        <is>
          <t>Low</t>
        </is>
      </c>
      <c r="J768" s="308" t="inlineStr">
        <is>
          <t>drawing</t>
        </is>
      </c>
      <c r="K768" s="308" t="inlineStr">
        <is>
          <t>inferred:bare-isa</t>
        </is>
      </c>
      <c r="L768" s="308" t="inlineStr">
        <is>
          <t>drawing zone; process page; mapped sheet</t>
        </is>
      </c>
      <c r="M768" s="308" t="inlineStr">
        <is>
          <t>RL7-AGC-201 / HV</t>
        </is>
      </c>
      <c r="N768" s="308" t="inlineStr">
        <is>
          <t>native</t>
        </is>
      </c>
      <c r="O768" s="308" t="inlineStr">
        <is>
          <t>native-only</t>
        </is>
      </c>
      <c r="P768" s="308" t="inlineStr">
        <is>
          <t>native</t>
        </is>
      </c>
      <c r="Q768" s="308" t="inlineStr"/>
      <c r="R768" s="308" t="inlineStr">
        <is>
          <t>native text sufficient</t>
        </is>
      </c>
      <c r="S768" s="308" t="inlineStr"/>
      <c r="T768" s="308" t="inlineStr">
        <is>
          <t>p27:native:491, p27:native:500</t>
        </is>
      </c>
      <c r="U768" s="308" t="n">
        <v>2</v>
      </c>
    </row>
    <row r="769">
      <c r="A769" s="308" t="inlineStr">
        <is>
          <t>Missing in Excel</t>
        </is>
      </c>
      <c r="B769" s="308" t="inlineStr">
        <is>
          <t>DG7606</t>
        </is>
      </c>
      <c r="C769" s="308" t="n">
        <v>27</v>
      </c>
      <c r="D769" s="308" t="inlineStr">
        <is>
          <t>RL7-AGC-201-HV003</t>
        </is>
      </c>
      <c r="E769" s="308" t="inlineStr">
        <is>
          <t>RL7-AGC-201</t>
        </is>
      </c>
      <c r="F769" s="308" t="inlineStr">
        <is>
          <t>HV003</t>
        </is>
      </c>
      <c r="G769" s="308" t="inlineStr">
        <is>
          <t>instrument</t>
        </is>
      </c>
      <c r="H769" s="311" t="n">
        <v>0.57</v>
      </c>
      <c r="I769" s="308" t="inlineStr">
        <is>
          <t>Low</t>
        </is>
      </c>
      <c r="J769" s="308" t="inlineStr">
        <is>
          <t>drawing</t>
        </is>
      </c>
      <c r="K769" s="308" t="inlineStr">
        <is>
          <t>inferred:bare-isa</t>
        </is>
      </c>
      <c r="L769" s="308" t="inlineStr">
        <is>
          <t>drawing zone; process page; mapped sheet</t>
        </is>
      </c>
      <c r="M769" s="308" t="inlineStr">
        <is>
          <t>RL7-AGC-201 / HV</t>
        </is>
      </c>
      <c r="N769" s="308" t="inlineStr">
        <is>
          <t>native</t>
        </is>
      </c>
      <c r="O769" s="308" t="inlineStr">
        <is>
          <t>native-only</t>
        </is>
      </c>
      <c r="P769" s="308" t="inlineStr">
        <is>
          <t>native</t>
        </is>
      </c>
      <c r="Q769" s="308" t="inlineStr"/>
      <c r="R769" s="308" t="inlineStr">
        <is>
          <t>native text sufficient</t>
        </is>
      </c>
      <c r="S769" s="308" t="inlineStr"/>
      <c r="T769" s="308" t="inlineStr">
        <is>
          <t>p27:native:417, p27:native:434</t>
        </is>
      </c>
      <c r="U769" s="308" t="n">
        <v>2</v>
      </c>
    </row>
    <row r="770">
      <c r="A770" s="308" t="inlineStr">
        <is>
          <t>Missing in Excel</t>
        </is>
      </c>
      <c r="B770" s="308" t="inlineStr">
        <is>
          <t>DG7606</t>
        </is>
      </c>
      <c r="C770" s="308" t="n">
        <v>27</v>
      </c>
      <c r="D770" s="308" t="inlineStr">
        <is>
          <t>RL7-ASP-101-HV001</t>
        </is>
      </c>
      <c r="E770" s="308" t="inlineStr">
        <is>
          <t>RL7-ASP-101</t>
        </is>
      </c>
      <c r="F770" s="308" t="inlineStr">
        <is>
          <t>HV001</t>
        </is>
      </c>
      <c r="G770" s="308" t="inlineStr">
        <is>
          <t>instrument</t>
        </is>
      </c>
      <c r="H770" s="311" t="n">
        <v>0.57</v>
      </c>
      <c r="I770" s="308" t="inlineStr">
        <is>
          <t>Low</t>
        </is>
      </c>
      <c r="J770" s="308" t="inlineStr">
        <is>
          <t>drawing</t>
        </is>
      </c>
      <c r="K770" s="308" t="inlineStr">
        <is>
          <t>inferred:bare-isa</t>
        </is>
      </c>
      <c r="L770" s="308" t="inlineStr">
        <is>
          <t>drawing zone; process page; mapped sheet</t>
        </is>
      </c>
      <c r="M770" s="308" t="inlineStr">
        <is>
          <t>RL7-ASP-101 / HV</t>
        </is>
      </c>
      <c r="N770" s="308" t="inlineStr">
        <is>
          <t>native</t>
        </is>
      </c>
      <c r="O770" s="308" t="inlineStr">
        <is>
          <t>native-only</t>
        </is>
      </c>
      <c r="P770" s="308" t="inlineStr">
        <is>
          <t>native</t>
        </is>
      </c>
      <c r="Q770" s="308" t="inlineStr"/>
      <c r="R770" s="308" t="inlineStr">
        <is>
          <t>native text sufficient</t>
        </is>
      </c>
      <c r="S770" s="308" t="inlineStr"/>
      <c r="T770" s="308" t="inlineStr">
        <is>
          <t>p27:native:275, p27:native:72</t>
        </is>
      </c>
      <c r="U770" s="308" t="n">
        <v>2</v>
      </c>
    </row>
    <row r="771">
      <c r="A771" s="308" t="inlineStr">
        <is>
          <t>Missing in Excel</t>
        </is>
      </c>
      <c r="B771" s="308" t="inlineStr">
        <is>
          <t>DG7606</t>
        </is>
      </c>
      <c r="C771" s="308" t="n">
        <v>27</v>
      </c>
      <c r="D771" s="308" t="inlineStr">
        <is>
          <t>RL7-ASP-101-HV002</t>
        </is>
      </c>
      <c r="E771" s="308" t="inlineStr">
        <is>
          <t>RL7-ASP-101</t>
        </is>
      </c>
      <c r="F771" s="308" t="inlineStr">
        <is>
          <t>HV002</t>
        </is>
      </c>
      <c r="G771" s="308" t="inlineStr">
        <is>
          <t>instrument</t>
        </is>
      </c>
      <c r="H771" s="311" t="n">
        <v>0.57</v>
      </c>
      <c r="I771" s="308" t="inlineStr">
        <is>
          <t>Low</t>
        </is>
      </c>
      <c r="J771" s="308" t="inlineStr">
        <is>
          <t>drawing</t>
        </is>
      </c>
      <c r="K771" s="308" t="inlineStr">
        <is>
          <t>inferred:bare-isa</t>
        </is>
      </c>
      <c r="L771" s="308" t="inlineStr">
        <is>
          <t>drawing zone; process page; mapped sheet</t>
        </is>
      </c>
      <c r="M771" s="308" t="inlineStr">
        <is>
          <t>RL7-ASP-101 / HV</t>
        </is>
      </c>
      <c r="N771" s="308" t="inlineStr">
        <is>
          <t>native</t>
        </is>
      </c>
      <c r="O771" s="308" t="inlineStr">
        <is>
          <t>native-only</t>
        </is>
      </c>
      <c r="P771" s="308" t="inlineStr">
        <is>
          <t>native</t>
        </is>
      </c>
      <c r="Q771" s="308" t="inlineStr"/>
      <c r="R771" s="308" t="inlineStr">
        <is>
          <t>native text sufficient</t>
        </is>
      </c>
      <c r="S771" s="308" t="inlineStr"/>
      <c r="T771" s="308" t="inlineStr">
        <is>
          <t>p27:native:275, p27:native:78</t>
        </is>
      </c>
      <c r="U771" s="308" t="n">
        <v>2</v>
      </c>
    </row>
    <row r="772">
      <c r="A772" s="308" t="inlineStr">
        <is>
          <t>Missing in Excel</t>
        </is>
      </c>
      <c r="B772" s="308" t="inlineStr">
        <is>
          <t>DG7606</t>
        </is>
      </c>
      <c r="C772" s="308" t="n">
        <v>27</v>
      </c>
      <c r="D772" s="308" t="inlineStr">
        <is>
          <t>RL7-CKR-101-HV001</t>
        </is>
      </c>
      <c r="E772" s="308" t="inlineStr">
        <is>
          <t>RL7-CKR-101</t>
        </is>
      </c>
      <c r="F772" s="308" t="inlineStr">
        <is>
          <t>HV001</t>
        </is>
      </c>
      <c r="G772" s="308" t="inlineStr">
        <is>
          <t>instrument</t>
        </is>
      </c>
      <c r="H772" s="311" t="n">
        <v>0.57</v>
      </c>
      <c r="I772" s="308" t="inlineStr">
        <is>
          <t>Low</t>
        </is>
      </c>
      <c r="J772" s="308" t="inlineStr">
        <is>
          <t>drawing</t>
        </is>
      </c>
      <c r="K772" s="308" t="inlineStr">
        <is>
          <t>inferred:bare-isa</t>
        </is>
      </c>
      <c r="L772" s="308" t="inlineStr">
        <is>
          <t>drawing zone; process page; mapped sheet</t>
        </is>
      </c>
      <c r="M772" s="308" t="inlineStr">
        <is>
          <t>RL7-CKR-101 / HV</t>
        </is>
      </c>
      <c r="N772" s="308" t="inlineStr">
        <is>
          <t>native</t>
        </is>
      </c>
      <c r="O772" s="308" t="inlineStr">
        <is>
          <t>native-only</t>
        </is>
      </c>
      <c r="P772" s="308" t="inlineStr">
        <is>
          <t>native</t>
        </is>
      </c>
      <c r="Q772" s="308" t="inlineStr"/>
      <c r="R772" s="308" t="inlineStr">
        <is>
          <t>native text sufficient</t>
        </is>
      </c>
      <c r="S772" s="308" t="inlineStr"/>
      <c r="T772" s="308" t="inlineStr">
        <is>
          <t>p27:native:373, p27:native:321</t>
        </is>
      </c>
      <c r="U772" s="308" t="n">
        <v>2</v>
      </c>
    </row>
    <row r="773">
      <c r="A773" s="308" t="inlineStr">
        <is>
          <t>Missing in Excel</t>
        </is>
      </c>
      <c r="B773" s="308" t="inlineStr">
        <is>
          <t>DG7606</t>
        </is>
      </c>
      <c r="C773" s="308" t="n">
        <v>27</v>
      </c>
      <c r="D773" s="308" t="inlineStr">
        <is>
          <t>RL7-CKR-101-HV002</t>
        </is>
      </c>
      <c r="E773" s="308" t="inlineStr">
        <is>
          <t>RL7-CKR-101</t>
        </is>
      </c>
      <c r="F773" s="308" t="inlineStr">
        <is>
          <t>HV002</t>
        </is>
      </c>
      <c r="G773" s="308" t="inlineStr">
        <is>
          <t>instrument</t>
        </is>
      </c>
      <c r="H773" s="311" t="n">
        <v>0.57</v>
      </c>
      <c r="I773" s="308" t="inlineStr">
        <is>
          <t>Low</t>
        </is>
      </c>
      <c r="J773" s="308" t="inlineStr">
        <is>
          <t>drawing</t>
        </is>
      </c>
      <c r="K773" s="308" t="inlineStr">
        <is>
          <t>inferred:bare-isa</t>
        </is>
      </c>
      <c r="L773" s="308" t="inlineStr">
        <is>
          <t>drawing zone; process page; mapped sheet</t>
        </is>
      </c>
      <c r="M773" s="308" t="inlineStr">
        <is>
          <t>RL7-CKR-101 / HV</t>
        </is>
      </c>
      <c r="N773" s="308" t="inlineStr">
        <is>
          <t>native</t>
        </is>
      </c>
      <c r="O773" s="308" t="inlineStr">
        <is>
          <t>native-only</t>
        </is>
      </c>
      <c r="P773" s="308" t="inlineStr">
        <is>
          <t>native</t>
        </is>
      </c>
      <c r="Q773" s="308" t="inlineStr"/>
      <c r="R773" s="308" t="inlineStr">
        <is>
          <t>native text sufficient</t>
        </is>
      </c>
      <c r="S773" s="308" t="inlineStr"/>
      <c r="T773" s="308" t="inlineStr">
        <is>
          <t>p27:native:355, p27:native:381</t>
        </is>
      </c>
      <c r="U773" s="308" t="n">
        <v>2</v>
      </c>
    </row>
    <row r="774">
      <c r="A774" s="308" t="inlineStr">
        <is>
          <t>Missing in Excel</t>
        </is>
      </c>
      <c r="B774" s="308" t="inlineStr">
        <is>
          <t>DG7606</t>
        </is>
      </c>
      <c r="C774" s="308" t="n">
        <v>27</v>
      </c>
      <c r="D774" s="308" t="inlineStr">
        <is>
          <t>RL7-CKR-101-HV003</t>
        </is>
      </c>
      <c r="E774" s="308" t="inlineStr">
        <is>
          <t>RL7-CKR-101</t>
        </is>
      </c>
      <c r="F774" s="308" t="inlineStr">
        <is>
          <t>HV003</t>
        </is>
      </c>
      <c r="G774" s="308" t="inlineStr">
        <is>
          <t>instrument</t>
        </is>
      </c>
      <c r="H774" s="311" t="n">
        <v>0.57</v>
      </c>
      <c r="I774" s="308" t="inlineStr">
        <is>
          <t>Low</t>
        </is>
      </c>
      <c r="J774" s="308" t="inlineStr">
        <is>
          <t>drawing</t>
        </is>
      </c>
      <c r="K774" s="308" t="inlineStr">
        <is>
          <t>inferred:bare-isa</t>
        </is>
      </c>
      <c r="L774" s="308" t="inlineStr">
        <is>
          <t>drawing zone; process page; mapped sheet</t>
        </is>
      </c>
      <c r="M774" s="308" t="inlineStr">
        <is>
          <t>RL7-CKR-101 / HV</t>
        </is>
      </c>
      <c r="N774" s="308" t="inlineStr">
        <is>
          <t>native</t>
        </is>
      </c>
      <c r="O774" s="308" t="inlineStr">
        <is>
          <t>native-only</t>
        </is>
      </c>
      <c r="P774" s="308" t="inlineStr">
        <is>
          <t>native</t>
        </is>
      </c>
      <c r="Q774" s="308" t="inlineStr"/>
      <c r="R774" s="308" t="inlineStr">
        <is>
          <t>native text sufficient</t>
        </is>
      </c>
      <c r="S774" s="308" t="inlineStr"/>
      <c r="T774" s="308" t="inlineStr">
        <is>
          <t>p27:native:371, p27:native:393</t>
        </is>
      </c>
      <c r="U774" s="308" t="n">
        <v>2</v>
      </c>
    </row>
    <row r="775">
      <c r="A775" s="308" t="inlineStr">
        <is>
          <t>Missing in Excel</t>
        </is>
      </c>
      <c r="B775" s="308" t="inlineStr">
        <is>
          <t>DG7606</t>
        </is>
      </c>
      <c r="C775" s="308" t="n">
        <v>27</v>
      </c>
      <c r="D775" s="308" t="inlineStr">
        <is>
          <t>RL7-CKR-101-HV004</t>
        </is>
      </c>
      <c r="E775" s="308" t="inlineStr">
        <is>
          <t>RL7-CKR-101</t>
        </is>
      </c>
      <c r="F775" s="308" t="inlineStr">
        <is>
          <t>HV004</t>
        </is>
      </c>
      <c r="G775" s="308" t="inlineStr">
        <is>
          <t>instrument</t>
        </is>
      </c>
      <c r="H775" s="311" t="n">
        <v>0.57</v>
      </c>
      <c r="I775" s="308" t="inlineStr">
        <is>
          <t>Low</t>
        </is>
      </c>
      <c r="J775" s="308" t="inlineStr">
        <is>
          <t>drawing</t>
        </is>
      </c>
      <c r="K775" s="308" t="inlineStr">
        <is>
          <t>inferred:bare-isa</t>
        </is>
      </c>
      <c r="L775" s="308" t="inlineStr">
        <is>
          <t>drawing zone; process page; mapped sheet</t>
        </is>
      </c>
      <c r="M775" s="308" t="inlineStr">
        <is>
          <t>RL7-CKR-101 / HV</t>
        </is>
      </c>
      <c r="N775" s="308" t="inlineStr">
        <is>
          <t>native</t>
        </is>
      </c>
      <c r="O775" s="308" t="inlineStr">
        <is>
          <t>native-only</t>
        </is>
      </c>
      <c r="P775" s="308" t="inlineStr">
        <is>
          <t>native</t>
        </is>
      </c>
      <c r="Q775" s="308" t="inlineStr"/>
      <c r="R775" s="308" t="inlineStr">
        <is>
          <t>native text sufficient</t>
        </is>
      </c>
      <c r="S775" s="308" t="inlineStr"/>
      <c r="T775" s="308" t="inlineStr">
        <is>
          <t>p27:native:355, p27:native:387</t>
        </is>
      </c>
      <c r="U775" s="308" t="n">
        <v>2</v>
      </c>
    </row>
    <row r="776">
      <c r="A776" s="308" t="inlineStr">
        <is>
          <t>Missing in Excel</t>
        </is>
      </c>
      <c r="B776" s="308" t="inlineStr">
        <is>
          <t>DG7606</t>
        </is>
      </c>
      <c r="C776" s="308" t="n">
        <v>27</v>
      </c>
      <c r="D776" s="308" t="inlineStr">
        <is>
          <t>RL7-CKR-101-PI001</t>
        </is>
      </c>
      <c r="E776" s="308" t="inlineStr">
        <is>
          <t>RL7-CKR-101</t>
        </is>
      </c>
      <c r="F776" s="308" t="inlineStr">
        <is>
          <t>PI001</t>
        </is>
      </c>
      <c r="G776" s="308" t="inlineStr">
        <is>
          <t>instrument</t>
        </is>
      </c>
      <c r="H776" s="311" t="n">
        <v>0.57</v>
      </c>
      <c r="I776" s="308" t="inlineStr">
        <is>
          <t>Low</t>
        </is>
      </c>
      <c r="J776" s="308" t="inlineStr">
        <is>
          <t>drawing</t>
        </is>
      </c>
      <c r="K776" s="308" t="inlineStr">
        <is>
          <t>inferred:bare-isa</t>
        </is>
      </c>
      <c r="L776" s="308" t="inlineStr">
        <is>
          <t>drawing zone; process page; mapped sheet</t>
        </is>
      </c>
      <c r="M776" s="308" t="inlineStr">
        <is>
          <t>RL7-CKR-101 / PI</t>
        </is>
      </c>
      <c r="N776" s="308" t="inlineStr">
        <is>
          <t>native</t>
        </is>
      </c>
      <c r="O776" s="308" t="inlineStr">
        <is>
          <t>native-only</t>
        </is>
      </c>
      <c r="P776" s="308" t="inlineStr">
        <is>
          <t>native</t>
        </is>
      </c>
      <c r="Q776" s="308" t="inlineStr"/>
      <c r="R776" s="308" t="inlineStr">
        <is>
          <t>native text sufficient</t>
        </is>
      </c>
      <c r="S776" s="308" t="inlineStr"/>
      <c r="T776" s="308" t="inlineStr">
        <is>
          <t>p27:native:373, p27:native:335</t>
        </is>
      </c>
      <c r="U776" s="308" t="n">
        <v>2</v>
      </c>
    </row>
    <row r="777">
      <c r="A777" s="308" t="inlineStr">
        <is>
          <t>Missing in Excel</t>
        </is>
      </c>
      <c r="B777" s="308" t="inlineStr">
        <is>
          <t>DG7606</t>
        </is>
      </c>
      <c r="C777" s="308" t="n">
        <v>27</v>
      </c>
      <c r="D777" s="308" t="inlineStr">
        <is>
          <t>RL7-CKR-101-PI002</t>
        </is>
      </c>
      <c r="E777" s="308" t="inlineStr">
        <is>
          <t>RL7-CKR-101</t>
        </is>
      </c>
      <c r="F777" s="308" t="inlineStr">
        <is>
          <t>PI002</t>
        </is>
      </c>
      <c r="G777" s="308" t="inlineStr">
        <is>
          <t>instrument</t>
        </is>
      </c>
      <c r="H777" s="311" t="n">
        <v>0.57</v>
      </c>
      <c r="I777" s="308" t="inlineStr">
        <is>
          <t>Low</t>
        </is>
      </c>
      <c r="J777" s="308" t="inlineStr">
        <is>
          <t>drawing</t>
        </is>
      </c>
      <c r="K777" s="308" t="inlineStr">
        <is>
          <t>inferred:bare-isa</t>
        </is>
      </c>
      <c r="L777" s="308" t="inlineStr">
        <is>
          <t>drawing zone; process page; mapped sheet</t>
        </is>
      </c>
      <c r="M777" s="308" t="inlineStr">
        <is>
          <t>RL7-CKR-101 / PI</t>
        </is>
      </c>
      <c r="N777" s="308" t="inlineStr">
        <is>
          <t>native</t>
        </is>
      </c>
      <c r="O777" s="308" t="inlineStr">
        <is>
          <t>native-only</t>
        </is>
      </c>
      <c r="P777" s="308" t="inlineStr">
        <is>
          <t>native</t>
        </is>
      </c>
      <c r="Q777" s="308" t="inlineStr"/>
      <c r="R777" s="308" t="inlineStr">
        <is>
          <t>native text sufficient</t>
        </is>
      </c>
      <c r="S777" s="308" t="inlineStr"/>
      <c r="T777" s="308" t="inlineStr">
        <is>
          <t>p27:native:373, p27:native:333</t>
        </is>
      </c>
      <c r="U777" s="308" t="n">
        <v>2</v>
      </c>
    </row>
    <row r="778">
      <c r="A778" s="308" t="inlineStr">
        <is>
          <t>Missing in Excel</t>
        </is>
      </c>
      <c r="B778" s="308" t="inlineStr">
        <is>
          <t>DG7606</t>
        </is>
      </c>
      <c r="C778" s="308" t="n">
        <v>27</v>
      </c>
      <c r="D778" s="308" t="inlineStr">
        <is>
          <t>RL7-CKR-101-PI003</t>
        </is>
      </c>
      <c r="E778" s="308" t="inlineStr">
        <is>
          <t>RL7-CKR-101</t>
        </is>
      </c>
      <c r="F778" s="308" t="inlineStr">
        <is>
          <t>PI003</t>
        </is>
      </c>
      <c r="G778" s="308" t="inlineStr">
        <is>
          <t>instrument</t>
        </is>
      </c>
      <c r="H778" s="311" t="n">
        <v>0.57</v>
      </c>
      <c r="I778" s="308" t="inlineStr">
        <is>
          <t>Low</t>
        </is>
      </c>
      <c r="J778" s="308" t="inlineStr">
        <is>
          <t>drawing</t>
        </is>
      </c>
      <c r="K778" s="308" t="inlineStr">
        <is>
          <t>inferred:bare-isa</t>
        </is>
      </c>
      <c r="L778" s="308" t="inlineStr">
        <is>
          <t>drawing zone; process page; mapped sheet</t>
        </is>
      </c>
      <c r="M778" s="308" t="inlineStr">
        <is>
          <t>RL7-CKR-101 / PI</t>
        </is>
      </c>
      <c r="N778" s="308" t="inlineStr">
        <is>
          <t>native</t>
        </is>
      </c>
      <c r="O778" s="308" t="inlineStr">
        <is>
          <t>native-only</t>
        </is>
      </c>
      <c r="P778" s="308" t="inlineStr">
        <is>
          <t>native</t>
        </is>
      </c>
      <c r="Q778" s="308" t="inlineStr"/>
      <c r="R778" s="308" t="inlineStr">
        <is>
          <t>native text sufficient</t>
        </is>
      </c>
      <c r="S778" s="308" t="inlineStr"/>
      <c r="T778" s="308" t="inlineStr">
        <is>
          <t>p27:native:355, p27:native:519</t>
        </is>
      </c>
      <c r="U778" s="308" t="n">
        <v>2</v>
      </c>
    </row>
    <row r="779">
      <c r="A779" s="308" t="inlineStr">
        <is>
          <t>Missing in Excel</t>
        </is>
      </c>
      <c r="B779" s="308" t="inlineStr">
        <is>
          <t>DG7606</t>
        </is>
      </c>
      <c r="C779" s="308" t="n">
        <v>27</v>
      </c>
      <c r="D779" s="308" t="inlineStr">
        <is>
          <t>RL7-CKR-101-PI004</t>
        </is>
      </c>
      <c r="E779" s="308" t="inlineStr">
        <is>
          <t>RL7-CKR-101</t>
        </is>
      </c>
      <c r="F779" s="308" t="inlineStr">
        <is>
          <t>PI004</t>
        </is>
      </c>
      <c r="G779" s="308" t="inlineStr">
        <is>
          <t>instrument</t>
        </is>
      </c>
      <c r="H779" s="311" t="n">
        <v>0.57</v>
      </c>
      <c r="I779" s="308" t="inlineStr">
        <is>
          <t>Low</t>
        </is>
      </c>
      <c r="J779" s="308" t="inlineStr">
        <is>
          <t>drawing</t>
        </is>
      </c>
      <c r="K779" s="308" t="inlineStr">
        <is>
          <t>inferred:bare-isa</t>
        </is>
      </c>
      <c r="L779" s="308" t="inlineStr">
        <is>
          <t>drawing zone; process page; mapped sheet</t>
        </is>
      </c>
      <c r="M779" s="308" t="inlineStr">
        <is>
          <t>RL7-CKR-101 / PI</t>
        </is>
      </c>
      <c r="N779" s="308" t="inlineStr">
        <is>
          <t>native</t>
        </is>
      </c>
      <c r="O779" s="308" t="inlineStr">
        <is>
          <t>native-only</t>
        </is>
      </c>
      <c r="P779" s="308" t="inlineStr">
        <is>
          <t>native</t>
        </is>
      </c>
      <c r="Q779" s="308" t="inlineStr"/>
      <c r="R779" s="308" t="inlineStr">
        <is>
          <t>native text sufficient</t>
        </is>
      </c>
      <c r="S779" s="308" t="inlineStr"/>
      <c r="T779" s="308" t="inlineStr">
        <is>
          <t>p27:native:355, p27:native:512</t>
        </is>
      </c>
      <c r="U779" s="308" t="n">
        <v>2</v>
      </c>
    </row>
    <row r="780">
      <c r="A780" s="308" t="inlineStr">
        <is>
          <t>Missing in Excel</t>
        </is>
      </c>
      <c r="B780" s="308" t="inlineStr">
        <is>
          <t>DG7606</t>
        </is>
      </c>
      <c r="C780" s="308" t="n">
        <v>27</v>
      </c>
      <c r="D780" s="308" t="inlineStr">
        <is>
          <t>RL7-CKR-101-PI005</t>
        </is>
      </c>
      <c r="E780" s="308" t="inlineStr">
        <is>
          <t>RL7-CKR-101</t>
        </is>
      </c>
      <c r="F780" s="308" t="inlineStr">
        <is>
          <t>PI005</t>
        </is>
      </c>
      <c r="G780" s="308" t="inlineStr">
        <is>
          <t>instrument</t>
        </is>
      </c>
      <c r="H780" s="311" t="n">
        <v>0.57</v>
      </c>
      <c r="I780" s="308" t="inlineStr">
        <is>
          <t>Low</t>
        </is>
      </c>
      <c r="J780" s="308" t="inlineStr">
        <is>
          <t>drawing</t>
        </is>
      </c>
      <c r="K780" s="308" t="inlineStr">
        <is>
          <t>inferred:bare-isa</t>
        </is>
      </c>
      <c r="L780" s="308" t="inlineStr">
        <is>
          <t>drawing zone; process page; mapped sheet</t>
        </is>
      </c>
      <c r="M780" s="308" t="inlineStr">
        <is>
          <t>RL7-CKR-101 / PI</t>
        </is>
      </c>
      <c r="N780" s="308" t="inlineStr">
        <is>
          <t>native</t>
        </is>
      </c>
      <c r="O780" s="308" t="inlineStr">
        <is>
          <t>native-only</t>
        </is>
      </c>
      <c r="P780" s="308" t="inlineStr">
        <is>
          <t>native</t>
        </is>
      </c>
      <c r="Q780" s="308" t="inlineStr"/>
      <c r="R780" s="308" t="inlineStr">
        <is>
          <t>native text sufficient</t>
        </is>
      </c>
      <c r="S780" s="308" t="inlineStr"/>
      <c r="T780" s="308" t="inlineStr">
        <is>
          <t>p27:native:355, p27:native:525</t>
        </is>
      </c>
      <c r="U780" s="308" t="n">
        <v>2</v>
      </c>
    </row>
    <row r="781">
      <c r="A781" s="308" t="inlineStr">
        <is>
          <t>Missing in Excel</t>
        </is>
      </c>
      <c r="B781" s="308" t="inlineStr">
        <is>
          <t>DG7606</t>
        </is>
      </c>
      <c r="C781" s="308" t="n">
        <v>27</v>
      </c>
      <c r="D781" s="308" t="inlineStr">
        <is>
          <t>RL7-CKR-101-PI006</t>
        </is>
      </c>
      <c r="E781" s="308" t="inlineStr">
        <is>
          <t>RL7-CKR-101</t>
        </is>
      </c>
      <c r="F781" s="308" t="inlineStr">
        <is>
          <t>PI006</t>
        </is>
      </c>
      <c r="G781" s="308" t="inlineStr">
        <is>
          <t>instrument</t>
        </is>
      </c>
      <c r="H781" s="311" t="n">
        <v>0.57</v>
      </c>
      <c r="I781" s="308" t="inlineStr">
        <is>
          <t>Low</t>
        </is>
      </c>
      <c r="J781" s="308" t="inlineStr">
        <is>
          <t>drawing</t>
        </is>
      </c>
      <c r="K781" s="308" t="inlineStr">
        <is>
          <t>inferred:bare-isa</t>
        </is>
      </c>
      <c r="L781" s="308" t="inlineStr">
        <is>
          <t>drawing zone; process page; mapped sheet</t>
        </is>
      </c>
      <c r="M781" s="308" t="inlineStr">
        <is>
          <t>RL7-CKR-101 / PI</t>
        </is>
      </c>
      <c r="N781" s="308" t="inlineStr">
        <is>
          <t>native</t>
        </is>
      </c>
      <c r="O781" s="308" t="inlineStr">
        <is>
          <t>native-only</t>
        </is>
      </c>
      <c r="P781" s="308" t="inlineStr">
        <is>
          <t>native</t>
        </is>
      </c>
      <c r="Q781" s="308" t="inlineStr"/>
      <c r="R781" s="308" t="inlineStr">
        <is>
          <t>native text sufficient</t>
        </is>
      </c>
      <c r="S781" s="308" t="inlineStr"/>
      <c r="T781" s="308" t="inlineStr">
        <is>
          <t>p27:native:355, p27:native:513</t>
        </is>
      </c>
      <c r="U781" s="308" t="n">
        <v>2</v>
      </c>
    </row>
    <row r="782">
      <c r="A782" s="308" t="inlineStr">
        <is>
          <t>Missing in Excel</t>
        </is>
      </c>
      <c r="B782" s="308" t="inlineStr">
        <is>
          <t>DG7606</t>
        </is>
      </c>
      <c r="C782" s="308" t="n">
        <v>27</v>
      </c>
      <c r="D782" s="308" t="inlineStr">
        <is>
          <t>RL7-CKR-102-HV001</t>
        </is>
      </c>
      <c r="E782" s="308" t="inlineStr">
        <is>
          <t>RL7-CKR-102</t>
        </is>
      </c>
      <c r="F782" s="308" t="inlineStr">
        <is>
          <t>HV001</t>
        </is>
      </c>
      <c r="G782" s="308" t="inlineStr">
        <is>
          <t>instrument</t>
        </is>
      </c>
      <c r="H782" s="311" t="n">
        <v>0.57</v>
      </c>
      <c r="I782" s="308" t="inlineStr">
        <is>
          <t>Low</t>
        </is>
      </c>
      <c r="J782" s="308" t="inlineStr">
        <is>
          <t>drawing</t>
        </is>
      </c>
      <c r="K782" s="308" t="inlineStr">
        <is>
          <t>inferred:bare-isa</t>
        </is>
      </c>
      <c r="L782" s="308" t="inlineStr">
        <is>
          <t>drawing zone; process page; mapped sheet</t>
        </is>
      </c>
      <c r="M782" s="308" t="inlineStr">
        <is>
          <t>RL7-CKR-102 / HV</t>
        </is>
      </c>
      <c r="N782" s="308" t="inlineStr">
        <is>
          <t>native</t>
        </is>
      </c>
      <c r="O782" s="308" t="inlineStr">
        <is>
          <t>native-only</t>
        </is>
      </c>
      <c r="P782" s="308" t="inlineStr">
        <is>
          <t>native</t>
        </is>
      </c>
      <c r="Q782" s="308" t="inlineStr"/>
      <c r="R782" s="308" t="inlineStr">
        <is>
          <t>native text sufficient</t>
        </is>
      </c>
      <c r="S782" s="308" t="inlineStr"/>
      <c r="T782" s="308" t="inlineStr">
        <is>
          <t>p27:native:398, p27:native:408</t>
        </is>
      </c>
      <c r="U782" s="308" t="n">
        <v>2</v>
      </c>
    </row>
    <row r="783">
      <c r="A783" s="308" t="inlineStr">
        <is>
          <t>Missing in Excel</t>
        </is>
      </c>
      <c r="B783" s="308" t="inlineStr">
        <is>
          <t>DG7606</t>
        </is>
      </c>
      <c r="C783" s="308" t="n">
        <v>27</v>
      </c>
      <c r="D783" s="308" t="inlineStr">
        <is>
          <t>RL7-CKR-102-HV002</t>
        </is>
      </c>
      <c r="E783" s="308" t="inlineStr">
        <is>
          <t>RL7-CKR-102</t>
        </is>
      </c>
      <c r="F783" s="308" t="inlineStr">
        <is>
          <t>HV002</t>
        </is>
      </c>
      <c r="G783" s="308" t="inlineStr">
        <is>
          <t>instrument</t>
        </is>
      </c>
      <c r="H783" s="311" t="n">
        <v>0.57</v>
      </c>
      <c r="I783" s="308" t="inlineStr">
        <is>
          <t>Low</t>
        </is>
      </c>
      <c r="J783" s="308" t="inlineStr">
        <is>
          <t>drawing</t>
        </is>
      </c>
      <c r="K783" s="308" t="inlineStr">
        <is>
          <t>inferred:bare-isa</t>
        </is>
      </c>
      <c r="L783" s="308" t="inlineStr">
        <is>
          <t>drawing zone; process page; mapped sheet</t>
        </is>
      </c>
      <c r="M783" s="308" t="inlineStr">
        <is>
          <t>RL7-CKR-102 / HV</t>
        </is>
      </c>
      <c r="N783" s="308" t="inlineStr">
        <is>
          <t>native</t>
        </is>
      </c>
      <c r="O783" s="308" t="inlineStr">
        <is>
          <t>native-only</t>
        </is>
      </c>
      <c r="P783" s="308" t="inlineStr">
        <is>
          <t>native</t>
        </is>
      </c>
      <c r="Q783" s="308" t="inlineStr"/>
      <c r="R783" s="308" t="inlineStr">
        <is>
          <t>native text sufficient</t>
        </is>
      </c>
      <c r="S783" s="308" t="inlineStr"/>
      <c r="T783" s="308" t="inlineStr">
        <is>
          <t>p27:native:476, p27:native:485</t>
        </is>
      </c>
      <c r="U783" s="308" t="n">
        <v>2</v>
      </c>
    </row>
    <row r="784">
      <c r="A784" s="308" t="inlineStr">
        <is>
          <t>Missing in Excel</t>
        </is>
      </c>
      <c r="B784" s="308" t="inlineStr">
        <is>
          <t>DG7606</t>
        </is>
      </c>
      <c r="C784" s="308" t="n">
        <v>27</v>
      </c>
      <c r="D784" s="308" t="inlineStr">
        <is>
          <t>RL7-CKR-102-HV003</t>
        </is>
      </c>
      <c r="E784" s="308" t="inlineStr">
        <is>
          <t>RL7-CKR-102</t>
        </is>
      </c>
      <c r="F784" s="308" t="inlineStr">
        <is>
          <t>HV003</t>
        </is>
      </c>
      <c r="G784" s="308" t="inlineStr">
        <is>
          <t>instrument</t>
        </is>
      </c>
      <c r="H784" s="311" t="n">
        <v>0.57</v>
      </c>
      <c r="I784" s="308" t="inlineStr">
        <is>
          <t>Low</t>
        </is>
      </c>
      <c r="J784" s="308" t="inlineStr">
        <is>
          <t>drawing</t>
        </is>
      </c>
      <c r="K784" s="308" t="inlineStr">
        <is>
          <t>inferred:bare-isa</t>
        </is>
      </c>
      <c r="L784" s="308" t="inlineStr">
        <is>
          <t>drawing zone; process page; mapped sheet</t>
        </is>
      </c>
      <c r="M784" s="308" t="inlineStr">
        <is>
          <t>RL7-CKR-102 / HV</t>
        </is>
      </c>
      <c r="N784" s="308" t="inlineStr">
        <is>
          <t>native</t>
        </is>
      </c>
      <c r="O784" s="308" t="inlineStr">
        <is>
          <t>native-only</t>
        </is>
      </c>
      <c r="P784" s="308" t="inlineStr">
        <is>
          <t>native</t>
        </is>
      </c>
      <c r="Q784" s="308" t="inlineStr"/>
      <c r="R784" s="308" t="inlineStr">
        <is>
          <t>native text sufficient</t>
        </is>
      </c>
      <c r="S784" s="308" t="inlineStr"/>
      <c r="T784" s="308" t="inlineStr">
        <is>
          <t>p27:native:398, p27:native:414</t>
        </is>
      </c>
      <c r="U784" s="308" t="n">
        <v>2</v>
      </c>
    </row>
    <row r="785">
      <c r="A785" s="308" t="inlineStr">
        <is>
          <t>Missing in Excel</t>
        </is>
      </c>
      <c r="B785" s="308" t="inlineStr">
        <is>
          <t>DG7606</t>
        </is>
      </c>
      <c r="C785" s="308" t="n">
        <v>27</v>
      </c>
      <c r="D785" s="308" t="inlineStr">
        <is>
          <t>RL7-CKR-102-PI001</t>
        </is>
      </c>
      <c r="E785" s="308" t="inlineStr">
        <is>
          <t>RL7-CKR-102</t>
        </is>
      </c>
      <c r="F785" s="308" t="inlineStr">
        <is>
          <t>PI001</t>
        </is>
      </c>
      <c r="G785" s="308" t="inlineStr">
        <is>
          <t>instrument</t>
        </is>
      </c>
      <c r="H785" s="311" t="n">
        <v>0.57</v>
      </c>
      <c r="I785" s="308" t="inlineStr">
        <is>
          <t>Low</t>
        </is>
      </c>
      <c r="J785" s="308" t="inlineStr">
        <is>
          <t>drawing</t>
        </is>
      </c>
      <c r="K785" s="308" t="inlineStr">
        <is>
          <t>inferred:bare-isa</t>
        </is>
      </c>
      <c r="L785" s="308" t="inlineStr">
        <is>
          <t>drawing zone; process page; mapped sheet</t>
        </is>
      </c>
      <c r="M785" s="308" t="inlineStr">
        <is>
          <t>RL7-CKR-102 / PI</t>
        </is>
      </c>
      <c r="N785" s="308" t="inlineStr">
        <is>
          <t>native</t>
        </is>
      </c>
      <c r="O785" s="308" t="inlineStr">
        <is>
          <t>native-only</t>
        </is>
      </c>
      <c r="P785" s="308" t="inlineStr">
        <is>
          <t>native</t>
        </is>
      </c>
      <c r="Q785" s="308" t="inlineStr"/>
      <c r="R785" s="308" t="inlineStr">
        <is>
          <t>native text sufficient</t>
        </is>
      </c>
      <c r="S785" s="308" t="inlineStr"/>
      <c r="T785" s="308" t="inlineStr">
        <is>
          <t>p27:native:398, p27:native:531</t>
        </is>
      </c>
      <c r="U785" s="308" t="n">
        <v>2</v>
      </c>
    </row>
    <row r="786">
      <c r="A786" s="308" t="inlineStr">
        <is>
          <t>Missing in Excel</t>
        </is>
      </c>
      <c r="B786" s="308" t="inlineStr">
        <is>
          <t>DG7606</t>
        </is>
      </c>
      <c r="C786" s="308" t="n">
        <v>27</v>
      </c>
      <c r="D786" s="308" t="inlineStr">
        <is>
          <t>RL7-CKR-102-PI002</t>
        </is>
      </c>
      <c r="E786" s="308" t="inlineStr">
        <is>
          <t>RL7-CKR-102</t>
        </is>
      </c>
      <c r="F786" s="308" t="inlineStr">
        <is>
          <t>PI002</t>
        </is>
      </c>
      <c r="G786" s="308" t="inlineStr">
        <is>
          <t>instrument</t>
        </is>
      </c>
      <c r="H786" s="311" t="n">
        <v>0.57</v>
      </c>
      <c r="I786" s="308" t="inlineStr">
        <is>
          <t>Low</t>
        </is>
      </c>
      <c r="J786" s="308" t="inlineStr">
        <is>
          <t>drawing</t>
        </is>
      </c>
      <c r="K786" s="308" t="inlineStr">
        <is>
          <t>inferred:bare-isa</t>
        </is>
      </c>
      <c r="L786" s="308" t="inlineStr">
        <is>
          <t>drawing zone; process page; mapped sheet</t>
        </is>
      </c>
      <c r="M786" s="308" t="inlineStr">
        <is>
          <t>RL7-CKR-102 / PI</t>
        </is>
      </c>
      <c r="N786" s="308" t="inlineStr">
        <is>
          <t>native</t>
        </is>
      </c>
      <c r="O786" s="308" t="inlineStr">
        <is>
          <t>native-only</t>
        </is>
      </c>
      <c r="P786" s="308" t="inlineStr">
        <is>
          <t>native</t>
        </is>
      </c>
      <c r="Q786" s="308" t="inlineStr"/>
      <c r="R786" s="308" t="inlineStr">
        <is>
          <t>native text sufficient</t>
        </is>
      </c>
      <c r="S786" s="308" t="inlineStr"/>
      <c r="T786" s="308" t="inlineStr">
        <is>
          <t>p27:native:398, p27:native:514</t>
        </is>
      </c>
      <c r="U786" s="308" t="n">
        <v>2</v>
      </c>
    </row>
    <row r="787">
      <c r="A787" s="308" t="inlineStr">
        <is>
          <t>Missing in Excel</t>
        </is>
      </c>
      <c r="B787" s="308" t="inlineStr">
        <is>
          <t>DG7606</t>
        </is>
      </c>
      <c r="C787" s="308" t="n">
        <v>27</v>
      </c>
      <c r="D787" s="308" t="inlineStr">
        <is>
          <t>RL7-HTX-101-HV001</t>
        </is>
      </c>
      <c r="E787" s="308" t="inlineStr">
        <is>
          <t>RL7-HTX-101</t>
        </is>
      </c>
      <c r="F787" s="308" t="inlineStr">
        <is>
          <t>HV001</t>
        </is>
      </c>
      <c r="G787" s="308" t="inlineStr">
        <is>
          <t>instrument</t>
        </is>
      </c>
      <c r="H787" s="311" t="n">
        <v>0.57</v>
      </c>
      <c r="I787" s="308" t="inlineStr">
        <is>
          <t>Low</t>
        </is>
      </c>
      <c r="J787" s="308" t="inlineStr">
        <is>
          <t>drawing</t>
        </is>
      </c>
      <c r="K787" s="308" t="inlineStr">
        <is>
          <t>inferred:bare-isa</t>
        </is>
      </c>
      <c r="L787" s="308" t="inlineStr">
        <is>
          <t>drawing zone; process page; mapped sheet</t>
        </is>
      </c>
      <c r="M787" s="308" t="inlineStr">
        <is>
          <t>RL7-HTX-101 / HV</t>
        </is>
      </c>
      <c r="N787" s="308" t="inlineStr">
        <is>
          <t>native</t>
        </is>
      </c>
      <c r="O787" s="308" t="inlineStr">
        <is>
          <t>native-only</t>
        </is>
      </c>
      <c r="P787" s="308" t="inlineStr">
        <is>
          <t>native</t>
        </is>
      </c>
      <c r="Q787" s="308" t="inlineStr"/>
      <c r="R787" s="308" t="inlineStr">
        <is>
          <t>native text sufficient</t>
        </is>
      </c>
      <c r="S787" s="308" t="inlineStr"/>
      <c r="T787" s="308" t="inlineStr">
        <is>
          <t>p27:native:205, p27:native:222</t>
        </is>
      </c>
      <c r="U787" s="308" t="n">
        <v>2</v>
      </c>
    </row>
    <row r="788">
      <c r="A788" s="308" t="inlineStr">
        <is>
          <t>Missing in Excel</t>
        </is>
      </c>
      <c r="B788" s="308" t="inlineStr">
        <is>
          <t>DG7606</t>
        </is>
      </c>
      <c r="C788" s="308" t="n">
        <v>27</v>
      </c>
      <c r="D788" s="308" t="inlineStr">
        <is>
          <t>RL7-HTX-101-HV002</t>
        </is>
      </c>
      <c r="E788" s="308" t="inlineStr">
        <is>
          <t>RL7-HTX-101</t>
        </is>
      </c>
      <c r="F788" s="308" t="inlineStr">
        <is>
          <t>HV002</t>
        </is>
      </c>
      <c r="G788" s="308" t="inlineStr">
        <is>
          <t>instrument</t>
        </is>
      </c>
      <c r="H788" s="311" t="n">
        <v>0.57</v>
      </c>
      <c r="I788" s="308" t="inlineStr">
        <is>
          <t>Low</t>
        </is>
      </c>
      <c r="J788" s="308" t="inlineStr">
        <is>
          <t>drawing</t>
        </is>
      </c>
      <c r="K788" s="308" t="inlineStr">
        <is>
          <t>inferred:bare-isa</t>
        </is>
      </c>
      <c r="L788" s="308" t="inlineStr">
        <is>
          <t>drawing zone; process page; mapped sheet</t>
        </is>
      </c>
      <c r="M788" s="308" t="inlineStr">
        <is>
          <t>RL7-HTX-101 / HV</t>
        </is>
      </c>
      <c r="N788" s="308" t="inlineStr">
        <is>
          <t>native</t>
        </is>
      </c>
      <c r="O788" s="308" t="inlineStr">
        <is>
          <t>native-only</t>
        </is>
      </c>
      <c r="P788" s="308" t="inlineStr">
        <is>
          <t>native</t>
        </is>
      </c>
      <c r="Q788" s="308" t="inlineStr"/>
      <c r="R788" s="308" t="inlineStr">
        <is>
          <t>native text sufficient</t>
        </is>
      </c>
      <c r="S788" s="308" t="inlineStr"/>
      <c r="T788" s="308" t="inlineStr">
        <is>
          <t>p27:native:205, p27:native:292</t>
        </is>
      </c>
      <c r="U788" s="308" t="n">
        <v>2</v>
      </c>
    </row>
    <row r="789">
      <c r="A789" s="308" t="inlineStr">
        <is>
          <t>Missing in Excel</t>
        </is>
      </c>
      <c r="B789" s="308" t="inlineStr">
        <is>
          <t>DG7606</t>
        </is>
      </c>
      <c r="C789" s="308" t="n">
        <v>27</v>
      </c>
      <c r="D789" s="308" t="inlineStr">
        <is>
          <t>RL7-HTX-101-HV003</t>
        </is>
      </c>
      <c r="E789" s="308" t="inlineStr">
        <is>
          <t>RL7-HTX-101</t>
        </is>
      </c>
      <c r="F789" s="308" t="inlineStr">
        <is>
          <t>HV003</t>
        </is>
      </c>
      <c r="G789" s="308" t="inlineStr">
        <is>
          <t>instrument</t>
        </is>
      </c>
      <c r="H789" s="311" t="n">
        <v>0.57</v>
      </c>
      <c r="I789" s="308" t="inlineStr">
        <is>
          <t>Low</t>
        </is>
      </c>
      <c r="J789" s="308" t="inlineStr">
        <is>
          <t>drawing</t>
        </is>
      </c>
      <c r="K789" s="308" t="inlineStr">
        <is>
          <t>inferred:bare-isa</t>
        </is>
      </c>
      <c r="L789" s="308" t="inlineStr">
        <is>
          <t>drawing zone; process page; mapped sheet</t>
        </is>
      </c>
      <c r="M789" s="308" t="inlineStr">
        <is>
          <t>RL7-HTX-101 / HV</t>
        </is>
      </c>
      <c r="N789" s="308" t="inlineStr">
        <is>
          <t>native</t>
        </is>
      </c>
      <c r="O789" s="308" t="inlineStr">
        <is>
          <t>native-only</t>
        </is>
      </c>
      <c r="P789" s="308" t="inlineStr">
        <is>
          <t>native</t>
        </is>
      </c>
      <c r="Q789" s="308" t="inlineStr"/>
      <c r="R789" s="308" t="inlineStr">
        <is>
          <t>native text sufficient</t>
        </is>
      </c>
      <c r="S789" s="308" t="inlineStr"/>
      <c r="T789" s="308" t="inlineStr">
        <is>
          <t>p27:native:195, p27:native:187</t>
        </is>
      </c>
      <c r="U789" s="308" t="n">
        <v>2</v>
      </c>
    </row>
    <row r="790">
      <c r="A790" s="308" t="inlineStr">
        <is>
          <t>Missing in Excel</t>
        </is>
      </c>
      <c r="B790" s="308" t="inlineStr">
        <is>
          <t>DG7606</t>
        </is>
      </c>
      <c r="C790" s="308" t="n">
        <v>27</v>
      </c>
      <c r="D790" s="308" t="inlineStr">
        <is>
          <t>RL7-HTX-101-HV004</t>
        </is>
      </c>
      <c r="E790" s="308" t="inlineStr">
        <is>
          <t>RL7-HTX-101</t>
        </is>
      </c>
      <c r="F790" s="308" t="inlineStr">
        <is>
          <t>HV004</t>
        </is>
      </c>
      <c r="G790" s="308" t="inlineStr">
        <is>
          <t>instrument</t>
        </is>
      </c>
      <c r="H790" s="311" t="n">
        <v>0.57</v>
      </c>
      <c r="I790" s="308" t="inlineStr">
        <is>
          <t>Low</t>
        </is>
      </c>
      <c r="J790" s="308" t="inlineStr">
        <is>
          <t>drawing</t>
        </is>
      </c>
      <c r="K790" s="308" t="inlineStr">
        <is>
          <t>inferred:bare-isa</t>
        </is>
      </c>
      <c r="L790" s="308" t="inlineStr">
        <is>
          <t>drawing zone; process page; mapped sheet</t>
        </is>
      </c>
      <c r="M790" s="308" t="inlineStr">
        <is>
          <t>RL7-HTX-101 / HV</t>
        </is>
      </c>
      <c r="N790" s="308" t="inlineStr">
        <is>
          <t>native</t>
        </is>
      </c>
      <c r="O790" s="308" t="inlineStr">
        <is>
          <t>native-only</t>
        </is>
      </c>
      <c r="P790" s="308" t="inlineStr">
        <is>
          <t>native</t>
        </is>
      </c>
      <c r="Q790" s="308" t="inlineStr"/>
      <c r="R790" s="308" t="inlineStr">
        <is>
          <t>native text sufficient</t>
        </is>
      </c>
      <c r="S790" s="308" t="inlineStr"/>
      <c r="T790" s="308" t="inlineStr">
        <is>
          <t>p27:native:203, p27:native:193</t>
        </is>
      </c>
      <c r="U790" s="308" t="n">
        <v>2</v>
      </c>
    </row>
    <row r="791">
      <c r="A791" s="308" t="inlineStr">
        <is>
          <t>Missing in Excel</t>
        </is>
      </c>
      <c r="B791" s="308" t="inlineStr">
        <is>
          <t>DG7606</t>
        </is>
      </c>
      <c r="C791" s="308" t="n">
        <v>27</v>
      </c>
      <c r="D791" s="308" t="inlineStr">
        <is>
          <t>RL7-HTX-101-HV005</t>
        </is>
      </c>
      <c r="E791" s="308" t="inlineStr">
        <is>
          <t>RL7-HTX-101</t>
        </is>
      </c>
      <c r="F791" s="308" t="inlineStr">
        <is>
          <t>HV005</t>
        </is>
      </c>
      <c r="G791" s="308" t="inlineStr">
        <is>
          <t>instrument</t>
        </is>
      </c>
      <c r="H791" s="311" t="n">
        <v>0.57</v>
      </c>
      <c r="I791" s="308" t="inlineStr">
        <is>
          <t>Low</t>
        </is>
      </c>
      <c r="J791" s="308" t="inlineStr">
        <is>
          <t>drawing</t>
        </is>
      </c>
      <c r="K791" s="308" t="inlineStr">
        <is>
          <t>inferred:bare-isa</t>
        </is>
      </c>
      <c r="L791" s="308" t="inlineStr">
        <is>
          <t>drawing zone; process page; mapped sheet</t>
        </is>
      </c>
      <c r="M791" s="308" t="inlineStr">
        <is>
          <t>RL7-HTX-101 / HV</t>
        </is>
      </c>
      <c r="N791" s="308" t="inlineStr">
        <is>
          <t>native</t>
        </is>
      </c>
      <c r="O791" s="308" t="inlineStr">
        <is>
          <t>native-only</t>
        </is>
      </c>
      <c r="P791" s="308" t="inlineStr">
        <is>
          <t>native</t>
        </is>
      </c>
      <c r="Q791" s="308" t="inlineStr"/>
      <c r="R791" s="308" t="inlineStr">
        <is>
          <t>native text sufficient</t>
        </is>
      </c>
      <c r="S791" s="308" t="inlineStr"/>
      <c r="T791" s="308" t="inlineStr">
        <is>
          <t>p27:native:162, p27:native:341</t>
        </is>
      </c>
      <c r="U791" s="308" t="n">
        <v>2</v>
      </c>
    </row>
    <row r="792">
      <c r="A792" s="308" t="inlineStr">
        <is>
          <t>Missing in Excel</t>
        </is>
      </c>
      <c r="B792" s="308" t="inlineStr">
        <is>
          <t>DG7606</t>
        </is>
      </c>
      <c r="C792" s="308" t="n">
        <v>27</v>
      </c>
      <c r="D792" s="308" t="inlineStr">
        <is>
          <t>RL7-HTX-101-HV006</t>
        </is>
      </c>
      <c r="E792" s="308" t="inlineStr">
        <is>
          <t>RL7-HTX-101</t>
        </is>
      </c>
      <c r="F792" s="308" t="inlineStr">
        <is>
          <t>HV006</t>
        </is>
      </c>
      <c r="G792" s="308" t="inlineStr">
        <is>
          <t>instrument</t>
        </is>
      </c>
      <c r="H792" s="311" t="n">
        <v>0.57</v>
      </c>
      <c r="I792" s="308" t="inlineStr">
        <is>
          <t>Low</t>
        </is>
      </c>
      <c r="J792" s="308" t="inlineStr">
        <is>
          <t>drawing</t>
        </is>
      </c>
      <c r="K792" s="308" t="inlineStr">
        <is>
          <t>inferred:bare-isa</t>
        </is>
      </c>
      <c r="L792" s="308" t="inlineStr">
        <is>
          <t>drawing zone; process page; mapped sheet</t>
        </is>
      </c>
      <c r="M792" s="308" t="inlineStr">
        <is>
          <t>RL7-HTX-101 / HV</t>
        </is>
      </c>
      <c r="N792" s="308" t="inlineStr">
        <is>
          <t>native</t>
        </is>
      </c>
      <c r="O792" s="308" t="inlineStr">
        <is>
          <t>native-only</t>
        </is>
      </c>
      <c r="P792" s="308" t="inlineStr">
        <is>
          <t>native</t>
        </is>
      </c>
      <c r="Q792" s="308" t="inlineStr"/>
      <c r="R792" s="308" t="inlineStr">
        <is>
          <t>native text sufficient</t>
        </is>
      </c>
      <c r="S792" s="308" t="inlineStr"/>
      <c r="T792" s="308" t="inlineStr">
        <is>
          <t>p27:native:269, p27:native:168</t>
        </is>
      </c>
      <c r="U792" s="308" t="n">
        <v>2</v>
      </c>
    </row>
    <row r="793">
      <c r="A793" s="308" t="inlineStr">
        <is>
          <t>Missing in Excel</t>
        </is>
      </c>
      <c r="B793" s="308" t="inlineStr">
        <is>
          <t>DG7606</t>
        </is>
      </c>
      <c r="C793" s="308" t="n">
        <v>27</v>
      </c>
      <c r="D793" s="308" t="inlineStr">
        <is>
          <t>RL7-HTX-101-HV007</t>
        </is>
      </c>
      <c r="E793" s="308" t="inlineStr">
        <is>
          <t>RL7-HTX-101</t>
        </is>
      </c>
      <c r="F793" s="308" t="inlineStr">
        <is>
          <t>HV007</t>
        </is>
      </c>
      <c r="G793" s="308" t="inlineStr">
        <is>
          <t>instrument</t>
        </is>
      </c>
      <c r="H793" s="311" t="n">
        <v>0.57</v>
      </c>
      <c r="I793" s="308" t="inlineStr">
        <is>
          <t>Low</t>
        </is>
      </c>
      <c r="J793" s="308" t="inlineStr">
        <is>
          <t>drawing</t>
        </is>
      </c>
      <c r="K793" s="308" t="inlineStr">
        <is>
          <t>inferred:bare-isa</t>
        </is>
      </c>
      <c r="L793" s="308" t="inlineStr">
        <is>
          <t>drawing zone; process page; mapped sheet</t>
        </is>
      </c>
      <c r="M793" s="308" t="inlineStr">
        <is>
          <t>RL7-HTX-101 / HV</t>
        </is>
      </c>
      <c r="N793" s="308" t="inlineStr">
        <is>
          <t>native</t>
        </is>
      </c>
      <c r="O793" s="308" t="inlineStr">
        <is>
          <t>native-only</t>
        </is>
      </c>
      <c r="P793" s="308" t="inlineStr">
        <is>
          <t>native</t>
        </is>
      </c>
      <c r="Q793" s="308" t="inlineStr"/>
      <c r="R793" s="308" t="inlineStr">
        <is>
          <t>native text sufficient</t>
        </is>
      </c>
      <c r="S793" s="308" t="inlineStr"/>
      <c r="T793" s="308" t="inlineStr">
        <is>
          <t>p27:native:269, p27:native:115</t>
        </is>
      </c>
      <c r="U793" s="308" t="n">
        <v>2</v>
      </c>
    </row>
    <row r="794">
      <c r="A794" s="308" t="inlineStr">
        <is>
          <t>Missing in Excel</t>
        </is>
      </c>
      <c r="B794" s="308" t="inlineStr">
        <is>
          <t>DG7606</t>
        </is>
      </c>
      <c r="C794" s="308" t="n">
        <v>27</v>
      </c>
      <c r="D794" s="308" t="inlineStr">
        <is>
          <t>RL7-HTX-101-HV008</t>
        </is>
      </c>
      <c r="E794" s="308" t="inlineStr">
        <is>
          <t>RL7-HTX-101</t>
        </is>
      </c>
      <c r="F794" s="308" t="inlineStr">
        <is>
          <t>HV008</t>
        </is>
      </c>
      <c r="G794" s="308" t="inlineStr">
        <is>
          <t>instrument</t>
        </is>
      </c>
      <c r="H794" s="311" t="n">
        <v>0.57</v>
      </c>
      <c r="I794" s="308" t="inlineStr">
        <is>
          <t>Low</t>
        </is>
      </c>
      <c r="J794" s="308" t="inlineStr">
        <is>
          <t>drawing</t>
        </is>
      </c>
      <c r="K794" s="308" t="inlineStr">
        <is>
          <t>inferred:bare-isa</t>
        </is>
      </c>
      <c r="L794" s="308" t="inlineStr">
        <is>
          <t>drawing zone; process page; mapped sheet</t>
        </is>
      </c>
      <c r="M794" s="308" t="inlineStr">
        <is>
          <t>RL7-HTX-101 / HV</t>
        </is>
      </c>
      <c r="N794" s="308" t="inlineStr">
        <is>
          <t>native</t>
        </is>
      </c>
      <c r="O794" s="308" t="inlineStr">
        <is>
          <t>native-only</t>
        </is>
      </c>
      <c r="P794" s="308" t="inlineStr">
        <is>
          <t>native</t>
        </is>
      </c>
      <c r="Q794" s="308" t="inlineStr"/>
      <c r="R794" s="308" t="inlineStr">
        <is>
          <t>native text sufficient</t>
        </is>
      </c>
      <c r="S794" s="308" t="inlineStr"/>
      <c r="T794" s="308" t="inlineStr">
        <is>
          <t>p27:native:269, p27:native:139</t>
        </is>
      </c>
      <c r="U794" s="308" t="n">
        <v>2</v>
      </c>
    </row>
    <row r="795">
      <c r="A795" s="308" t="inlineStr">
        <is>
          <t>Missing in Excel</t>
        </is>
      </c>
      <c r="B795" s="308" t="inlineStr">
        <is>
          <t>DG7606</t>
        </is>
      </c>
      <c r="C795" s="308" t="n">
        <v>27</v>
      </c>
      <c r="D795" s="308" t="inlineStr">
        <is>
          <t>RL7-HTX-101-HV009</t>
        </is>
      </c>
      <c r="E795" s="308" t="inlineStr">
        <is>
          <t>RL7-HTX-101</t>
        </is>
      </c>
      <c r="F795" s="308" t="inlineStr">
        <is>
          <t>HV009</t>
        </is>
      </c>
      <c r="G795" s="308" t="inlineStr">
        <is>
          <t>instrument</t>
        </is>
      </c>
      <c r="H795" s="311" t="n">
        <v>0.57</v>
      </c>
      <c r="I795" s="308" t="inlineStr">
        <is>
          <t>Low</t>
        </is>
      </c>
      <c r="J795" s="308" t="inlineStr">
        <is>
          <t>drawing</t>
        </is>
      </c>
      <c r="K795" s="308" t="inlineStr">
        <is>
          <t>inferred:bare-isa</t>
        </is>
      </c>
      <c r="L795" s="308" t="inlineStr">
        <is>
          <t>drawing zone; process page; mapped sheet</t>
        </is>
      </c>
      <c r="M795" s="308" t="inlineStr">
        <is>
          <t>RL7-HTX-101 / HV</t>
        </is>
      </c>
      <c r="N795" s="308" t="inlineStr">
        <is>
          <t>native</t>
        </is>
      </c>
      <c r="O795" s="308" t="inlineStr">
        <is>
          <t>native-only</t>
        </is>
      </c>
      <c r="P795" s="308" t="inlineStr">
        <is>
          <t>native</t>
        </is>
      </c>
      <c r="Q795" s="308" t="inlineStr"/>
      <c r="R795" s="308" t="inlineStr">
        <is>
          <t>native text sufficient</t>
        </is>
      </c>
      <c r="S795" s="308" t="inlineStr"/>
      <c r="T795" s="308" t="inlineStr">
        <is>
          <t>p27:native:269, p27:native:121</t>
        </is>
      </c>
      <c r="U795" s="308" t="n">
        <v>2</v>
      </c>
    </row>
    <row r="796">
      <c r="A796" s="308" t="inlineStr">
        <is>
          <t>Missing in Excel</t>
        </is>
      </c>
      <c r="B796" s="308" t="inlineStr">
        <is>
          <t>DG7606</t>
        </is>
      </c>
      <c r="C796" s="308" t="n">
        <v>27</v>
      </c>
      <c r="D796" s="308" t="inlineStr">
        <is>
          <t>RL7-HTX-101-PI001</t>
        </is>
      </c>
      <c r="E796" s="308" t="inlineStr">
        <is>
          <t>RL7-HTX-101</t>
        </is>
      </c>
      <c r="F796" s="308" t="inlineStr">
        <is>
          <t>PI001</t>
        </is>
      </c>
      <c r="G796" s="308" t="inlineStr">
        <is>
          <t>instrument</t>
        </is>
      </c>
      <c r="H796" s="311" t="n">
        <v>0.57</v>
      </c>
      <c r="I796" s="308" t="inlineStr">
        <is>
          <t>Low</t>
        </is>
      </c>
      <c r="J796" s="308" t="inlineStr">
        <is>
          <t>drawing</t>
        </is>
      </c>
      <c r="K796" s="308" t="inlineStr">
        <is>
          <t>inferred:bare-isa</t>
        </is>
      </c>
      <c r="L796" s="308" t="inlineStr">
        <is>
          <t>drawing zone; process page; mapped sheet</t>
        </is>
      </c>
      <c r="M796" s="308" t="inlineStr">
        <is>
          <t>RL7-HTX-101 / PI</t>
        </is>
      </c>
      <c r="N796" s="308" t="inlineStr">
        <is>
          <t>native</t>
        </is>
      </c>
      <c r="O796" s="308" t="inlineStr">
        <is>
          <t>native-only</t>
        </is>
      </c>
      <c r="P796" s="308" t="inlineStr">
        <is>
          <t>native</t>
        </is>
      </c>
      <c r="Q796" s="308" t="inlineStr"/>
      <c r="R796" s="308" t="inlineStr">
        <is>
          <t>native text sufficient</t>
        </is>
      </c>
      <c r="S796" s="308" t="inlineStr"/>
      <c r="T796" s="308" t="inlineStr">
        <is>
          <t>p27:native:195, p27:native:246</t>
        </is>
      </c>
      <c r="U796" s="308" t="n">
        <v>2</v>
      </c>
    </row>
    <row r="797">
      <c r="A797" s="308" t="inlineStr">
        <is>
          <t>Missing in Excel</t>
        </is>
      </c>
      <c r="B797" s="308" t="inlineStr">
        <is>
          <t>DG7606</t>
        </is>
      </c>
      <c r="C797" s="308" t="n">
        <v>27</v>
      </c>
      <c r="D797" s="308" t="inlineStr">
        <is>
          <t>RL7-HTX-101-PI002</t>
        </is>
      </c>
      <c r="E797" s="308" t="inlineStr">
        <is>
          <t>RL7-HTX-101</t>
        </is>
      </c>
      <c r="F797" s="308" t="inlineStr">
        <is>
          <t>PI002</t>
        </is>
      </c>
      <c r="G797" s="308" t="inlineStr">
        <is>
          <t>instrument</t>
        </is>
      </c>
      <c r="H797" s="311" t="n">
        <v>0.57</v>
      </c>
      <c r="I797" s="308" t="inlineStr">
        <is>
          <t>Low</t>
        </is>
      </c>
      <c r="J797" s="308" t="inlineStr">
        <is>
          <t>drawing</t>
        </is>
      </c>
      <c r="K797" s="308" t="inlineStr">
        <is>
          <t>inferred:bare-isa</t>
        </is>
      </c>
      <c r="L797" s="308" t="inlineStr">
        <is>
          <t>drawing zone; process page; mapped sheet</t>
        </is>
      </c>
      <c r="M797" s="308" t="inlineStr">
        <is>
          <t>RL7-HTX-101 / PI</t>
        </is>
      </c>
      <c r="N797" s="308" t="inlineStr">
        <is>
          <t>native</t>
        </is>
      </c>
      <c r="O797" s="308" t="inlineStr">
        <is>
          <t>native-only</t>
        </is>
      </c>
      <c r="P797" s="308" t="inlineStr">
        <is>
          <t>native</t>
        </is>
      </c>
      <c r="Q797" s="308" t="inlineStr"/>
      <c r="R797" s="308" t="inlineStr">
        <is>
          <t>native text sufficient</t>
        </is>
      </c>
      <c r="S797" s="308" t="inlineStr"/>
      <c r="T797" s="308" t="inlineStr">
        <is>
          <t>p27:native:162, p27:native:343</t>
        </is>
      </c>
      <c r="U797" s="308" t="n">
        <v>2</v>
      </c>
    </row>
    <row r="798">
      <c r="A798" s="308" t="inlineStr">
        <is>
          <t>Missing in Excel</t>
        </is>
      </c>
      <c r="B798" s="308" t="inlineStr">
        <is>
          <t>DG7606</t>
        </is>
      </c>
      <c r="C798" s="308" t="n">
        <v>27</v>
      </c>
      <c r="D798" s="308" t="inlineStr">
        <is>
          <t>RL7-HTX-101-PI003</t>
        </is>
      </c>
      <c r="E798" s="308" t="inlineStr">
        <is>
          <t>RL7-HTX-101</t>
        </is>
      </c>
      <c r="F798" s="308" t="inlineStr">
        <is>
          <t>PI003</t>
        </is>
      </c>
      <c r="G798" s="308" t="inlineStr">
        <is>
          <t>instrument</t>
        </is>
      </c>
      <c r="H798" s="311" t="n">
        <v>0.57</v>
      </c>
      <c r="I798" s="308" t="inlineStr">
        <is>
          <t>Low</t>
        </is>
      </c>
      <c r="J798" s="308" t="inlineStr">
        <is>
          <t>drawing</t>
        </is>
      </c>
      <c r="K798" s="308" t="inlineStr">
        <is>
          <t>inferred:bare-isa</t>
        </is>
      </c>
      <c r="L798" s="308" t="inlineStr">
        <is>
          <t>drawing zone; process page; mapped sheet</t>
        </is>
      </c>
      <c r="M798" s="308" t="inlineStr">
        <is>
          <t>RL7-HTX-101 / PI</t>
        </is>
      </c>
      <c r="N798" s="308" t="inlineStr">
        <is>
          <t>native</t>
        </is>
      </c>
      <c r="O798" s="308" t="inlineStr">
        <is>
          <t>native-only</t>
        </is>
      </c>
      <c r="P798" s="308" t="inlineStr">
        <is>
          <t>native</t>
        </is>
      </c>
      <c r="Q798" s="308" t="inlineStr"/>
      <c r="R798" s="308" t="inlineStr">
        <is>
          <t>native text sufficient</t>
        </is>
      </c>
      <c r="S798" s="308" t="inlineStr"/>
      <c r="T798" s="308" t="inlineStr">
        <is>
          <t>p27:native:195, p27:native:241</t>
        </is>
      </c>
      <c r="U798" s="308" t="n">
        <v>2</v>
      </c>
    </row>
    <row r="799">
      <c r="A799" s="308" t="inlineStr">
        <is>
          <t>Missing in Excel</t>
        </is>
      </c>
      <c r="B799" s="308" t="inlineStr">
        <is>
          <t>DG7606</t>
        </is>
      </c>
      <c r="C799" s="308" t="n">
        <v>27</v>
      </c>
      <c r="D799" s="308" t="inlineStr">
        <is>
          <t>RL7-HTX-101-PI004</t>
        </is>
      </c>
      <c r="E799" s="308" t="inlineStr">
        <is>
          <t>RL7-HTX-101</t>
        </is>
      </c>
      <c r="F799" s="308" t="inlineStr">
        <is>
          <t>PI004</t>
        </is>
      </c>
      <c r="G799" s="308" t="inlineStr">
        <is>
          <t>instrument</t>
        </is>
      </c>
      <c r="H799" s="311" t="n">
        <v>0.57</v>
      </c>
      <c r="I799" s="308" t="inlineStr">
        <is>
          <t>Low</t>
        </is>
      </c>
      <c r="J799" s="308" t="inlineStr">
        <is>
          <t>drawing</t>
        </is>
      </c>
      <c r="K799" s="308" t="inlineStr">
        <is>
          <t>inferred:bare-isa</t>
        </is>
      </c>
      <c r="L799" s="308" t="inlineStr">
        <is>
          <t>drawing zone; process page; mapped sheet</t>
        </is>
      </c>
      <c r="M799" s="308" t="inlineStr">
        <is>
          <t>RL7-HTX-101 / PI</t>
        </is>
      </c>
      <c r="N799" s="308" t="inlineStr">
        <is>
          <t>native</t>
        </is>
      </c>
      <c r="O799" s="308" t="inlineStr">
        <is>
          <t>native-only</t>
        </is>
      </c>
      <c r="P799" s="308" t="inlineStr">
        <is>
          <t>native</t>
        </is>
      </c>
      <c r="Q799" s="308" t="inlineStr"/>
      <c r="R799" s="308" t="inlineStr">
        <is>
          <t>native text sufficient</t>
        </is>
      </c>
      <c r="S799" s="308" t="inlineStr"/>
      <c r="T799" s="308" t="inlineStr">
        <is>
          <t>p27:native:159, p27:native:253</t>
        </is>
      </c>
      <c r="U799" s="308" t="n">
        <v>2</v>
      </c>
    </row>
    <row r="800">
      <c r="A800" s="308" t="inlineStr">
        <is>
          <t>Missing in Excel</t>
        </is>
      </c>
      <c r="B800" s="308" t="inlineStr">
        <is>
          <t>DG7606</t>
        </is>
      </c>
      <c r="C800" s="308" t="n">
        <v>27</v>
      </c>
      <c r="D800" s="308" t="inlineStr">
        <is>
          <t>RL7-HTX-101-TR001</t>
        </is>
      </c>
      <c r="E800" s="308" t="inlineStr">
        <is>
          <t>RL7-HTX-101</t>
        </is>
      </c>
      <c r="F800" s="308" t="inlineStr">
        <is>
          <t>TR001</t>
        </is>
      </c>
      <c r="G800" s="308" t="inlineStr">
        <is>
          <t>instrument</t>
        </is>
      </c>
      <c r="H800" s="311" t="n">
        <v>0.57</v>
      </c>
      <c r="I800" s="308" t="inlineStr">
        <is>
          <t>Low</t>
        </is>
      </c>
      <c r="J800" s="308" t="inlineStr">
        <is>
          <t>drawing</t>
        </is>
      </c>
      <c r="K800" s="308" t="inlineStr">
        <is>
          <t>inferred:bare-isa</t>
        </is>
      </c>
      <c r="L800" s="308" t="inlineStr">
        <is>
          <t>drawing zone; process page; mapped sheet</t>
        </is>
      </c>
      <c r="M800" s="308" t="inlineStr">
        <is>
          <t>RL7-HTX-101 / TR</t>
        </is>
      </c>
      <c r="N800" s="308" t="inlineStr">
        <is>
          <t>native</t>
        </is>
      </c>
      <c r="O800" s="308" t="inlineStr">
        <is>
          <t>native-only</t>
        </is>
      </c>
      <c r="P800" s="308" t="inlineStr">
        <is>
          <t>native</t>
        </is>
      </c>
      <c r="Q800" s="308" t="inlineStr"/>
      <c r="R800" s="308" t="inlineStr">
        <is>
          <t>native text sufficient</t>
        </is>
      </c>
      <c r="S800" s="308" t="inlineStr"/>
      <c r="T800" s="308" t="inlineStr">
        <is>
          <t>p27:native:347, p27:native:181</t>
        </is>
      </c>
      <c r="U800" s="308" t="n">
        <v>2</v>
      </c>
    </row>
    <row r="801">
      <c r="A801" s="308" t="inlineStr">
        <is>
          <t>Missing in Excel</t>
        </is>
      </c>
      <c r="B801" s="308" t="inlineStr">
        <is>
          <t>DG7606</t>
        </is>
      </c>
      <c r="C801" s="308" t="n">
        <v>27</v>
      </c>
      <c r="D801" s="308" t="inlineStr">
        <is>
          <t>RL7-HTX-101-TR002</t>
        </is>
      </c>
      <c r="E801" s="308" t="inlineStr">
        <is>
          <t>RL7-HTX-101</t>
        </is>
      </c>
      <c r="F801" s="308" t="inlineStr">
        <is>
          <t>TR002</t>
        </is>
      </c>
      <c r="G801" s="308" t="inlineStr">
        <is>
          <t>instrument</t>
        </is>
      </c>
      <c r="H801" s="311" t="n">
        <v>0.57</v>
      </c>
      <c r="I801" s="308" t="inlineStr">
        <is>
          <t>Low</t>
        </is>
      </c>
      <c r="J801" s="308" t="inlineStr">
        <is>
          <t>drawing</t>
        </is>
      </c>
      <c r="K801" s="308" t="inlineStr">
        <is>
          <t>inferred:bare-isa</t>
        </is>
      </c>
      <c r="L801" s="308" t="inlineStr">
        <is>
          <t>drawing zone; process page; mapped sheet</t>
        </is>
      </c>
      <c r="M801" s="308" t="inlineStr">
        <is>
          <t>RL7-HTX-101 / TR</t>
        </is>
      </c>
      <c r="N801" s="308" t="inlineStr">
        <is>
          <t>native</t>
        </is>
      </c>
      <c r="O801" s="308" t="inlineStr">
        <is>
          <t>native-only</t>
        </is>
      </c>
      <c r="P801" s="308" t="inlineStr">
        <is>
          <t>native</t>
        </is>
      </c>
      <c r="Q801" s="308" t="inlineStr"/>
      <c r="R801" s="308" t="inlineStr">
        <is>
          <t>native text sufficient</t>
        </is>
      </c>
      <c r="S801" s="308" t="inlineStr"/>
      <c r="T801" s="308" t="inlineStr">
        <is>
          <t>p27:native:269, p27:native:109</t>
        </is>
      </c>
      <c r="U801" s="308" t="n">
        <v>2</v>
      </c>
    </row>
    <row r="802">
      <c r="A802" s="308" t="inlineStr">
        <is>
          <t>Missing in Excel</t>
        </is>
      </c>
      <c r="B802" s="308" t="inlineStr">
        <is>
          <t>DG7606</t>
        </is>
      </c>
      <c r="C802" s="308" t="n">
        <v>27</v>
      </c>
      <c r="D802" s="308" t="inlineStr">
        <is>
          <t>RL7-PMP-108-HV001</t>
        </is>
      </c>
      <c r="E802" s="308" t="inlineStr">
        <is>
          <t>RL7-PMP-108</t>
        </is>
      </c>
      <c r="F802" s="308" t="inlineStr">
        <is>
          <t>HV001</t>
        </is>
      </c>
      <c r="G802" s="308" t="inlineStr">
        <is>
          <t>instrument</t>
        </is>
      </c>
      <c r="H802" s="311" t="n">
        <v>0.57</v>
      </c>
      <c r="I802" s="308" t="inlineStr">
        <is>
          <t>Low</t>
        </is>
      </c>
      <c r="J802" s="308" t="inlineStr">
        <is>
          <t>drawing</t>
        </is>
      </c>
      <c r="K802" s="308" t="inlineStr">
        <is>
          <t>inferred:bare-isa</t>
        </is>
      </c>
      <c r="L802" s="308" t="inlineStr">
        <is>
          <t>drawing zone; process page; mapped sheet</t>
        </is>
      </c>
      <c r="M802" s="308" t="inlineStr">
        <is>
          <t>RL7-PMP-108 / HV</t>
        </is>
      </c>
      <c r="N802" s="308" t="inlineStr">
        <is>
          <t>native</t>
        </is>
      </c>
      <c r="O802" s="308" t="inlineStr">
        <is>
          <t>native-only</t>
        </is>
      </c>
      <c r="P802" s="308" t="inlineStr">
        <is>
          <t>native</t>
        </is>
      </c>
      <c r="Q802" s="308" t="inlineStr"/>
      <c r="R802" s="308" t="inlineStr">
        <is>
          <t>native text sufficient</t>
        </is>
      </c>
      <c r="S802" s="308" t="inlineStr"/>
      <c r="T802" s="308" t="inlineStr">
        <is>
          <t>p27:native:280, p27:native:133</t>
        </is>
      </c>
      <c r="U802" s="308" t="n">
        <v>2</v>
      </c>
    </row>
    <row r="803">
      <c r="A803" s="308" t="inlineStr">
        <is>
          <t>Missing in Excel</t>
        </is>
      </c>
      <c r="B803" s="308" t="inlineStr">
        <is>
          <t>DG7606</t>
        </is>
      </c>
      <c r="C803" s="308" t="n">
        <v>27</v>
      </c>
      <c r="D803" s="308" t="inlineStr">
        <is>
          <t>RL7-PMP-108-HV002</t>
        </is>
      </c>
      <c r="E803" s="308" t="inlineStr">
        <is>
          <t>RL7-PMP-108</t>
        </is>
      </c>
      <c r="F803" s="308" t="inlineStr">
        <is>
          <t>HV002</t>
        </is>
      </c>
      <c r="G803" s="308" t="inlineStr">
        <is>
          <t>instrument</t>
        </is>
      </c>
      <c r="H803" s="311" t="n">
        <v>0.57</v>
      </c>
      <c r="I803" s="308" t="inlineStr">
        <is>
          <t>Low</t>
        </is>
      </c>
      <c r="J803" s="308" t="inlineStr">
        <is>
          <t>drawing</t>
        </is>
      </c>
      <c r="K803" s="308" t="inlineStr">
        <is>
          <t>inferred:bare-isa</t>
        </is>
      </c>
      <c r="L803" s="308" t="inlineStr">
        <is>
          <t>drawing zone; process page; mapped sheet</t>
        </is>
      </c>
      <c r="M803" s="308" t="inlineStr">
        <is>
          <t>RL7-PMP-108 / HV</t>
        </is>
      </c>
      <c r="N803" s="308" t="inlineStr">
        <is>
          <t>native</t>
        </is>
      </c>
      <c r="O803" s="308" t="inlineStr">
        <is>
          <t>native-only</t>
        </is>
      </c>
      <c r="P803" s="308" t="inlineStr">
        <is>
          <t>native</t>
        </is>
      </c>
      <c r="Q803" s="308" t="inlineStr"/>
      <c r="R803" s="308" t="inlineStr">
        <is>
          <t>native text sufficient</t>
        </is>
      </c>
      <c r="S803" s="308" t="inlineStr"/>
      <c r="T803" s="308" t="inlineStr">
        <is>
          <t>p27:native:280, p27:native:286</t>
        </is>
      </c>
      <c r="U803" s="308" t="n">
        <v>2</v>
      </c>
    </row>
    <row r="804">
      <c r="A804" s="308" t="inlineStr">
        <is>
          <t>Missing in Excel</t>
        </is>
      </c>
      <c r="B804" s="308" t="inlineStr">
        <is>
          <t>DG7606</t>
        </is>
      </c>
      <c r="C804" s="308" t="n">
        <v>27</v>
      </c>
      <c r="D804" s="308" t="inlineStr">
        <is>
          <t>RL7-PMP-108-HV003</t>
        </is>
      </c>
      <c r="E804" s="308" t="inlineStr">
        <is>
          <t>RL7-PMP-108</t>
        </is>
      </c>
      <c r="F804" s="308" t="inlineStr">
        <is>
          <t>HV003</t>
        </is>
      </c>
      <c r="G804" s="308" t="inlineStr">
        <is>
          <t>instrument</t>
        </is>
      </c>
      <c r="H804" s="311" t="n">
        <v>0.57</v>
      </c>
      <c r="I804" s="308" t="inlineStr">
        <is>
          <t>Low</t>
        </is>
      </c>
      <c r="J804" s="308" t="inlineStr">
        <is>
          <t>drawing</t>
        </is>
      </c>
      <c r="K804" s="308" t="inlineStr">
        <is>
          <t>inferred:bare-isa</t>
        </is>
      </c>
      <c r="L804" s="308" t="inlineStr">
        <is>
          <t>drawing zone; process page; mapped sheet</t>
        </is>
      </c>
      <c r="M804" s="308" t="inlineStr">
        <is>
          <t>RL7-PMP-108 / HV</t>
        </is>
      </c>
      <c r="N804" s="308" t="inlineStr">
        <is>
          <t>native</t>
        </is>
      </c>
      <c r="O804" s="308" t="inlineStr">
        <is>
          <t>native-only</t>
        </is>
      </c>
      <c r="P804" s="308" t="inlineStr">
        <is>
          <t>native</t>
        </is>
      </c>
      <c r="Q804" s="308" t="inlineStr"/>
      <c r="R804" s="308" t="inlineStr">
        <is>
          <t>native text sufficient</t>
        </is>
      </c>
      <c r="S804" s="308" t="inlineStr"/>
      <c r="T804" s="308" t="inlineStr">
        <is>
          <t>p27:native:280, p27:native:96</t>
        </is>
      </c>
      <c r="U804" s="308" t="n">
        <v>2</v>
      </c>
    </row>
    <row r="805">
      <c r="A805" s="308" t="inlineStr">
        <is>
          <t>Missing in Excel</t>
        </is>
      </c>
      <c r="B805" s="308" t="inlineStr">
        <is>
          <t>DG7606</t>
        </is>
      </c>
      <c r="C805" s="308" t="n">
        <v>27</v>
      </c>
      <c r="D805" s="308" t="inlineStr">
        <is>
          <t>RL7-PMP-108-HV004</t>
        </is>
      </c>
      <c r="E805" s="308" t="inlineStr">
        <is>
          <t>RL7-PMP-108</t>
        </is>
      </c>
      <c r="F805" s="308" t="inlineStr">
        <is>
          <t>HV004</t>
        </is>
      </c>
      <c r="G805" s="308" t="inlineStr">
        <is>
          <t>instrument</t>
        </is>
      </c>
      <c r="H805" s="311" t="n">
        <v>0.57</v>
      </c>
      <c r="I805" s="308" t="inlineStr">
        <is>
          <t>Low</t>
        </is>
      </c>
      <c r="J805" s="308" t="inlineStr">
        <is>
          <t>drawing</t>
        </is>
      </c>
      <c r="K805" s="308" t="inlineStr">
        <is>
          <t>inferred:bare-isa</t>
        </is>
      </c>
      <c r="L805" s="308" t="inlineStr">
        <is>
          <t>drawing zone; process page; mapped sheet</t>
        </is>
      </c>
      <c r="M805" s="308" t="inlineStr">
        <is>
          <t>RL7-PMP-108 / HV</t>
        </is>
      </c>
      <c r="N805" s="308" t="inlineStr">
        <is>
          <t>native</t>
        </is>
      </c>
      <c r="O805" s="308" t="inlineStr">
        <is>
          <t>native-only</t>
        </is>
      </c>
      <c r="P805" s="308" t="inlineStr">
        <is>
          <t>native</t>
        </is>
      </c>
      <c r="Q805" s="308" t="inlineStr"/>
      <c r="R805" s="308" t="inlineStr">
        <is>
          <t>native text sufficient</t>
        </is>
      </c>
      <c r="S805" s="308" t="inlineStr"/>
      <c r="T805" s="308" t="inlineStr">
        <is>
          <t>p27:native:277, p27:native:84</t>
        </is>
      </c>
      <c r="U805" s="308" t="n">
        <v>2</v>
      </c>
    </row>
    <row r="806">
      <c r="A806" s="308" t="inlineStr">
        <is>
          <t>Missing in Excel</t>
        </is>
      </c>
      <c r="B806" s="308" t="inlineStr">
        <is>
          <t>DG7606</t>
        </is>
      </c>
      <c r="C806" s="308" t="n">
        <v>27</v>
      </c>
      <c r="D806" s="308" t="inlineStr">
        <is>
          <t>RL7-PMP-108-PI001</t>
        </is>
      </c>
      <c r="E806" s="308" t="inlineStr">
        <is>
          <t>RL7-PMP-108</t>
        </is>
      </c>
      <c r="F806" s="308" t="inlineStr">
        <is>
          <t>PI001</t>
        </is>
      </c>
      <c r="G806" s="308" t="inlineStr">
        <is>
          <t>instrument</t>
        </is>
      </c>
      <c r="H806" s="311" t="n">
        <v>0.57</v>
      </c>
      <c r="I806" s="308" t="inlineStr">
        <is>
          <t>Low</t>
        </is>
      </c>
      <c r="J806" s="308" t="inlineStr">
        <is>
          <t>drawing</t>
        </is>
      </c>
      <c r="K806" s="308" t="inlineStr">
        <is>
          <t>inferred:bare-isa</t>
        </is>
      </c>
      <c r="L806" s="308" t="inlineStr">
        <is>
          <t>drawing zone; process page; mapped sheet</t>
        </is>
      </c>
      <c r="M806" s="308" t="inlineStr">
        <is>
          <t>RL7-PMP-108 / PI</t>
        </is>
      </c>
      <c r="N806" s="308" t="inlineStr">
        <is>
          <t>native</t>
        </is>
      </c>
      <c r="O806" s="308" t="inlineStr">
        <is>
          <t>native-only</t>
        </is>
      </c>
      <c r="P806" s="308" t="inlineStr">
        <is>
          <t>native</t>
        </is>
      </c>
      <c r="Q806" s="308" t="inlineStr"/>
      <c r="R806" s="308" t="inlineStr">
        <is>
          <t>native text sufficient</t>
        </is>
      </c>
      <c r="S806" s="308" t="inlineStr"/>
      <c r="T806" s="308" t="inlineStr">
        <is>
          <t>p27:native:280, p27:native:248</t>
        </is>
      </c>
      <c r="U806" s="308" t="n">
        <v>2</v>
      </c>
    </row>
    <row r="807">
      <c r="A807" s="308" t="inlineStr">
        <is>
          <t>Missing in Excel</t>
        </is>
      </c>
      <c r="B807" s="308" t="inlineStr">
        <is>
          <t>DG7606</t>
        </is>
      </c>
      <c r="C807" s="308" t="n">
        <v>27</v>
      </c>
      <c r="D807" s="308" t="inlineStr">
        <is>
          <t>RL7-PMP-109-HV001</t>
        </is>
      </c>
      <c r="E807" s="308" t="inlineStr">
        <is>
          <t>RL7-PMP-109</t>
        </is>
      </c>
      <c r="F807" s="308" t="inlineStr">
        <is>
          <t>HV001</t>
        </is>
      </c>
      <c r="G807" s="308" t="inlineStr">
        <is>
          <t>instrument</t>
        </is>
      </c>
      <c r="H807" s="311" t="n">
        <v>0.57</v>
      </c>
      <c r="I807" s="308" t="inlineStr">
        <is>
          <t>Low</t>
        </is>
      </c>
      <c r="J807" s="308" t="inlineStr">
        <is>
          <t>drawing</t>
        </is>
      </c>
      <c r="K807" s="308" t="inlineStr">
        <is>
          <t>inferred:bare-isa</t>
        </is>
      </c>
      <c r="L807" s="308" t="inlineStr">
        <is>
          <t>drawing zone; process page; mapped sheet</t>
        </is>
      </c>
      <c r="M807" s="308" t="inlineStr">
        <is>
          <t>RL7-PMP-109 / HV</t>
        </is>
      </c>
      <c r="N807" s="308" t="inlineStr">
        <is>
          <t>native</t>
        </is>
      </c>
      <c r="O807" s="308" t="inlineStr">
        <is>
          <t>native-only</t>
        </is>
      </c>
      <c r="P807" s="308" t="inlineStr">
        <is>
          <t>native</t>
        </is>
      </c>
      <c r="Q807" s="308" t="inlineStr"/>
      <c r="R807" s="308" t="inlineStr">
        <is>
          <t>native text sufficient</t>
        </is>
      </c>
      <c r="S807" s="308" t="inlineStr"/>
      <c r="T807" s="308" t="inlineStr">
        <is>
          <t>p27:native:279, p27:native:174</t>
        </is>
      </c>
      <c r="U807" s="308" t="n">
        <v>2</v>
      </c>
    </row>
    <row r="808">
      <c r="A808" s="308" t="inlineStr">
        <is>
          <t>Missing in Excel</t>
        </is>
      </c>
      <c r="B808" s="308" t="inlineStr">
        <is>
          <t>DG7606</t>
        </is>
      </c>
      <c r="C808" s="308" t="n">
        <v>27</v>
      </c>
      <c r="D808" s="308" t="inlineStr">
        <is>
          <t>RL7-TNK-102-CV001</t>
        </is>
      </c>
      <c r="E808" s="308" t="inlineStr">
        <is>
          <t>RL7-TNK-102</t>
        </is>
      </c>
      <c r="F808" s="308" t="inlineStr">
        <is>
          <t>CV001</t>
        </is>
      </c>
      <c r="G808" s="308" t="inlineStr">
        <is>
          <t>instrument</t>
        </is>
      </c>
      <c r="H808" s="311" t="n">
        <v>0.57</v>
      </c>
      <c r="I808" s="308" t="inlineStr">
        <is>
          <t>Low</t>
        </is>
      </c>
      <c r="J808" s="308" t="inlineStr">
        <is>
          <t>drawing</t>
        </is>
      </c>
      <c r="K808" s="308" t="inlineStr">
        <is>
          <t>inferred:bare-isa</t>
        </is>
      </c>
      <c r="L808" s="308" t="inlineStr">
        <is>
          <t>drawing zone; process page; mapped sheet</t>
        </is>
      </c>
      <c r="M808" s="308" t="inlineStr">
        <is>
          <t>RL7-TNK-102 / CV</t>
        </is>
      </c>
      <c r="N808" s="308" t="inlineStr">
        <is>
          <t>native</t>
        </is>
      </c>
      <c r="O808" s="308" t="inlineStr">
        <is>
          <t>native-only</t>
        </is>
      </c>
      <c r="P808" s="308" t="inlineStr">
        <is>
          <t>native</t>
        </is>
      </c>
      <c r="Q808" s="308" t="inlineStr"/>
      <c r="R808" s="308" t="inlineStr">
        <is>
          <t>native text sufficient</t>
        </is>
      </c>
      <c r="S808" s="308" t="inlineStr"/>
      <c r="T808" s="308" t="inlineStr">
        <is>
          <t>p27:native:11, p27:native:23</t>
        </is>
      </c>
      <c r="U808" s="308" t="n">
        <v>2</v>
      </c>
    </row>
    <row r="809">
      <c r="A809" s="308" t="inlineStr">
        <is>
          <t>Missing in Excel</t>
        </is>
      </c>
      <c r="B809" s="308" t="inlineStr">
        <is>
          <t>DG7606</t>
        </is>
      </c>
      <c r="C809" s="308" t="n">
        <v>27</v>
      </c>
      <c r="D809" s="308" t="inlineStr">
        <is>
          <t>RL7-TNK-102-HV001</t>
        </is>
      </c>
      <c r="E809" s="308" t="inlineStr">
        <is>
          <t>RL7-TNK-102</t>
        </is>
      </c>
      <c r="F809" s="308" t="inlineStr">
        <is>
          <t>HV001</t>
        </is>
      </c>
      <c r="G809" s="308" t="inlineStr">
        <is>
          <t>instrument</t>
        </is>
      </c>
      <c r="H809" s="311" t="n">
        <v>0.57</v>
      </c>
      <c r="I809" s="308" t="inlineStr">
        <is>
          <t>Low</t>
        </is>
      </c>
      <c r="J809" s="308" t="inlineStr">
        <is>
          <t>drawing</t>
        </is>
      </c>
      <c r="K809" s="308" t="inlineStr">
        <is>
          <t>inferred:bare-isa</t>
        </is>
      </c>
      <c r="L809" s="308" t="inlineStr">
        <is>
          <t>drawing zone; process page; mapped sheet</t>
        </is>
      </c>
      <c r="M809" s="308" t="inlineStr">
        <is>
          <t>RL7-TNK-102 / HV</t>
        </is>
      </c>
      <c r="N809" s="308" t="inlineStr">
        <is>
          <t>native</t>
        </is>
      </c>
      <c r="O809" s="308" t="inlineStr">
        <is>
          <t>native-only</t>
        </is>
      </c>
      <c r="P809" s="308" t="inlineStr">
        <is>
          <t>native</t>
        </is>
      </c>
      <c r="Q809" s="308" t="inlineStr"/>
      <c r="R809" s="308" t="inlineStr">
        <is>
          <t>native text sufficient</t>
        </is>
      </c>
      <c r="S809" s="308" t="inlineStr"/>
      <c r="T809" s="308" t="inlineStr">
        <is>
          <t>p27:native:11, p27:native:4</t>
        </is>
      </c>
      <c r="U809" s="308" t="n">
        <v>2</v>
      </c>
    </row>
    <row r="810">
      <c r="A810" s="308" t="inlineStr">
        <is>
          <t>Missing in Excel</t>
        </is>
      </c>
      <c r="B810" s="308" t="inlineStr">
        <is>
          <t>DG7606</t>
        </is>
      </c>
      <c r="C810" s="308" t="n">
        <v>27</v>
      </c>
      <c r="D810" s="308" t="inlineStr">
        <is>
          <t>RL7-TNK-102-HV002</t>
        </is>
      </c>
      <c r="E810" s="308" t="inlineStr">
        <is>
          <t>RL7-TNK-102</t>
        </is>
      </c>
      <c r="F810" s="308" t="inlineStr">
        <is>
          <t>HV002</t>
        </is>
      </c>
      <c r="G810" s="308" t="inlineStr">
        <is>
          <t>instrument</t>
        </is>
      </c>
      <c r="H810" s="311" t="n">
        <v>0.57</v>
      </c>
      <c r="I810" s="308" t="inlineStr">
        <is>
          <t>Low</t>
        </is>
      </c>
      <c r="J810" s="308" t="inlineStr">
        <is>
          <t>drawing</t>
        </is>
      </c>
      <c r="K810" s="308" t="inlineStr">
        <is>
          <t>inferred:bare-isa</t>
        </is>
      </c>
      <c r="L810" s="308" t="inlineStr">
        <is>
          <t>drawing zone; process page; mapped sheet</t>
        </is>
      </c>
      <c r="M810" s="308" t="inlineStr">
        <is>
          <t>RL7-TNK-102 / HV</t>
        </is>
      </c>
      <c r="N810" s="308" t="inlineStr">
        <is>
          <t>native</t>
        </is>
      </c>
      <c r="O810" s="308" t="inlineStr">
        <is>
          <t>native-only</t>
        </is>
      </c>
      <c r="P810" s="308" t="inlineStr">
        <is>
          <t>native</t>
        </is>
      </c>
      <c r="Q810" s="308" t="inlineStr"/>
      <c r="R810" s="308" t="inlineStr">
        <is>
          <t>native text sufficient</t>
        </is>
      </c>
      <c r="S810" s="308" t="inlineStr"/>
      <c r="T810" s="308" t="inlineStr">
        <is>
          <t>p27:native:11, p27:native:17</t>
        </is>
      </c>
      <c r="U810" s="308" t="n">
        <v>2</v>
      </c>
    </row>
    <row r="811">
      <c r="A811" s="308" t="inlineStr">
        <is>
          <t>Missing in Excel</t>
        </is>
      </c>
      <c r="B811" s="308" t="inlineStr">
        <is>
          <t>DG7606</t>
        </is>
      </c>
      <c r="C811" s="308" t="n">
        <v>27</v>
      </c>
      <c r="D811" s="308" t="inlineStr">
        <is>
          <t>RL7-TNK-102-HV003</t>
        </is>
      </c>
      <c r="E811" s="308" t="inlineStr">
        <is>
          <t>RL7-TNK-102</t>
        </is>
      </c>
      <c r="F811" s="308" t="inlineStr">
        <is>
          <t>HV003</t>
        </is>
      </c>
      <c r="G811" s="308" t="inlineStr">
        <is>
          <t>instrument</t>
        </is>
      </c>
      <c r="H811" s="311" t="n">
        <v>0.57</v>
      </c>
      <c r="I811" s="308" t="inlineStr">
        <is>
          <t>Low</t>
        </is>
      </c>
      <c r="J811" s="308" t="inlineStr">
        <is>
          <t>drawing</t>
        </is>
      </c>
      <c r="K811" s="308" t="inlineStr">
        <is>
          <t>inferred:bare-isa</t>
        </is>
      </c>
      <c r="L811" s="308" t="inlineStr">
        <is>
          <t>drawing zone; process page; mapped sheet</t>
        </is>
      </c>
      <c r="M811" s="308" t="inlineStr">
        <is>
          <t>RL7-TNK-102 / HV</t>
        </is>
      </c>
      <c r="N811" s="308" t="inlineStr">
        <is>
          <t>native</t>
        </is>
      </c>
      <c r="O811" s="308" t="inlineStr">
        <is>
          <t>native-only</t>
        </is>
      </c>
      <c r="P811" s="308" t="inlineStr">
        <is>
          <t>native</t>
        </is>
      </c>
      <c r="Q811" s="308" t="inlineStr"/>
      <c r="R811" s="308" t="inlineStr">
        <is>
          <t>native text sufficient</t>
        </is>
      </c>
      <c r="S811" s="308" t="inlineStr"/>
      <c r="T811" s="308" t="inlineStr">
        <is>
          <t>p27:native:25, p27:native:39</t>
        </is>
      </c>
      <c r="U811" s="308" t="n">
        <v>2</v>
      </c>
    </row>
    <row r="812">
      <c r="A812" s="308" t="inlineStr">
        <is>
          <t>Missing in Excel</t>
        </is>
      </c>
      <c r="B812" s="308" t="inlineStr">
        <is>
          <t>DG7606</t>
        </is>
      </c>
      <c r="C812" s="308" t="n">
        <v>27</v>
      </c>
      <c r="D812" s="308" t="inlineStr">
        <is>
          <t>RL7-TNK-102-HV004</t>
        </is>
      </c>
      <c r="E812" s="308" t="inlineStr">
        <is>
          <t>RL7-TNK-102</t>
        </is>
      </c>
      <c r="F812" s="308" t="inlineStr">
        <is>
          <t>HV004</t>
        </is>
      </c>
      <c r="G812" s="308" t="inlineStr">
        <is>
          <t>instrument</t>
        </is>
      </c>
      <c r="H812" s="311" t="n">
        <v>0.57</v>
      </c>
      <c r="I812" s="308" t="inlineStr">
        <is>
          <t>Low</t>
        </is>
      </c>
      <c r="J812" s="308" t="inlineStr">
        <is>
          <t>drawing</t>
        </is>
      </c>
      <c r="K812" s="308" t="inlineStr">
        <is>
          <t>inferred:bare-isa</t>
        </is>
      </c>
      <c r="L812" s="308" t="inlineStr">
        <is>
          <t>drawing zone; process page; mapped sheet</t>
        </is>
      </c>
      <c r="M812" s="308" t="inlineStr">
        <is>
          <t>RL7-TNK-102 / HV</t>
        </is>
      </c>
      <c r="N812" s="308" t="inlineStr">
        <is>
          <t>native</t>
        </is>
      </c>
      <c r="O812" s="308" t="inlineStr">
        <is>
          <t>native-only</t>
        </is>
      </c>
      <c r="P812" s="308" t="inlineStr">
        <is>
          <t>native</t>
        </is>
      </c>
      <c r="Q812" s="308" t="inlineStr"/>
      <c r="R812" s="308" t="inlineStr">
        <is>
          <t>native text sufficient</t>
        </is>
      </c>
      <c r="S812" s="308" t="inlineStr"/>
      <c r="T812" s="308" t="inlineStr">
        <is>
          <t>p27:native:25, p27:native:45</t>
        </is>
      </c>
      <c r="U812" s="308" t="n">
        <v>2</v>
      </c>
    </row>
    <row r="813">
      <c r="A813" s="308" t="inlineStr">
        <is>
          <t>Missing in Excel</t>
        </is>
      </c>
      <c r="B813" s="308" t="inlineStr">
        <is>
          <t>DG7606</t>
        </is>
      </c>
      <c r="C813" s="308" t="n">
        <v>27</v>
      </c>
      <c r="D813" s="308" t="inlineStr">
        <is>
          <t>RL7-TNK-102-HV005</t>
        </is>
      </c>
      <c r="E813" s="308" t="inlineStr">
        <is>
          <t>RL7-TNK-102</t>
        </is>
      </c>
      <c r="F813" s="308" t="inlineStr">
        <is>
          <t>HV005</t>
        </is>
      </c>
      <c r="G813" s="308" t="inlineStr">
        <is>
          <t>instrument</t>
        </is>
      </c>
      <c r="H813" s="311" t="n">
        <v>0.57</v>
      </c>
      <c r="I813" s="308" t="inlineStr">
        <is>
          <t>Low</t>
        </is>
      </c>
      <c r="J813" s="308" t="inlineStr">
        <is>
          <t>drawing</t>
        </is>
      </c>
      <c r="K813" s="308" t="inlineStr">
        <is>
          <t>inferred:bare-isa</t>
        </is>
      </c>
      <c r="L813" s="308" t="inlineStr">
        <is>
          <t>drawing zone; process page; mapped sheet</t>
        </is>
      </c>
      <c r="M813" s="308" t="inlineStr">
        <is>
          <t>RL7-TNK-102 / HV</t>
        </is>
      </c>
      <c r="N813" s="308" t="inlineStr">
        <is>
          <t>native</t>
        </is>
      </c>
      <c r="O813" s="308" t="inlineStr">
        <is>
          <t>native-only</t>
        </is>
      </c>
      <c r="P813" s="308" t="inlineStr">
        <is>
          <t>native</t>
        </is>
      </c>
      <c r="Q813" s="308" t="inlineStr"/>
      <c r="R813" s="308" t="inlineStr">
        <is>
          <t>native text sufficient</t>
        </is>
      </c>
      <c r="S813" s="308" t="inlineStr"/>
      <c r="T813" s="308" t="inlineStr">
        <is>
          <t>p27:native:25, p27:native:259</t>
        </is>
      </c>
      <c r="U813" s="308" t="n">
        <v>2</v>
      </c>
    </row>
    <row r="814">
      <c r="A814" s="308" t="inlineStr">
        <is>
          <t>Missing in Excel</t>
        </is>
      </c>
      <c r="B814" s="308" t="inlineStr">
        <is>
          <t>DG7606</t>
        </is>
      </c>
      <c r="C814" s="308" t="n">
        <v>27</v>
      </c>
      <c r="D814" s="308" t="inlineStr">
        <is>
          <t>RL7-TNK-102-HV006</t>
        </is>
      </c>
      <c r="E814" s="308" t="inlineStr">
        <is>
          <t>RL7-TNK-102</t>
        </is>
      </c>
      <c r="F814" s="308" t="inlineStr">
        <is>
          <t>HV006</t>
        </is>
      </c>
      <c r="G814" s="308" t="inlineStr">
        <is>
          <t>instrument</t>
        </is>
      </c>
      <c r="H814" s="311" t="n">
        <v>0.57</v>
      </c>
      <c r="I814" s="308" t="inlineStr">
        <is>
          <t>Low</t>
        </is>
      </c>
      <c r="J814" s="308" t="inlineStr">
        <is>
          <t>drawing</t>
        </is>
      </c>
      <c r="K814" s="308" t="inlineStr">
        <is>
          <t>inferred:bare-isa</t>
        </is>
      </c>
      <c r="L814" s="308" t="inlineStr">
        <is>
          <t>drawing zone; process page; mapped sheet</t>
        </is>
      </c>
      <c r="M814" s="308" t="inlineStr">
        <is>
          <t>RL7-TNK-102 / HV</t>
        </is>
      </c>
      <c r="N814" s="308" t="inlineStr">
        <is>
          <t>native</t>
        </is>
      </c>
      <c r="O814" s="308" t="inlineStr">
        <is>
          <t>native-only</t>
        </is>
      </c>
      <c r="P814" s="308" t="inlineStr">
        <is>
          <t>native</t>
        </is>
      </c>
      <c r="Q814" s="308" t="inlineStr"/>
      <c r="R814" s="308" t="inlineStr">
        <is>
          <t>native text sufficient</t>
        </is>
      </c>
      <c r="S814" s="308" t="inlineStr"/>
      <c r="T814" s="308" t="inlineStr">
        <is>
          <t>p27:native:27, p27:native:33</t>
        </is>
      </c>
      <c r="U814" s="308" t="n">
        <v>2</v>
      </c>
    </row>
    <row r="815">
      <c r="A815" s="308" t="inlineStr">
        <is>
          <t>Missing in Excel</t>
        </is>
      </c>
      <c r="B815" s="308" t="inlineStr">
        <is>
          <t>DG7606</t>
        </is>
      </c>
      <c r="C815" s="308" t="n">
        <v>27</v>
      </c>
      <c r="D815" s="308" t="inlineStr">
        <is>
          <t>RL7-TNK-102-HV007</t>
        </is>
      </c>
      <c r="E815" s="308" t="inlineStr">
        <is>
          <t>RL7-TNK-102</t>
        </is>
      </c>
      <c r="F815" s="308" t="inlineStr">
        <is>
          <t>HV007</t>
        </is>
      </c>
      <c r="G815" s="308" t="inlineStr">
        <is>
          <t>instrument</t>
        </is>
      </c>
      <c r="H815" s="311" t="n">
        <v>0.57</v>
      </c>
      <c r="I815" s="308" t="inlineStr">
        <is>
          <t>Low</t>
        </is>
      </c>
      <c r="J815" s="308" t="inlineStr">
        <is>
          <t>drawing</t>
        </is>
      </c>
      <c r="K815" s="308" t="inlineStr">
        <is>
          <t>inferred:bare-isa</t>
        </is>
      </c>
      <c r="L815" s="308" t="inlineStr">
        <is>
          <t>drawing zone; process page; mapped sheet</t>
        </is>
      </c>
      <c r="M815" s="308" t="inlineStr">
        <is>
          <t>RL7-TNK-102 / HV</t>
        </is>
      </c>
      <c r="N815" s="308" t="inlineStr">
        <is>
          <t>native</t>
        </is>
      </c>
      <c r="O815" s="308" t="inlineStr">
        <is>
          <t>native-only</t>
        </is>
      </c>
      <c r="P815" s="308" t="inlineStr">
        <is>
          <t>native</t>
        </is>
      </c>
      <c r="Q815" s="308" t="inlineStr"/>
      <c r="R815" s="308" t="inlineStr">
        <is>
          <t>native text sufficient</t>
        </is>
      </c>
      <c r="S815" s="308" t="inlineStr"/>
      <c r="T815" s="308" t="inlineStr">
        <is>
          <t>p27:native:267, p27:native:66</t>
        </is>
      </c>
      <c r="U815" s="308" t="n">
        <v>2</v>
      </c>
    </row>
    <row r="816">
      <c r="A816" s="308" t="inlineStr">
        <is>
          <t>Missing in Excel</t>
        </is>
      </c>
      <c r="B816" s="308" t="inlineStr">
        <is>
          <t>DG7606</t>
        </is>
      </c>
      <c r="C816" s="308" t="n">
        <v>27</v>
      </c>
      <c r="D816" s="308" t="inlineStr">
        <is>
          <t>RL7-TNK-102-PI001</t>
        </is>
      </c>
      <c r="E816" s="308" t="inlineStr">
        <is>
          <t>RL7-TNK-102</t>
        </is>
      </c>
      <c r="F816" s="308" t="inlineStr">
        <is>
          <t>PI001</t>
        </is>
      </c>
      <c r="G816" s="308" t="inlineStr">
        <is>
          <t>instrument</t>
        </is>
      </c>
      <c r="H816" s="311" t="n">
        <v>0.57</v>
      </c>
      <c r="I816" s="308" t="inlineStr">
        <is>
          <t>Low</t>
        </is>
      </c>
      <c r="J816" s="308" t="inlineStr">
        <is>
          <t>drawing</t>
        </is>
      </c>
      <c r="K816" s="308" t="inlineStr">
        <is>
          <t>inferred:bare-isa</t>
        </is>
      </c>
      <c r="L816" s="308" t="inlineStr">
        <is>
          <t>drawing zone; process page; mapped sheet</t>
        </is>
      </c>
      <c r="M816" s="308" t="inlineStr">
        <is>
          <t>RL7-TNK-102 / PI</t>
        </is>
      </c>
      <c r="N816" s="308" t="inlineStr">
        <is>
          <t>native</t>
        </is>
      </c>
      <c r="O816" s="308" t="inlineStr">
        <is>
          <t>native-only</t>
        </is>
      </c>
      <c r="P816" s="308" t="inlineStr">
        <is>
          <t>native</t>
        </is>
      </c>
      <c r="Q816" s="308" t="inlineStr"/>
      <c r="R816" s="308" t="inlineStr">
        <is>
          <t>native text sufficient</t>
        </is>
      </c>
      <c r="S816" s="308" t="inlineStr"/>
      <c r="T816" s="308" t="inlineStr">
        <is>
          <t>p27:native:11, p27:native:239</t>
        </is>
      </c>
      <c r="U816" s="308" t="n">
        <v>2</v>
      </c>
    </row>
    <row r="817">
      <c r="A817" s="308" t="inlineStr">
        <is>
          <t>Missing in Excel</t>
        </is>
      </c>
      <c r="B817" s="308" t="inlineStr">
        <is>
          <t>DG7606</t>
        </is>
      </c>
      <c r="C817" s="308" t="n">
        <v>27</v>
      </c>
      <c r="D817" s="308" t="inlineStr">
        <is>
          <t>RL7-TNK-102-PI002</t>
        </is>
      </c>
      <c r="E817" s="308" t="inlineStr">
        <is>
          <t>RL7-TNK-102</t>
        </is>
      </c>
      <c r="F817" s="308" t="inlineStr">
        <is>
          <t>PI002</t>
        </is>
      </c>
      <c r="G817" s="308" t="inlineStr">
        <is>
          <t>instrument</t>
        </is>
      </c>
      <c r="H817" s="311" t="n">
        <v>0.57</v>
      </c>
      <c r="I817" s="308" t="inlineStr">
        <is>
          <t>Low</t>
        </is>
      </c>
      <c r="J817" s="308" t="inlineStr">
        <is>
          <t>drawing</t>
        </is>
      </c>
      <c r="K817" s="308" t="inlineStr">
        <is>
          <t>inferred:bare-isa</t>
        </is>
      </c>
      <c r="L817" s="308" t="inlineStr">
        <is>
          <t>drawing zone; process page; mapped sheet</t>
        </is>
      </c>
      <c r="M817" s="308" t="inlineStr">
        <is>
          <t>RL7-TNK-102 / PI</t>
        </is>
      </c>
      <c r="N817" s="308" t="inlineStr">
        <is>
          <t>native</t>
        </is>
      </c>
      <c r="O817" s="308" t="inlineStr">
        <is>
          <t>native-only</t>
        </is>
      </c>
      <c r="P817" s="308" t="inlineStr">
        <is>
          <t>native</t>
        </is>
      </c>
      <c r="Q817" s="308" t="inlineStr"/>
      <c r="R817" s="308" t="inlineStr">
        <is>
          <t>native text sufficient</t>
        </is>
      </c>
      <c r="S817" s="308" t="inlineStr"/>
      <c r="T817" s="308" t="inlineStr">
        <is>
          <t>p27:native:11, p27:native:234</t>
        </is>
      </c>
      <c r="U817" s="308" t="n">
        <v>2</v>
      </c>
    </row>
    <row r="818">
      <c r="A818" s="308" t="inlineStr">
        <is>
          <t>Missing in Excel</t>
        </is>
      </c>
      <c r="B818" s="308" t="inlineStr">
        <is>
          <t>DG7606</t>
        </is>
      </c>
      <c r="C818" s="308" t="n">
        <v>27</v>
      </c>
      <c r="D818" s="308" t="inlineStr">
        <is>
          <t>RL7-TNK-102-PI003</t>
        </is>
      </c>
      <c r="E818" s="308" t="inlineStr">
        <is>
          <t>RL7-TNK-102</t>
        </is>
      </c>
      <c r="F818" s="308" t="inlineStr">
        <is>
          <t>PI003</t>
        </is>
      </c>
      <c r="G818" s="308" t="inlineStr">
        <is>
          <t>instrument</t>
        </is>
      </c>
      <c r="H818" s="311" t="n">
        <v>0.57</v>
      </c>
      <c r="I818" s="308" t="inlineStr">
        <is>
          <t>Low</t>
        </is>
      </c>
      <c r="J818" s="308" t="inlineStr">
        <is>
          <t>drawing</t>
        </is>
      </c>
      <c r="K818" s="308" t="inlineStr">
        <is>
          <t>inferred:bare-isa</t>
        </is>
      </c>
      <c r="L818" s="308" t="inlineStr">
        <is>
          <t>drawing zone; process page; mapped sheet</t>
        </is>
      </c>
      <c r="M818" s="308" t="inlineStr">
        <is>
          <t>RL7-TNK-102 / PI</t>
        </is>
      </c>
      <c r="N818" s="308" t="inlineStr">
        <is>
          <t>native</t>
        </is>
      </c>
      <c r="O818" s="308" t="inlineStr">
        <is>
          <t>native-only</t>
        </is>
      </c>
      <c r="P818" s="308" t="inlineStr">
        <is>
          <t>native</t>
        </is>
      </c>
      <c r="Q818" s="308" t="inlineStr"/>
      <c r="R818" s="308" t="inlineStr">
        <is>
          <t>native text sufficient</t>
        </is>
      </c>
      <c r="S818" s="308" t="inlineStr"/>
      <c r="T818" s="308" t="inlineStr">
        <is>
          <t>p27:native:25, p27:native:232</t>
        </is>
      </c>
      <c r="U818" s="308" t="n">
        <v>2</v>
      </c>
    </row>
    <row r="819">
      <c r="A819" s="308" t="inlineStr">
        <is>
          <t>Missing in Excel</t>
        </is>
      </c>
      <c r="B819" s="308" t="inlineStr">
        <is>
          <t>DG7606</t>
        </is>
      </c>
      <c r="C819" s="308" t="n">
        <v>27</v>
      </c>
      <c r="D819" s="308" t="inlineStr">
        <is>
          <t>RL7-TNK-102-PI004</t>
        </is>
      </c>
      <c r="E819" s="308" t="inlineStr">
        <is>
          <t>RL7-TNK-102</t>
        </is>
      </c>
      <c r="F819" s="308" t="inlineStr">
        <is>
          <t>PI004</t>
        </is>
      </c>
      <c r="G819" s="308" t="inlineStr">
        <is>
          <t>instrument</t>
        </is>
      </c>
      <c r="H819" s="311" t="n">
        <v>0.57</v>
      </c>
      <c r="I819" s="308" t="inlineStr">
        <is>
          <t>Low</t>
        </is>
      </c>
      <c r="J819" s="308" t="inlineStr">
        <is>
          <t>drawing</t>
        </is>
      </c>
      <c r="K819" s="308" t="inlineStr">
        <is>
          <t>inferred:bare-isa</t>
        </is>
      </c>
      <c r="L819" s="308" t="inlineStr">
        <is>
          <t>drawing zone; process page; mapped sheet</t>
        </is>
      </c>
      <c r="M819" s="308" t="inlineStr">
        <is>
          <t>RL7-TNK-102 / PI</t>
        </is>
      </c>
      <c r="N819" s="308" t="inlineStr">
        <is>
          <t>native</t>
        </is>
      </c>
      <c r="O819" s="308" t="inlineStr">
        <is>
          <t>native-only</t>
        </is>
      </c>
      <c r="P819" s="308" t="inlineStr">
        <is>
          <t>native</t>
        </is>
      </c>
      <c r="Q819" s="308" t="inlineStr"/>
      <c r="R819" s="308" t="inlineStr">
        <is>
          <t>native text sufficient</t>
        </is>
      </c>
      <c r="S819" s="308" t="inlineStr"/>
      <c r="T819" s="308" t="inlineStr">
        <is>
          <t>p27:native:25, p27:native:227</t>
        </is>
      </c>
      <c r="U819" s="308" t="n">
        <v>2</v>
      </c>
    </row>
    <row r="820">
      <c r="A820" s="308" t="inlineStr">
        <is>
          <t>Missing in Excel</t>
        </is>
      </c>
      <c r="B820" s="308" t="inlineStr">
        <is>
          <t>DG7606</t>
        </is>
      </c>
      <c r="C820" s="308" t="n">
        <v>27</v>
      </c>
      <c r="D820" s="308" t="inlineStr">
        <is>
          <t>RL7-TNK-103-HV001</t>
        </is>
      </c>
      <c r="E820" s="308" t="inlineStr">
        <is>
          <t>RL7-TNK-103</t>
        </is>
      </c>
      <c r="F820" s="308" t="inlineStr">
        <is>
          <t>HV001</t>
        </is>
      </c>
      <c r="G820" s="308" t="inlineStr">
        <is>
          <t>instrument</t>
        </is>
      </c>
      <c r="H820" s="311" t="n">
        <v>0.57</v>
      </c>
      <c r="I820" s="308" t="inlineStr">
        <is>
          <t>Low</t>
        </is>
      </c>
      <c r="J820" s="308" t="inlineStr">
        <is>
          <t>drawing</t>
        </is>
      </c>
      <c r="K820" s="308" t="inlineStr">
        <is>
          <t>inferred:bare-isa</t>
        </is>
      </c>
      <c r="L820" s="308" t="inlineStr">
        <is>
          <t>drawing zone; process page; mapped sheet</t>
        </is>
      </c>
      <c r="M820" s="308" t="inlineStr">
        <is>
          <t>RL7-TNK-103 / HV</t>
        </is>
      </c>
      <c r="N820" s="308" t="inlineStr">
        <is>
          <t>native</t>
        </is>
      </c>
      <c r="O820" s="308" t="inlineStr">
        <is>
          <t>native-only</t>
        </is>
      </c>
      <c r="P820" s="308" t="inlineStr">
        <is>
          <t>native</t>
        </is>
      </c>
      <c r="Q820" s="308" t="inlineStr"/>
      <c r="R820" s="308" t="inlineStr">
        <is>
          <t>native text sufficient</t>
        </is>
      </c>
      <c r="S820" s="308" t="inlineStr"/>
      <c r="T820" s="308" t="inlineStr">
        <is>
          <t>p27:native:273, p27:native:90</t>
        </is>
      </c>
      <c r="U820" s="308" t="n">
        <v>2</v>
      </c>
    </row>
    <row r="821">
      <c r="A821" s="308" t="inlineStr">
        <is>
          <t>Missing in Excel</t>
        </is>
      </c>
      <c r="B821" s="308" t="inlineStr">
        <is>
          <t>DG7606</t>
        </is>
      </c>
      <c r="C821" s="308" t="n">
        <v>27</v>
      </c>
      <c r="D821" s="308" t="inlineStr">
        <is>
          <t>RL7-TNK-104-HV001</t>
        </is>
      </c>
      <c r="E821" s="308" t="inlineStr">
        <is>
          <t>RL7-TNK-104</t>
        </is>
      </c>
      <c r="F821" s="308" t="inlineStr">
        <is>
          <t>HV001</t>
        </is>
      </c>
      <c r="G821" s="308" t="inlineStr">
        <is>
          <t>instrument</t>
        </is>
      </c>
      <c r="H821" s="311" t="n">
        <v>0.57</v>
      </c>
      <c r="I821" s="308" t="inlineStr">
        <is>
          <t>Low</t>
        </is>
      </c>
      <c r="J821" s="308" t="inlineStr">
        <is>
          <t>drawing</t>
        </is>
      </c>
      <c r="K821" s="308" t="inlineStr">
        <is>
          <t>inferred:bare-isa</t>
        </is>
      </c>
      <c r="L821" s="308" t="inlineStr">
        <is>
          <t>drawing zone; process page; mapped sheet</t>
        </is>
      </c>
      <c r="M821" s="308" t="inlineStr">
        <is>
          <t>RL7-TNK-104 / HV</t>
        </is>
      </c>
      <c r="N821" s="308" t="inlineStr">
        <is>
          <t>native</t>
        </is>
      </c>
      <c r="O821" s="308" t="inlineStr">
        <is>
          <t>native-only</t>
        </is>
      </c>
      <c r="P821" s="308" t="inlineStr">
        <is>
          <t>native</t>
        </is>
      </c>
      <c r="Q821" s="308" t="inlineStr"/>
      <c r="R821" s="308" t="inlineStr">
        <is>
          <t>native text sufficient</t>
        </is>
      </c>
      <c r="S821" s="308" t="inlineStr"/>
      <c r="T821" s="308" t="inlineStr">
        <is>
          <t>p27:native:271, p27:native:127</t>
        </is>
      </c>
      <c r="U821" s="308" t="n">
        <v>2</v>
      </c>
    </row>
    <row r="822">
      <c r="A822" s="308" t="inlineStr">
        <is>
          <t>Missing in Excel</t>
        </is>
      </c>
      <c r="B822" s="308" t="inlineStr">
        <is>
          <t>DG7606</t>
        </is>
      </c>
      <c r="C822" s="308" t="n">
        <v>27</v>
      </c>
      <c r="D822" s="308" t="inlineStr">
        <is>
          <t>2"-JHWR-12A</t>
        </is>
      </c>
      <c r="E822" s="308" t="inlineStr">
        <is>
          <t>JHWR</t>
        </is>
      </c>
      <c r="F822" s="308" t="inlineStr">
        <is>
          <t>12A</t>
        </is>
      </c>
      <c r="G822" s="308" t="inlineStr">
        <is>
          <t>line</t>
        </is>
      </c>
      <c r="H822" s="311" t="n">
        <v>0.87</v>
      </c>
      <c r="I822" s="308" t="inlineStr">
        <is>
          <t>Medium</t>
        </is>
      </c>
      <c r="J822" s="308" t="inlineStr">
        <is>
          <t>drawing</t>
        </is>
      </c>
      <c r="K822" s="308" t="inlineStr">
        <is>
          <t>line:size-prefix</t>
        </is>
      </c>
      <c r="L822" s="308" t="inlineStr">
        <is>
          <t>drawing zone; process page; mapped sheet; repeated x4</t>
        </is>
      </c>
      <c r="M822" s="308" t="inlineStr">
        <is>
          <t>2"-JHWR-12A</t>
        </is>
      </c>
      <c r="N822" s="308" t="inlineStr">
        <is>
          <t>native</t>
        </is>
      </c>
      <c r="O822" s="308" t="inlineStr">
        <is>
          <t>native-only</t>
        </is>
      </c>
      <c r="P822" s="308" t="inlineStr">
        <is>
          <t>native</t>
        </is>
      </c>
      <c r="Q822" s="308" t="inlineStr"/>
      <c r="R822" s="308" t="inlineStr">
        <is>
          <t>native text sufficient</t>
        </is>
      </c>
      <c r="S822" s="308" t="inlineStr"/>
      <c r="T822" s="308" t="inlineStr">
        <is>
          <t>p27:native:376</t>
        </is>
      </c>
      <c r="U822" s="308" t="n">
        <v>1</v>
      </c>
    </row>
    <row r="823">
      <c r="A823" s="308" t="inlineStr">
        <is>
          <t>Missing in Excel</t>
        </is>
      </c>
      <c r="B823" s="308" t="inlineStr">
        <is>
          <t>DG7606</t>
        </is>
      </c>
      <c r="C823" s="308" t="n">
        <v>27</v>
      </c>
      <c r="D823" s="308" t="inlineStr">
        <is>
          <t>2"-JHWR-12A</t>
        </is>
      </c>
      <c r="E823" s="308" t="inlineStr">
        <is>
          <t>JHWR</t>
        </is>
      </c>
      <c r="F823" s="308" t="inlineStr">
        <is>
          <t>12A</t>
        </is>
      </c>
      <c r="G823" s="308" t="inlineStr">
        <is>
          <t>line</t>
        </is>
      </c>
      <c r="H823" s="311" t="n">
        <v>0.87</v>
      </c>
      <c r="I823" s="308" t="inlineStr">
        <is>
          <t>Medium</t>
        </is>
      </c>
      <c r="J823" s="308" t="inlineStr">
        <is>
          <t>drawing</t>
        </is>
      </c>
      <c r="K823" s="308" t="inlineStr">
        <is>
          <t>line:size-prefix</t>
        </is>
      </c>
      <c r="L823" s="308" t="inlineStr">
        <is>
          <t>drawing zone; process page; mapped sheet; repeated x4</t>
        </is>
      </c>
      <c r="M823" s="308" t="inlineStr">
        <is>
          <t>2"-JHWR-12A</t>
        </is>
      </c>
      <c r="N823" s="308" t="inlineStr">
        <is>
          <t>native</t>
        </is>
      </c>
      <c r="O823" s="308" t="inlineStr">
        <is>
          <t>native-only</t>
        </is>
      </c>
      <c r="P823" s="308" t="inlineStr">
        <is>
          <t>native</t>
        </is>
      </c>
      <c r="Q823" s="308" t="inlineStr"/>
      <c r="R823" s="308" t="inlineStr">
        <is>
          <t>native text sufficient</t>
        </is>
      </c>
      <c r="S823" s="308" t="inlineStr"/>
      <c r="T823" s="308" t="inlineStr">
        <is>
          <t>p27:native:480</t>
        </is>
      </c>
      <c r="U823" s="308" t="n">
        <v>1</v>
      </c>
    </row>
    <row r="824">
      <c r="A824" s="308" t="inlineStr">
        <is>
          <t>Missing in Excel</t>
        </is>
      </c>
      <c r="B824" s="308" t="inlineStr">
        <is>
          <t>DG7606</t>
        </is>
      </c>
      <c r="C824" s="308" t="n">
        <v>27</v>
      </c>
      <c r="D824" s="308" t="inlineStr">
        <is>
          <t>2"-JHWR-12A</t>
        </is>
      </c>
      <c r="E824" s="308" t="inlineStr">
        <is>
          <t>JHWR</t>
        </is>
      </c>
      <c r="F824" s="308" t="inlineStr">
        <is>
          <t>12A</t>
        </is>
      </c>
      <c r="G824" s="308" t="inlineStr">
        <is>
          <t>line</t>
        </is>
      </c>
      <c r="H824" s="311" t="n">
        <v>0.87</v>
      </c>
      <c r="I824" s="308" t="inlineStr">
        <is>
          <t>Medium</t>
        </is>
      </c>
      <c r="J824" s="308" t="inlineStr">
        <is>
          <t>drawing</t>
        </is>
      </c>
      <c r="K824" s="308" t="inlineStr">
        <is>
          <t>line:size-prefix</t>
        </is>
      </c>
      <c r="L824" s="308" t="inlineStr">
        <is>
          <t>drawing zone; process page; mapped sheet; repeated x4</t>
        </is>
      </c>
      <c r="M824" s="308" t="inlineStr">
        <is>
          <t>2"-JHWR-12A</t>
        </is>
      </c>
      <c r="N824" s="308" t="inlineStr">
        <is>
          <t>native</t>
        </is>
      </c>
      <c r="O824" s="308" t="inlineStr">
        <is>
          <t>native-only</t>
        </is>
      </c>
      <c r="P824" s="308" t="inlineStr">
        <is>
          <t>native</t>
        </is>
      </c>
      <c r="Q824" s="308" t="inlineStr"/>
      <c r="R824" s="308" t="inlineStr">
        <is>
          <t>native text sufficient</t>
        </is>
      </c>
      <c r="S824" s="308" t="inlineStr"/>
      <c r="T824" s="308" t="inlineStr">
        <is>
          <t>p27:native:495</t>
        </is>
      </c>
      <c r="U824" s="308" t="n">
        <v>1</v>
      </c>
    </row>
    <row r="825">
      <c r="A825" s="308" t="inlineStr">
        <is>
          <t>Missing in Excel</t>
        </is>
      </c>
      <c r="B825" s="308" t="inlineStr">
        <is>
          <t>DG7606</t>
        </is>
      </c>
      <c r="C825" s="308" t="n">
        <v>27</v>
      </c>
      <c r="D825" s="308" t="inlineStr">
        <is>
          <t>2"-JHWR-12A</t>
        </is>
      </c>
      <c r="E825" s="308" t="inlineStr">
        <is>
          <t>JHWR</t>
        </is>
      </c>
      <c r="F825" s="308" t="inlineStr">
        <is>
          <t>12A</t>
        </is>
      </c>
      <c r="G825" s="308" t="inlineStr">
        <is>
          <t>line</t>
        </is>
      </c>
      <c r="H825" s="311" t="n">
        <v>0.87</v>
      </c>
      <c r="I825" s="308" t="inlineStr">
        <is>
          <t>Medium</t>
        </is>
      </c>
      <c r="J825" s="308" t="inlineStr">
        <is>
          <t>drawing</t>
        </is>
      </c>
      <c r="K825" s="308" t="inlineStr">
        <is>
          <t>line:size-prefix</t>
        </is>
      </c>
      <c r="L825" s="308" t="inlineStr">
        <is>
          <t>drawing zone; process page; mapped sheet; repeated x4</t>
        </is>
      </c>
      <c r="M825" s="308" t="inlineStr">
        <is>
          <t>2"-JHWR-12A</t>
        </is>
      </c>
      <c r="N825" s="308" t="inlineStr">
        <is>
          <t>native</t>
        </is>
      </c>
      <c r="O825" s="308" t="inlineStr">
        <is>
          <t>native-only</t>
        </is>
      </c>
      <c r="P825" s="308" t="inlineStr">
        <is>
          <t>native</t>
        </is>
      </c>
      <c r="Q825" s="308" t="inlineStr"/>
      <c r="R825" s="308" t="inlineStr">
        <is>
          <t>native text sufficient</t>
        </is>
      </c>
      <c r="S825" s="308" t="inlineStr"/>
      <c r="T825" s="308" t="inlineStr">
        <is>
          <t>p27:native:504</t>
        </is>
      </c>
      <c r="U825" s="308" t="n">
        <v>1</v>
      </c>
    </row>
    <row r="826">
      <c r="A826" s="308" t="inlineStr">
        <is>
          <t>Missing in Excel</t>
        </is>
      </c>
      <c r="B826" s="308" t="inlineStr">
        <is>
          <t>DG7606</t>
        </is>
      </c>
      <c r="C826" s="308" t="n">
        <v>27</v>
      </c>
      <c r="D826" s="308" t="inlineStr">
        <is>
          <t>2"-JHWS-12A</t>
        </is>
      </c>
      <c r="E826" s="308" t="inlineStr">
        <is>
          <t>JHWS</t>
        </is>
      </c>
      <c r="F826" s="308" t="inlineStr">
        <is>
          <t>12A</t>
        </is>
      </c>
      <c r="G826" s="308" t="inlineStr">
        <is>
          <t>line</t>
        </is>
      </c>
      <c r="H826" s="311" t="n">
        <v>0.87</v>
      </c>
      <c r="I826" s="308" t="inlineStr">
        <is>
          <t>Medium</t>
        </is>
      </c>
      <c r="J826" s="308" t="inlineStr">
        <is>
          <t>drawing</t>
        </is>
      </c>
      <c r="K826" s="308" t="inlineStr">
        <is>
          <t>line:size-prefix</t>
        </is>
      </c>
      <c r="L826" s="308" t="inlineStr">
        <is>
          <t>drawing zone; process page; mapped sheet; repeated x10</t>
        </is>
      </c>
      <c r="M826" s="308" t="inlineStr">
        <is>
          <t>2"-JHWS-12A</t>
        </is>
      </c>
      <c r="N826" s="308" t="inlineStr">
        <is>
          <t>native</t>
        </is>
      </c>
      <c r="O826" s="308" t="inlineStr">
        <is>
          <t>native-only</t>
        </is>
      </c>
      <c r="P826" s="308" t="inlineStr">
        <is>
          <t>native</t>
        </is>
      </c>
      <c r="Q826" s="308" t="inlineStr"/>
      <c r="R826" s="308" t="inlineStr">
        <is>
          <t>native text sufficient</t>
        </is>
      </c>
      <c r="S826" s="308" t="inlineStr"/>
      <c r="T826" s="308" t="inlineStr">
        <is>
          <t>p27:native:375</t>
        </is>
      </c>
      <c r="U826" s="308" t="n">
        <v>1</v>
      </c>
    </row>
    <row r="827">
      <c r="A827" s="308" t="inlineStr">
        <is>
          <t>Missing in Excel</t>
        </is>
      </c>
      <c r="B827" s="308" t="inlineStr">
        <is>
          <t>DG7606</t>
        </is>
      </c>
      <c r="C827" s="308" t="n">
        <v>27</v>
      </c>
      <c r="D827" s="308" t="inlineStr">
        <is>
          <t>2"-JHWS-12A</t>
        </is>
      </c>
      <c r="E827" s="308" t="inlineStr">
        <is>
          <t>JHWS</t>
        </is>
      </c>
      <c r="F827" s="308" t="inlineStr">
        <is>
          <t>12A</t>
        </is>
      </c>
      <c r="G827" s="308" t="inlineStr">
        <is>
          <t>line</t>
        </is>
      </c>
      <c r="H827" s="311" t="n">
        <v>0.87</v>
      </c>
      <c r="I827" s="308" t="inlineStr">
        <is>
          <t>Medium</t>
        </is>
      </c>
      <c r="J827" s="308" t="inlineStr">
        <is>
          <t>drawing</t>
        </is>
      </c>
      <c r="K827" s="308" t="inlineStr">
        <is>
          <t>line:size-prefix</t>
        </is>
      </c>
      <c r="L827" s="308" t="inlineStr">
        <is>
          <t>drawing zone; process page; mapped sheet; repeated x10</t>
        </is>
      </c>
      <c r="M827" s="308" t="inlineStr">
        <is>
          <t>2"-JHWS-12A</t>
        </is>
      </c>
      <c r="N827" s="308" t="inlineStr">
        <is>
          <t>native</t>
        </is>
      </c>
      <c r="O827" s="308" t="inlineStr">
        <is>
          <t>native-only</t>
        </is>
      </c>
      <c r="P827" s="308" t="inlineStr">
        <is>
          <t>native</t>
        </is>
      </c>
      <c r="Q827" s="308" t="inlineStr"/>
      <c r="R827" s="308" t="inlineStr">
        <is>
          <t>native text sufficient</t>
        </is>
      </c>
      <c r="S827" s="308" t="inlineStr"/>
      <c r="T827" s="308" t="inlineStr">
        <is>
          <t>p27:native:423</t>
        </is>
      </c>
      <c r="U827" s="308" t="n">
        <v>1</v>
      </c>
    </row>
    <row r="828">
      <c r="A828" s="308" t="inlineStr">
        <is>
          <t>Missing in Excel</t>
        </is>
      </c>
      <c r="B828" s="308" t="inlineStr">
        <is>
          <t>DG7606</t>
        </is>
      </c>
      <c r="C828" s="308" t="n">
        <v>27</v>
      </c>
      <c r="D828" s="308" t="inlineStr">
        <is>
          <t>2"-JHWS-12A</t>
        </is>
      </c>
      <c r="E828" s="308" t="inlineStr">
        <is>
          <t>JHWS</t>
        </is>
      </c>
      <c r="F828" s="308" t="inlineStr">
        <is>
          <t>12A</t>
        </is>
      </c>
      <c r="G828" s="308" t="inlineStr">
        <is>
          <t>line</t>
        </is>
      </c>
      <c r="H828" s="311" t="n">
        <v>0.87</v>
      </c>
      <c r="I828" s="308" t="inlineStr">
        <is>
          <t>Medium</t>
        </is>
      </c>
      <c r="J828" s="308" t="inlineStr">
        <is>
          <t>drawing</t>
        </is>
      </c>
      <c r="K828" s="308" t="inlineStr">
        <is>
          <t>line:size-prefix</t>
        </is>
      </c>
      <c r="L828" s="308" t="inlineStr">
        <is>
          <t>drawing zone; process page; mapped sheet; repeated x10</t>
        </is>
      </c>
      <c r="M828" s="308" t="inlineStr">
        <is>
          <t>2"-JHWS-12A</t>
        </is>
      </c>
      <c r="N828" s="308" t="inlineStr">
        <is>
          <t>native</t>
        </is>
      </c>
      <c r="O828" s="308" t="inlineStr">
        <is>
          <t>native-only</t>
        </is>
      </c>
      <c r="P828" s="308" t="inlineStr">
        <is>
          <t>native</t>
        </is>
      </c>
      <c r="Q828" s="308" t="inlineStr"/>
      <c r="R828" s="308" t="inlineStr">
        <is>
          <t>native text sufficient</t>
        </is>
      </c>
      <c r="S828" s="308" t="inlineStr"/>
      <c r="T828" s="308" t="inlineStr">
        <is>
          <t>p27:native:449</t>
        </is>
      </c>
      <c r="U828" s="308" t="n">
        <v>1</v>
      </c>
    </row>
    <row r="829">
      <c r="A829" s="308" t="inlineStr">
        <is>
          <t>Missing in Excel</t>
        </is>
      </c>
      <c r="B829" s="308" t="inlineStr">
        <is>
          <t>DG7606</t>
        </is>
      </c>
      <c r="C829" s="308" t="n">
        <v>27</v>
      </c>
      <c r="D829" s="308" t="inlineStr">
        <is>
          <t>2"-JHWS-12A</t>
        </is>
      </c>
      <c r="E829" s="308" t="inlineStr">
        <is>
          <t>JHWS</t>
        </is>
      </c>
      <c r="F829" s="308" t="inlineStr">
        <is>
          <t>12A</t>
        </is>
      </c>
      <c r="G829" s="308" t="inlineStr">
        <is>
          <t>line</t>
        </is>
      </c>
      <c r="H829" s="311" t="n">
        <v>0.87</v>
      </c>
      <c r="I829" s="308" t="inlineStr">
        <is>
          <t>Medium</t>
        </is>
      </c>
      <c r="J829" s="308" t="inlineStr">
        <is>
          <t>drawing</t>
        </is>
      </c>
      <c r="K829" s="308" t="inlineStr">
        <is>
          <t>line:size-prefix</t>
        </is>
      </c>
      <c r="L829" s="308" t="inlineStr">
        <is>
          <t>drawing zone; process page; mapped sheet; repeated x10</t>
        </is>
      </c>
      <c r="M829" s="308" t="inlineStr">
        <is>
          <t>2"-JHWS-12A</t>
        </is>
      </c>
      <c r="N829" s="308" t="inlineStr">
        <is>
          <t>native</t>
        </is>
      </c>
      <c r="O829" s="308" t="inlineStr">
        <is>
          <t>native-only</t>
        </is>
      </c>
      <c r="P829" s="308" t="inlineStr">
        <is>
          <t>native</t>
        </is>
      </c>
      <c r="Q829" s="308" t="inlineStr"/>
      <c r="R829" s="308" t="inlineStr">
        <is>
          <t>native text sufficient</t>
        </is>
      </c>
      <c r="S829" s="308" t="inlineStr"/>
      <c r="T829" s="308" t="inlineStr">
        <is>
          <t>p27:native:450</t>
        </is>
      </c>
      <c r="U829" s="308" t="n">
        <v>1</v>
      </c>
    </row>
    <row r="830">
      <c r="A830" s="308" t="inlineStr">
        <is>
          <t>Missing in Excel</t>
        </is>
      </c>
      <c r="B830" s="308" t="inlineStr">
        <is>
          <t>DG7606</t>
        </is>
      </c>
      <c r="C830" s="308" t="n">
        <v>27</v>
      </c>
      <c r="D830" s="308" t="inlineStr">
        <is>
          <t>2"-JHWS-12A</t>
        </is>
      </c>
      <c r="E830" s="308" t="inlineStr">
        <is>
          <t>JHWS</t>
        </is>
      </c>
      <c r="F830" s="308" t="inlineStr">
        <is>
          <t>12A</t>
        </is>
      </c>
      <c r="G830" s="308" t="inlineStr">
        <is>
          <t>line</t>
        </is>
      </c>
      <c r="H830" s="311" t="n">
        <v>0.87</v>
      </c>
      <c r="I830" s="308" t="inlineStr">
        <is>
          <t>Medium</t>
        </is>
      </c>
      <c r="J830" s="308" t="inlineStr">
        <is>
          <t>drawing</t>
        </is>
      </c>
      <c r="K830" s="308" t="inlineStr">
        <is>
          <t>line:size-prefix</t>
        </is>
      </c>
      <c r="L830" s="308" t="inlineStr">
        <is>
          <t>drawing zone; process page; mapped sheet; repeated x10</t>
        </is>
      </c>
      <c r="M830" s="308" t="inlineStr">
        <is>
          <t>2"-JHWS-12A</t>
        </is>
      </c>
      <c r="N830" s="308" t="inlineStr">
        <is>
          <t>native</t>
        </is>
      </c>
      <c r="O830" s="308" t="inlineStr">
        <is>
          <t>native-only</t>
        </is>
      </c>
      <c r="P830" s="308" t="inlineStr">
        <is>
          <t>native</t>
        </is>
      </c>
      <c r="Q830" s="308" t="inlineStr"/>
      <c r="R830" s="308" t="inlineStr">
        <is>
          <t>native text sufficient</t>
        </is>
      </c>
      <c r="S830" s="308" t="inlineStr"/>
      <c r="T830" s="308" t="inlineStr">
        <is>
          <t>p27:native:451</t>
        </is>
      </c>
      <c r="U830" s="308" t="n">
        <v>1</v>
      </c>
    </row>
    <row r="831">
      <c r="A831" s="308" t="inlineStr">
        <is>
          <t>Missing in Excel</t>
        </is>
      </c>
      <c r="B831" s="308" t="inlineStr">
        <is>
          <t>DG7606</t>
        </is>
      </c>
      <c r="C831" s="308" t="n">
        <v>27</v>
      </c>
      <c r="D831" s="308" t="inlineStr">
        <is>
          <t>2"-JHWS-12A</t>
        </is>
      </c>
      <c r="E831" s="308" t="inlineStr">
        <is>
          <t>JHWS</t>
        </is>
      </c>
      <c r="F831" s="308" t="inlineStr">
        <is>
          <t>12A</t>
        </is>
      </c>
      <c r="G831" s="308" t="inlineStr">
        <is>
          <t>line</t>
        </is>
      </c>
      <c r="H831" s="311" t="n">
        <v>0.87</v>
      </c>
      <c r="I831" s="308" t="inlineStr">
        <is>
          <t>Medium</t>
        </is>
      </c>
      <c r="J831" s="308" t="inlineStr">
        <is>
          <t>drawing</t>
        </is>
      </c>
      <c r="K831" s="308" t="inlineStr">
        <is>
          <t>line:size-prefix</t>
        </is>
      </c>
      <c r="L831" s="308" t="inlineStr">
        <is>
          <t>drawing zone; process page; mapped sheet; repeated x10</t>
        </is>
      </c>
      <c r="M831" s="308" t="inlineStr">
        <is>
          <t>2"-JHWS-12A</t>
        </is>
      </c>
      <c r="N831" s="308" t="inlineStr">
        <is>
          <t>native</t>
        </is>
      </c>
      <c r="O831" s="308" t="inlineStr">
        <is>
          <t>native-only</t>
        </is>
      </c>
      <c r="P831" s="308" t="inlineStr">
        <is>
          <t>native</t>
        </is>
      </c>
      <c r="Q831" s="308" t="inlineStr"/>
      <c r="R831" s="308" t="inlineStr">
        <is>
          <t>native text sufficient</t>
        </is>
      </c>
      <c r="S831" s="308" t="inlineStr"/>
      <c r="T831" s="308" t="inlineStr">
        <is>
          <t>p27:native:452</t>
        </is>
      </c>
      <c r="U831" s="308" t="n">
        <v>1</v>
      </c>
    </row>
    <row r="832">
      <c r="A832" s="308" t="inlineStr">
        <is>
          <t>Missing in Excel</t>
        </is>
      </c>
      <c r="B832" s="308" t="inlineStr">
        <is>
          <t>DG7606</t>
        </is>
      </c>
      <c r="C832" s="308" t="n">
        <v>27</v>
      </c>
      <c r="D832" s="308" t="inlineStr">
        <is>
          <t>2"-JHWS-12A</t>
        </is>
      </c>
      <c r="E832" s="308" t="inlineStr">
        <is>
          <t>JHWS</t>
        </is>
      </c>
      <c r="F832" s="308" t="inlineStr">
        <is>
          <t>12A</t>
        </is>
      </c>
      <c r="G832" s="308" t="inlineStr">
        <is>
          <t>line</t>
        </is>
      </c>
      <c r="H832" s="311" t="n">
        <v>0.87</v>
      </c>
      <c r="I832" s="308" t="inlineStr">
        <is>
          <t>Medium</t>
        </is>
      </c>
      <c r="J832" s="308" t="inlineStr">
        <is>
          <t>drawing</t>
        </is>
      </c>
      <c r="K832" s="308" t="inlineStr">
        <is>
          <t>line:size-prefix</t>
        </is>
      </c>
      <c r="L832" s="308" t="inlineStr">
        <is>
          <t>drawing zone; process page; mapped sheet; repeated x10</t>
        </is>
      </c>
      <c r="M832" s="308" t="inlineStr">
        <is>
          <t>2"-JHWS-12A</t>
        </is>
      </c>
      <c r="N832" s="308" t="inlineStr">
        <is>
          <t>native</t>
        </is>
      </c>
      <c r="O832" s="308" t="inlineStr">
        <is>
          <t>native-only</t>
        </is>
      </c>
      <c r="P832" s="308" t="inlineStr">
        <is>
          <t>native</t>
        </is>
      </c>
      <c r="Q832" s="308" t="inlineStr"/>
      <c r="R832" s="308" t="inlineStr">
        <is>
          <t>native text sufficient</t>
        </is>
      </c>
      <c r="S832" s="308" t="inlineStr"/>
      <c r="T832" s="308" t="inlineStr">
        <is>
          <t>p27:native:453</t>
        </is>
      </c>
      <c r="U832" s="308" t="n">
        <v>1</v>
      </c>
    </row>
    <row r="833">
      <c r="A833" s="308" t="inlineStr">
        <is>
          <t>Missing in Excel</t>
        </is>
      </c>
      <c r="B833" s="308" t="inlineStr">
        <is>
          <t>DG7606</t>
        </is>
      </c>
      <c r="C833" s="308" t="n">
        <v>27</v>
      </c>
      <c r="D833" s="308" t="inlineStr">
        <is>
          <t>2"-JHWS-12A</t>
        </is>
      </c>
      <c r="E833" s="308" t="inlineStr">
        <is>
          <t>JHWS</t>
        </is>
      </c>
      <c r="F833" s="308" t="inlineStr">
        <is>
          <t>12A</t>
        </is>
      </c>
      <c r="G833" s="308" t="inlineStr">
        <is>
          <t>line</t>
        </is>
      </c>
      <c r="H833" s="311" t="n">
        <v>0.87</v>
      </c>
      <c r="I833" s="308" t="inlineStr">
        <is>
          <t>Medium</t>
        </is>
      </c>
      <c r="J833" s="308" t="inlineStr">
        <is>
          <t>drawing</t>
        </is>
      </c>
      <c r="K833" s="308" t="inlineStr">
        <is>
          <t>line:size-prefix</t>
        </is>
      </c>
      <c r="L833" s="308" t="inlineStr">
        <is>
          <t>drawing zone; process page; mapped sheet; repeated x10</t>
        </is>
      </c>
      <c r="M833" s="308" t="inlineStr">
        <is>
          <t>2"-JHWS-12A JHWS</t>
        </is>
      </c>
      <c r="N833" s="308" t="inlineStr">
        <is>
          <t>native</t>
        </is>
      </c>
      <c r="O833" s="308" t="inlineStr">
        <is>
          <t>native-only</t>
        </is>
      </c>
      <c r="P833" s="308" t="inlineStr">
        <is>
          <t>native</t>
        </is>
      </c>
      <c r="Q833" s="308" t="inlineStr"/>
      <c r="R833" s="308" t="inlineStr">
        <is>
          <t>native text sufficient</t>
        </is>
      </c>
      <c r="S833" s="308" t="inlineStr"/>
      <c r="T833" s="308" t="inlineStr">
        <is>
          <t>p27:native:453, p27:native:354</t>
        </is>
      </c>
      <c r="U833" s="308" t="n">
        <v>2</v>
      </c>
    </row>
    <row r="834">
      <c r="A834" s="308" t="inlineStr">
        <is>
          <t>Missing in Excel</t>
        </is>
      </c>
      <c r="B834" s="308" t="inlineStr">
        <is>
          <t>DG7606</t>
        </is>
      </c>
      <c r="C834" s="308" t="n">
        <v>27</v>
      </c>
      <c r="D834" s="308" t="inlineStr">
        <is>
          <t>2"-JHWS-12A</t>
        </is>
      </c>
      <c r="E834" s="308" t="inlineStr">
        <is>
          <t>JHWS</t>
        </is>
      </c>
      <c r="F834" s="308" t="inlineStr">
        <is>
          <t>12A</t>
        </is>
      </c>
      <c r="G834" s="308" t="inlineStr">
        <is>
          <t>line</t>
        </is>
      </c>
      <c r="H834" s="311" t="n">
        <v>0.87</v>
      </c>
      <c r="I834" s="308" t="inlineStr">
        <is>
          <t>Medium</t>
        </is>
      </c>
      <c r="J834" s="308" t="inlineStr">
        <is>
          <t>drawing</t>
        </is>
      </c>
      <c r="K834" s="308" t="inlineStr">
        <is>
          <t>line:size-prefix</t>
        </is>
      </c>
      <c r="L834" s="308" t="inlineStr">
        <is>
          <t>drawing zone; process page; mapped sheet; repeated x10</t>
        </is>
      </c>
      <c r="M834" s="308" t="inlineStr">
        <is>
          <t>2"-JHWS-12A JHWS</t>
        </is>
      </c>
      <c r="N834" s="308" t="inlineStr">
        <is>
          <t>native</t>
        </is>
      </c>
      <c r="O834" s="308" t="inlineStr">
        <is>
          <t>native-only</t>
        </is>
      </c>
      <c r="P834" s="308" t="inlineStr">
        <is>
          <t>native</t>
        </is>
      </c>
      <c r="Q834" s="308" t="inlineStr"/>
      <c r="R834" s="308" t="inlineStr">
        <is>
          <t>native text sufficient</t>
        </is>
      </c>
      <c r="S834" s="308" t="inlineStr"/>
      <c r="T834" s="308" t="inlineStr">
        <is>
          <t>p27:native:452, p27:native:364</t>
        </is>
      </c>
      <c r="U834" s="308" t="n">
        <v>2</v>
      </c>
    </row>
    <row r="835">
      <c r="A835" s="308" t="inlineStr">
        <is>
          <t>Missing in Excel</t>
        </is>
      </c>
      <c r="B835" s="308" t="inlineStr">
        <is>
          <t>DG7606</t>
        </is>
      </c>
      <c r="C835" s="308" t="n">
        <v>27</v>
      </c>
      <c r="D835" s="308" t="inlineStr">
        <is>
          <t>2"-JHWS-12A</t>
        </is>
      </c>
      <c r="E835" s="308" t="inlineStr">
        <is>
          <t>JHWS</t>
        </is>
      </c>
      <c r="F835" s="308" t="inlineStr">
        <is>
          <t>12A</t>
        </is>
      </c>
      <c r="G835" s="308" t="inlineStr">
        <is>
          <t>line</t>
        </is>
      </c>
      <c r="H835" s="311" t="n">
        <v>0.87</v>
      </c>
      <c r="I835" s="308" t="inlineStr">
        <is>
          <t>Medium</t>
        </is>
      </c>
      <c r="J835" s="308" t="inlineStr">
        <is>
          <t>drawing</t>
        </is>
      </c>
      <c r="K835" s="308" t="inlineStr">
        <is>
          <t>line:size-prefix</t>
        </is>
      </c>
      <c r="L835" s="308" t="inlineStr">
        <is>
          <t>drawing zone; process page; mapped sheet; repeated x10</t>
        </is>
      </c>
      <c r="M835" s="308" t="inlineStr">
        <is>
          <t>2"-JHWS-12A RL7-CRK-102</t>
        </is>
      </c>
      <c r="N835" s="308" t="inlineStr">
        <is>
          <t>native</t>
        </is>
      </c>
      <c r="O835" s="308" t="inlineStr">
        <is>
          <t>native-only</t>
        </is>
      </c>
      <c r="P835" s="308" t="inlineStr">
        <is>
          <t>native</t>
        </is>
      </c>
      <c r="Q835" s="308" t="inlineStr"/>
      <c r="R835" s="308" t="inlineStr">
        <is>
          <t>native text sufficient</t>
        </is>
      </c>
      <c r="S835" s="308" t="inlineStr"/>
      <c r="T835" s="308" t="inlineStr">
        <is>
          <t>p27:native:451, p27:native:362</t>
        </is>
      </c>
      <c r="U835" s="308" t="n">
        <v>2</v>
      </c>
    </row>
    <row r="836">
      <c r="A836" s="308" t="inlineStr">
        <is>
          <t>Missing in Excel</t>
        </is>
      </c>
      <c r="B836" s="308" t="inlineStr">
        <is>
          <t>DG7606</t>
        </is>
      </c>
      <c r="C836" s="308" t="n">
        <v>27</v>
      </c>
      <c r="D836" s="308" t="inlineStr">
        <is>
          <t>1"-CA-12A</t>
        </is>
      </c>
      <c r="E836" s="308" t="inlineStr">
        <is>
          <t>CA</t>
        </is>
      </c>
      <c r="F836" s="308" t="inlineStr">
        <is>
          <t>12A</t>
        </is>
      </c>
      <c r="G836" s="308" t="inlineStr">
        <is>
          <t>line</t>
        </is>
      </c>
      <c r="H836" s="311" t="n">
        <v>0.77</v>
      </c>
      <c r="I836" s="308" t="inlineStr">
        <is>
          <t>Medium</t>
        </is>
      </c>
      <c r="J836" s="308" t="inlineStr">
        <is>
          <t>drawing</t>
        </is>
      </c>
      <c r="K836" s="308" t="inlineStr">
        <is>
          <t>line:size-prefix</t>
        </is>
      </c>
      <c r="L836" s="308" t="inlineStr">
        <is>
          <t>drawing zone; process page; mapped sheet</t>
        </is>
      </c>
      <c r="M836" s="308" t="inlineStr">
        <is>
          <t>1"-CA-12A</t>
        </is>
      </c>
      <c r="N836" s="308" t="inlineStr">
        <is>
          <t>native</t>
        </is>
      </c>
      <c r="O836" s="308" t="inlineStr">
        <is>
          <t>native-only</t>
        </is>
      </c>
      <c r="P836" s="308" t="inlineStr">
        <is>
          <t>native</t>
        </is>
      </c>
      <c r="Q836" s="308" t="inlineStr"/>
      <c r="R836" s="308" t="inlineStr">
        <is>
          <t>native text sufficient</t>
        </is>
      </c>
      <c r="S836" s="308" t="inlineStr"/>
      <c r="T836" s="308" t="inlineStr">
        <is>
          <t>p27:native:344</t>
        </is>
      </c>
      <c r="U836" s="308" t="n">
        <v>1</v>
      </c>
    </row>
    <row r="837">
      <c r="A837" s="308" t="inlineStr">
        <is>
          <t>Missing in Excel</t>
        </is>
      </c>
      <c r="B837" s="308" t="inlineStr">
        <is>
          <t>DG7606</t>
        </is>
      </c>
      <c r="C837" s="308" t="n">
        <v>27</v>
      </c>
      <c r="D837" s="308" t="inlineStr">
        <is>
          <t>2"-PHW140-12A</t>
        </is>
      </c>
      <c r="E837" s="308" t="inlineStr">
        <is>
          <t>PHW140</t>
        </is>
      </c>
      <c r="F837" s="308" t="inlineStr">
        <is>
          <t>12A</t>
        </is>
      </c>
      <c r="G837" s="308" t="inlineStr">
        <is>
          <t>line</t>
        </is>
      </c>
      <c r="H837" s="311" t="n">
        <v>0.77</v>
      </c>
      <c r="I837" s="308" t="inlineStr">
        <is>
          <t>Medium</t>
        </is>
      </c>
      <c r="J837" s="308" t="inlineStr">
        <is>
          <t>drawing</t>
        </is>
      </c>
      <c r="K837" s="308" t="inlineStr">
        <is>
          <t>line:size-prefix</t>
        </is>
      </c>
      <c r="L837" s="308" t="inlineStr">
        <is>
          <t>drawing zone; process page; mapped sheet</t>
        </is>
      </c>
      <c r="M837" s="308" t="inlineStr">
        <is>
          <t>2"-PHW140-12A</t>
        </is>
      </c>
      <c r="N837" s="308" t="inlineStr">
        <is>
          <t>native</t>
        </is>
      </c>
      <c r="O837" s="308" t="inlineStr">
        <is>
          <t>native-only</t>
        </is>
      </c>
      <c r="P837" s="308" t="inlineStr">
        <is>
          <t>native</t>
        </is>
      </c>
      <c r="Q837" s="308" t="inlineStr"/>
      <c r="R837" s="308" t="inlineStr">
        <is>
          <t>native text sufficient</t>
        </is>
      </c>
      <c r="S837" s="308" t="inlineStr"/>
      <c r="T837" s="308" t="inlineStr">
        <is>
          <t>p27:native:345</t>
        </is>
      </c>
      <c r="U837" s="308" t="n">
        <v>1</v>
      </c>
    </row>
    <row r="838">
      <c r="A838" s="308" t="inlineStr">
        <is>
          <t>Missing in Excel</t>
        </is>
      </c>
      <c r="B838" s="308" t="inlineStr">
        <is>
          <t>DG7606</t>
        </is>
      </c>
      <c r="C838" s="308" t="n">
        <v>27</v>
      </c>
      <c r="D838" s="308" t="inlineStr">
        <is>
          <t>3"-HPS-CS01</t>
        </is>
      </c>
      <c r="E838" s="308" t="inlineStr">
        <is>
          <t>HPS</t>
        </is>
      </c>
      <c r="F838" s="308" t="inlineStr">
        <is>
          <t>CS01</t>
        </is>
      </c>
      <c r="G838" s="308" t="inlineStr">
        <is>
          <t>line</t>
        </is>
      </c>
      <c r="H838" s="311" t="n">
        <v>0.77</v>
      </c>
      <c r="I838" s="308" t="inlineStr">
        <is>
          <t>Medium</t>
        </is>
      </c>
      <c r="J838" s="308" t="inlineStr">
        <is>
          <t>drawing</t>
        </is>
      </c>
      <c r="K838" s="308" t="inlineStr">
        <is>
          <t>line:size-prefix</t>
        </is>
      </c>
      <c r="L838" s="308" t="inlineStr">
        <is>
          <t>drawing zone; process page; mapped sheet</t>
        </is>
      </c>
      <c r="M838" s="308" t="inlineStr">
        <is>
          <t>3"-HPS-CS01</t>
        </is>
      </c>
      <c r="N838" s="308" t="inlineStr">
        <is>
          <t>native</t>
        </is>
      </c>
      <c r="O838" s="308" t="inlineStr">
        <is>
          <t>native-only</t>
        </is>
      </c>
      <c r="P838" s="308" t="inlineStr">
        <is>
          <t>native</t>
        </is>
      </c>
      <c r="Q838" s="308" t="inlineStr"/>
      <c r="R838" s="308" t="inlineStr">
        <is>
          <t>native text sufficient</t>
        </is>
      </c>
      <c r="S838" s="308" t="inlineStr"/>
      <c r="T838" s="308" t="inlineStr">
        <is>
          <t>p27:native:505</t>
        </is>
      </c>
      <c r="U838" s="308" t="n">
        <v>1</v>
      </c>
    </row>
    <row r="839">
      <c r="A839" s="308" t="inlineStr">
        <is>
          <t>Missing in Excel</t>
        </is>
      </c>
      <c r="B839" s="308" t="inlineStr">
        <is>
          <t>DG7606</t>
        </is>
      </c>
      <c r="C839" s="308" t="n">
        <v>27</v>
      </c>
      <c r="D839" s="308" t="inlineStr">
        <is>
          <t>RL7-PMP-109-CV001</t>
        </is>
      </c>
      <c r="E839" s="308" t="inlineStr">
        <is>
          <t>RL7-PMP-109</t>
        </is>
      </c>
      <c r="F839" s="308" t="inlineStr">
        <is>
          <t>CV001</t>
        </is>
      </c>
      <c r="G839" s="308" t="inlineStr">
        <is>
          <t>instrument</t>
        </is>
      </c>
      <c r="H839" s="311" t="n">
        <v>0.29</v>
      </c>
      <c r="I839" s="308" t="inlineStr">
        <is>
          <t>Low</t>
        </is>
      </c>
      <c r="J839" s="308" t="inlineStr">
        <is>
          <t>title-block/bottom</t>
        </is>
      </c>
      <c r="K839" s="308" t="inlineStr">
        <is>
          <t>inferred:bare-isa</t>
        </is>
      </c>
      <c r="L839" s="308" t="inlineStr">
        <is>
          <t>title-block penalty; process page; mapped sheet</t>
        </is>
      </c>
      <c r="M839" s="308" t="inlineStr">
        <is>
          <t>RL7-PMP-109 / CV</t>
        </is>
      </c>
      <c r="N839" s="308" t="inlineStr">
        <is>
          <t>native</t>
        </is>
      </c>
      <c r="O839" s="308" t="inlineStr">
        <is>
          <t>native-only</t>
        </is>
      </c>
      <c r="P839" s="308" t="inlineStr">
        <is>
          <t>native</t>
        </is>
      </c>
      <c r="Q839" s="308" t="inlineStr"/>
      <c r="R839" s="308" t="inlineStr">
        <is>
          <t>native text sufficient</t>
        </is>
      </c>
      <c r="S839" s="308" t="inlineStr"/>
      <c r="T839" s="308" t="inlineStr">
        <is>
          <t>p27:native:279, p27:native:145</t>
        </is>
      </c>
      <c r="U839" s="308" t="n">
        <v>2</v>
      </c>
    </row>
    <row r="840">
      <c r="A840" s="308" t="inlineStr">
        <is>
          <t>Missing in Excel</t>
        </is>
      </c>
      <c r="B840" s="308" t="inlineStr">
        <is>
          <t>DG7606</t>
        </is>
      </c>
      <c r="C840" s="308" t="n">
        <v>27</v>
      </c>
      <c r="D840" s="308" t="inlineStr">
        <is>
          <t>RL7-PMP-109-CV002</t>
        </is>
      </c>
      <c r="E840" s="308" t="inlineStr">
        <is>
          <t>RL7-PMP-109</t>
        </is>
      </c>
      <c r="F840" s="308" t="inlineStr">
        <is>
          <t>CV002</t>
        </is>
      </c>
      <c r="G840" s="308" t="inlineStr">
        <is>
          <t>instrument</t>
        </is>
      </c>
      <c r="H840" s="311" t="n">
        <v>0.29</v>
      </c>
      <c r="I840" s="308" t="inlineStr">
        <is>
          <t>Low</t>
        </is>
      </c>
      <c r="J840" s="308" t="inlineStr">
        <is>
          <t>title-block/bottom</t>
        </is>
      </c>
      <c r="K840" s="308" t="inlineStr">
        <is>
          <t>inferred:bare-isa</t>
        </is>
      </c>
      <c r="L840" s="308" t="inlineStr">
        <is>
          <t>title-block penalty; process page; mapped sheet</t>
        </is>
      </c>
      <c r="M840" s="308" t="inlineStr">
        <is>
          <t>RL7-PMP-109 / CV</t>
        </is>
      </c>
      <c r="N840" s="308" t="inlineStr">
        <is>
          <t>native</t>
        </is>
      </c>
      <c r="O840" s="308" t="inlineStr">
        <is>
          <t>native-only</t>
        </is>
      </c>
      <c r="P840" s="308" t="inlineStr">
        <is>
          <t>native</t>
        </is>
      </c>
      <c r="Q840" s="308" t="inlineStr"/>
      <c r="R840" s="308" t="inlineStr">
        <is>
          <t>native text sufficient</t>
        </is>
      </c>
      <c r="S840" s="308" t="inlineStr"/>
      <c r="T840" s="308" t="inlineStr">
        <is>
          <t>p27:native:279, p27:native:157</t>
        </is>
      </c>
      <c r="U840" s="308" t="n">
        <v>2</v>
      </c>
    </row>
    <row r="841">
      <c r="A841" s="308" t="inlineStr">
        <is>
          <t>Missing in Excel</t>
        </is>
      </c>
      <c r="B841" s="308" t="inlineStr">
        <is>
          <t>DG7606</t>
        </is>
      </c>
      <c r="C841" s="308" t="n">
        <v>27</v>
      </c>
      <c r="D841" s="308" t="inlineStr">
        <is>
          <t>RL7-PMP-109-HV002</t>
        </is>
      </c>
      <c r="E841" s="308" t="inlineStr">
        <is>
          <t>RL7-PMP-109</t>
        </is>
      </c>
      <c r="F841" s="308" t="inlineStr">
        <is>
          <t>HV002</t>
        </is>
      </c>
      <c r="G841" s="308" t="inlineStr">
        <is>
          <t>instrument</t>
        </is>
      </c>
      <c r="H841" s="311" t="n">
        <v>0.29</v>
      </c>
      <c r="I841" s="308" t="inlineStr">
        <is>
          <t>Low</t>
        </is>
      </c>
      <c r="J841" s="308" t="inlineStr">
        <is>
          <t>title-block/bottom</t>
        </is>
      </c>
      <c r="K841" s="308" t="inlineStr">
        <is>
          <t>inferred:bare-isa</t>
        </is>
      </c>
      <c r="L841" s="308" t="inlineStr">
        <is>
          <t>title-block penalty; process page; mapped sheet</t>
        </is>
      </c>
      <c r="M841" s="308" t="inlineStr">
        <is>
          <t>RL7-PMP-109 / HV</t>
        </is>
      </c>
      <c r="N841" s="308" t="inlineStr">
        <is>
          <t>native</t>
        </is>
      </c>
      <c r="O841" s="308" t="inlineStr">
        <is>
          <t>native-only</t>
        </is>
      </c>
      <c r="P841" s="308" t="inlineStr">
        <is>
          <t>native</t>
        </is>
      </c>
      <c r="Q841" s="308" t="inlineStr"/>
      <c r="R841" s="308" t="inlineStr">
        <is>
          <t>native text sufficient</t>
        </is>
      </c>
      <c r="S841" s="308" t="inlineStr"/>
      <c r="T841" s="308" t="inlineStr">
        <is>
          <t>p27:native:279, p27:native:151</t>
        </is>
      </c>
      <c r="U841" s="308" t="n">
        <v>2</v>
      </c>
    </row>
    <row r="842">
      <c r="A842" s="308" t="inlineStr">
        <is>
          <t>Missing in Excel</t>
        </is>
      </c>
      <c r="B842" s="308" t="inlineStr">
        <is>
          <t>DG7606</t>
        </is>
      </c>
      <c r="C842" s="308" t="n">
        <v>27</v>
      </c>
      <c r="D842" s="308" t="inlineStr">
        <is>
          <t>2"-PC-CS02</t>
        </is>
      </c>
      <c r="E842" s="308" t="inlineStr">
        <is>
          <t>PC</t>
        </is>
      </c>
      <c r="F842" s="308" t="inlineStr">
        <is>
          <t>CS02</t>
        </is>
      </c>
      <c r="G842" s="308" t="inlineStr">
        <is>
          <t>line</t>
        </is>
      </c>
      <c r="H842" s="311" t="n">
        <v>0.49</v>
      </c>
      <c r="I842" s="308" t="inlineStr">
        <is>
          <t>Low</t>
        </is>
      </c>
      <c r="J842" s="308" t="inlineStr">
        <is>
          <t>title-block/bottom</t>
        </is>
      </c>
      <c r="K842" s="308" t="inlineStr">
        <is>
          <t>line:size-prefix</t>
        </is>
      </c>
      <c r="L842" s="308" t="inlineStr">
        <is>
          <t>title-block penalty; process page; mapped sheet</t>
        </is>
      </c>
      <c r="M842" s="308" t="inlineStr">
        <is>
          <t>2"-PC-CS02</t>
        </is>
      </c>
      <c r="N842" s="308" t="inlineStr">
        <is>
          <t>native</t>
        </is>
      </c>
      <c r="O842" s="308" t="inlineStr">
        <is>
          <t>native-only</t>
        </is>
      </c>
      <c r="P842" s="308" t="inlineStr">
        <is>
          <t>native</t>
        </is>
      </c>
      <c r="Q842" s="308" t="inlineStr"/>
      <c r="R842" s="308" t="inlineStr">
        <is>
          <t>native text sufficient</t>
        </is>
      </c>
      <c r="S842" s="308" t="inlineStr"/>
      <c r="T842" s="308" t="inlineStr">
        <is>
          <t>p27:native:336</t>
        </is>
      </c>
      <c r="U842" s="308" t="n">
        <v>1</v>
      </c>
    </row>
    <row r="843">
      <c r="A843" s="308" t="inlineStr">
        <is>
          <t>Missing in Excel</t>
        </is>
      </c>
      <c r="B843" s="308" t="inlineStr">
        <is>
          <t>DG7606</t>
        </is>
      </c>
      <c r="C843" s="308" t="n">
        <v>27</v>
      </c>
      <c r="D843" s="308" t="inlineStr">
        <is>
          <t>RL7-AGC-201</t>
        </is>
      </c>
      <c r="E843" s="308" t="inlineStr">
        <is>
          <t>RL7-AGC-201</t>
        </is>
      </c>
      <c r="F843" s="308" t="inlineStr"/>
      <c r="G843" s="308" t="inlineStr">
        <is>
          <t>equipment</t>
        </is>
      </c>
      <c r="H843" s="311" t="n">
        <v>0.49</v>
      </c>
      <c r="I843" s="308" t="inlineStr">
        <is>
          <t>Low</t>
        </is>
      </c>
      <c r="J843" s="308" t="inlineStr">
        <is>
          <t>title-block/right</t>
        </is>
      </c>
      <c r="K843" s="308" t="inlineStr">
        <is>
          <t>standalone:asset</t>
        </is>
      </c>
      <c r="L843" s="308" t="inlineStr">
        <is>
          <t>title-block penalty; process page; mapped sheet</t>
        </is>
      </c>
      <c r="M843" s="308" t="inlineStr">
        <is>
          <t>RL7-AGC-201</t>
        </is>
      </c>
      <c r="N843" s="308" t="inlineStr">
        <is>
          <t>native</t>
        </is>
      </c>
      <c r="O843" s="308" t="inlineStr">
        <is>
          <t>native-only</t>
        </is>
      </c>
      <c r="P843" s="308" t="inlineStr">
        <is>
          <t>native</t>
        </is>
      </c>
      <c r="Q843" s="308" t="inlineStr"/>
      <c r="R843" s="308" t="inlineStr">
        <is>
          <t>native text sufficient</t>
        </is>
      </c>
      <c r="S843" s="308" t="inlineStr"/>
      <c r="T843" s="308" t="inlineStr">
        <is>
          <t>p27:native:366</t>
        </is>
      </c>
      <c r="U843" s="308" t="n">
        <v>1</v>
      </c>
    </row>
    <row r="844">
      <c r="A844" s="308" t="inlineStr">
        <is>
          <t>Missing in Excel</t>
        </is>
      </c>
      <c r="B844" s="308" t="inlineStr">
        <is>
          <t>DG7606</t>
        </is>
      </c>
      <c r="C844" s="308" t="n">
        <v>27</v>
      </c>
      <c r="D844" s="308" t="inlineStr">
        <is>
          <t>RL7-CRK-101</t>
        </is>
      </c>
      <c r="E844" s="308" t="inlineStr">
        <is>
          <t>RL7-CRK-101</t>
        </is>
      </c>
      <c r="F844" s="308" t="inlineStr"/>
      <c r="G844" s="308" t="inlineStr">
        <is>
          <t>equipment</t>
        </is>
      </c>
      <c r="H844" s="311" t="n">
        <v>0.49</v>
      </c>
      <c r="I844" s="308" t="inlineStr">
        <is>
          <t>Low</t>
        </is>
      </c>
      <c r="J844" s="308" t="inlineStr">
        <is>
          <t>title-block/right</t>
        </is>
      </c>
      <c r="K844" s="308" t="inlineStr">
        <is>
          <t>standalone:asset</t>
        </is>
      </c>
      <c r="L844" s="308" t="inlineStr">
        <is>
          <t>title-block penalty; process page; mapped sheet</t>
        </is>
      </c>
      <c r="M844" s="308" t="inlineStr">
        <is>
          <t>RL7-CRK-101</t>
        </is>
      </c>
      <c r="N844" s="308" t="inlineStr">
        <is>
          <t>native</t>
        </is>
      </c>
      <c r="O844" s="308" t="inlineStr">
        <is>
          <t>native-only</t>
        </is>
      </c>
      <c r="P844" s="308" t="inlineStr">
        <is>
          <t>native</t>
        </is>
      </c>
      <c r="Q844" s="308" t="inlineStr"/>
      <c r="R844" s="308" t="inlineStr">
        <is>
          <t>native text sufficient</t>
        </is>
      </c>
      <c r="S844" s="308" t="inlineStr"/>
      <c r="T844" s="308" t="inlineStr">
        <is>
          <t>p27:native:352</t>
        </is>
      </c>
      <c r="U844" s="308" t="n">
        <v>1</v>
      </c>
    </row>
    <row r="845">
      <c r="A845" s="308" t="inlineStr">
        <is>
          <t>Missing in Excel</t>
        </is>
      </c>
      <c r="B845" s="308" t="inlineStr">
        <is>
          <t>DG7606</t>
        </is>
      </c>
      <c r="C845" s="308" t="n">
        <v>27</v>
      </c>
      <c r="D845" s="308" t="inlineStr">
        <is>
          <t>RL7-CRK-102</t>
        </is>
      </c>
      <c r="E845" s="308" t="inlineStr">
        <is>
          <t>RL7-CRK-102</t>
        </is>
      </c>
      <c r="F845" s="308" t="inlineStr"/>
      <c r="G845" s="308" t="inlineStr">
        <is>
          <t>equipment</t>
        </is>
      </c>
      <c r="H845" s="311" t="n">
        <v>0.49</v>
      </c>
      <c r="I845" s="308" t="inlineStr">
        <is>
          <t>Low</t>
        </is>
      </c>
      <c r="J845" s="308" t="inlineStr">
        <is>
          <t>title-block/right</t>
        </is>
      </c>
      <c r="K845" s="308" t="inlineStr">
        <is>
          <t>standalone:asset</t>
        </is>
      </c>
      <c r="L845" s="308" t="inlineStr">
        <is>
          <t>title-block penalty; process page; mapped sheet</t>
        </is>
      </c>
      <c r="M845" s="308" t="inlineStr">
        <is>
          <t>RL7-CRK-102</t>
        </is>
      </c>
      <c r="N845" s="308" t="inlineStr">
        <is>
          <t>native</t>
        </is>
      </c>
      <c r="O845" s="308" t="inlineStr">
        <is>
          <t>native-only</t>
        </is>
      </c>
      <c r="P845" s="308" t="inlineStr">
        <is>
          <t>native</t>
        </is>
      </c>
      <c r="Q845" s="308" t="inlineStr"/>
      <c r="R845" s="308" t="inlineStr">
        <is>
          <t>native text sufficient</t>
        </is>
      </c>
      <c r="S845" s="308" t="inlineStr"/>
      <c r="T845" s="308" t="inlineStr">
        <is>
          <t>p27:native:362</t>
        </is>
      </c>
      <c r="U845" s="308" t="n">
        <v>1</v>
      </c>
    </row>
    <row r="846">
      <c r="A846" s="308" t="inlineStr">
        <is>
          <t>Missing in Excel</t>
        </is>
      </c>
      <c r="B846" s="308" t="inlineStr">
        <is>
          <t>DG7700</t>
        </is>
      </c>
      <c r="C846" s="308" t="n">
        <v>28</v>
      </c>
      <c r="D846" s="308" t="inlineStr">
        <is>
          <t>RL7-CKR-200</t>
        </is>
      </c>
      <c r="E846" s="308" t="inlineStr">
        <is>
          <t>RL7-CKR-200</t>
        </is>
      </c>
      <c r="F846" s="308" t="inlineStr"/>
      <c r="G846" s="308" t="inlineStr">
        <is>
          <t>equipment</t>
        </is>
      </c>
      <c r="H846" s="311" t="n">
        <v>0.77</v>
      </c>
      <c r="I846" s="308" t="inlineStr">
        <is>
          <t>Medium</t>
        </is>
      </c>
      <c r="J846" s="308" t="inlineStr">
        <is>
          <t>drawing</t>
        </is>
      </c>
      <c r="K846" s="308" t="inlineStr">
        <is>
          <t>standalone:asset</t>
        </is>
      </c>
      <c r="L846" s="308" t="inlineStr">
        <is>
          <t>drawing zone; process page; mapped sheet</t>
        </is>
      </c>
      <c r="M846" s="308" t="inlineStr">
        <is>
          <t>RL7-CKR-200</t>
        </is>
      </c>
      <c r="N846" s="308" t="inlineStr">
        <is>
          <t>native</t>
        </is>
      </c>
      <c r="O846" s="308" t="inlineStr">
        <is>
          <t>native-only</t>
        </is>
      </c>
      <c r="P846" s="308" t="inlineStr">
        <is>
          <t>native</t>
        </is>
      </c>
      <c r="Q846" s="308" t="inlineStr"/>
      <c r="R846" s="308" t="inlineStr">
        <is>
          <t>native text sufficient</t>
        </is>
      </c>
      <c r="S846" s="308" t="inlineStr"/>
      <c r="T846" s="308" t="inlineStr">
        <is>
          <t>p28:native:464</t>
        </is>
      </c>
      <c r="U846" s="308" t="n">
        <v>1</v>
      </c>
    </row>
    <row r="847">
      <c r="A847" s="308" t="inlineStr">
        <is>
          <t>Missing in Excel</t>
        </is>
      </c>
      <c r="B847" s="308" t="inlineStr">
        <is>
          <t>DG7700</t>
        </is>
      </c>
      <c r="C847" s="308" t="n">
        <v>28</v>
      </c>
      <c r="D847" s="308" t="inlineStr">
        <is>
          <t>RL7-CKR-101-FE101</t>
        </is>
      </c>
      <c r="E847" s="308" t="inlineStr">
        <is>
          <t>RL7-CKR-101</t>
        </is>
      </c>
      <c r="F847" s="308" t="inlineStr">
        <is>
          <t>FE101</t>
        </is>
      </c>
      <c r="G847" s="308" t="inlineStr">
        <is>
          <t>instrument</t>
        </is>
      </c>
      <c r="H847" s="311" t="n">
        <v>0.99</v>
      </c>
      <c r="I847" s="308" t="inlineStr">
        <is>
          <t>High</t>
        </is>
      </c>
      <c r="J847" s="308" t="inlineStr">
        <is>
          <t>drawing</t>
        </is>
      </c>
      <c r="K847" s="308" t="inlineStr">
        <is>
          <t>stacked:isa</t>
        </is>
      </c>
      <c r="L847" s="308" t="inlineStr">
        <is>
          <t>drawing zone; process page; mapped sheet</t>
        </is>
      </c>
      <c r="M847" s="308" t="inlineStr">
        <is>
          <t>RL7-CKR-101 / FE-101</t>
        </is>
      </c>
      <c r="N847" s="308" t="inlineStr">
        <is>
          <t>native</t>
        </is>
      </c>
      <c r="O847" s="308" t="inlineStr">
        <is>
          <t>native-only</t>
        </is>
      </c>
      <c r="P847" s="308" t="inlineStr">
        <is>
          <t>native</t>
        </is>
      </c>
      <c r="Q847" s="308" t="inlineStr"/>
      <c r="R847" s="308" t="inlineStr">
        <is>
          <t>native text sufficient</t>
        </is>
      </c>
      <c r="S847" s="308" t="inlineStr"/>
      <c r="T847" s="308" t="inlineStr">
        <is>
          <t>p28:native:105, p28:native:106</t>
        </is>
      </c>
      <c r="U847" s="308" t="n">
        <v>2</v>
      </c>
    </row>
    <row r="848">
      <c r="A848" s="308" t="inlineStr">
        <is>
          <t>Missing in Excel</t>
        </is>
      </c>
      <c r="B848" s="308" t="inlineStr">
        <is>
          <t>DG7700</t>
        </is>
      </c>
      <c r="C848" s="308" t="n">
        <v>28</v>
      </c>
      <c r="D848" s="308" t="inlineStr">
        <is>
          <t>RL7-CKR-101-PCV101</t>
        </is>
      </c>
      <c r="E848" s="308" t="inlineStr">
        <is>
          <t>RL7-CKR-101</t>
        </is>
      </c>
      <c r="F848" s="308" t="inlineStr">
        <is>
          <t>PCV101</t>
        </is>
      </c>
      <c r="G848" s="308" t="inlineStr">
        <is>
          <t>instrument</t>
        </is>
      </c>
      <c r="H848" s="311" t="n">
        <v>0.99</v>
      </c>
      <c r="I848" s="308" t="inlineStr">
        <is>
          <t>High</t>
        </is>
      </c>
      <c r="J848" s="308" t="inlineStr">
        <is>
          <t>drawing</t>
        </is>
      </c>
      <c r="K848" s="308" t="inlineStr">
        <is>
          <t>stacked:isa</t>
        </is>
      </c>
      <c r="L848" s="308" t="inlineStr">
        <is>
          <t>drawing zone; process page; mapped sheet</t>
        </is>
      </c>
      <c r="M848" s="308" t="inlineStr">
        <is>
          <t>RL7-CKR-101 / PCV-101</t>
        </is>
      </c>
      <c r="N848" s="308" t="inlineStr">
        <is>
          <t>native</t>
        </is>
      </c>
      <c r="O848" s="308" t="inlineStr">
        <is>
          <t>native-only</t>
        </is>
      </c>
      <c r="P848" s="308" t="inlineStr">
        <is>
          <t>native</t>
        </is>
      </c>
      <c r="Q848" s="308" t="inlineStr"/>
      <c r="R848" s="308" t="inlineStr">
        <is>
          <t>native text sufficient</t>
        </is>
      </c>
      <c r="S848" s="308" t="inlineStr"/>
      <c r="T848" s="308" t="inlineStr">
        <is>
          <t>p28:native:125, p28:native:126</t>
        </is>
      </c>
      <c r="U848" s="308" t="n">
        <v>2</v>
      </c>
    </row>
    <row r="849">
      <c r="A849" s="308" t="inlineStr">
        <is>
          <t>Missing in Excel</t>
        </is>
      </c>
      <c r="B849" s="308" t="inlineStr">
        <is>
          <t>DG7700</t>
        </is>
      </c>
      <c r="C849" s="308" t="n">
        <v>28</v>
      </c>
      <c r="D849" s="308" t="inlineStr">
        <is>
          <t>RL7-CKR-101-PSV01</t>
        </is>
      </c>
      <c r="E849" s="308" t="inlineStr">
        <is>
          <t>RL7-CKR-101</t>
        </is>
      </c>
      <c r="F849" s="308" t="inlineStr">
        <is>
          <t>PSV01</t>
        </is>
      </c>
      <c r="G849" s="308" t="inlineStr">
        <is>
          <t>instrument</t>
        </is>
      </c>
      <c r="H849" s="311" t="n">
        <v>0.99</v>
      </c>
      <c r="I849" s="308" t="inlineStr">
        <is>
          <t>High</t>
        </is>
      </c>
      <c r="J849" s="308" t="inlineStr">
        <is>
          <t>drawing</t>
        </is>
      </c>
      <c r="K849" s="308" t="inlineStr">
        <is>
          <t>stacked:isa</t>
        </is>
      </c>
      <c r="L849" s="308" t="inlineStr">
        <is>
          <t>drawing zone; process page; mapped sheet</t>
        </is>
      </c>
      <c r="M849" s="308" t="inlineStr">
        <is>
          <t>RL7-CKR-101 / PSV-01</t>
        </is>
      </c>
      <c r="N849" s="308" t="inlineStr">
        <is>
          <t>native</t>
        </is>
      </c>
      <c r="O849" s="308" t="inlineStr">
        <is>
          <t>native-only</t>
        </is>
      </c>
      <c r="P849" s="308" t="inlineStr">
        <is>
          <t>native</t>
        </is>
      </c>
      <c r="Q849" s="308" t="inlineStr"/>
      <c r="R849" s="308" t="inlineStr">
        <is>
          <t>native text sufficient</t>
        </is>
      </c>
      <c r="S849" s="308" t="inlineStr"/>
      <c r="T849" s="308" t="inlineStr">
        <is>
          <t>p28:native:127, p28:native:128</t>
        </is>
      </c>
      <c r="U849" s="308" t="n">
        <v>2</v>
      </c>
    </row>
    <row r="850">
      <c r="A850" s="308" t="inlineStr">
        <is>
          <t>Missing in Excel</t>
        </is>
      </c>
      <c r="B850" s="308" t="inlineStr">
        <is>
          <t>DG7700</t>
        </is>
      </c>
      <c r="C850" s="308" t="n">
        <v>28</v>
      </c>
      <c r="D850" s="308" t="inlineStr">
        <is>
          <t>RL7-CKR-102-FE101</t>
        </is>
      </c>
      <c r="E850" s="308" t="inlineStr">
        <is>
          <t>RL7-CKR-102</t>
        </is>
      </c>
      <c r="F850" s="308" t="inlineStr">
        <is>
          <t>FE101</t>
        </is>
      </c>
      <c r="G850" s="308" t="inlineStr">
        <is>
          <t>instrument</t>
        </is>
      </c>
      <c r="H850" s="311" t="n">
        <v>0.99</v>
      </c>
      <c r="I850" s="308" t="inlineStr">
        <is>
          <t>High</t>
        </is>
      </c>
      <c r="J850" s="308" t="inlineStr">
        <is>
          <t>drawing</t>
        </is>
      </c>
      <c r="K850" s="308" t="inlineStr">
        <is>
          <t>stacked:isa</t>
        </is>
      </c>
      <c r="L850" s="308" t="inlineStr">
        <is>
          <t>drawing zone; process page; mapped sheet</t>
        </is>
      </c>
      <c r="M850" s="308" t="inlineStr">
        <is>
          <t>RL7-CKR-102 / FE-101</t>
        </is>
      </c>
      <c r="N850" s="308" t="inlineStr">
        <is>
          <t>native</t>
        </is>
      </c>
      <c r="O850" s="308" t="inlineStr">
        <is>
          <t>native-only</t>
        </is>
      </c>
      <c r="P850" s="308" t="inlineStr">
        <is>
          <t>native</t>
        </is>
      </c>
      <c r="Q850" s="308" t="inlineStr"/>
      <c r="R850" s="308" t="inlineStr">
        <is>
          <t>native text sufficient</t>
        </is>
      </c>
      <c r="S850" s="308" t="inlineStr"/>
      <c r="T850" s="308" t="inlineStr">
        <is>
          <t>p28:native:158, p28:native:159</t>
        </is>
      </c>
      <c r="U850" s="308" t="n">
        <v>2</v>
      </c>
    </row>
    <row r="851">
      <c r="A851" s="308" t="inlineStr">
        <is>
          <t>Missing in Excel</t>
        </is>
      </c>
      <c r="B851" s="308" t="inlineStr">
        <is>
          <t>DG7700</t>
        </is>
      </c>
      <c r="C851" s="308" t="n">
        <v>28</v>
      </c>
      <c r="D851" s="308" t="inlineStr">
        <is>
          <t>RL7-CKR-102-PCV101</t>
        </is>
      </c>
      <c r="E851" s="308" t="inlineStr">
        <is>
          <t>RL7-CKR-102</t>
        </is>
      </c>
      <c r="F851" s="308" t="inlineStr">
        <is>
          <t>PCV101</t>
        </is>
      </c>
      <c r="G851" s="308" t="inlineStr">
        <is>
          <t>instrument</t>
        </is>
      </c>
      <c r="H851" s="311" t="n">
        <v>0.99</v>
      </c>
      <c r="I851" s="308" t="inlineStr">
        <is>
          <t>High</t>
        </is>
      </c>
      <c r="J851" s="308" t="inlineStr">
        <is>
          <t>drawing</t>
        </is>
      </c>
      <c r="K851" s="308" t="inlineStr">
        <is>
          <t>stacked:isa</t>
        </is>
      </c>
      <c r="L851" s="308" t="inlineStr">
        <is>
          <t>drawing zone; process page; mapped sheet</t>
        </is>
      </c>
      <c r="M851" s="308" t="inlineStr">
        <is>
          <t>RL7-CKR-102 / PCV-101</t>
        </is>
      </c>
      <c r="N851" s="308" t="inlineStr">
        <is>
          <t>native</t>
        </is>
      </c>
      <c r="O851" s="308" t="inlineStr">
        <is>
          <t>native-only</t>
        </is>
      </c>
      <c r="P851" s="308" t="inlineStr">
        <is>
          <t>native</t>
        </is>
      </c>
      <c r="Q851" s="308" t="inlineStr"/>
      <c r="R851" s="308" t="inlineStr">
        <is>
          <t>native text sufficient</t>
        </is>
      </c>
      <c r="S851" s="308" t="inlineStr"/>
      <c r="T851" s="308" t="inlineStr">
        <is>
          <t>p28:native:178, p28:native:179</t>
        </is>
      </c>
      <c r="U851" s="308" t="n">
        <v>2</v>
      </c>
    </row>
    <row r="852">
      <c r="A852" s="308" t="inlineStr">
        <is>
          <t>Missing in Excel</t>
        </is>
      </c>
      <c r="B852" s="308" t="inlineStr">
        <is>
          <t>DG7700</t>
        </is>
      </c>
      <c r="C852" s="308" t="n">
        <v>28</v>
      </c>
      <c r="D852" s="308" t="inlineStr">
        <is>
          <t>RL7-CKR-102-PSV01</t>
        </is>
      </c>
      <c r="E852" s="308" t="inlineStr">
        <is>
          <t>RL7-CKR-102</t>
        </is>
      </c>
      <c r="F852" s="308" t="inlineStr">
        <is>
          <t>PSV01</t>
        </is>
      </c>
      <c r="G852" s="308" t="inlineStr">
        <is>
          <t>instrument</t>
        </is>
      </c>
      <c r="H852" s="311" t="n">
        <v>0.99</v>
      </c>
      <c r="I852" s="308" t="inlineStr">
        <is>
          <t>High</t>
        </is>
      </c>
      <c r="J852" s="308" t="inlineStr">
        <is>
          <t>drawing</t>
        </is>
      </c>
      <c r="K852" s="308" t="inlineStr">
        <is>
          <t>stacked:isa</t>
        </is>
      </c>
      <c r="L852" s="308" t="inlineStr">
        <is>
          <t>drawing zone; process page; mapped sheet</t>
        </is>
      </c>
      <c r="M852" s="308" t="inlineStr">
        <is>
          <t>RL7-CKR-102 / PSV-01</t>
        </is>
      </c>
      <c r="N852" s="308" t="inlineStr">
        <is>
          <t>native</t>
        </is>
      </c>
      <c r="O852" s="308" t="inlineStr">
        <is>
          <t>native-only</t>
        </is>
      </c>
      <c r="P852" s="308" t="inlineStr">
        <is>
          <t>native</t>
        </is>
      </c>
      <c r="Q852" s="308" t="inlineStr"/>
      <c r="R852" s="308" t="inlineStr">
        <is>
          <t>native text sufficient</t>
        </is>
      </c>
      <c r="S852" s="308" t="inlineStr"/>
      <c r="T852" s="308" t="inlineStr">
        <is>
          <t>p28:native:180, p28:native:181</t>
        </is>
      </c>
      <c r="U852" s="308" t="n">
        <v>2</v>
      </c>
    </row>
    <row r="853">
      <c r="A853" s="308" t="inlineStr">
        <is>
          <t>Missing in Excel</t>
        </is>
      </c>
      <c r="B853" s="308" t="inlineStr">
        <is>
          <t>DG7700</t>
        </is>
      </c>
      <c r="C853" s="308" t="n">
        <v>28</v>
      </c>
      <c r="D853" s="308" t="inlineStr">
        <is>
          <t>RL7-CKR-102-TCV101</t>
        </is>
      </c>
      <c r="E853" s="308" t="inlineStr">
        <is>
          <t>RL7-CKR-102</t>
        </is>
      </c>
      <c r="F853" s="308" t="inlineStr">
        <is>
          <t>TCV101</t>
        </is>
      </c>
      <c r="G853" s="308" t="inlineStr">
        <is>
          <t>instrument</t>
        </is>
      </c>
      <c r="H853" s="311" t="n">
        <v>0.99</v>
      </c>
      <c r="I853" s="308" t="inlineStr">
        <is>
          <t>High</t>
        </is>
      </c>
      <c r="J853" s="308" t="inlineStr">
        <is>
          <t>drawing</t>
        </is>
      </c>
      <c r="K853" s="308" t="inlineStr">
        <is>
          <t>stacked:isa</t>
        </is>
      </c>
      <c r="L853" s="308" t="inlineStr">
        <is>
          <t>drawing zone; process page; mapped sheet</t>
        </is>
      </c>
      <c r="M853" s="308" t="inlineStr">
        <is>
          <t>RL7-CKR-102 / TCV-101</t>
        </is>
      </c>
      <c r="N853" s="308" t="inlineStr">
        <is>
          <t>native</t>
        </is>
      </c>
      <c r="O853" s="308" t="inlineStr">
        <is>
          <t>native-only</t>
        </is>
      </c>
      <c r="P853" s="308" t="inlineStr">
        <is>
          <t>native</t>
        </is>
      </c>
      <c r="Q853" s="308" t="inlineStr"/>
      <c r="R853" s="308" t="inlineStr">
        <is>
          <t>native text sufficient</t>
        </is>
      </c>
      <c r="S853" s="308" t="inlineStr"/>
      <c r="T853" s="308" t="inlineStr">
        <is>
          <t>p28:native:162, p28:native:163</t>
        </is>
      </c>
      <c r="U853" s="308" t="n">
        <v>2</v>
      </c>
    </row>
    <row r="854">
      <c r="A854" s="308" t="inlineStr">
        <is>
          <t>Missing in Excel</t>
        </is>
      </c>
      <c r="B854" s="308" t="inlineStr">
        <is>
          <t>DG7700</t>
        </is>
      </c>
      <c r="C854" s="308" t="n">
        <v>28</v>
      </c>
      <c r="D854" s="308" t="inlineStr">
        <is>
          <t>RL7-CKR-101-CV001</t>
        </is>
      </c>
      <c r="E854" s="308" t="inlineStr">
        <is>
          <t>RL7-CKR-101</t>
        </is>
      </c>
      <c r="F854" s="308" t="inlineStr">
        <is>
          <t>CV001</t>
        </is>
      </c>
      <c r="G854" s="308" t="inlineStr">
        <is>
          <t>instrument</t>
        </is>
      </c>
      <c r="H854" s="311" t="n">
        <v>0.57</v>
      </c>
      <c r="I854" s="308" t="inlineStr">
        <is>
          <t>Low</t>
        </is>
      </c>
      <c r="J854" s="308" t="inlineStr">
        <is>
          <t>drawing</t>
        </is>
      </c>
      <c r="K854" s="308" t="inlineStr">
        <is>
          <t>inferred:bare-isa</t>
        </is>
      </c>
      <c r="L854" s="308" t="inlineStr">
        <is>
          <t>drawing zone; process page; mapped sheet</t>
        </is>
      </c>
      <c r="M854" s="308" t="inlineStr">
        <is>
          <t>RL7-CKR-101 / CV</t>
        </is>
      </c>
      <c r="N854" s="308" t="inlineStr">
        <is>
          <t>native</t>
        </is>
      </c>
      <c r="O854" s="308" t="inlineStr">
        <is>
          <t>native-only</t>
        </is>
      </c>
      <c r="P854" s="308" t="inlineStr">
        <is>
          <t>native</t>
        </is>
      </c>
      <c r="Q854" s="308" t="inlineStr"/>
      <c r="R854" s="308" t="inlineStr">
        <is>
          <t>native text sufficient</t>
        </is>
      </c>
      <c r="S854" s="308" t="inlineStr"/>
      <c r="T854" s="308" t="inlineStr">
        <is>
          <t>p28:native:111, p28:native:74</t>
        </is>
      </c>
      <c r="U854" s="308" t="n">
        <v>2</v>
      </c>
    </row>
    <row r="855">
      <c r="A855" s="308" t="inlineStr">
        <is>
          <t>Missing in Excel</t>
        </is>
      </c>
      <c r="B855" s="308" t="inlineStr">
        <is>
          <t>DG7700</t>
        </is>
      </c>
      <c r="C855" s="308" t="n">
        <v>28</v>
      </c>
      <c r="D855" s="308" t="inlineStr">
        <is>
          <t>RL7-CKR-101-CV002</t>
        </is>
      </c>
      <c r="E855" s="308" t="inlineStr">
        <is>
          <t>RL7-CKR-101</t>
        </is>
      </c>
      <c r="F855" s="308" t="inlineStr">
        <is>
          <t>CV002</t>
        </is>
      </c>
      <c r="G855" s="308" t="inlineStr">
        <is>
          <t>instrument</t>
        </is>
      </c>
      <c r="H855" s="311" t="n">
        <v>0.57</v>
      </c>
      <c r="I855" s="308" t="inlineStr">
        <is>
          <t>Low</t>
        </is>
      </c>
      <c r="J855" s="308" t="inlineStr">
        <is>
          <t>drawing</t>
        </is>
      </c>
      <c r="K855" s="308" t="inlineStr">
        <is>
          <t>inferred:bare-isa</t>
        </is>
      </c>
      <c r="L855" s="308" t="inlineStr">
        <is>
          <t>drawing zone; process page; mapped sheet</t>
        </is>
      </c>
      <c r="M855" s="308" t="inlineStr">
        <is>
          <t>RL7-CKR-101 / CV</t>
        </is>
      </c>
      <c r="N855" s="308" t="inlineStr">
        <is>
          <t>native</t>
        </is>
      </c>
      <c r="O855" s="308" t="inlineStr">
        <is>
          <t>native-only</t>
        </is>
      </c>
      <c r="P855" s="308" t="inlineStr">
        <is>
          <t>native</t>
        </is>
      </c>
      <c r="Q855" s="308" t="inlineStr"/>
      <c r="R855" s="308" t="inlineStr">
        <is>
          <t>native text sufficient</t>
        </is>
      </c>
      <c r="S855" s="308" t="inlineStr"/>
      <c r="T855" s="308" t="inlineStr">
        <is>
          <t>p28:native:127, p28:native:24</t>
        </is>
      </c>
      <c r="U855" s="308" t="n">
        <v>2</v>
      </c>
    </row>
    <row r="856">
      <c r="A856" s="308" t="inlineStr">
        <is>
          <t>Missing in Excel</t>
        </is>
      </c>
      <c r="B856" s="308" t="inlineStr">
        <is>
          <t>DG7700</t>
        </is>
      </c>
      <c r="C856" s="308" t="n">
        <v>28</v>
      </c>
      <c r="D856" s="308" t="inlineStr">
        <is>
          <t>RL7-CKR-101-CV003</t>
        </is>
      </c>
      <c r="E856" s="308" t="inlineStr">
        <is>
          <t>RL7-CKR-101</t>
        </is>
      </c>
      <c r="F856" s="308" t="inlineStr">
        <is>
          <t>CV003</t>
        </is>
      </c>
      <c r="G856" s="308" t="inlineStr">
        <is>
          <t>instrument</t>
        </is>
      </c>
      <c r="H856" s="311" t="n">
        <v>0.57</v>
      </c>
      <c r="I856" s="308" t="inlineStr">
        <is>
          <t>Low</t>
        </is>
      </c>
      <c r="J856" s="308" t="inlineStr">
        <is>
          <t>drawing</t>
        </is>
      </c>
      <c r="K856" s="308" t="inlineStr">
        <is>
          <t>inferred:bare-isa</t>
        </is>
      </c>
      <c r="L856" s="308" t="inlineStr">
        <is>
          <t>drawing zone; process page; mapped sheet</t>
        </is>
      </c>
      <c r="M856" s="308" t="inlineStr">
        <is>
          <t>RL7-CKR-101 / CV</t>
        </is>
      </c>
      <c r="N856" s="308" t="inlineStr">
        <is>
          <t>native</t>
        </is>
      </c>
      <c r="O856" s="308" t="inlineStr">
        <is>
          <t>native-only</t>
        </is>
      </c>
      <c r="P856" s="308" t="inlineStr">
        <is>
          <t>native</t>
        </is>
      </c>
      <c r="Q856" s="308" t="inlineStr"/>
      <c r="R856" s="308" t="inlineStr">
        <is>
          <t>native text sufficient</t>
        </is>
      </c>
      <c r="S856" s="308" t="inlineStr"/>
      <c r="T856" s="308" t="inlineStr">
        <is>
          <t>p28:native:105, p28:native:6</t>
        </is>
      </c>
      <c r="U856" s="308" t="n">
        <v>2</v>
      </c>
    </row>
    <row r="857">
      <c r="A857" s="308" t="inlineStr">
        <is>
          <t>Missing in Excel</t>
        </is>
      </c>
      <c r="B857" s="308" t="inlineStr">
        <is>
          <t>DG7700</t>
        </is>
      </c>
      <c r="C857" s="308" t="n">
        <v>28</v>
      </c>
      <c r="D857" s="308" t="inlineStr">
        <is>
          <t>RL7-CKR-101-HV001</t>
        </is>
      </c>
      <c r="E857" s="308" t="inlineStr">
        <is>
          <t>RL7-CKR-101</t>
        </is>
      </c>
      <c r="F857" s="308" t="inlineStr">
        <is>
          <t>HV001</t>
        </is>
      </c>
      <c r="G857" s="308" t="inlineStr">
        <is>
          <t>instrument</t>
        </is>
      </c>
      <c r="H857" s="311" t="n">
        <v>0.57</v>
      </c>
      <c r="I857" s="308" t="inlineStr">
        <is>
          <t>Low</t>
        </is>
      </c>
      <c r="J857" s="308" t="inlineStr">
        <is>
          <t>drawing</t>
        </is>
      </c>
      <c r="K857" s="308" t="inlineStr">
        <is>
          <t>inferred:bare-isa</t>
        </is>
      </c>
      <c r="L857" s="308" t="inlineStr">
        <is>
          <t>drawing zone; process page; mapped sheet</t>
        </is>
      </c>
      <c r="M857" s="308" t="inlineStr">
        <is>
          <t>RL7-CKR-101 / HV</t>
        </is>
      </c>
      <c r="N857" s="308" t="inlineStr">
        <is>
          <t>native</t>
        </is>
      </c>
      <c r="O857" s="308" t="inlineStr">
        <is>
          <t>native-only</t>
        </is>
      </c>
      <c r="P857" s="308" t="inlineStr">
        <is>
          <t>native</t>
        </is>
      </c>
      <c r="Q857" s="308" t="inlineStr"/>
      <c r="R857" s="308" t="inlineStr">
        <is>
          <t>native text sufficient</t>
        </is>
      </c>
      <c r="S857" s="308" t="inlineStr"/>
      <c r="T857" s="308" t="inlineStr">
        <is>
          <t>p28:native:125, p28:native:294</t>
        </is>
      </c>
      <c r="U857" s="308" t="n">
        <v>2</v>
      </c>
    </row>
    <row r="858">
      <c r="A858" s="308" t="inlineStr">
        <is>
          <t>Missing in Excel</t>
        </is>
      </c>
      <c r="B858" s="308" t="inlineStr">
        <is>
          <t>DG7700</t>
        </is>
      </c>
      <c r="C858" s="308" t="n">
        <v>28</v>
      </c>
      <c r="D858" s="308" t="inlineStr">
        <is>
          <t>RL7-CKR-101-HV002</t>
        </is>
      </c>
      <c r="E858" s="308" t="inlineStr">
        <is>
          <t>RL7-CKR-101</t>
        </is>
      </c>
      <c r="F858" s="308" t="inlineStr">
        <is>
          <t>HV002</t>
        </is>
      </c>
      <c r="G858" s="308" t="inlineStr">
        <is>
          <t>instrument</t>
        </is>
      </c>
      <c r="H858" s="311" t="n">
        <v>0.57</v>
      </c>
      <c r="I858" s="308" t="inlineStr">
        <is>
          <t>Low</t>
        </is>
      </c>
      <c r="J858" s="308" t="inlineStr">
        <is>
          <t>drawing</t>
        </is>
      </c>
      <c r="K858" s="308" t="inlineStr">
        <is>
          <t>inferred:bare-isa</t>
        </is>
      </c>
      <c r="L858" s="308" t="inlineStr">
        <is>
          <t>drawing zone; process page; mapped sheet</t>
        </is>
      </c>
      <c r="M858" s="308" t="inlineStr">
        <is>
          <t>RL7-CKR-101 / HV</t>
        </is>
      </c>
      <c r="N858" s="308" t="inlineStr">
        <is>
          <t>native</t>
        </is>
      </c>
      <c r="O858" s="308" t="inlineStr">
        <is>
          <t>native-only</t>
        </is>
      </c>
      <c r="P858" s="308" t="inlineStr">
        <is>
          <t>native</t>
        </is>
      </c>
      <c r="Q858" s="308" t="inlineStr"/>
      <c r="R858" s="308" t="inlineStr">
        <is>
          <t>native text sufficient</t>
        </is>
      </c>
      <c r="S858" s="308" t="inlineStr"/>
      <c r="T858" s="308" t="inlineStr">
        <is>
          <t>p28:native:143, p28:native:390</t>
        </is>
      </c>
      <c r="U858" s="308" t="n">
        <v>2</v>
      </c>
    </row>
    <row r="859">
      <c r="A859" s="308" t="inlineStr">
        <is>
          <t>Missing in Excel</t>
        </is>
      </c>
      <c r="B859" s="308" t="inlineStr">
        <is>
          <t>DG7700</t>
        </is>
      </c>
      <c r="C859" s="308" t="n">
        <v>28</v>
      </c>
      <c r="D859" s="308" t="inlineStr">
        <is>
          <t>RL7-CKR-101-HV003</t>
        </is>
      </c>
      <c r="E859" s="308" t="inlineStr">
        <is>
          <t>RL7-CKR-101</t>
        </is>
      </c>
      <c r="F859" s="308" t="inlineStr">
        <is>
          <t>HV003</t>
        </is>
      </c>
      <c r="G859" s="308" t="inlineStr">
        <is>
          <t>instrument</t>
        </is>
      </c>
      <c r="H859" s="311" t="n">
        <v>0.57</v>
      </c>
      <c r="I859" s="308" t="inlineStr">
        <is>
          <t>Low</t>
        </is>
      </c>
      <c r="J859" s="308" t="inlineStr">
        <is>
          <t>drawing</t>
        </is>
      </c>
      <c r="K859" s="308" t="inlineStr">
        <is>
          <t>inferred:bare-isa</t>
        </is>
      </c>
      <c r="L859" s="308" t="inlineStr">
        <is>
          <t>drawing zone; process page; mapped sheet</t>
        </is>
      </c>
      <c r="M859" s="308" t="inlineStr">
        <is>
          <t>RL7-CKR-101 / HV</t>
        </is>
      </c>
      <c r="N859" s="308" t="inlineStr">
        <is>
          <t>native</t>
        </is>
      </c>
      <c r="O859" s="308" t="inlineStr">
        <is>
          <t>native-only</t>
        </is>
      </c>
      <c r="P859" s="308" t="inlineStr">
        <is>
          <t>native</t>
        </is>
      </c>
      <c r="Q859" s="308" t="inlineStr"/>
      <c r="R859" s="308" t="inlineStr">
        <is>
          <t>native text sufficient</t>
        </is>
      </c>
      <c r="S859" s="308" t="inlineStr"/>
      <c r="T859" s="308" t="inlineStr">
        <is>
          <t>p28:native:111, p28:native:222</t>
        </is>
      </c>
      <c r="U859" s="308" t="n">
        <v>2</v>
      </c>
    </row>
    <row r="860">
      <c r="A860" s="308" t="inlineStr">
        <is>
          <t>Missing in Excel</t>
        </is>
      </c>
      <c r="B860" s="308" t="inlineStr">
        <is>
          <t>DG7700</t>
        </is>
      </c>
      <c r="C860" s="308" t="n">
        <v>28</v>
      </c>
      <c r="D860" s="308" t="inlineStr">
        <is>
          <t>RL7-CKR-101-HV004</t>
        </is>
      </c>
      <c r="E860" s="308" t="inlineStr">
        <is>
          <t>RL7-CKR-101</t>
        </is>
      </c>
      <c r="F860" s="308" t="inlineStr">
        <is>
          <t>HV004</t>
        </is>
      </c>
      <c r="G860" s="308" t="inlineStr">
        <is>
          <t>instrument</t>
        </is>
      </c>
      <c r="H860" s="311" t="n">
        <v>0.57</v>
      </c>
      <c r="I860" s="308" t="inlineStr">
        <is>
          <t>Low</t>
        </is>
      </c>
      <c r="J860" s="308" t="inlineStr">
        <is>
          <t>drawing</t>
        </is>
      </c>
      <c r="K860" s="308" t="inlineStr">
        <is>
          <t>inferred:bare-isa</t>
        </is>
      </c>
      <c r="L860" s="308" t="inlineStr">
        <is>
          <t>drawing zone; process page; mapped sheet</t>
        </is>
      </c>
      <c r="M860" s="308" t="inlineStr">
        <is>
          <t>RL7-CKR-101 / HV</t>
        </is>
      </c>
      <c r="N860" s="308" t="inlineStr">
        <is>
          <t>native</t>
        </is>
      </c>
      <c r="O860" s="308" t="inlineStr">
        <is>
          <t>native-only</t>
        </is>
      </c>
      <c r="P860" s="308" t="inlineStr">
        <is>
          <t>native</t>
        </is>
      </c>
      <c r="Q860" s="308" t="inlineStr"/>
      <c r="R860" s="308" t="inlineStr">
        <is>
          <t>native text sufficient</t>
        </is>
      </c>
      <c r="S860" s="308" t="inlineStr"/>
      <c r="T860" s="308" t="inlineStr">
        <is>
          <t>p28:native:111, p28:native:378</t>
        </is>
      </c>
      <c r="U860" s="308" t="n">
        <v>2</v>
      </c>
    </row>
    <row r="861">
      <c r="A861" s="308" t="inlineStr">
        <is>
          <t>Missing in Excel</t>
        </is>
      </c>
      <c r="B861" s="308" t="inlineStr">
        <is>
          <t>DG7700</t>
        </is>
      </c>
      <c r="C861" s="308" t="n">
        <v>28</v>
      </c>
      <c r="D861" s="308" t="inlineStr">
        <is>
          <t>RL7-CKR-101-HV005</t>
        </is>
      </c>
      <c r="E861" s="308" t="inlineStr">
        <is>
          <t>RL7-CKR-101</t>
        </is>
      </c>
      <c r="F861" s="308" t="inlineStr">
        <is>
          <t>HV005</t>
        </is>
      </c>
      <c r="G861" s="308" t="inlineStr">
        <is>
          <t>instrument</t>
        </is>
      </c>
      <c r="H861" s="311" t="n">
        <v>0.57</v>
      </c>
      <c r="I861" s="308" t="inlineStr">
        <is>
          <t>Low</t>
        </is>
      </c>
      <c r="J861" s="308" t="inlineStr">
        <is>
          <t>drawing</t>
        </is>
      </c>
      <c r="K861" s="308" t="inlineStr">
        <is>
          <t>inferred:bare-isa</t>
        </is>
      </c>
      <c r="L861" s="308" t="inlineStr">
        <is>
          <t>drawing zone; process page; mapped sheet</t>
        </is>
      </c>
      <c r="M861" s="308" t="inlineStr">
        <is>
          <t>RL7-CKR-101 / HV</t>
        </is>
      </c>
      <c r="N861" s="308" t="inlineStr">
        <is>
          <t>native</t>
        </is>
      </c>
      <c r="O861" s="308" t="inlineStr">
        <is>
          <t>native-only</t>
        </is>
      </c>
      <c r="P861" s="308" t="inlineStr">
        <is>
          <t>native</t>
        </is>
      </c>
      <c r="Q861" s="308" t="inlineStr"/>
      <c r="R861" s="308" t="inlineStr">
        <is>
          <t>native text sufficient</t>
        </is>
      </c>
      <c r="S861" s="308" t="inlineStr"/>
      <c r="T861" s="308" t="inlineStr">
        <is>
          <t>p28:native:125, p28:native:342</t>
        </is>
      </c>
      <c r="U861" s="308" t="n">
        <v>2</v>
      </c>
    </row>
    <row r="862">
      <c r="A862" s="308" t="inlineStr">
        <is>
          <t>Missing in Excel</t>
        </is>
      </c>
      <c r="B862" s="308" t="inlineStr">
        <is>
          <t>DG7700</t>
        </is>
      </c>
      <c r="C862" s="308" t="n">
        <v>28</v>
      </c>
      <c r="D862" s="308" t="inlineStr">
        <is>
          <t>RL7-CKR-101-HV006</t>
        </is>
      </c>
      <c r="E862" s="308" t="inlineStr">
        <is>
          <t>RL7-CKR-101</t>
        </is>
      </c>
      <c r="F862" s="308" t="inlineStr">
        <is>
          <t>HV006</t>
        </is>
      </c>
      <c r="G862" s="308" t="inlineStr">
        <is>
          <t>instrument</t>
        </is>
      </c>
      <c r="H862" s="311" t="n">
        <v>0.57</v>
      </c>
      <c r="I862" s="308" t="inlineStr">
        <is>
          <t>Low</t>
        </is>
      </c>
      <c r="J862" s="308" t="inlineStr">
        <is>
          <t>drawing</t>
        </is>
      </c>
      <c r="K862" s="308" t="inlineStr">
        <is>
          <t>inferred:bare-isa</t>
        </is>
      </c>
      <c r="L862" s="308" t="inlineStr">
        <is>
          <t>drawing zone; process page; mapped sheet</t>
        </is>
      </c>
      <c r="M862" s="308" t="inlineStr">
        <is>
          <t>RL7-CKR-101 / HV</t>
        </is>
      </c>
      <c r="N862" s="308" t="inlineStr">
        <is>
          <t>native</t>
        </is>
      </c>
      <c r="O862" s="308" t="inlineStr">
        <is>
          <t>native-only</t>
        </is>
      </c>
      <c r="P862" s="308" t="inlineStr">
        <is>
          <t>native</t>
        </is>
      </c>
      <c r="Q862" s="308" t="inlineStr"/>
      <c r="R862" s="308" t="inlineStr">
        <is>
          <t>native text sufficient</t>
        </is>
      </c>
      <c r="S862" s="308" t="inlineStr"/>
      <c r="T862" s="308" t="inlineStr">
        <is>
          <t>p28:native:129, p28:native:354</t>
        </is>
      </c>
      <c r="U862" s="308" t="n">
        <v>2</v>
      </c>
    </row>
    <row r="863">
      <c r="A863" s="308" t="inlineStr">
        <is>
          <t>Missing in Excel</t>
        </is>
      </c>
      <c r="B863" s="308" t="inlineStr">
        <is>
          <t>DG7700</t>
        </is>
      </c>
      <c r="C863" s="308" t="n">
        <v>28</v>
      </c>
      <c r="D863" s="308" t="inlineStr">
        <is>
          <t>RL7-CKR-101-HV007</t>
        </is>
      </c>
      <c r="E863" s="308" t="inlineStr">
        <is>
          <t>RL7-CKR-101</t>
        </is>
      </c>
      <c r="F863" s="308" t="inlineStr">
        <is>
          <t>HV007</t>
        </is>
      </c>
      <c r="G863" s="308" t="inlineStr">
        <is>
          <t>instrument</t>
        </is>
      </c>
      <c r="H863" s="311" t="n">
        <v>0.57</v>
      </c>
      <c r="I863" s="308" t="inlineStr">
        <is>
          <t>Low</t>
        </is>
      </c>
      <c r="J863" s="308" t="inlineStr">
        <is>
          <t>drawing</t>
        </is>
      </c>
      <c r="K863" s="308" t="inlineStr">
        <is>
          <t>inferred:bare-isa</t>
        </is>
      </c>
      <c r="L863" s="308" t="inlineStr">
        <is>
          <t>drawing zone; process page; mapped sheet</t>
        </is>
      </c>
      <c r="M863" s="308" t="inlineStr">
        <is>
          <t>RL7-CKR-101 / HV</t>
        </is>
      </c>
      <c r="N863" s="308" t="inlineStr">
        <is>
          <t>native</t>
        </is>
      </c>
      <c r="O863" s="308" t="inlineStr">
        <is>
          <t>native-only</t>
        </is>
      </c>
      <c r="P863" s="308" t="inlineStr">
        <is>
          <t>native</t>
        </is>
      </c>
      <c r="Q863" s="308" t="inlineStr"/>
      <c r="R863" s="308" t="inlineStr">
        <is>
          <t>native text sufficient</t>
        </is>
      </c>
      <c r="S863" s="308" t="inlineStr"/>
      <c r="T863" s="308" t="inlineStr">
        <is>
          <t>p28:native:131, p28:native:300</t>
        </is>
      </c>
      <c r="U863" s="308" t="n">
        <v>2</v>
      </c>
    </row>
    <row r="864">
      <c r="A864" s="308" t="inlineStr">
        <is>
          <t>Missing in Excel</t>
        </is>
      </c>
      <c r="B864" s="308" t="inlineStr">
        <is>
          <t>DG7700</t>
        </is>
      </c>
      <c r="C864" s="308" t="n">
        <v>28</v>
      </c>
      <c r="D864" s="308" t="inlineStr">
        <is>
          <t>RL7-CKR-101-HV008</t>
        </is>
      </c>
      <c r="E864" s="308" t="inlineStr">
        <is>
          <t>RL7-CKR-101</t>
        </is>
      </c>
      <c r="F864" s="308" t="inlineStr">
        <is>
          <t>HV008</t>
        </is>
      </c>
      <c r="G864" s="308" t="inlineStr">
        <is>
          <t>instrument</t>
        </is>
      </c>
      <c r="H864" s="311" t="n">
        <v>0.57</v>
      </c>
      <c r="I864" s="308" t="inlineStr">
        <is>
          <t>Low</t>
        </is>
      </c>
      <c r="J864" s="308" t="inlineStr">
        <is>
          <t>drawing</t>
        </is>
      </c>
      <c r="K864" s="308" t="inlineStr">
        <is>
          <t>inferred:bare-isa</t>
        </is>
      </c>
      <c r="L864" s="308" t="inlineStr">
        <is>
          <t>drawing zone; process page; mapped sheet</t>
        </is>
      </c>
      <c r="M864" s="308" t="inlineStr">
        <is>
          <t>RL7-CKR-101 / HV</t>
        </is>
      </c>
      <c r="N864" s="308" t="inlineStr">
        <is>
          <t>native</t>
        </is>
      </c>
      <c r="O864" s="308" t="inlineStr">
        <is>
          <t>native-only</t>
        </is>
      </c>
      <c r="P864" s="308" t="inlineStr">
        <is>
          <t>native</t>
        </is>
      </c>
      <c r="Q864" s="308" t="inlineStr"/>
      <c r="R864" s="308" t="inlineStr">
        <is>
          <t>native text sufficient</t>
        </is>
      </c>
      <c r="S864" s="308" t="inlineStr"/>
      <c r="T864" s="308" t="inlineStr">
        <is>
          <t>p28:native:125, p28:native:318</t>
        </is>
      </c>
      <c r="U864" s="308" t="n">
        <v>2</v>
      </c>
    </row>
    <row r="865">
      <c r="A865" s="308" t="inlineStr">
        <is>
          <t>Missing in Excel</t>
        </is>
      </c>
      <c r="B865" s="308" t="inlineStr">
        <is>
          <t>DG7700</t>
        </is>
      </c>
      <c r="C865" s="308" t="n">
        <v>28</v>
      </c>
      <c r="D865" s="308" t="inlineStr">
        <is>
          <t>RL7-CKR-101-HV009</t>
        </is>
      </c>
      <c r="E865" s="308" t="inlineStr">
        <is>
          <t>RL7-CKR-101</t>
        </is>
      </c>
      <c r="F865" s="308" t="inlineStr">
        <is>
          <t>HV009</t>
        </is>
      </c>
      <c r="G865" s="308" t="inlineStr">
        <is>
          <t>instrument</t>
        </is>
      </c>
      <c r="H865" s="311" t="n">
        <v>0.57</v>
      </c>
      <c r="I865" s="308" t="inlineStr">
        <is>
          <t>Low</t>
        </is>
      </c>
      <c r="J865" s="308" t="inlineStr">
        <is>
          <t>drawing</t>
        </is>
      </c>
      <c r="K865" s="308" t="inlineStr">
        <is>
          <t>inferred:bare-isa</t>
        </is>
      </c>
      <c r="L865" s="308" t="inlineStr">
        <is>
          <t>drawing zone; process page; mapped sheet</t>
        </is>
      </c>
      <c r="M865" s="308" t="inlineStr">
        <is>
          <t>RL7-CKR-101 / HV</t>
        </is>
      </c>
      <c r="N865" s="308" t="inlineStr">
        <is>
          <t>native</t>
        </is>
      </c>
      <c r="O865" s="308" t="inlineStr">
        <is>
          <t>native-only</t>
        </is>
      </c>
      <c r="P865" s="308" t="inlineStr">
        <is>
          <t>native</t>
        </is>
      </c>
      <c r="Q865" s="308" t="inlineStr"/>
      <c r="R865" s="308" t="inlineStr">
        <is>
          <t>native text sufficient</t>
        </is>
      </c>
      <c r="S865" s="308" t="inlineStr"/>
      <c r="T865" s="308" t="inlineStr">
        <is>
          <t>p28:native:125, p28:native:330</t>
        </is>
      </c>
      <c r="U865" s="308" t="n">
        <v>2</v>
      </c>
    </row>
    <row r="866">
      <c r="A866" s="308" t="inlineStr">
        <is>
          <t>Missing in Excel</t>
        </is>
      </c>
      <c r="B866" s="308" t="inlineStr">
        <is>
          <t>DG7700</t>
        </is>
      </c>
      <c r="C866" s="308" t="n">
        <v>28</v>
      </c>
      <c r="D866" s="308" t="inlineStr">
        <is>
          <t>RL7-CKR-101-HV010</t>
        </is>
      </c>
      <c r="E866" s="308" t="inlineStr">
        <is>
          <t>RL7-CKR-101</t>
        </is>
      </c>
      <c r="F866" s="308" t="inlineStr">
        <is>
          <t>HV010</t>
        </is>
      </c>
      <c r="G866" s="308" t="inlineStr">
        <is>
          <t>instrument</t>
        </is>
      </c>
      <c r="H866" s="311" t="n">
        <v>0.57</v>
      </c>
      <c r="I866" s="308" t="inlineStr">
        <is>
          <t>Low</t>
        </is>
      </c>
      <c r="J866" s="308" t="inlineStr">
        <is>
          <t>drawing</t>
        </is>
      </c>
      <c r="K866" s="308" t="inlineStr">
        <is>
          <t>inferred:bare-isa</t>
        </is>
      </c>
      <c r="L866" s="308" t="inlineStr">
        <is>
          <t>drawing zone; process page; mapped sheet</t>
        </is>
      </c>
      <c r="M866" s="308" t="inlineStr">
        <is>
          <t>RL7-CKR-101 / HV</t>
        </is>
      </c>
      <c r="N866" s="308" t="inlineStr">
        <is>
          <t>native</t>
        </is>
      </c>
      <c r="O866" s="308" t="inlineStr">
        <is>
          <t>native-only</t>
        </is>
      </c>
      <c r="P866" s="308" t="inlineStr">
        <is>
          <t>native</t>
        </is>
      </c>
      <c r="Q866" s="308" t="inlineStr"/>
      <c r="R866" s="308" t="inlineStr">
        <is>
          <t>native text sufficient</t>
        </is>
      </c>
      <c r="S866" s="308" t="inlineStr"/>
      <c r="T866" s="308" t="inlineStr">
        <is>
          <t>p28:native:125, p28:native:324</t>
        </is>
      </c>
      <c r="U866" s="308" t="n">
        <v>2</v>
      </c>
    </row>
    <row r="867">
      <c r="A867" s="308" t="inlineStr">
        <is>
          <t>Missing in Excel</t>
        </is>
      </c>
      <c r="B867" s="308" t="inlineStr">
        <is>
          <t>DG7700</t>
        </is>
      </c>
      <c r="C867" s="308" t="n">
        <v>28</v>
      </c>
      <c r="D867" s="308" t="inlineStr">
        <is>
          <t>RL7-CKR-101-HV011</t>
        </is>
      </c>
      <c r="E867" s="308" t="inlineStr">
        <is>
          <t>RL7-CKR-101</t>
        </is>
      </c>
      <c r="F867" s="308" t="inlineStr">
        <is>
          <t>HV011</t>
        </is>
      </c>
      <c r="G867" s="308" t="inlineStr">
        <is>
          <t>instrument</t>
        </is>
      </c>
      <c r="H867" s="311" t="n">
        <v>0.57</v>
      </c>
      <c r="I867" s="308" t="inlineStr">
        <is>
          <t>Low</t>
        </is>
      </c>
      <c r="J867" s="308" t="inlineStr">
        <is>
          <t>drawing</t>
        </is>
      </c>
      <c r="K867" s="308" t="inlineStr">
        <is>
          <t>inferred:bare-isa</t>
        </is>
      </c>
      <c r="L867" s="308" t="inlineStr">
        <is>
          <t>drawing zone; process page; mapped sheet</t>
        </is>
      </c>
      <c r="M867" s="308" t="inlineStr">
        <is>
          <t>RL7-CKR-101 / HV</t>
        </is>
      </c>
      <c r="N867" s="308" t="inlineStr">
        <is>
          <t>native</t>
        </is>
      </c>
      <c r="O867" s="308" t="inlineStr">
        <is>
          <t>native-only</t>
        </is>
      </c>
      <c r="P867" s="308" t="inlineStr">
        <is>
          <t>native</t>
        </is>
      </c>
      <c r="Q867" s="308" t="inlineStr"/>
      <c r="R867" s="308" t="inlineStr">
        <is>
          <t>native text sufficient</t>
        </is>
      </c>
      <c r="S867" s="308" t="inlineStr"/>
      <c r="T867" s="308" t="inlineStr">
        <is>
          <t>p28:native:125, p28:native:336</t>
        </is>
      </c>
      <c r="U867" s="308" t="n">
        <v>2</v>
      </c>
    </row>
    <row r="868">
      <c r="A868" s="308" t="inlineStr">
        <is>
          <t>Missing in Excel</t>
        </is>
      </c>
      <c r="B868" s="308" t="inlineStr">
        <is>
          <t>DG7700</t>
        </is>
      </c>
      <c r="C868" s="308" t="n">
        <v>28</v>
      </c>
      <c r="D868" s="308" t="inlineStr">
        <is>
          <t>RL7-CKR-101-HV012</t>
        </is>
      </c>
      <c r="E868" s="308" t="inlineStr">
        <is>
          <t>RL7-CKR-101</t>
        </is>
      </c>
      <c r="F868" s="308" t="inlineStr">
        <is>
          <t>HV012</t>
        </is>
      </c>
      <c r="G868" s="308" t="inlineStr">
        <is>
          <t>instrument</t>
        </is>
      </c>
      <c r="H868" s="311" t="n">
        <v>0.57</v>
      </c>
      <c r="I868" s="308" t="inlineStr">
        <is>
          <t>Low</t>
        </is>
      </c>
      <c r="J868" s="308" t="inlineStr">
        <is>
          <t>drawing</t>
        </is>
      </c>
      <c r="K868" s="308" t="inlineStr">
        <is>
          <t>inferred:bare-isa</t>
        </is>
      </c>
      <c r="L868" s="308" t="inlineStr">
        <is>
          <t>drawing zone; process page; mapped sheet</t>
        </is>
      </c>
      <c r="M868" s="308" t="inlineStr">
        <is>
          <t>RL7-CKR-101 / HV</t>
        </is>
      </c>
      <c r="N868" s="308" t="inlineStr">
        <is>
          <t>native</t>
        </is>
      </c>
      <c r="O868" s="308" t="inlineStr">
        <is>
          <t>native-only</t>
        </is>
      </c>
      <c r="P868" s="308" t="inlineStr">
        <is>
          <t>native</t>
        </is>
      </c>
      <c r="Q868" s="308" t="inlineStr"/>
      <c r="R868" s="308" t="inlineStr">
        <is>
          <t>native text sufficient</t>
        </is>
      </c>
      <c r="S868" s="308" t="inlineStr"/>
      <c r="T868" s="308" t="inlineStr">
        <is>
          <t>p28:native:103, p28:native:348</t>
        </is>
      </c>
      <c r="U868" s="308" t="n">
        <v>2</v>
      </c>
    </row>
    <row r="869">
      <c r="A869" s="308" t="inlineStr">
        <is>
          <t>Missing in Excel</t>
        </is>
      </c>
      <c r="B869" s="308" t="inlineStr">
        <is>
          <t>DG7700</t>
        </is>
      </c>
      <c r="C869" s="308" t="n">
        <v>28</v>
      </c>
      <c r="D869" s="308" t="inlineStr">
        <is>
          <t>RL7-CKR-101-HV013</t>
        </is>
      </c>
      <c r="E869" s="308" t="inlineStr">
        <is>
          <t>RL7-CKR-101</t>
        </is>
      </c>
      <c r="F869" s="308" t="inlineStr">
        <is>
          <t>HV013</t>
        </is>
      </c>
      <c r="G869" s="308" t="inlineStr">
        <is>
          <t>instrument</t>
        </is>
      </c>
      <c r="H869" s="311" t="n">
        <v>0.57</v>
      </c>
      <c r="I869" s="308" t="inlineStr">
        <is>
          <t>Low</t>
        </is>
      </c>
      <c r="J869" s="308" t="inlineStr">
        <is>
          <t>drawing</t>
        </is>
      </c>
      <c r="K869" s="308" t="inlineStr">
        <is>
          <t>inferred:bare-isa</t>
        </is>
      </c>
      <c r="L869" s="308" t="inlineStr">
        <is>
          <t>drawing zone; process page; mapped sheet</t>
        </is>
      </c>
      <c r="M869" s="308" t="inlineStr">
        <is>
          <t>RL7-CKR-101 / HV</t>
        </is>
      </c>
      <c r="N869" s="308" t="inlineStr">
        <is>
          <t>native</t>
        </is>
      </c>
      <c r="O869" s="308" t="inlineStr">
        <is>
          <t>native-only</t>
        </is>
      </c>
      <c r="P869" s="308" t="inlineStr">
        <is>
          <t>native</t>
        </is>
      </c>
      <c r="Q869" s="308" t="inlineStr"/>
      <c r="R869" s="308" t="inlineStr">
        <is>
          <t>native text sufficient</t>
        </is>
      </c>
      <c r="S869" s="308" t="inlineStr"/>
      <c r="T869" s="308" t="inlineStr">
        <is>
          <t>p28:native:105, p28:native:366</t>
        </is>
      </c>
      <c r="U869" s="308" t="n">
        <v>2</v>
      </c>
    </row>
    <row r="870">
      <c r="A870" s="308" t="inlineStr">
        <is>
          <t>Missing in Excel</t>
        </is>
      </c>
      <c r="B870" s="308" t="inlineStr">
        <is>
          <t>DG7700</t>
        </is>
      </c>
      <c r="C870" s="308" t="n">
        <v>28</v>
      </c>
      <c r="D870" s="308" t="inlineStr">
        <is>
          <t>RL7-CKR-101-HV014</t>
        </is>
      </c>
      <c r="E870" s="308" t="inlineStr">
        <is>
          <t>RL7-CKR-101</t>
        </is>
      </c>
      <c r="F870" s="308" t="inlineStr">
        <is>
          <t>HV014</t>
        </is>
      </c>
      <c r="G870" s="308" t="inlineStr">
        <is>
          <t>instrument</t>
        </is>
      </c>
      <c r="H870" s="311" t="n">
        <v>0.57</v>
      </c>
      <c r="I870" s="308" t="inlineStr">
        <is>
          <t>Low</t>
        </is>
      </c>
      <c r="J870" s="308" t="inlineStr">
        <is>
          <t>drawing</t>
        </is>
      </c>
      <c r="K870" s="308" t="inlineStr">
        <is>
          <t>inferred:bare-isa</t>
        </is>
      </c>
      <c r="L870" s="308" t="inlineStr">
        <is>
          <t>drawing zone; process page; mapped sheet</t>
        </is>
      </c>
      <c r="M870" s="308" t="inlineStr">
        <is>
          <t>RL7-CKR-101 / HV</t>
        </is>
      </c>
      <c r="N870" s="308" t="inlineStr">
        <is>
          <t>native</t>
        </is>
      </c>
      <c r="O870" s="308" t="inlineStr">
        <is>
          <t>native-only</t>
        </is>
      </c>
      <c r="P870" s="308" t="inlineStr">
        <is>
          <t>native</t>
        </is>
      </c>
      <c r="Q870" s="308" t="inlineStr"/>
      <c r="R870" s="308" t="inlineStr">
        <is>
          <t>native text sufficient</t>
        </is>
      </c>
      <c r="S870" s="308" t="inlineStr"/>
      <c r="T870" s="308" t="inlineStr">
        <is>
          <t>p28:native:109, p28:native:360</t>
        </is>
      </c>
      <c r="U870" s="308" t="n">
        <v>2</v>
      </c>
    </row>
    <row r="871">
      <c r="A871" s="308" t="inlineStr">
        <is>
          <t>Missing in Excel</t>
        </is>
      </c>
      <c r="B871" s="308" t="inlineStr">
        <is>
          <t>DG7700</t>
        </is>
      </c>
      <c r="C871" s="308" t="n">
        <v>28</v>
      </c>
      <c r="D871" s="308" t="inlineStr">
        <is>
          <t>RL7-CKR-101-HV015</t>
        </is>
      </c>
      <c r="E871" s="308" t="inlineStr">
        <is>
          <t>RL7-CKR-101</t>
        </is>
      </c>
      <c r="F871" s="308" t="inlineStr">
        <is>
          <t>HV015</t>
        </is>
      </c>
      <c r="G871" s="308" t="inlineStr">
        <is>
          <t>instrument</t>
        </is>
      </c>
      <c r="H871" s="311" t="n">
        <v>0.57</v>
      </c>
      <c r="I871" s="308" t="inlineStr">
        <is>
          <t>Low</t>
        </is>
      </c>
      <c r="J871" s="308" t="inlineStr">
        <is>
          <t>drawing</t>
        </is>
      </c>
      <c r="K871" s="308" t="inlineStr">
        <is>
          <t>inferred:bare-isa</t>
        </is>
      </c>
      <c r="L871" s="308" t="inlineStr">
        <is>
          <t>drawing zone; process page; mapped sheet</t>
        </is>
      </c>
      <c r="M871" s="308" t="inlineStr">
        <is>
          <t>RL7-CKR-101 / HV</t>
        </is>
      </c>
      <c r="N871" s="308" t="inlineStr">
        <is>
          <t>native</t>
        </is>
      </c>
      <c r="O871" s="308" t="inlineStr">
        <is>
          <t>native-only</t>
        </is>
      </c>
      <c r="P871" s="308" t="inlineStr">
        <is>
          <t>native</t>
        </is>
      </c>
      <c r="Q871" s="308" t="inlineStr"/>
      <c r="R871" s="308" t="inlineStr">
        <is>
          <t>native text sufficient</t>
        </is>
      </c>
      <c r="S871" s="308" t="inlineStr"/>
      <c r="T871" s="308" t="inlineStr">
        <is>
          <t>p28:native:131, p28:native:372</t>
        </is>
      </c>
      <c r="U871" s="308" t="n">
        <v>2</v>
      </c>
    </row>
    <row r="872">
      <c r="A872" s="308" t="inlineStr">
        <is>
          <t>Missing in Excel</t>
        </is>
      </c>
      <c r="B872" s="308" t="inlineStr">
        <is>
          <t>DG7700</t>
        </is>
      </c>
      <c r="C872" s="308" t="n">
        <v>28</v>
      </c>
      <c r="D872" s="308" t="inlineStr">
        <is>
          <t>RL7-CKR-101-HV016</t>
        </is>
      </c>
      <c r="E872" s="308" t="inlineStr">
        <is>
          <t>RL7-CKR-101</t>
        </is>
      </c>
      <c r="F872" s="308" t="inlineStr">
        <is>
          <t>HV016</t>
        </is>
      </c>
      <c r="G872" s="308" t="inlineStr">
        <is>
          <t>instrument</t>
        </is>
      </c>
      <c r="H872" s="311" t="n">
        <v>0.57</v>
      </c>
      <c r="I872" s="308" t="inlineStr">
        <is>
          <t>Low</t>
        </is>
      </c>
      <c r="J872" s="308" t="inlineStr">
        <is>
          <t>drawing</t>
        </is>
      </c>
      <c r="K872" s="308" t="inlineStr">
        <is>
          <t>inferred:bare-isa</t>
        </is>
      </c>
      <c r="L872" s="308" t="inlineStr">
        <is>
          <t>drawing zone; process page; mapped sheet</t>
        </is>
      </c>
      <c r="M872" s="308" t="inlineStr">
        <is>
          <t>RL7-CKR-101 / HV</t>
        </is>
      </c>
      <c r="N872" s="308" t="inlineStr">
        <is>
          <t>native</t>
        </is>
      </c>
      <c r="O872" s="308" t="inlineStr">
        <is>
          <t>native-only</t>
        </is>
      </c>
      <c r="P872" s="308" t="inlineStr">
        <is>
          <t>native</t>
        </is>
      </c>
      <c r="Q872" s="308" t="inlineStr"/>
      <c r="R872" s="308" t="inlineStr">
        <is>
          <t>native text sufficient</t>
        </is>
      </c>
      <c r="S872" s="308" t="inlineStr"/>
      <c r="T872" s="308" t="inlineStr">
        <is>
          <t>p28:native:131, p28:native:42</t>
        </is>
      </c>
      <c r="U872" s="308" t="n">
        <v>2</v>
      </c>
    </row>
    <row r="873">
      <c r="A873" s="308" t="inlineStr">
        <is>
          <t>Missing in Excel</t>
        </is>
      </c>
      <c r="B873" s="308" t="inlineStr">
        <is>
          <t>DG7700</t>
        </is>
      </c>
      <c r="C873" s="308" t="n">
        <v>28</v>
      </c>
      <c r="D873" s="308" t="inlineStr">
        <is>
          <t>RL7-CKR-101-HV017</t>
        </is>
      </c>
      <c r="E873" s="308" t="inlineStr">
        <is>
          <t>RL7-CKR-101</t>
        </is>
      </c>
      <c r="F873" s="308" t="inlineStr">
        <is>
          <t>HV017</t>
        </is>
      </c>
      <c r="G873" s="308" t="inlineStr">
        <is>
          <t>instrument</t>
        </is>
      </c>
      <c r="H873" s="311" t="n">
        <v>0.57</v>
      </c>
      <c r="I873" s="308" t="inlineStr">
        <is>
          <t>Low</t>
        </is>
      </c>
      <c r="J873" s="308" t="inlineStr">
        <is>
          <t>drawing</t>
        </is>
      </c>
      <c r="K873" s="308" t="inlineStr">
        <is>
          <t>inferred:bare-isa</t>
        </is>
      </c>
      <c r="L873" s="308" t="inlineStr">
        <is>
          <t>drawing zone; process page; mapped sheet</t>
        </is>
      </c>
      <c r="M873" s="308" t="inlineStr">
        <is>
          <t>RL7-CKR-101 / HV</t>
        </is>
      </c>
      <c r="N873" s="308" t="inlineStr">
        <is>
          <t>native</t>
        </is>
      </c>
      <c r="O873" s="308" t="inlineStr">
        <is>
          <t>native-only</t>
        </is>
      </c>
      <c r="P873" s="308" t="inlineStr">
        <is>
          <t>native</t>
        </is>
      </c>
      <c r="Q873" s="308" t="inlineStr"/>
      <c r="R873" s="308" t="inlineStr">
        <is>
          <t>native text sufficient</t>
        </is>
      </c>
      <c r="S873" s="308" t="inlineStr"/>
      <c r="T873" s="308" t="inlineStr">
        <is>
          <t>p28:native:105, p28:native:36</t>
        </is>
      </c>
      <c r="U873" s="308" t="n">
        <v>2</v>
      </c>
    </row>
    <row r="874">
      <c r="A874" s="308" t="inlineStr">
        <is>
          <t>Missing in Excel</t>
        </is>
      </c>
      <c r="B874" s="308" t="inlineStr">
        <is>
          <t>DG7700</t>
        </is>
      </c>
      <c r="C874" s="308" t="n">
        <v>28</v>
      </c>
      <c r="D874" s="308" t="inlineStr">
        <is>
          <t>RL7-CKR-101-HV018</t>
        </is>
      </c>
      <c r="E874" s="308" t="inlineStr">
        <is>
          <t>RL7-CKR-101</t>
        </is>
      </c>
      <c r="F874" s="308" t="inlineStr">
        <is>
          <t>HV018</t>
        </is>
      </c>
      <c r="G874" s="308" t="inlineStr">
        <is>
          <t>instrument</t>
        </is>
      </c>
      <c r="H874" s="311" t="n">
        <v>0.57</v>
      </c>
      <c r="I874" s="308" t="inlineStr">
        <is>
          <t>Low</t>
        </is>
      </c>
      <c r="J874" s="308" t="inlineStr">
        <is>
          <t>drawing</t>
        </is>
      </c>
      <c r="K874" s="308" t="inlineStr">
        <is>
          <t>inferred:bare-isa</t>
        </is>
      </c>
      <c r="L874" s="308" t="inlineStr">
        <is>
          <t>drawing zone; process page; mapped sheet</t>
        </is>
      </c>
      <c r="M874" s="308" t="inlineStr">
        <is>
          <t>RL7-CKR-101 / HV</t>
        </is>
      </c>
      <c r="N874" s="308" t="inlineStr">
        <is>
          <t>native</t>
        </is>
      </c>
      <c r="O874" s="308" t="inlineStr">
        <is>
          <t>native-only</t>
        </is>
      </c>
      <c r="P874" s="308" t="inlineStr">
        <is>
          <t>native</t>
        </is>
      </c>
      <c r="Q874" s="308" t="inlineStr"/>
      <c r="R874" s="308" t="inlineStr">
        <is>
          <t>native text sufficient</t>
        </is>
      </c>
      <c r="S874" s="308" t="inlineStr"/>
      <c r="T874" s="308" t="inlineStr">
        <is>
          <t>p28:native:103, p28:native:68</t>
        </is>
      </c>
      <c r="U874" s="308" t="n">
        <v>2</v>
      </c>
    </row>
    <row r="875">
      <c r="A875" s="308" t="inlineStr">
        <is>
          <t>Missing in Excel</t>
        </is>
      </c>
      <c r="B875" s="308" t="inlineStr">
        <is>
          <t>DG7700</t>
        </is>
      </c>
      <c r="C875" s="308" t="n">
        <v>28</v>
      </c>
      <c r="D875" s="308" t="inlineStr">
        <is>
          <t>RL7-CKR-101-HV019</t>
        </is>
      </c>
      <c r="E875" s="308" t="inlineStr">
        <is>
          <t>RL7-CKR-101</t>
        </is>
      </c>
      <c r="F875" s="308" t="inlineStr">
        <is>
          <t>HV019</t>
        </is>
      </c>
      <c r="G875" s="308" t="inlineStr">
        <is>
          <t>instrument</t>
        </is>
      </c>
      <c r="H875" s="311" t="n">
        <v>0.57</v>
      </c>
      <c r="I875" s="308" t="inlineStr">
        <is>
          <t>Low</t>
        </is>
      </c>
      <c r="J875" s="308" t="inlineStr">
        <is>
          <t>drawing</t>
        </is>
      </c>
      <c r="K875" s="308" t="inlineStr">
        <is>
          <t>inferred:bare-isa</t>
        </is>
      </c>
      <c r="L875" s="308" t="inlineStr">
        <is>
          <t>drawing zone; process page; mapped sheet</t>
        </is>
      </c>
      <c r="M875" s="308" t="inlineStr">
        <is>
          <t>RL7-CKR-101 / HV</t>
        </is>
      </c>
      <c r="N875" s="308" t="inlineStr">
        <is>
          <t>native</t>
        </is>
      </c>
      <c r="O875" s="308" t="inlineStr">
        <is>
          <t>native-only</t>
        </is>
      </c>
      <c r="P875" s="308" t="inlineStr">
        <is>
          <t>native</t>
        </is>
      </c>
      <c r="Q875" s="308" t="inlineStr"/>
      <c r="R875" s="308" t="inlineStr">
        <is>
          <t>native text sufficient</t>
        </is>
      </c>
      <c r="S875" s="308" t="inlineStr"/>
      <c r="T875" s="308" t="inlineStr">
        <is>
          <t>p28:native:125, p28:native:384</t>
        </is>
      </c>
      <c r="U875" s="308" t="n">
        <v>2</v>
      </c>
    </row>
    <row r="876">
      <c r="A876" s="308" t="inlineStr">
        <is>
          <t>Missing in Excel</t>
        </is>
      </c>
      <c r="B876" s="308" t="inlineStr">
        <is>
          <t>DG7700</t>
        </is>
      </c>
      <c r="C876" s="308" t="n">
        <v>28</v>
      </c>
      <c r="D876" s="308" t="inlineStr">
        <is>
          <t>RL7-CKR-101-HV020</t>
        </is>
      </c>
      <c r="E876" s="308" t="inlineStr">
        <is>
          <t>RL7-CKR-101</t>
        </is>
      </c>
      <c r="F876" s="308" t="inlineStr">
        <is>
          <t>HV020</t>
        </is>
      </c>
      <c r="G876" s="308" t="inlineStr">
        <is>
          <t>instrument</t>
        </is>
      </c>
      <c r="H876" s="311" t="n">
        <v>0.57</v>
      </c>
      <c r="I876" s="308" t="inlineStr">
        <is>
          <t>Low</t>
        </is>
      </c>
      <c r="J876" s="308" t="inlineStr">
        <is>
          <t>drawing</t>
        </is>
      </c>
      <c r="K876" s="308" t="inlineStr">
        <is>
          <t>inferred:bare-isa</t>
        </is>
      </c>
      <c r="L876" s="308" t="inlineStr">
        <is>
          <t>drawing zone; process page; mapped sheet</t>
        </is>
      </c>
      <c r="M876" s="308" t="inlineStr">
        <is>
          <t>RL7-CKR-101 / HV</t>
        </is>
      </c>
      <c r="N876" s="308" t="inlineStr">
        <is>
          <t>native</t>
        </is>
      </c>
      <c r="O876" s="308" t="inlineStr">
        <is>
          <t>native-only</t>
        </is>
      </c>
      <c r="P876" s="308" t="inlineStr">
        <is>
          <t>native</t>
        </is>
      </c>
      <c r="Q876" s="308" t="inlineStr"/>
      <c r="R876" s="308" t="inlineStr">
        <is>
          <t>native text sufficient</t>
        </is>
      </c>
      <c r="S876" s="308" t="inlineStr"/>
      <c r="T876" s="308" t="inlineStr">
        <is>
          <t>p28:native:125, p28:native:312</t>
        </is>
      </c>
      <c r="U876" s="308" t="n">
        <v>2</v>
      </c>
    </row>
    <row r="877">
      <c r="A877" s="308" t="inlineStr">
        <is>
          <t>Missing in Excel</t>
        </is>
      </c>
      <c r="B877" s="308" t="inlineStr">
        <is>
          <t>DG7700</t>
        </is>
      </c>
      <c r="C877" s="308" t="n">
        <v>28</v>
      </c>
      <c r="D877" s="308" t="inlineStr">
        <is>
          <t>RL7-CKR-101-HV021</t>
        </is>
      </c>
      <c r="E877" s="308" t="inlineStr">
        <is>
          <t>RL7-CKR-101</t>
        </is>
      </c>
      <c r="F877" s="308" t="inlineStr">
        <is>
          <t>HV021</t>
        </is>
      </c>
      <c r="G877" s="308" t="inlineStr">
        <is>
          <t>instrument</t>
        </is>
      </c>
      <c r="H877" s="311" t="n">
        <v>0.57</v>
      </c>
      <c r="I877" s="308" t="inlineStr">
        <is>
          <t>Low</t>
        </is>
      </c>
      <c r="J877" s="308" t="inlineStr">
        <is>
          <t>drawing</t>
        </is>
      </c>
      <c r="K877" s="308" t="inlineStr">
        <is>
          <t>inferred:bare-isa</t>
        </is>
      </c>
      <c r="L877" s="308" t="inlineStr">
        <is>
          <t>drawing zone; process page; mapped sheet</t>
        </is>
      </c>
      <c r="M877" s="308" t="inlineStr">
        <is>
          <t>RL7-CKR-101 / HV</t>
        </is>
      </c>
      <c r="N877" s="308" t="inlineStr">
        <is>
          <t>native</t>
        </is>
      </c>
      <c r="O877" s="308" t="inlineStr">
        <is>
          <t>native-only</t>
        </is>
      </c>
      <c r="P877" s="308" t="inlineStr">
        <is>
          <t>native</t>
        </is>
      </c>
      <c r="Q877" s="308" t="inlineStr"/>
      <c r="R877" s="308" t="inlineStr">
        <is>
          <t>native text sufficient</t>
        </is>
      </c>
      <c r="S877" s="308" t="inlineStr"/>
      <c r="T877" s="308" t="inlineStr">
        <is>
          <t>p28:native:109, p28:native:306</t>
        </is>
      </c>
      <c r="U877" s="308" t="n">
        <v>2</v>
      </c>
    </row>
    <row r="878">
      <c r="A878" s="308" t="inlineStr">
        <is>
          <t>Missing in Excel</t>
        </is>
      </c>
      <c r="B878" s="308" t="inlineStr">
        <is>
          <t>DG7700</t>
        </is>
      </c>
      <c r="C878" s="308" t="n">
        <v>28</v>
      </c>
      <c r="D878" s="308" t="inlineStr">
        <is>
          <t>RL7-CKR-101-PI001</t>
        </is>
      </c>
      <c r="E878" s="308" t="inlineStr">
        <is>
          <t>RL7-CKR-101</t>
        </is>
      </c>
      <c r="F878" s="308" t="inlineStr">
        <is>
          <t>PI001</t>
        </is>
      </c>
      <c r="G878" s="308" t="inlineStr">
        <is>
          <t>instrument</t>
        </is>
      </c>
      <c r="H878" s="311" t="n">
        <v>0.57</v>
      </c>
      <c r="I878" s="308" t="inlineStr">
        <is>
          <t>Low</t>
        </is>
      </c>
      <c r="J878" s="308" t="inlineStr">
        <is>
          <t>drawing</t>
        </is>
      </c>
      <c r="K878" s="308" t="inlineStr">
        <is>
          <t>inferred:bare-isa</t>
        </is>
      </c>
      <c r="L878" s="308" t="inlineStr">
        <is>
          <t>drawing zone; process page; mapped sheet</t>
        </is>
      </c>
      <c r="M878" s="308" t="inlineStr">
        <is>
          <t>RL7-CKR-101 / PI</t>
        </is>
      </c>
      <c r="N878" s="308" t="inlineStr">
        <is>
          <t>native</t>
        </is>
      </c>
      <c r="O878" s="308" t="inlineStr">
        <is>
          <t>native-only</t>
        </is>
      </c>
      <c r="P878" s="308" t="inlineStr">
        <is>
          <t>native</t>
        </is>
      </c>
      <c r="Q878" s="308" t="inlineStr"/>
      <c r="R878" s="308" t="inlineStr">
        <is>
          <t>native text sufficient</t>
        </is>
      </c>
      <c r="S878" s="308" t="inlineStr"/>
      <c r="T878" s="308" t="inlineStr">
        <is>
          <t>p28:native:125, p28:native:150</t>
        </is>
      </c>
      <c r="U878" s="308" t="n">
        <v>2</v>
      </c>
    </row>
    <row r="879">
      <c r="A879" s="308" t="inlineStr">
        <is>
          <t>Missing in Excel</t>
        </is>
      </c>
      <c r="B879" s="308" t="inlineStr">
        <is>
          <t>DG7700</t>
        </is>
      </c>
      <c r="C879" s="308" t="n">
        <v>28</v>
      </c>
      <c r="D879" s="308" t="inlineStr">
        <is>
          <t>RL7-CKR-101-PI002</t>
        </is>
      </c>
      <c r="E879" s="308" t="inlineStr">
        <is>
          <t>RL7-CKR-101</t>
        </is>
      </c>
      <c r="F879" s="308" t="inlineStr">
        <is>
          <t>PI002</t>
        </is>
      </c>
      <c r="G879" s="308" t="inlineStr">
        <is>
          <t>instrument</t>
        </is>
      </c>
      <c r="H879" s="311" t="n">
        <v>0.57</v>
      </c>
      <c r="I879" s="308" t="inlineStr">
        <is>
          <t>Low</t>
        </is>
      </c>
      <c r="J879" s="308" t="inlineStr">
        <is>
          <t>drawing</t>
        </is>
      </c>
      <c r="K879" s="308" t="inlineStr">
        <is>
          <t>inferred:bare-isa</t>
        </is>
      </c>
      <c r="L879" s="308" t="inlineStr">
        <is>
          <t>drawing zone; process page; mapped sheet</t>
        </is>
      </c>
      <c r="M879" s="308" t="inlineStr">
        <is>
          <t>RL7-CKR-101 / PI</t>
        </is>
      </c>
      <c r="N879" s="308" t="inlineStr">
        <is>
          <t>native</t>
        </is>
      </c>
      <c r="O879" s="308" t="inlineStr">
        <is>
          <t>native-only</t>
        </is>
      </c>
      <c r="P879" s="308" t="inlineStr">
        <is>
          <t>native</t>
        </is>
      </c>
      <c r="Q879" s="308" t="inlineStr"/>
      <c r="R879" s="308" t="inlineStr">
        <is>
          <t>native text sufficient</t>
        </is>
      </c>
      <c r="S879" s="308" t="inlineStr"/>
      <c r="T879" s="308" t="inlineStr">
        <is>
          <t>p28:native:141, p28:native:123</t>
        </is>
      </c>
      <c r="U879" s="308" t="n">
        <v>2</v>
      </c>
    </row>
    <row r="880">
      <c r="A880" s="308" t="inlineStr">
        <is>
          <t>Missing in Excel</t>
        </is>
      </c>
      <c r="B880" s="308" t="inlineStr">
        <is>
          <t>DG7700</t>
        </is>
      </c>
      <c r="C880" s="308" t="n">
        <v>28</v>
      </c>
      <c r="D880" s="308" t="inlineStr">
        <is>
          <t>RL7-CKR-101-PI003</t>
        </is>
      </c>
      <c r="E880" s="308" t="inlineStr">
        <is>
          <t>RL7-CKR-101</t>
        </is>
      </c>
      <c r="F880" s="308" t="inlineStr">
        <is>
          <t>PI003</t>
        </is>
      </c>
      <c r="G880" s="308" t="inlineStr">
        <is>
          <t>instrument</t>
        </is>
      </c>
      <c r="H880" s="311" t="n">
        <v>0.57</v>
      </c>
      <c r="I880" s="308" t="inlineStr">
        <is>
          <t>Low</t>
        </is>
      </c>
      <c r="J880" s="308" t="inlineStr">
        <is>
          <t>drawing</t>
        </is>
      </c>
      <c r="K880" s="308" t="inlineStr">
        <is>
          <t>inferred:bare-isa</t>
        </is>
      </c>
      <c r="L880" s="308" t="inlineStr">
        <is>
          <t>drawing zone; process page; mapped sheet</t>
        </is>
      </c>
      <c r="M880" s="308" t="inlineStr">
        <is>
          <t>RL7-CKR-101 / PI</t>
        </is>
      </c>
      <c r="N880" s="308" t="inlineStr">
        <is>
          <t>native</t>
        </is>
      </c>
      <c r="O880" s="308" t="inlineStr">
        <is>
          <t>native-only</t>
        </is>
      </c>
      <c r="P880" s="308" t="inlineStr">
        <is>
          <t>native</t>
        </is>
      </c>
      <c r="Q880" s="308" t="inlineStr"/>
      <c r="R880" s="308" t="inlineStr">
        <is>
          <t>native text sufficient</t>
        </is>
      </c>
      <c r="S880" s="308" t="inlineStr"/>
      <c r="T880" s="308" t="inlineStr">
        <is>
          <t>p28:native:131, p28:native:137</t>
        </is>
      </c>
      <c r="U880" s="308" t="n">
        <v>2</v>
      </c>
    </row>
    <row r="881">
      <c r="A881" s="308" t="inlineStr">
        <is>
          <t>Missing in Excel</t>
        </is>
      </c>
      <c r="B881" s="308" t="inlineStr">
        <is>
          <t>DG7700</t>
        </is>
      </c>
      <c r="C881" s="308" t="n">
        <v>28</v>
      </c>
      <c r="D881" s="308" t="inlineStr">
        <is>
          <t>RL7-CKR-101-PI004</t>
        </is>
      </c>
      <c r="E881" s="308" t="inlineStr">
        <is>
          <t>RL7-CKR-101</t>
        </is>
      </c>
      <c r="F881" s="308" t="inlineStr">
        <is>
          <t>PI004</t>
        </is>
      </c>
      <c r="G881" s="308" t="inlineStr">
        <is>
          <t>instrument</t>
        </is>
      </c>
      <c r="H881" s="311" t="n">
        <v>0.57</v>
      </c>
      <c r="I881" s="308" t="inlineStr">
        <is>
          <t>Low</t>
        </is>
      </c>
      <c r="J881" s="308" t="inlineStr">
        <is>
          <t>drawing</t>
        </is>
      </c>
      <c r="K881" s="308" t="inlineStr">
        <is>
          <t>inferred:bare-isa</t>
        </is>
      </c>
      <c r="L881" s="308" t="inlineStr">
        <is>
          <t>drawing zone; process page; mapped sheet</t>
        </is>
      </c>
      <c r="M881" s="308" t="inlineStr">
        <is>
          <t>RL7-CKR-101 / PI</t>
        </is>
      </c>
      <c r="N881" s="308" t="inlineStr">
        <is>
          <t>native</t>
        </is>
      </c>
      <c r="O881" s="308" t="inlineStr">
        <is>
          <t>native-only</t>
        </is>
      </c>
      <c r="P881" s="308" t="inlineStr">
        <is>
          <t>native</t>
        </is>
      </c>
      <c r="Q881" s="308" t="inlineStr"/>
      <c r="R881" s="308" t="inlineStr">
        <is>
          <t>native text sufficient</t>
        </is>
      </c>
      <c r="S881" s="308" t="inlineStr"/>
      <c r="T881" s="308" t="inlineStr">
        <is>
          <t>p28:native:125, p28:native:403</t>
        </is>
      </c>
      <c r="U881" s="308" t="n">
        <v>2</v>
      </c>
    </row>
    <row r="882">
      <c r="A882" s="308" t="inlineStr">
        <is>
          <t>Missing in Excel</t>
        </is>
      </c>
      <c r="B882" s="308" t="inlineStr">
        <is>
          <t>DG7700</t>
        </is>
      </c>
      <c r="C882" s="308" t="n">
        <v>28</v>
      </c>
      <c r="D882" s="308" t="inlineStr">
        <is>
          <t>RL7-CKR-101-PI005</t>
        </is>
      </c>
      <c r="E882" s="308" t="inlineStr">
        <is>
          <t>RL7-CKR-101</t>
        </is>
      </c>
      <c r="F882" s="308" t="inlineStr">
        <is>
          <t>PI005</t>
        </is>
      </c>
      <c r="G882" s="308" t="inlineStr">
        <is>
          <t>instrument</t>
        </is>
      </c>
      <c r="H882" s="311" t="n">
        <v>0.57</v>
      </c>
      <c r="I882" s="308" t="inlineStr">
        <is>
          <t>Low</t>
        </is>
      </c>
      <c r="J882" s="308" t="inlineStr">
        <is>
          <t>drawing</t>
        </is>
      </c>
      <c r="K882" s="308" t="inlineStr">
        <is>
          <t>inferred:bare-isa</t>
        </is>
      </c>
      <c r="L882" s="308" t="inlineStr">
        <is>
          <t>drawing zone; process page; mapped sheet</t>
        </is>
      </c>
      <c r="M882" s="308" t="inlineStr">
        <is>
          <t>RL7-CKR-101 / PI</t>
        </is>
      </c>
      <c r="N882" s="308" t="inlineStr">
        <is>
          <t>native</t>
        </is>
      </c>
      <c r="O882" s="308" t="inlineStr">
        <is>
          <t>native-only</t>
        </is>
      </c>
      <c r="P882" s="308" t="inlineStr">
        <is>
          <t>native</t>
        </is>
      </c>
      <c r="Q882" s="308" t="inlineStr"/>
      <c r="R882" s="308" t="inlineStr">
        <is>
          <t>native text sufficient</t>
        </is>
      </c>
      <c r="S882" s="308" t="inlineStr"/>
      <c r="T882" s="308" t="inlineStr">
        <is>
          <t>p28:native:103, p28:native:404</t>
        </is>
      </c>
      <c r="U882" s="308" t="n">
        <v>2</v>
      </c>
    </row>
    <row r="883">
      <c r="A883" s="308" t="inlineStr">
        <is>
          <t>Missing in Excel</t>
        </is>
      </c>
      <c r="B883" s="308" t="inlineStr">
        <is>
          <t>DG7700</t>
        </is>
      </c>
      <c r="C883" s="308" t="n">
        <v>28</v>
      </c>
      <c r="D883" s="308" t="inlineStr">
        <is>
          <t>RL7-CKR-101-PI006</t>
        </is>
      </c>
      <c r="E883" s="308" t="inlineStr">
        <is>
          <t>RL7-CKR-101</t>
        </is>
      </c>
      <c r="F883" s="308" t="inlineStr">
        <is>
          <t>PI006</t>
        </is>
      </c>
      <c r="G883" s="308" t="inlineStr">
        <is>
          <t>instrument</t>
        </is>
      </c>
      <c r="H883" s="311" t="n">
        <v>0.57</v>
      </c>
      <c r="I883" s="308" t="inlineStr">
        <is>
          <t>Low</t>
        </is>
      </c>
      <c r="J883" s="308" t="inlineStr">
        <is>
          <t>drawing</t>
        </is>
      </c>
      <c r="K883" s="308" t="inlineStr">
        <is>
          <t>inferred:bare-isa</t>
        </is>
      </c>
      <c r="L883" s="308" t="inlineStr">
        <is>
          <t>drawing zone; process page; mapped sheet</t>
        </is>
      </c>
      <c r="M883" s="308" t="inlineStr">
        <is>
          <t>RL7-CKR-101 / PI</t>
        </is>
      </c>
      <c r="N883" s="308" t="inlineStr">
        <is>
          <t>native</t>
        </is>
      </c>
      <c r="O883" s="308" t="inlineStr">
        <is>
          <t>native-only</t>
        </is>
      </c>
      <c r="P883" s="308" t="inlineStr">
        <is>
          <t>native</t>
        </is>
      </c>
      <c r="Q883" s="308" t="inlineStr"/>
      <c r="R883" s="308" t="inlineStr">
        <is>
          <t>native text sufficient</t>
        </is>
      </c>
      <c r="S883" s="308" t="inlineStr"/>
      <c r="T883" s="308" t="inlineStr">
        <is>
          <t>p28:native:131, p28:native:405</t>
        </is>
      </c>
      <c r="U883" s="308" t="n">
        <v>2</v>
      </c>
    </row>
    <row r="884">
      <c r="A884" s="308" t="inlineStr">
        <is>
          <t>Missing in Excel</t>
        </is>
      </c>
      <c r="B884" s="308" t="inlineStr">
        <is>
          <t>DG7700</t>
        </is>
      </c>
      <c r="C884" s="308" t="n">
        <v>28</v>
      </c>
      <c r="D884" s="308" t="inlineStr">
        <is>
          <t>RL7-CKR-101-TR001</t>
        </is>
      </c>
      <c r="E884" s="308" t="inlineStr">
        <is>
          <t>RL7-CKR-101</t>
        </is>
      </c>
      <c r="F884" s="308" t="inlineStr">
        <is>
          <t>TR001</t>
        </is>
      </c>
      <c r="G884" s="308" t="inlineStr">
        <is>
          <t>instrument</t>
        </is>
      </c>
      <c r="H884" s="311" t="n">
        <v>0.57</v>
      </c>
      <c r="I884" s="308" t="inlineStr">
        <is>
          <t>Low</t>
        </is>
      </c>
      <c r="J884" s="308" t="inlineStr">
        <is>
          <t>drawing</t>
        </is>
      </c>
      <c r="K884" s="308" t="inlineStr">
        <is>
          <t>inferred:bare-isa</t>
        </is>
      </c>
      <c r="L884" s="308" t="inlineStr">
        <is>
          <t>drawing zone; process page; mapped sheet</t>
        </is>
      </c>
      <c r="M884" s="308" t="inlineStr">
        <is>
          <t>RL7-CKR-101 / TR</t>
        </is>
      </c>
      <c r="N884" s="308" t="inlineStr">
        <is>
          <t>native</t>
        </is>
      </c>
      <c r="O884" s="308" t="inlineStr">
        <is>
          <t>native-only</t>
        </is>
      </c>
      <c r="P884" s="308" t="inlineStr">
        <is>
          <t>native</t>
        </is>
      </c>
      <c r="Q884" s="308" t="inlineStr"/>
      <c r="R884" s="308" t="inlineStr">
        <is>
          <t>native text sufficient</t>
        </is>
      </c>
      <c r="S884" s="308" t="inlineStr"/>
      <c r="T884" s="308" t="inlineStr">
        <is>
          <t>p28:native:107, p28:native:86</t>
        </is>
      </c>
      <c r="U884" s="308" t="n">
        <v>2</v>
      </c>
    </row>
    <row r="885">
      <c r="A885" s="308" t="inlineStr">
        <is>
          <t>Missing in Excel</t>
        </is>
      </c>
      <c r="B885" s="308" t="inlineStr">
        <is>
          <t>DG7700</t>
        </is>
      </c>
      <c r="C885" s="308" t="n">
        <v>28</v>
      </c>
      <c r="D885" s="308" t="inlineStr">
        <is>
          <t>RL7-CKR-101-TR002</t>
        </is>
      </c>
      <c r="E885" s="308" t="inlineStr">
        <is>
          <t>RL7-CKR-101</t>
        </is>
      </c>
      <c r="F885" s="308" t="inlineStr">
        <is>
          <t>TR002</t>
        </is>
      </c>
      <c r="G885" s="308" t="inlineStr">
        <is>
          <t>instrument</t>
        </is>
      </c>
      <c r="H885" s="311" t="n">
        <v>0.57</v>
      </c>
      <c r="I885" s="308" t="inlineStr">
        <is>
          <t>Low</t>
        </is>
      </c>
      <c r="J885" s="308" t="inlineStr">
        <is>
          <t>drawing</t>
        </is>
      </c>
      <c r="K885" s="308" t="inlineStr">
        <is>
          <t>inferred:bare-isa</t>
        </is>
      </c>
      <c r="L885" s="308" t="inlineStr">
        <is>
          <t>drawing zone; process page; mapped sheet</t>
        </is>
      </c>
      <c r="M885" s="308" t="inlineStr">
        <is>
          <t>RL7-CKR-101 / TR</t>
        </is>
      </c>
      <c r="N885" s="308" t="inlineStr">
        <is>
          <t>native</t>
        </is>
      </c>
      <c r="O885" s="308" t="inlineStr">
        <is>
          <t>native-only</t>
        </is>
      </c>
      <c r="P885" s="308" t="inlineStr">
        <is>
          <t>native</t>
        </is>
      </c>
      <c r="Q885" s="308" t="inlineStr"/>
      <c r="R885" s="308" t="inlineStr">
        <is>
          <t>native text sufficient</t>
        </is>
      </c>
      <c r="S885" s="308" t="inlineStr"/>
      <c r="T885" s="308" t="inlineStr">
        <is>
          <t>p28:native:109, p28:native:30</t>
        </is>
      </c>
      <c r="U885" s="308" t="n">
        <v>2</v>
      </c>
    </row>
    <row r="886">
      <c r="A886" s="308" t="inlineStr">
        <is>
          <t>Missing in Excel</t>
        </is>
      </c>
      <c r="B886" s="308" t="inlineStr">
        <is>
          <t>DG7700</t>
        </is>
      </c>
      <c r="C886" s="308" t="n">
        <v>28</v>
      </c>
      <c r="D886" s="308" t="inlineStr">
        <is>
          <t>RL7-CKR-101-TR003</t>
        </is>
      </c>
      <c r="E886" s="308" t="inlineStr">
        <is>
          <t>RL7-CKR-101</t>
        </is>
      </c>
      <c r="F886" s="308" t="inlineStr">
        <is>
          <t>TR003</t>
        </is>
      </c>
      <c r="G886" s="308" t="inlineStr">
        <is>
          <t>instrument</t>
        </is>
      </c>
      <c r="H886" s="311" t="n">
        <v>0.57</v>
      </c>
      <c r="I886" s="308" t="inlineStr">
        <is>
          <t>Low</t>
        </is>
      </c>
      <c r="J886" s="308" t="inlineStr">
        <is>
          <t>drawing</t>
        </is>
      </c>
      <c r="K886" s="308" t="inlineStr">
        <is>
          <t>inferred:bare-isa</t>
        </is>
      </c>
      <c r="L886" s="308" t="inlineStr">
        <is>
          <t>drawing zone; process page; mapped sheet</t>
        </is>
      </c>
      <c r="M886" s="308" t="inlineStr">
        <is>
          <t>RL7-CKR-101 / TR</t>
        </is>
      </c>
      <c r="N886" s="308" t="inlineStr">
        <is>
          <t>native</t>
        </is>
      </c>
      <c r="O886" s="308" t="inlineStr">
        <is>
          <t>native-only</t>
        </is>
      </c>
      <c r="P886" s="308" t="inlineStr">
        <is>
          <t>native</t>
        </is>
      </c>
      <c r="Q886" s="308" t="inlineStr"/>
      <c r="R886" s="308" t="inlineStr">
        <is>
          <t>native text sufficient</t>
        </is>
      </c>
      <c r="S886" s="308" t="inlineStr"/>
      <c r="T886" s="308" t="inlineStr">
        <is>
          <t>p28:native:105, p28:native:18</t>
        </is>
      </c>
      <c r="U886" s="308" t="n">
        <v>2</v>
      </c>
    </row>
    <row r="887">
      <c r="A887" s="308" t="inlineStr">
        <is>
          <t>Missing in Excel</t>
        </is>
      </c>
      <c r="B887" s="308" t="inlineStr">
        <is>
          <t>DG7700</t>
        </is>
      </c>
      <c r="C887" s="308" t="n">
        <v>28</v>
      </c>
      <c r="D887" s="308" t="inlineStr">
        <is>
          <t>RL7-CKR-102-CV001</t>
        </is>
      </c>
      <c r="E887" s="308" t="inlineStr">
        <is>
          <t>RL7-CKR-102</t>
        </is>
      </c>
      <c r="F887" s="308" t="inlineStr">
        <is>
          <t>CV001</t>
        </is>
      </c>
      <c r="G887" s="308" t="inlineStr">
        <is>
          <t>instrument</t>
        </is>
      </c>
      <c r="H887" s="311" t="n">
        <v>0.57</v>
      </c>
      <c r="I887" s="308" t="inlineStr">
        <is>
          <t>Low</t>
        </is>
      </c>
      <c r="J887" s="308" t="inlineStr">
        <is>
          <t>drawing</t>
        </is>
      </c>
      <c r="K887" s="308" t="inlineStr">
        <is>
          <t>inferred:bare-isa</t>
        </is>
      </c>
      <c r="L887" s="308" t="inlineStr">
        <is>
          <t>drawing zone; process page; mapped sheet</t>
        </is>
      </c>
      <c r="M887" s="308" t="inlineStr">
        <is>
          <t>RL7-CKR-102 / CV</t>
        </is>
      </c>
      <c r="N887" s="308" t="inlineStr">
        <is>
          <t>native</t>
        </is>
      </c>
      <c r="O887" s="308" t="inlineStr">
        <is>
          <t>native-only</t>
        </is>
      </c>
      <c r="P887" s="308" t="inlineStr">
        <is>
          <t>native</t>
        </is>
      </c>
      <c r="Q887" s="308" t="inlineStr"/>
      <c r="R887" s="308" t="inlineStr">
        <is>
          <t>native text sufficient</t>
        </is>
      </c>
      <c r="S887" s="308" t="inlineStr"/>
      <c r="T887" s="308" t="inlineStr">
        <is>
          <t>p28:native:162, p28:native:427</t>
        </is>
      </c>
      <c r="U887" s="308" t="n">
        <v>2</v>
      </c>
    </row>
    <row r="888">
      <c r="A888" s="308" t="inlineStr">
        <is>
          <t>Missing in Excel</t>
        </is>
      </c>
      <c r="B888" s="308" t="inlineStr">
        <is>
          <t>DG7700</t>
        </is>
      </c>
      <c r="C888" s="308" t="n">
        <v>28</v>
      </c>
      <c r="D888" s="308" t="inlineStr">
        <is>
          <t>RL7-CKR-102-HV001</t>
        </is>
      </c>
      <c r="E888" s="308" t="inlineStr">
        <is>
          <t>RL7-CKR-102</t>
        </is>
      </c>
      <c r="F888" s="308" t="inlineStr">
        <is>
          <t>HV001</t>
        </is>
      </c>
      <c r="G888" s="308" t="inlineStr">
        <is>
          <t>instrument</t>
        </is>
      </c>
      <c r="H888" s="311" t="n">
        <v>0.57</v>
      </c>
      <c r="I888" s="308" t="inlineStr">
        <is>
          <t>Low</t>
        </is>
      </c>
      <c r="J888" s="308" t="inlineStr">
        <is>
          <t>drawing</t>
        </is>
      </c>
      <c r="K888" s="308" t="inlineStr">
        <is>
          <t>inferred:bare-isa</t>
        </is>
      </c>
      <c r="L888" s="308" t="inlineStr">
        <is>
          <t>drawing zone; process page; mapped sheet</t>
        </is>
      </c>
      <c r="M888" s="308" t="inlineStr">
        <is>
          <t>RL7-CKR-102 / HV</t>
        </is>
      </c>
      <c r="N888" s="308" t="inlineStr">
        <is>
          <t>native</t>
        </is>
      </c>
      <c r="O888" s="308" t="inlineStr">
        <is>
          <t>native-only</t>
        </is>
      </c>
      <c r="P888" s="308" t="inlineStr">
        <is>
          <t>native</t>
        </is>
      </c>
      <c r="Q888" s="308" t="inlineStr"/>
      <c r="R888" s="308" t="inlineStr">
        <is>
          <t>native text sufficient</t>
        </is>
      </c>
      <c r="S888" s="308" t="inlineStr"/>
      <c r="T888" s="308" t="inlineStr">
        <is>
          <t>p28:native:164, p28:native:288</t>
        </is>
      </c>
      <c r="U888" s="308" t="n">
        <v>2</v>
      </c>
    </row>
    <row r="889">
      <c r="A889" s="308" t="inlineStr">
        <is>
          <t>Missing in Excel</t>
        </is>
      </c>
      <c r="B889" s="308" t="inlineStr">
        <is>
          <t>DG7700</t>
        </is>
      </c>
      <c r="C889" s="308" t="n">
        <v>28</v>
      </c>
      <c r="D889" s="308" t="inlineStr">
        <is>
          <t>RL7-CKR-102-HV002</t>
        </is>
      </c>
      <c r="E889" s="308" t="inlineStr">
        <is>
          <t>RL7-CKR-102</t>
        </is>
      </c>
      <c r="F889" s="308" t="inlineStr">
        <is>
          <t>HV002</t>
        </is>
      </c>
      <c r="G889" s="308" t="inlineStr">
        <is>
          <t>instrument</t>
        </is>
      </c>
      <c r="H889" s="311" t="n">
        <v>0.57</v>
      </c>
      <c r="I889" s="308" t="inlineStr">
        <is>
          <t>Low</t>
        </is>
      </c>
      <c r="J889" s="308" t="inlineStr">
        <is>
          <t>drawing</t>
        </is>
      </c>
      <c r="K889" s="308" t="inlineStr">
        <is>
          <t>inferred:bare-isa</t>
        </is>
      </c>
      <c r="L889" s="308" t="inlineStr">
        <is>
          <t>drawing zone; process page; mapped sheet</t>
        </is>
      </c>
      <c r="M889" s="308" t="inlineStr">
        <is>
          <t>RL7-CKR-102 / HV</t>
        </is>
      </c>
      <c r="N889" s="308" t="inlineStr">
        <is>
          <t>native</t>
        </is>
      </c>
      <c r="O889" s="308" t="inlineStr">
        <is>
          <t>native-only</t>
        </is>
      </c>
      <c r="P889" s="308" t="inlineStr">
        <is>
          <t>native</t>
        </is>
      </c>
      <c r="Q889" s="308" t="inlineStr"/>
      <c r="R889" s="308" t="inlineStr">
        <is>
          <t>native text sufficient</t>
        </is>
      </c>
      <c r="S889" s="308" t="inlineStr"/>
      <c r="T889" s="308" t="inlineStr">
        <is>
          <t>p28:native:178, p28:native:252</t>
        </is>
      </c>
      <c r="U889" s="308" t="n">
        <v>2</v>
      </c>
    </row>
    <row r="890">
      <c r="A890" s="308" t="inlineStr">
        <is>
          <t>Missing in Excel</t>
        </is>
      </c>
      <c r="B890" s="308" t="inlineStr">
        <is>
          <t>DG7700</t>
        </is>
      </c>
      <c r="C890" s="308" t="n">
        <v>28</v>
      </c>
      <c r="D890" s="308" t="inlineStr">
        <is>
          <t>RL7-CKR-102-HV003</t>
        </is>
      </c>
      <c r="E890" s="308" t="inlineStr">
        <is>
          <t>RL7-CKR-102</t>
        </is>
      </c>
      <c r="F890" s="308" t="inlineStr">
        <is>
          <t>HV003</t>
        </is>
      </c>
      <c r="G890" s="308" t="inlineStr">
        <is>
          <t>instrument</t>
        </is>
      </c>
      <c r="H890" s="311" t="n">
        <v>0.57</v>
      </c>
      <c r="I890" s="308" t="inlineStr">
        <is>
          <t>Low</t>
        </is>
      </c>
      <c r="J890" s="308" t="inlineStr">
        <is>
          <t>drawing</t>
        </is>
      </c>
      <c r="K890" s="308" t="inlineStr">
        <is>
          <t>inferred:bare-isa</t>
        </is>
      </c>
      <c r="L890" s="308" t="inlineStr">
        <is>
          <t>drawing zone; process page; mapped sheet</t>
        </is>
      </c>
      <c r="M890" s="308" t="inlineStr">
        <is>
          <t>RL7-CKR-102 / HV</t>
        </is>
      </c>
      <c r="N890" s="308" t="inlineStr">
        <is>
          <t>native</t>
        </is>
      </c>
      <c r="O890" s="308" t="inlineStr">
        <is>
          <t>native-only</t>
        </is>
      </c>
      <c r="P890" s="308" t="inlineStr">
        <is>
          <t>native</t>
        </is>
      </c>
      <c r="Q890" s="308" t="inlineStr"/>
      <c r="R890" s="308" t="inlineStr">
        <is>
          <t>native text sufficient</t>
        </is>
      </c>
      <c r="S890" s="308" t="inlineStr"/>
      <c r="T890" s="308" t="inlineStr">
        <is>
          <t>p28:native:182, p28:native:264</t>
        </is>
      </c>
      <c r="U890" s="308" t="n">
        <v>2</v>
      </c>
    </row>
    <row r="891">
      <c r="A891" s="308" t="inlineStr">
        <is>
          <t>Missing in Excel</t>
        </is>
      </c>
      <c r="B891" s="308" t="inlineStr">
        <is>
          <t>DG7700</t>
        </is>
      </c>
      <c r="C891" s="308" t="n">
        <v>28</v>
      </c>
      <c r="D891" s="308" t="inlineStr">
        <is>
          <t>RL7-CKR-102-HV004</t>
        </is>
      </c>
      <c r="E891" s="308" t="inlineStr">
        <is>
          <t>RL7-CKR-102</t>
        </is>
      </c>
      <c r="F891" s="308" t="inlineStr">
        <is>
          <t>HV004</t>
        </is>
      </c>
      <c r="G891" s="308" t="inlineStr">
        <is>
          <t>instrument</t>
        </is>
      </c>
      <c r="H891" s="311" t="n">
        <v>0.57</v>
      </c>
      <c r="I891" s="308" t="inlineStr">
        <is>
          <t>Low</t>
        </is>
      </c>
      <c r="J891" s="308" t="inlineStr">
        <is>
          <t>drawing</t>
        </is>
      </c>
      <c r="K891" s="308" t="inlineStr">
        <is>
          <t>inferred:bare-isa</t>
        </is>
      </c>
      <c r="L891" s="308" t="inlineStr">
        <is>
          <t>drawing zone; process page; mapped sheet</t>
        </is>
      </c>
      <c r="M891" s="308" t="inlineStr">
        <is>
          <t>RL7-CKR-102 / HV</t>
        </is>
      </c>
      <c r="N891" s="308" t="inlineStr">
        <is>
          <t>native</t>
        </is>
      </c>
      <c r="O891" s="308" t="inlineStr">
        <is>
          <t>native-only</t>
        </is>
      </c>
      <c r="P891" s="308" t="inlineStr">
        <is>
          <t>native</t>
        </is>
      </c>
      <c r="Q891" s="308" t="inlineStr"/>
      <c r="R891" s="308" t="inlineStr">
        <is>
          <t>native text sufficient</t>
        </is>
      </c>
      <c r="S891" s="308" t="inlineStr"/>
      <c r="T891" s="308" t="inlineStr">
        <is>
          <t>p28:native:184, p28:native:216</t>
        </is>
      </c>
      <c r="U891" s="308" t="n">
        <v>2</v>
      </c>
    </row>
    <row r="892">
      <c r="A892" s="308" t="inlineStr">
        <is>
          <t>Missing in Excel</t>
        </is>
      </c>
      <c r="B892" s="308" t="inlineStr">
        <is>
          <t>DG7700</t>
        </is>
      </c>
      <c r="C892" s="308" t="n">
        <v>28</v>
      </c>
      <c r="D892" s="308" t="inlineStr">
        <is>
          <t>RL7-CKR-102-HV005</t>
        </is>
      </c>
      <c r="E892" s="308" t="inlineStr">
        <is>
          <t>RL7-CKR-102</t>
        </is>
      </c>
      <c r="F892" s="308" t="inlineStr">
        <is>
          <t>HV005</t>
        </is>
      </c>
      <c r="G892" s="308" t="inlineStr">
        <is>
          <t>instrument</t>
        </is>
      </c>
      <c r="H892" s="311" t="n">
        <v>0.57</v>
      </c>
      <c r="I892" s="308" t="inlineStr">
        <is>
          <t>Low</t>
        </is>
      </c>
      <c r="J892" s="308" t="inlineStr">
        <is>
          <t>drawing</t>
        </is>
      </c>
      <c r="K892" s="308" t="inlineStr">
        <is>
          <t>inferred:bare-isa</t>
        </is>
      </c>
      <c r="L892" s="308" t="inlineStr">
        <is>
          <t>drawing zone; process page; mapped sheet</t>
        </is>
      </c>
      <c r="M892" s="308" t="inlineStr">
        <is>
          <t>RL7-CKR-102 / HV</t>
        </is>
      </c>
      <c r="N892" s="308" t="inlineStr">
        <is>
          <t>native</t>
        </is>
      </c>
      <c r="O892" s="308" t="inlineStr">
        <is>
          <t>native-only</t>
        </is>
      </c>
      <c r="P892" s="308" t="inlineStr">
        <is>
          <t>native</t>
        </is>
      </c>
      <c r="Q892" s="308" t="inlineStr"/>
      <c r="R892" s="308" t="inlineStr">
        <is>
          <t>native text sufficient</t>
        </is>
      </c>
      <c r="S892" s="308" t="inlineStr"/>
      <c r="T892" s="308" t="inlineStr">
        <is>
          <t>p28:native:178, p28:native:228</t>
        </is>
      </c>
      <c r="U892" s="308" t="n">
        <v>2</v>
      </c>
    </row>
    <row r="893">
      <c r="A893" s="308" t="inlineStr">
        <is>
          <t>Missing in Excel</t>
        </is>
      </c>
      <c r="B893" s="308" t="inlineStr">
        <is>
          <t>DG7700</t>
        </is>
      </c>
      <c r="C893" s="308" t="n">
        <v>28</v>
      </c>
      <c r="D893" s="308" t="inlineStr">
        <is>
          <t>RL7-CKR-102-HV006</t>
        </is>
      </c>
      <c r="E893" s="308" t="inlineStr">
        <is>
          <t>RL7-CKR-102</t>
        </is>
      </c>
      <c r="F893" s="308" t="inlineStr">
        <is>
          <t>HV006</t>
        </is>
      </c>
      <c r="G893" s="308" t="inlineStr">
        <is>
          <t>instrument</t>
        </is>
      </c>
      <c r="H893" s="311" t="n">
        <v>0.57</v>
      </c>
      <c r="I893" s="308" t="inlineStr">
        <is>
          <t>Low</t>
        </is>
      </c>
      <c r="J893" s="308" t="inlineStr">
        <is>
          <t>drawing</t>
        </is>
      </c>
      <c r="K893" s="308" t="inlineStr">
        <is>
          <t>inferred:bare-isa</t>
        </is>
      </c>
      <c r="L893" s="308" t="inlineStr">
        <is>
          <t>drawing zone; process page; mapped sheet</t>
        </is>
      </c>
      <c r="M893" s="308" t="inlineStr">
        <is>
          <t>RL7-CKR-102 / HV</t>
        </is>
      </c>
      <c r="N893" s="308" t="inlineStr">
        <is>
          <t>native</t>
        </is>
      </c>
      <c r="O893" s="308" t="inlineStr">
        <is>
          <t>native-only</t>
        </is>
      </c>
      <c r="P893" s="308" t="inlineStr">
        <is>
          <t>native</t>
        </is>
      </c>
      <c r="Q893" s="308" t="inlineStr"/>
      <c r="R893" s="308" t="inlineStr">
        <is>
          <t>native text sufficient</t>
        </is>
      </c>
      <c r="S893" s="308" t="inlineStr"/>
      <c r="T893" s="308" t="inlineStr">
        <is>
          <t>p28:native:178, p28:native:240</t>
        </is>
      </c>
      <c r="U893" s="308" t="n">
        <v>2</v>
      </c>
    </row>
    <row r="894">
      <c r="A894" s="308" t="inlineStr">
        <is>
          <t>Missing in Excel</t>
        </is>
      </c>
      <c r="B894" s="308" t="inlineStr">
        <is>
          <t>DG7700</t>
        </is>
      </c>
      <c r="C894" s="308" t="n">
        <v>28</v>
      </c>
      <c r="D894" s="308" t="inlineStr">
        <is>
          <t>RL7-CKR-102-HV007</t>
        </is>
      </c>
      <c r="E894" s="308" t="inlineStr">
        <is>
          <t>RL7-CKR-102</t>
        </is>
      </c>
      <c r="F894" s="308" t="inlineStr">
        <is>
          <t>HV007</t>
        </is>
      </c>
      <c r="G894" s="308" t="inlineStr">
        <is>
          <t>instrument</t>
        </is>
      </c>
      <c r="H894" s="311" t="n">
        <v>0.57</v>
      </c>
      <c r="I894" s="308" t="inlineStr">
        <is>
          <t>Low</t>
        </is>
      </c>
      <c r="J894" s="308" t="inlineStr">
        <is>
          <t>drawing</t>
        </is>
      </c>
      <c r="K894" s="308" t="inlineStr">
        <is>
          <t>inferred:bare-isa</t>
        </is>
      </c>
      <c r="L894" s="308" t="inlineStr">
        <is>
          <t>drawing zone; process page; mapped sheet</t>
        </is>
      </c>
      <c r="M894" s="308" t="inlineStr">
        <is>
          <t>RL7-CKR-102 / HV</t>
        </is>
      </c>
      <c r="N894" s="308" t="inlineStr">
        <is>
          <t>native</t>
        </is>
      </c>
      <c r="O894" s="308" t="inlineStr">
        <is>
          <t>native-only</t>
        </is>
      </c>
      <c r="P894" s="308" t="inlineStr">
        <is>
          <t>native</t>
        </is>
      </c>
      <c r="Q894" s="308" t="inlineStr"/>
      <c r="R894" s="308" t="inlineStr">
        <is>
          <t>native text sufficient</t>
        </is>
      </c>
      <c r="S894" s="308" t="inlineStr"/>
      <c r="T894" s="308" t="inlineStr">
        <is>
          <t>p28:native:178, p28:native:234</t>
        </is>
      </c>
      <c r="U894" s="308" t="n">
        <v>2</v>
      </c>
    </row>
    <row r="895">
      <c r="A895" s="308" t="inlineStr">
        <is>
          <t>Missing in Excel</t>
        </is>
      </c>
      <c r="B895" s="308" t="inlineStr">
        <is>
          <t>DG7700</t>
        </is>
      </c>
      <c r="C895" s="308" t="n">
        <v>28</v>
      </c>
      <c r="D895" s="308" t="inlineStr">
        <is>
          <t>RL7-CKR-102-HV008</t>
        </is>
      </c>
      <c r="E895" s="308" t="inlineStr">
        <is>
          <t>RL7-CKR-102</t>
        </is>
      </c>
      <c r="F895" s="308" t="inlineStr">
        <is>
          <t>HV008</t>
        </is>
      </c>
      <c r="G895" s="308" t="inlineStr">
        <is>
          <t>instrument</t>
        </is>
      </c>
      <c r="H895" s="311" t="n">
        <v>0.57</v>
      </c>
      <c r="I895" s="308" t="inlineStr">
        <is>
          <t>Low</t>
        </is>
      </c>
      <c r="J895" s="308" t="inlineStr">
        <is>
          <t>drawing</t>
        </is>
      </c>
      <c r="K895" s="308" t="inlineStr">
        <is>
          <t>inferred:bare-isa</t>
        </is>
      </c>
      <c r="L895" s="308" t="inlineStr">
        <is>
          <t>drawing zone; process page; mapped sheet</t>
        </is>
      </c>
      <c r="M895" s="308" t="inlineStr">
        <is>
          <t>RL7-CKR-102 / HV</t>
        </is>
      </c>
      <c r="N895" s="308" t="inlineStr">
        <is>
          <t>native</t>
        </is>
      </c>
      <c r="O895" s="308" t="inlineStr">
        <is>
          <t>native-only</t>
        </is>
      </c>
      <c r="P895" s="308" t="inlineStr">
        <is>
          <t>native</t>
        </is>
      </c>
      <c r="Q895" s="308" t="inlineStr"/>
      <c r="R895" s="308" t="inlineStr">
        <is>
          <t>native text sufficient</t>
        </is>
      </c>
      <c r="S895" s="308" t="inlineStr"/>
      <c r="T895" s="308" t="inlineStr">
        <is>
          <t>p28:native:178, p28:native:246</t>
        </is>
      </c>
      <c r="U895" s="308" t="n">
        <v>2</v>
      </c>
    </row>
    <row r="896">
      <c r="A896" s="308" t="inlineStr">
        <is>
          <t>Missing in Excel</t>
        </is>
      </c>
      <c r="B896" s="308" t="inlineStr">
        <is>
          <t>DG7700</t>
        </is>
      </c>
      <c r="C896" s="308" t="n">
        <v>28</v>
      </c>
      <c r="D896" s="308" t="inlineStr">
        <is>
          <t>RL7-CKR-102-HV009</t>
        </is>
      </c>
      <c r="E896" s="308" t="inlineStr">
        <is>
          <t>RL7-CKR-102</t>
        </is>
      </c>
      <c r="F896" s="308" t="inlineStr">
        <is>
          <t>HV009</t>
        </is>
      </c>
      <c r="G896" s="308" t="inlineStr">
        <is>
          <t>instrument</t>
        </is>
      </c>
      <c r="H896" s="311" t="n">
        <v>0.57</v>
      </c>
      <c r="I896" s="308" t="inlineStr">
        <is>
          <t>Low</t>
        </is>
      </c>
      <c r="J896" s="308" t="inlineStr">
        <is>
          <t>drawing</t>
        </is>
      </c>
      <c r="K896" s="308" t="inlineStr">
        <is>
          <t>inferred:bare-isa</t>
        </is>
      </c>
      <c r="L896" s="308" t="inlineStr">
        <is>
          <t>drawing zone; process page; mapped sheet</t>
        </is>
      </c>
      <c r="M896" s="308" t="inlineStr">
        <is>
          <t>RL7-CKR-102 / HV</t>
        </is>
      </c>
      <c r="N896" s="308" t="inlineStr">
        <is>
          <t>native</t>
        </is>
      </c>
      <c r="O896" s="308" t="inlineStr">
        <is>
          <t>native-only</t>
        </is>
      </c>
      <c r="P896" s="308" t="inlineStr">
        <is>
          <t>native</t>
        </is>
      </c>
      <c r="Q896" s="308" t="inlineStr"/>
      <c r="R896" s="308" t="inlineStr">
        <is>
          <t>native text sufficient</t>
        </is>
      </c>
      <c r="S896" s="308" t="inlineStr"/>
      <c r="T896" s="308" t="inlineStr">
        <is>
          <t>p28:native:156, p28:native:258</t>
        </is>
      </c>
      <c r="U896" s="308" t="n">
        <v>2</v>
      </c>
    </row>
    <row r="897">
      <c r="A897" s="308" t="inlineStr">
        <is>
          <t>Missing in Excel</t>
        </is>
      </c>
      <c r="B897" s="308" t="inlineStr">
        <is>
          <t>DG7700</t>
        </is>
      </c>
      <c r="C897" s="308" t="n">
        <v>28</v>
      </c>
      <c r="D897" s="308" t="inlineStr">
        <is>
          <t>RL7-CKR-102-HV010</t>
        </is>
      </c>
      <c r="E897" s="308" t="inlineStr">
        <is>
          <t>RL7-CKR-102</t>
        </is>
      </c>
      <c r="F897" s="308" t="inlineStr">
        <is>
          <t>HV010</t>
        </is>
      </c>
      <c r="G897" s="308" t="inlineStr">
        <is>
          <t>instrument</t>
        </is>
      </c>
      <c r="H897" s="311" t="n">
        <v>0.57</v>
      </c>
      <c r="I897" s="308" t="inlineStr">
        <is>
          <t>Low</t>
        </is>
      </c>
      <c r="J897" s="308" t="inlineStr">
        <is>
          <t>drawing</t>
        </is>
      </c>
      <c r="K897" s="308" t="inlineStr">
        <is>
          <t>inferred:bare-isa</t>
        </is>
      </c>
      <c r="L897" s="308" t="inlineStr">
        <is>
          <t>drawing zone; process page; mapped sheet</t>
        </is>
      </c>
      <c r="M897" s="308" t="inlineStr">
        <is>
          <t>RL7-CKR-102 / HV</t>
        </is>
      </c>
      <c r="N897" s="308" t="inlineStr">
        <is>
          <t>native</t>
        </is>
      </c>
      <c r="O897" s="308" t="inlineStr">
        <is>
          <t>native-only</t>
        </is>
      </c>
      <c r="P897" s="308" t="inlineStr">
        <is>
          <t>native</t>
        </is>
      </c>
      <c r="Q897" s="308" t="inlineStr"/>
      <c r="R897" s="308" t="inlineStr">
        <is>
          <t>native text sufficient</t>
        </is>
      </c>
      <c r="S897" s="308" t="inlineStr"/>
      <c r="T897" s="308" t="inlineStr">
        <is>
          <t>p28:native:158, p28:native:276</t>
        </is>
      </c>
      <c r="U897" s="308" t="n">
        <v>2</v>
      </c>
    </row>
    <row r="898">
      <c r="A898" s="308" t="inlineStr">
        <is>
          <t>Missing in Excel</t>
        </is>
      </c>
      <c r="B898" s="308" t="inlineStr">
        <is>
          <t>DG7700</t>
        </is>
      </c>
      <c r="C898" s="308" t="n">
        <v>28</v>
      </c>
      <c r="D898" s="308" t="inlineStr">
        <is>
          <t>RL7-CKR-102-HV011</t>
        </is>
      </c>
      <c r="E898" s="308" t="inlineStr">
        <is>
          <t>RL7-CKR-102</t>
        </is>
      </c>
      <c r="F898" s="308" t="inlineStr">
        <is>
          <t>HV011</t>
        </is>
      </c>
      <c r="G898" s="308" t="inlineStr">
        <is>
          <t>instrument</t>
        </is>
      </c>
      <c r="H898" s="311" t="n">
        <v>0.57</v>
      </c>
      <c r="I898" s="308" t="inlineStr">
        <is>
          <t>Low</t>
        </is>
      </c>
      <c r="J898" s="308" t="inlineStr">
        <is>
          <t>drawing</t>
        </is>
      </c>
      <c r="K898" s="308" t="inlineStr">
        <is>
          <t>inferred:bare-isa</t>
        </is>
      </c>
      <c r="L898" s="308" t="inlineStr">
        <is>
          <t>drawing zone; process page; mapped sheet</t>
        </is>
      </c>
      <c r="M898" s="308" t="inlineStr">
        <is>
          <t>RL7-CKR-102 / HV</t>
        </is>
      </c>
      <c r="N898" s="308" t="inlineStr">
        <is>
          <t>native</t>
        </is>
      </c>
      <c r="O898" s="308" t="inlineStr">
        <is>
          <t>native-only</t>
        </is>
      </c>
      <c r="P898" s="308" t="inlineStr">
        <is>
          <t>native</t>
        </is>
      </c>
      <c r="Q898" s="308" t="inlineStr"/>
      <c r="R898" s="308" t="inlineStr">
        <is>
          <t>native text sufficient</t>
        </is>
      </c>
      <c r="S898" s="308" t="inlineStr"/>
      <c r="T898" s="308" t="inlineStr">
        <is>
          <t>p28:native:162, p28:native:270</t>
        </is>
      </c>
      <c r="U898" s="308" t="n">
        <v>2</v>
      </c>
    </row>
    <row r="899">
      <c r="A899" s="308" t="inlineStr">
        <is>
          <t>Missing in Excel</t>
        </is>
      </c>
      <c r="B899" s="308" t="inlineStr">
        <is>
          <t>DG7700</t>
        </is>
      </c>
      <c r="C899" s="308" t="n">
        <v>28</v>
      </c>
      <c r="D899" s="308" t="inlineStr">
        <is>
          <t>RL7-CKR-102-HV012</t>
        </is>
      </c>
      <c r="E899" s="308" t="inlineStr">
        <is>
          <t>RL7-CKR-102</t>
        </is>
      </c>
      <c r="F899" s="308" t="inlineStr">
        <is>
          <t>HV012</t>
        </is>
      </c>
      <c r="G899" s="308" t="inlineStr">
        <is>
          <t>instrument</t>
        </is>
      </c>
      <c r="H899" s="311" t="n">
        <v>0.57</v>
      </c>
      <c r="I899" s="308" t="inlineStr">
        <is>
          <t>Low</t>
        </is>
      </c>
      <c r="J899" s="308" t="inlineStr">
        <is>
          <t>drawing</t>
        </is>
      </c>
      <c r="K899" s="308" t="inlineStr">
        <is>
          <t>inferred:bare-isa</t>
        </is>
      </c>
      <c r="L899" s="308" t="inlineStr">
        <is>
          <t>drawing zone; process page; mapped sheet</t>
        </is>
      </c>
      <c r="M899" s="308" t="inlineStr">
        <is>
          <t>RL7-CKR-102 / HV</t>
        </is>
      </c>
      <c r="N899" s="308" t="inlineStr">
        <is>
          <t>native</t>
        </is>
      </c>
      <c r="O899" s="308" t="inlineStr">
        <is>
          <t>native-only</t>
        </is>
      </c>
      <c r="P899" s="308" t="inlineStr">
        <is>
          <t>native</t>
        </is>
      </c>
      <c r="Q899" s="308" t="inlineStr"/>
      <c r="R899" s="308" t="inlineStr">
        <is>
          <t>native text sufficient</t>
        </is>
      </c>
      <c r="S899" s="308" t="inlineStr"/>
      <c r="T899" s="308" t="inlineStr">
        <is>
          <t>p28:native:184, p28:native:282</t>
        </is>
      </c>
      <c r="U899" s="308" t="n">
        <v>2</v>
      </c>
    </row>
    <row r="900">
      <c r="A900" s="308" t="inlineStr">
        <is>
          <t>Missing in Excel</t>
        </is>
      </c>
      <c r="B900" s="308" t="inlineStr">
        <is>
          <t>DG7700</t>
        </is>
      </c>
      <c r="C900" s="308" t="n">
        <v>28</v>
      </c>
      <c r="D900" s="308" t="inlineStr">
        <is>
          <t>RL7-CKR-102-HV013</t>
        </is>
      </c>
      <c r="E900" s="308" t="inlineStr">
        <is>
          <t>RL7-CKR-102</t>
        </is>
      </c>
      <c r="F900" s="308" t="inlineStr">
        <is>
          <t>HV013</t>
        </is>
      </c>
      <c r="G900" s="308" t="inlineStr">
        <is>
          <t>instrument</t>
        </is>
      </c>
      <c r="H900" s="311" t="n">
        <v>0.57</v>
      </c>
      <c r="I900" s="308" t="inlineStr">
        <is>
          <t>Low</t>
        </is>
      </c>
      <c r="J900" s="308" t="inlineStr">
        <is>
          <t>drawing</t>
        </is>
      </c>
      <c r="K900" s="308" t="inlineStr">
        <is>
          <t>inferred:bare-isa</t>
        </is>
      </c>
      <c r="L900" s="308" t="inlineStr">
        <is>
          <t>drawing zone; process page; mapped sheet</t>
        </is>
      </c>
      <c r="M900" s="308" t="inlineStr">
        <is>
          <t>RL7-CKR-102 / HV</t>
        </is>
      </c>
      <c r="N900" s="308" t="inlineStr">
        <is>
          <t>native</t>
        </is>
      </c>
      <c r="O900" s="308" t="inlineStr">
        <is>
          <t>native-only</t>
        </is>
      </c>
      <c r="P900" s="308" t="inlineStr">
        <is>
          <t>native</t>
        </is>
      </c>
      <c r="Q900" s="308" t="inlineStr"/>
      <c r="R900" s="308" t="inlineStr">
        <is>
          <t>native text sufficient</t>
        </is>
      </c>
      <c r="S900" s="308" t="inlineStr"/>
      <c r="T900" s="308" t="inlineStr">
        <is>
          <t>p28:native:158, p28:native:439</t>
        </is>
      </c>
      <c r="U900" s="308" t="n">
        <v>2</v>
      </c>
    </row>
    <row r="901">
      <c r="A901" s="308" t="inlineStr">
        <is>
          <t>Missing in Excel</t>
        </is>
      </c>
      <c r="B901" s="308" t="inlineStr">
        <is>
          <t>DG7700</t>
        </is>
      </c>
      <c r="C901" s="308" t="n">
        <v>28</v>
      </c>
      <c r="D901" s="308" t="inlineStr">
        <is>
          <t>RL7-CKR-102-HV014</t>
        </is>
      </c>
      <c r="E901" s="308" t="inlineStr">
        <is>
          <t>RL7-CKR-102</t>
        </is>
      </c>
      <c r="F901" s="308" t="inlineStr">
        <is>
          <t>HV014</t>
        </is>
      </c>
      <c r="G901" s="308" t="inlineStr">
        <is>
          <t>instrument</t>
        </is>
      </c>
      <c r="H901" s="311" t="n">
        <v>0.57</v>
      </c>
      <c r="I901" s="308" t="inlineStr">
        <is>
          <t>Low</t>
        </is>
      </c>
      <c r="J901" s="308" t="inlineStr">
        <is>
          <t>drawing</t>
        </is>
      </c>
      <c r="K901" s="308" t="inlineStr">
        <is>
          <t>inferred:bare-isa</t>
        </is>
      </c>
      <c r="L901" s="308" t="inlineStr">
        <is>
          <t>drawing zone; process page; mapped sheet</t>
        </is>
      </c>
      <c r="M901" s="308" t="inlineStr">
        <is>
          <t>RL7-CKR-102 / HV</t>
        </is>
      </c>
      <c r="N901" s="308" t="inlineStr">
        <is>
          <t>native</t>
        </is>
      </c>
      <c r="O901" s="308" t="inlineStr">
        <is>
          <t>native-only</t>
        </is>
      </c>
      <c r="P901" s="308" t="inlineStr">
        <is>
          <t>native</t>
        </is>
      </c>
      <c r="Q901" s="308" t="inlineStr"/>
      <c r="R901" s="308" t="inlineStr">
        <is>
          <t>native text sufficient</t>
        </is>
      </c>
      <c r="S901" s="308" t="inlineStr"/>
      <c r="T901" s="308" t="inlineStr">
        <is>
          <t>p28:native:162, p28:native:445</t>
        </is>
      </c>
      <c r="U901" s="308" t="n">
        <v>2</v>
      </c>
    </row>
    <row r="902">
      <c r="A902" s="308" t="inlineStr">
        <is>
          <t>Missing in Excel</t>
        </is>
      </c>
      <c r="B902" s="308" t="inlineStr">
        <is>
          <t>DG7700</t>
        </is>
      </c>
      <c r="C902" s="308" t="n">
        <v>28</v>
      </c>
      <c r="D902" s="308" t="inlineStr">
        <is>
          <t>RL7-CKR-102-HV015</t>
        </is>
      </c>
      <c r="E902" s="308" t="inlineStr">
        <is>
          <t>RL7-CKR-102</t>
        </is>
      </c>
      <c r="F902" s="308" t="inlineStr">
        <is>
          <t>HV015</t>
        </is>
      </c>
      <c r="G902" s="308" t="inlineStr">
        <is>
          <t>instrument</t>
        </is>
      </c>
      <c r="H902" s="311" t="n">
        <v>0.57</v>
      </c>
      <c r="I902" s="308" t="inlineStr">
        <is>
          <t>Low</t>
        </is>
      </c>
      <c r="J902" s="308" t="inlineStr">
        <is>
          <t>drawing</t>
        </is>
      </c>
      <c r="K902" s="308" t="inlineStr">
        <is>
          <t>inferred:bare-isa</t>
        </is>
      </c>
      <c r="L902" s="308" t="inlineStr">
        <is>
          <t>drawing zone; process page; mapped sheet</t>
        </is>
      </c>
      <c r="M902" s="308" t="inlineStr">
        <is>
          <t>RL7-CKR-102 / HV</t>
        </is>
      </c>
      <c r="N902" s="308" t="inlineStr">
        <is>
          <t>native</t>
        </is>
      </c>
      <c r="O902" s="308" t="inlineStr">
        <is>
          <t>native-only</t>
        </is>
      </c>
      <c r="P902" s="308" t="inlineStr">
        <is>
          <t>native</t>
        </is>
      </c>
      <c r="Q902" s="308" t="inlineStr"/>
      <c r="R902" s="308" t="inlineStr">
        <is>
          <t>native text sufficient</t>
        </is>
      </c>
      <c r="S902" s="308" t="inlineStr"/>
      <c r="T902" s="308" t="inlineStr">
        <is>
          <t>p28:native:156, p28:native:421</t>
        </is>
      </c>
      <c r="U902" s="308" t="n">
        <v>2</v>
      </c>
    </row>
    <row r="903">
      <c r="A903" s="308" t="inlineStr">
        <is>
          <t>Missing in Excel</t>
        </is>
      </c>
      <c r="B903" s="308" t="inlineStr">
        <is>
          <t>DG7700</t>
        </is>
      </c>
      <c r="C903" s="308" t="n">
        <v>28</v>
      </c>
      <c r="D903" s="308" t="inlineStr">
        <is>
          <t>RL7-CKR-102-PI001</t>
        </is>
      </c>
      <c r="E903" s="308" t="inlineStr">
        <is>
          <t>RL7-CKR-102</t>
        </is>
      </c>
      <c r="F903" s="308" t="inlineStr">
        <is>
          <t>PI001</t>
        </is>
      </c>
      <c r="G903" s="308" t="inlineStr">
        <is>
          <t>instrument</t>
        </is>
      </c>
      <c r="H903" s="311" t="n">
        <v>0.57</v>
      </c>
      <c r="I903" s="308" t="inlineStr">
        <is>
          <t>Low</t>
        </is>
      </c>
      <c r="J903" s="308" t="inlineStr">
        <is>
          <t>drawing</t>
        </is>
      </c>
      <c r="K903" s="308" t="inlineStr">
        <is>
          <t>inferred:bare-isa</t>
        </is>
      </c>
      <c r="L903" s="308" t="inlineStr">
        <is>
          <t>drawing zone; process page; mapped sheet</t>
        </is>
      </c>
      <c r="M903" s="308" t="inlineStr">
        <is>
          <t>RL7-CKR-102 / PI</t>
        </is>
      </c>
      <c r="N903" s="308" t="inlineStr">
        <is>
          <t>native</t>
        </is>
      </c>
      <c r="O903" s="308" t="inlineStr">
        <is>
          <t>native-only</t>
        </is>
      </c>
      <c r="P903" s="308" t="inlineStr">
        <is>
          <t>native</t>
        </is>
      </c>
      <c r="Q903" s="308" t="inlineStr"/>
      <c r="R903" s="308" t="inlineStr">
        <is>
          <t>native text sufficient</t>
        </is>
      </c>
      <c r="S903" s="308" t="inlineStr"/>
      <c r="T903" s="308" t="inlineStr">
        <is>
          <t>p28:native:178, p28:native:203</t>
        </is>
      </c>
      <c r="U903" s="308" t="n">
        <v>2</v>
      </c>
    </row>
    <row r="904">
      <c r="A904" s="308" t="inlineStr">
        <is>
          <t>Missing in Excel</t>
        </is>
      </c>
      <c r="B904" s="308" t="inlineStr">
        <is>
          <t>DG7700</t>
        </is>
      </c>
      <c r="C904" s="308" t="n">
        <v>28</v>
      </c>
      <c r="D904" s="308" t="inlineStr">
        <is>
          <t>RL7-CKR-102-PI002</t>
        </is>
      </c>
      <c r="E904" s="308" t="inlineStr">
        <is>
          <t>RL7-CKR-102</t>
        </is>
      </c>
      <c r="F904" s="308" t="inlineStr">
        <is>
          <t>PI002</t>
        </is>
      </c>
      <c r="G904" s="308" t="inlineStr">
        <is>
          <t>instrument</t>
        </is>
      </c>
      <c r="H904" s="311" t="n">
        <v>0.57</v>
      </c>
      <c r="I904" s="308" t="inlineStr">
        <is>
          <t>Low</t>
        </is>
      </c>
      <c r="J904" s="308" t="inlineStr">
        <is>
          <t>drawing</t>
        </is>
      </c>
      <c r="K904" s="308" t="inlineStr">
        <is>
          <t>inferred:bare-isa</t>
        </is>
      </c>
      <c r="L904" s="308" t="inlineStr">
        <is>
          <t>drawing zone; process page; mapped sheet</t>
        </is>
      </c>
      <c r="M904" s="308" t="inlineStr">
        <is>
          <t>RL7-CKR-102 / PI</t>
        </is>
      </c>
      <c r="N904" s="308" t="inlineStr">
        <is>
          <t>native</t>
        </is>
      </c>
      <c r="O904" s="308" t="inlineStr">
        <is>
          <t>native-only</t>
        </is>
      </c>
      <c r="P904" s="308" t="inlineStr">
        <is>
          <t>native</t>
        </is>
      </c>
      <c r="Q904" s="308" t="inlineStr"/>
      <c r="R904" s="308" t="inlineStr">
        <is>
          <t>native text sufficient</t>
        </is>
      </c>
      <c r="S904" s="308" t="inlineStr"/>
      <c r="T904" s="308" t="inlineStr">
        <is>
          <t>p28:native:194, p28:native:176</t>
        </is>
      </c>
      <c r="U904" s="308" t="n">
        <v>2</v>
      </c>
    </row>
    <row r="905">
      <c r="A905" s="308" t="inlineStr">
        <is>
          <t>Missing in Excel</t>
        </is>
      </c>
      <c r="B905" s="308" t="inlineStr">
        <is>
          <t>DG7700</t>
        </is>
      </c>
      <c r="C905" s="308" t="n">
        <v>28</v>
      </c>
      <c r="D905" s="308" t="inlineStr">
        <is>
          <t>RL7-CKR-102-PI003</t>
        </is>
      </c>
      <c r="E905" s="308" t="inlineStr">
        <is>
          <t>RL7-CKR-102</t>
        </is>
      </c>
      <c r="F905" s="308" t="inlineStr">
        <is>
          <t>PI003</t>
        </is>
      </c>
      <c r="G905" s="308" t="inlineStr">
        <is>
          <t>instrument</t>
        </is>
      </c>
      <c r="H905" s="311" t="n">
        <v>0.57</v>
      </c>
      <c r="I905" s="308" t="inlineStr">
        <is>
          <t>Low</t>
        </is>
      </c>
      <c r="J905" s="308" t="inlineStr">
        <is>
          <t>drawing</t>
        </is>
      </c>
      <c r="K905" s="308" t="inlineStr">
        <is>
          <t>inferred:bare-isa</t>
        </is>
      </c>
      <c r="L905" s="308" t="inlineStr">
        <is>
          <t>drawing zone; process page; mapped sheet</t>
        </is>
      </c>
      <c r="M905" s="308" t="inlineStr">
        <is>
          <t>RL7-CKR-102 / PI</t>
        </is>
      </c>
      <c r="N905" s="308" t="inlineStr">
        <is>
          <t>native</t>
        </is>
      </c>
      <c r="O905" s="308" t="inlineStr">
        <is>
          <t>native-only</t>
        </is>
      </c>
      <c r="P905" s="308" t="inlineStr">
        <is>
          <t>native</t>
        </is>
      </c>
      <c r="Q905" s="308" t="inlineStr"/>
      <c r="R905" s="308" t="inlineStr">
        <is>
          <t>native text sufficient</t>
        </is>
      </c>
      <c r="S905" s="308" t="inlineStr"/>
      <c r="T905" s="308" t="inlineStr">
        <is>
          <t>p28:native:184, p28:native:190</t>
        </is>
      </c>
      <c r="U905" s="308" t="n">
        <v>2</v>
      </c>
    </row>
    <row r="906">
      <c r="A906" s="308" t="inlineStr">
        <is>
          <t>Missing in Excel</t>
        </is>
      </c>
      <c r="B906" s="308" t="inlineStr">
        <is>
          <t>DG7700</t>
        </is>
      </c>
      <c r="C906" s="308" t="n">
        <v>28</v>
      </c>
      <c r="D906" s="308" t="inlineStr">
        <is>
          <t>RL7-CKR-102-PI004</t>
        </is>
      </c>
      <c r="E906" s="308" t="inlineStr">
        <is>
          <t>RL7-CKR-102</t>
        </is>
      </c>
      <c r="F906" s="308" t="inlineStr">
        <is>
          <t>PI004</t>
        </is>
      </c>
      <c r="G906" s="308" t="inlineStr">
        <is>
          <t>instrument</t>
        </is>
      </c>
      <c r="H906" s="311" t="n">
        <v>0.57</v>
      </c>
      <c r="I906" s="308" t="inlineStr">
        <is>
          <t>Low</t>
        </is>
      </c>
      <c r="J906" s="308" t="inlineStr">
        <is>
          <t>drawing</t>
        </is>
      </c>
      <c r="K906" s="308" t="inlineStr">
        <is>
          <t>inferred:bare-isa</t>
        </is>
      </c>
      <c r="L906" s="308" t="inlineStr">
        <is>
          <t>drawing zone; process page; mapped sheet</t>
        </is>
      </c>
      <c r="M906" s="308" t="inlineStr">
        <is>
          <t>RL7-CKR-102 / PI</t>
        </is>
      </c>
      <c r="N906" s="308" t="inlineStr">
        <is>
          <t>native</t>
        </is>
      </c>
      <c r="O906" s="308" t="inlineStr">
        <is>
          <t>native-only</t>
        </is>
      </c>
      <c r="P906" s="308" t="inlineStr">
        <is>
          <t>native</t>
        </is>
      </c>
      <c r="Q906" s="308" t="inlineStr"/>
      <c r="R906" s="308" t="inlineStr">
        <is>
          <t>native text sufficient</t>
        </is>
      </c>
      <c r="S906" s="308" t="inlineStr"/>
      <c r="T906" s="308" t="inlineStr">
        <is>
          <t>p28:native:178, p28:native:395</t>
        </is>
      </c>
      <c r="U906" s="308" t="n">
        <v>2</v>
      </c>
    </row>
    <row r="907">
      <c r="A907" s="308" t="inlineStr">
        <is>
          <t>Missing in Excel</t>
        </is>
      </c>
      <c r="B907" s="308" t="inlineStr">
        <is>
          <t>DG7700</t>
        </is>
      </c>
      <c r="C907" s="308" t="n">
        <v>28</v>
      </c>
      <c r="D907" s="308" t="inlineStr">
        <is>
          <t>RL7-CKR-102-PI005</t>
        </is>
      </c>
      <c r="E907" s="308" t="inlineStr">
        <is>
          <t>RL7-CKR-102</t>
        </is>
      </c>
      <c r="F907" s="308" t="inlineStr">
        <is>
          <t>PI005</t>
        </is>
      </c>
      <c r="G907" s="308" t="inlineStr">
        <is>
          <t>instrument</t>
        </is>
      </c>
      <c r="H907" s="311" t="n">
        <v>0.57</v>
      </c>
      <c r="I907" s="308" t="inlineStr">
        <is>
          <t>Low</t>
        </is>
      </c>
      <c r="J907" s="308" t="inlineStr">
        <is>
          <t>drawing</t>
        </is>
      </c>
      <c r="K907" s="308" t="inlineStr">
        <is>
          <t>inferred:bare-isa</t>
        </is>
      </c>
      <c r="L907" s="308" t="inlineStr">
        <is>
          <t>drawing zone; process page; mapped sheet</t>
        </is>
      </c>
      <c r="M907" s="308" t="inlineStr">
        <is>
          <t>RL7-CKR-102 / PI</t>
        </is>
      </c>
      <c r="N907" s="308" t="inlineStr">
        <is>
          <t>native</t>
        </is>
      </c>
      <c r="O907" s="308" t="inlineStr">
        <is>
          <t>native-only</t>
        </is>
      </c>
      <c r="P907" s="308" t="inlineStr">
        <is>
          <t>native</t>
        </is>
      </c>
      <c r="Q907" s="308" t="inlineStr"/>
      <c r="R907" s="308" t="inlineStr">
        <is>
          <t>native text sufficient</t>
        </is>
      </c>
      <c r="S907" s="308" t="inlineStr"/>
      <c r="T907" s="308" t="inlineStr">
        <is>
          <t>p28:native:156, p28:native:396</t>
        </is>
      </c>
      <c r="U907" s="308" t="n">
        <v>2</v>
      </c>
    </row>
    <row r="908">
      <c r="A908" s="308" t="inlineStr">
        <is>
          <t>Missing in Excel</t>
        </is>
      </c>
      <c r="B908" s="308" t="inlineStr">
        <is>
          <t>DG7700</t>
        </is>
      </c>
      <c r="C908" s="308" t="n">
        <v>28</v>
      </c>
      <c r="D908" s="308" t="inlineStr">
        <is>
          <t>RL7-CKR-102-PI006</t>
        </is>
      </c>
      <c r="E908" s="308" t="inlineStr">
        <is>
          <t>RL7-CKR-102</t>
        </is>
      </c>
      <c r="F908" s="308" t="inlineStr">
        <is>
          <t>PI006</t>
        </is>
      </c>
      <c r="G908" s="308" t="inlineStr">
        <is>
          <t>instrument</t>
        </is>
      </c>
      <c r="H908" s="311" t="n">
        <v>0.57</v>
      </c>
      <c r="I908" s="308" t="inlineStr">
        <is>
          <t>Low</t>
        </is>
      </c>
      <c r="J908" s="308" t="inlineStr">
        <is>
          <t>drawing</t>
        </is>
      </c>
      <c r="K908" s="308" t="inlineStr">
        <is>
          <t>inferred:bare-isa</t>
        </is>
      </c>
      <c r="L908" s="308" t="inlineStr">
        <is>
          <t>drawing zone; process page; mapped sheet</t>
        </is>
      </c>
      <c r="M908" s="308" t="inlineStr">
        <is>
          <t>RL7-CKR-102 / PI</t>
        </is>
      </c>
      <c r="N908" s="308" t="inlineStr">
        <is>
          <t>native</t>
        </is>
      </c>
      <c r="O908" s="308" t="inlineStr">
        <is>
          <t>native-only</t>
        </is>
      </c>
      <c r="P908" s="308" t="inlineStr">
        <is>
          <t>native</t>
        </is>
      </c>
      <c r="Q908" s="308" t="inlineStr"/>
      <c r="R908" s="308" t="inlineStr">
        <is>
          <t>native text sufficient</t>
        </is>
      </c>
      <c r="S908" s="308" t="inlineStr"/>
      <c r="T908" s="308" t="inlineStr">
        <is>
          <t>p28:native:184, p28:native:397</t>
        </is>
      </c>
      <c r="U908" s="308" t="n">
        <v>2</v>
      </c>
    </row>
    <row r="909">
      <c r="A909" s="308" t="inlineStr">
        <is>
          <t>Missing in Excel</t>
        </is>
      </c>
      <c r="B909" s="308" t="inlineStr">
        <is>
          <t>DG7700</t>
        </is>
      </c>
      <c r="C909" s="308" t="n">
        <v>28</v>
      </c>
      <c r="D909" s="308" t="inlineStr">
        <is>
          <t>RL7-CKR-102-TR001</t>
        </is>
      </c>
      <c r="E909" s="308" t="inlineStr">
        <is>
          <t>RL7-CKR-102</t>
        </is>
      </c>
      <c r="F909" s="308" t="inlineStr">
        <is>
          <t>TR001</t>
        </is>
      </c>
      <c r="G909" s="308" t="inlineStr">
        <is>
          <t>instrument</t>
        </is>
      </c>
      <c r="H909" s="311" t="n">
        <v>0.57</v>
      </c>
      <c r="I909" s="308" t="inlineStr">
        <is>
          <t>Low</t>
        </is>
      </c>
      <c r="J909" s="308" t="inlineStr">
        <is>
          <t>drawing</t>
        </is>
      </c>
      <c r="K909" s="308" t="inlineStr">
        <is>
          <t>inferred:bare-isa</t>
        </is>
      </c>
      <c r="L909" s="308" t="inlineStr">
        <is>
          <t>drawing zone; process page; mapped sheet</t>
        </is>
      </c>
      <c r="M909" s="308" t="inlineStr">
        <is>
          <t>RL7-CKR-102 / TR</t>
        </is>
      </c>
      <c r="N909" s="308" t="inlineStr">
        <is>
          <t>native</t>
        </is>
      </c>
      <c r="O909" s="308" t="inlineStr">
        <is>
          <t>native-only</t>
        </is>
      </c>
      <c r="P909" s="308" t="inlineStr">
        <is>
          <t>native</t>
        </is>
      </c>
      <c r="Q909" s="308" t="inlineStr"/>
      <c r="R909" s="308" t="inlineStr">
        <is>
          <t>native text sufficient</t>
        </is>
      </c>
      <c r="S909" s="308" t="inlineStr"/>
      <c r="T909" s="308" t="inlineStr">
        <is>
          <t>p28:native:162, p28:native:433</t>
        </is>
      </c>
      <c r="U909" s="308" t="n">
        <v>2</v>
      </c>
    </row>
    <row r="910">
      <c r="A910" s="308" t="inlineStr">
        <is>
          <t>Missing in Excel</t>
        </is>
      </c>
      <c r="B910" s="308" t="inlineStr">
        <is>
          <t>DG7700</t>
        </is>
      </c>
      <c r="C910" s="308" t="n">
        <v>28</v>
      </c>
      <c r="D910" s="308" t="inlineStr">
        <is>
          <t>RL7-CKR-200-HV001</t>
        </is>
      </c>
      <c r="E910" s="308" t="inlineStr">
        <is>
          <t>RL7-CKR-200</t>
        </is>
      </c>
      <c r="F910" s="308" t="inlineStr">
        <is>
          <t>HV001</t>
        </is>
      </c>
      <c r="G910" s="308" t="inlineStr">
        <is>
          <t>instrument</t>
        </is>
      </c>
      <c r="H910" s="311" t="n">
        <v>0.57</v>
      </c>
      <c r="I910" s="308" t="inlineStr">
        <is>
          <t>Low</t>
        </is>
      </c>
      <c r="J910" s="308" t="inlineStr">
        <is>
          <t>drawing</t>
        </is>
      </c>
      <c r="K910" s="308" t="inlineStr">
        <is>
          <t>inferred:bare-isa</t>
        </is>
      </c>
      <c r="L910" s="308" t="inlineStr">
        <is>
          <t>drawing zone; process page; mapped sheet</t>
        </is>
      </c>
      <c r="M910" s="308" t="inlineStr">
        <is>
          <t>RL7-CKR-200 / HV</t>
        </is>
      </c>
      <c r="N910" s="308" t="inlineStr">
        <is>
          <t>native</t>
        </is>
      </c>
      <c r="O910" s="308" t="inlineStr">
        <is>
          <t>native-only</t>
        </is>
      </c>
      <c r="P910" s="308" t="inlineStr">
        <is>
          <t>native</t>
        </is>
      </c>
      <c r="Q910" s="308" t="inlineStr"/>
      <c r="R910" s="308" t="inlineStr">
        <is>
          <t>native text sufficient</t>
        </is>
      </c>
      <c r="S910" s="308" t="inlineStr"/>
      <c r="T910" s="308" t="inlineStr">
        <is>
          <t>p28:native:464, p28:native:413</t>
        </is>
      </c>
      <c r="U910" s="308" t="n">
        <v>2</v>
      </c>
    </row>
    <row r="911">
      <c r="A911" s="308" t="inlineStr">
        <is>
          <t>Missing in Excel</t>
        </is>
      </c>
      <c r="B911" s="308" t="inlineStr">
        <is>
          <t>DG7700</t>
        </is>
      </c>
      <c r="C911" s="308" t="n">
        <v>28</v>
      </c>
      <c r="D911" s="308" t="inlineStr">
        <is>
          <t>RL7-CKR-200-HV002</t>
        </is>
      </c>
      <c r="E911" s="308" t="inlineStr">
        <is>
          <t>RL7-CKR-200</t>
        </is>
      </c>
      <c r="F911" s="308" t="inlineStr">
        <is>
          <t>HV002</t>
        </is>
      </c>
      <c r="G911" s="308" t="inlineStr">
        <is>
          <t>instrument</t>
        </is>
      </c>
      <c r="H911" s="311" t="n">
        <v>0.57</v>
      </c>
      <c r="I911" s="308" t="inlineStr">
        <is>
          <t>Low</t>
        </is>
      </c>
      <c r="J911" s="308" t="inlineStr">
        <is>
          <t>drawing</t>
        </is>
      </c>
      <c r="K911" s="308" t="inlineStr">
        <is>
          <t>inferred:bare-isa</t>
        </is>
      </c>
      <c r="L911" s="308" t="inlineStr">
        <is>
          <t>drawing zone; process page; mapped sheet</t>
        </is>
      </c>
      <c r="M911" s="308" t="inlineStr">
        <is>
          <t>RL7-CKR-200 / HV</t>
        </is>
      </c>
      <c r="N911" s="308" t="inlineStr">
        <is>
          <t>native</t>
        </is>
      </c>
      <c r="O911" s="308" t="inlineStr">
        <is>
          <t>native-only</t>
        </is>
      </c>
      <c r="P911" s="308" t="inlineStr">
        <is>
          <t>native</t>
        </is>
      </c>
      <c r="Q911" s="308" t="inlineStr"/>
      <c r="R911" s="308" t="inlineStr">
        <is>
          <t>native text sufficient</t>
        </is>
      </c>
      <c r="S911" s="308" t="inlineStr"/>
      <c r="T911" s="308" t="inlineStr">
        <is>
          <t>p28:native:464, p28:native:462</t>
        </is>
      </c>
      <c r="U911" s="308" t="n">
        <v>2</v>
      </c>
    </row>
    <row r="912">
      <c r="A912" s="308" t="inlineStr">
        <is>
          <t>Missing in Excel</t>
        </is>
      </c>
      <c r="B912" s="308" t="inlineStr">
        <is>
          <t>DG7700</t>
        </is>
      </c>
      <c r="C912" s="308" t="n">
        <v>28</v>
      </c>
      <c r="D912" s="308" t="inlineStr">
        <is>
          <t>3/4"-HPC-1B</t>
        </is>
      </c>
      <c r="E912" s="308" t="inlineStr">
        <is>
          <t>HPC</t>
        </is>
      </c>
      <c r="F912" s="308" t="inlineStr">
        <is>
          <t>1B</t>
        </is>
      </c>
      <c r="G912" s="308" t="inlineStr">
        <is>
          <t>line</t>
        </is>
      </c>
      <c r="H912" s="311" t="n">
        <v>0.87</v>
      </c>
      <c r="I912" s="308" t="inlineStr">
        <is>
          <t>Medium</t>
        </is>
      </c>
      <c r="J912" s="308" t="inlineStr">
        <is>
          <t>drawing</t>
        </is>
      </c>
      <c r="K912" s="308" t="inlineStr">
        <is>
          <t>line:size-prefix</t>
        </is>
      </c>
      <c r="L912" s="308" t="inlineStr">
        <is>
          <t>drawing zone; process page; mapped sheet; repeated x8</t>
        </is>
      </c>
      <c r="M912" s="308" t="inlineStr">
        <is>
          <t>3/4"-HPC-1B</t>
        </is>
      </c>
      <c r="N912" s="308" t="inlineStr">
        <is>
          <t>native</t>
        </is>
      </c>
      <c r="O912" s="308" t="inlineStr">
        <is>
          <t>native-only</t>
        </is>
      </c>
      <c r="P912" s="308" t="inlineStr">
        <is>
          <t>native</t>
        </is>
      </c>
      <c r="Q912" s="308" t="inlineStr"/>
      <c r="R912" s="308" t="inlineStr">
        <is>
          <t>native text sufficient</t>
        </is>
      </c>
      <c r="S912" s="308" t="inlineStr"/>
      <c r="T912" s="308" t="inlineStr">
        <is>
          <t>p28:native:44</t>
        </is>
      </c>
      <c r="U912" s="308" t="n">
        <v>1</v>
      </c>
    </row>
    <row r="913">
      <c r="A913" s="308" t="inlineStr">
        <is>
          <t>Missing in Excel</t>
        </is>
      </c>
      <c r="B913" s="308" t="inlineStr">
        <is>
          <t>DG7700</t>
        </is>
      </c>
      <c r="C913" s="308" t="n">
        <v>28</v>
      </c>
      <c r="D913" s="308" t="inlineStr">
        <is>
          <t>3/4"-HPC-1B</t>
        </is>
      </c>
      <c r="E913" s="308" t="inlineStr">
        <is>
          <t>HPC</t>
        </is>
      </c>
      <c r="F913" s="308" t="inlineStr">
        <is>
          <t>1B</t>
        </is>
      </c>
      <c r="G913" s="308" t="inlineStr">
        <is>
          <t>line</t>
        </is>
      </c>
      <c r="H913" s="311" t="n">
        <v>0.87</v>
      </c>
      <c r="I913" s="308" t="inlineStr">
        <is>
          <t>Medium</t>
        </is>
      </c>
      <c r="J913" s="308" t="inlineStr">
        <is>
          <t>drawing</t>
        </is>
      </c>
      <c r="K913" s="308" t="inlineStr">
        <is>
          <t>line:size-prefix</t>
        </is>
      </c>
      <c r="L913" s="308" t="inlineStr">
        <is>
          <t>drawing zone; process page; mapped sheet; repeated x8</t>
        </is>
      </c>
      <c r="M913" s="308" t="inlineStr">
        <is>
          <t>3/4"-HPC-1B</t>
        </is>
      </c>
      <c r="N913" s="308" t="inlineStr">
        <is>
          <t>native</t>
        </is>
      </c>
      <c r="O913" s="308" t="inlineStr">
        <is>
          <t>native-only</t>
        </is>
      </c>
      <c r="P913" s="308" t="inlineStr">
        <is>
          <t>native</t>
        </is>
      </c>
      <c r="Q913" s="308" t="inlineStr"/>
      <c r="R913" s="308" t="inlineStr">
        <is>
          <t>native text sufficient</t>
        </is>
      </c>
      <c r="S913" s="308" t="inlineStr"/>
      <c r="T913" s="308" t="inlineStr">
        <is>
          <t>p28:native:45</t>
        </is>
      </c>
      <c r="U913" s="308" t="n">
        <v>1</v>
      </c>
    </row>
    <row r="914">
      <c r="A914" s="308" t="inlineStr">
        <is>
          <t>Missing in Excel</t>
        </is>
      </c>
      <c r="B914" s="308" t="inlineStr">
        <is>
          <t>DG7700</t>
        </is>
      </c>
      <c r="C914" s="308" t="n">
        <v>28</v>
      </c>
      <c r="D914" s="308" t="inlineStr">
        <is>
          <t>3/4"-HPC-1B</t>
        </is>
      </c>
      <c r="E914" s="308" t="inlineStr">
        <is>
          <t>HPC</t>
        </is>
      </c>
      <c r="F914" s="308" t="inlineStr">
        <is>
          <t>1B</t>
        </is>
      </c>
      <c r="G914" s="308" t="inlineStr">
        <is>
          <t>line</t>
        </is>
      </c>
      <c r="H914" s="311" t="n">
        <v>0.87</v>
      </c>
      <c r="I914" s="308" t="inlineStr">
        <is>
          <t>Medium</t>
        </is>
      </c>
      <c r="J914" s="308" t="inlineStr">
        <is>
          <t>drawing</t>
        </is>
      </c>
      <c r="K914" s="308" t="inlineStr">
        <is>
          <t>line:size-prefix</t>
        </is>
      </c>
      <c r="L914" s="308" t="inlineStr">
        <is>
          <t>drawing zone; process page; mapped sheet; repeated x8</t>
        </is>
      </c>
      <c r="M914" s="308" t="inlineStr">
        <is>
          <t>3/4"-HPC-1B</t>
        </is>
      </c>
      <c r="N914" s="308" t="inlineStr">
        <is>
          <t>native</t>
        </is>
      </c>
      <c r="O914" s="308" t="inlineStr">
        <is>
          <t>native-only</t>
        </is>
      </c>
      <c r="P914" s="308" t="inlineStr">
        <is>
          <t>native</t>
        </is>
      </c>
      <c r="Q914" s="308" t="inlineStr"/>
      <c r="R914" s="308" t="inlineStr">
        <is>
          <t>native text sufficient</t>
        </is>
      </c>
      <c r="S914" s="308" t="inlineStr"/>
      <c r="T914" s="308" t="inlineStr">
        <is>
          <t>p28:native:62</t>
        </is>
      </c>
      <c r="U914" s="308" t="n">
        <v>1</v>
      </c>
    </row>
    <row r="915">
      <c r="A915" s="308" t="inlineStr">
        <is>
          <t>Missing in Excel</t>
        </is>
      </c>
      <c r="B915" s="308" t="inlineStr">
        <is>
          <t>DG7700</t>
        </is>
      </c>
      <c r="C915" s="308" t="n">
        <v>28</v>
      </c>
      <c r="D915" s="308" t="inlineStr">
        <is>
          <t>3/4"-HPC-1B</t>
        </is>
      </c>
      <c r="E915" s="308" t="inlineStr">
        <is>
          <t>HPC</t>
        </is>
      </c>
      <c r="F915" s="308" t="inlineStr">
        <is>
          <t>1B</t>
        </is>
      </c>
      <c r="G915" s="308" t="inlineStr">
        <is>
          <t>line</t>
        </is>
      </c>
      <c r="H915" s="311" t="n">
        <v>0.87</v>
      </c>
      <c r="I915" s="308" t="inlineStr">
        <is>
          <t>Medium</t>
        </is>
      </c>
      <c r="J915" s="308" t="inlineStr">
        <is>
          <t>drawing</t>
        </is>
      </c>
      <c r="K915" s="308" t="inlineStr">
        <is>
          <t>line:size-prefix</t>
        </is>
      </c>
      <c r="L915" s="308" t="inlineStr">
        <is>
          <t>drawing zone; process page; mapped sheet; repeated x8</t>
        </is>
      </c>
      <c r="M915" s="308" t="inlineStr">
        <is>
          <t>3/4"-HPC-1B</t>
        </is>
      </c>
      <c r="N915" s="308" t="inlineStr">
        <is>
          <t>native</t>
        </is>
      </c>
      <c r="O915" s="308" t="inlineStr">
        <is>
          <t>native-only</t>
        </is>
      </c>
      <c r="P915" s="308" t="inlineStr">
        <is>
          <t>native</t>
        </is>
      </c>
      <c r="Q915" s="308" t="inlineStr"/>
      <c r="R915" s="308" t="inlineStr">
        <is>
          <t>native text sufficient</t>
        </is>
      </c>
      <c r="S915" s="308" t="inlineStr"/>
      <c r="T915" s="308" t="inlineStr">
        <is>
          <t>p28:native:63</t>
        </is>
      </c>
      <c r="U915" s="308" t="n">
        <v>1</v>
      </c>
    </row>
    <row r="916">
      <c r="A916" s="308" t="inlineStr">
        <is>
          <t>Missing in Excel</t>
        </is>
      </c>
      <c r="B916" s="308" t="inlineStr">
        <is>
          <t>DG7700</t>
        </is>
      </c>
      <c r="C916" s="308" t="n">
        <v>28</v>
      </c>
      <c r="D916" s="308" t="inlineStr">
        <is>
          <t>3/4"-HPC-1B</t>
        </is>
      </c>
      <c r="E916" s="308" t="inlineStr">
        <is>
          <t>HPC</t>
        </is>
      </c>
      <c r="F916" s="308" t="inlineStr">
        <is>
          <t>1B</t>
        </is>
      </c>
      <c r="G916" s="308" t="inlineStr">
        <is>
          <t>line</t>
        </is>
      </c>
      <c r="H916" s="311" t="n">
        <v>0.87</v>
      </c>
      <c r="I916" s="308" t="inlineStr">
        <is>
          <t>Medium</t>
        </is>
      </c>
      <c r="J916" s="308" t="inlineStr">
        <is>
          <t>drawing</t>
        </is>
      </c>
      <c r="K916" s="308" t="inlineStr">
        <is>
          <t>line:size-prefix</t>
        </is>
      </c>
      <c r="L916" s="308" t="inlineStr">
        <is>
          <t>drawing zone; process page; mapped sheet; repeated x8</t>
        </is>
      </c>
      <c r="M916" s="308" t="inlineStr">
        <is>
          <t>3/4"-HPC-1B</t>
        </is>
      </c>
      <c r="N916" s="308" t="inlineStr">
        <is>
          <t>native</t>
        </is>
      </c>
      <c r="O916" s="308" t="inlineStr">
        <is>
          <t>native-only</t>
        </is>
      </c>
      <c r="P916" s="308" t="inlineStr">
        <is>
          <t>native</t>
        </is>
      </c>
      <c r="Q916" s="308" t="inlineStr"/>
      <c r="R916" s="308" t="inlineStr">
        <is>
          <t>native text sufficient</t>
        </is>
      </c>
      <c r="S916" s="308" t="inlineStr"/>
      <c r="T916" s="308" t="inlineStr">
        <is>
          <t>p28:native:88</t>
        </is>
      </c>
      <c r="U916" s="308" t="n">
        <v>1</v>
      </c>
    </row>
    <row r="917">
      <c r="A917" s="308" t="inlineStr">
        <is>
          <t>Missing in Excel</t>
        </is>
      </c>
      <c r="B917" s="308" t="inlineStr">
        <is>
          <t>DG7700</t>
        </is>
      </c>
      <c r="C917" s="308" t="n">
        <v>28</v>
      </c>
      <c r="D917" s="308" t="inlineStr">
        <is>
          <t>3/4"-HPC-1B</t>
        </is>
      </c>
      <c r="E917" s="308" t="inlineStr">
        <is>
          <t>HPC</t>
        </is>
      </c>
      <c r="F917" s="308" t="inlineStr">
        <is>
          <t>1B</t>
        </is>
      </c>
      <c r="G917" s="308" t="inlineStr">
        <is>
          <t>line</t>
        </is>
      </c>
      <c r="H917" s="311" t="n">
        <v>0.87</v>
      </c>
      <c r="I917" s="308" t="inlineStr">
        <is>
          <t>Medium</t>
        </is>
      </c>
      <c r="J917" s="308" t="inlineStr">
        <is>
          <t>drawing</t>
        </is>
      </c>
      <c r="K917" s="308" t="inlineStr">
        <is>
          <t>line:size-prefix</t>
        </is>
      </c>
      <c r="L917" s="308" t="inlineStr">
        <is>
          <t>drawing zone; process page; mapped sheet; repeated x8</t>
        </is>
      </c>
      <c r="M917" s="308" t="inlineStr">
        <is>
          <t>3/4"-HPC-1B</t>
        </is>
      </c>
      <c r="N917" s="308" t="inlineStr">
        <is>
          <t>native</t>
        </is>
      </c>
      <c r="O917" s="308" t="inlineStr">
        <is>
          <t>native-only</t>
        </is>
      </c>
      <c r="P917" s="308" t="inlineStr">
        <is>
          <t>native</t>
        </is>
      </c>
      <c r="Q917" s="308" t="inlineStr"/>
      <c r="R917" s="308" t="inlineStr">
        <is>
          <t>native text sufficient</t>
        </is>
      </c>
      <c r="S917" s="308" t="inlineStr"/>
      <c r="T917" s="308" t="inlineStr">
        <is>
          <t>p28:native:92</t>
        </is>
      </c>
      <c r="U917" s="308" t="n">
        <v>1</v>
      </c>
    </row>
    <row r="918">
      <c r="A918" s="308" t="inlineStr">
        <is>
          <t>Missing in Excel</t>
        </is>
      </c>
      <c r="B918" s="308" t="inlineStr">
        <is>
          <t>DG7700</t>
        </is>
      </c>
      <c r="C918" s="308" t="n">
        <v>28</v>
      </c>
      <c r="D918" s="308" t="inlineStr">
        <is>
          <t>3/4"-HPC-1B</t>
        </is>
      </c>
      <c r="E918" s="308" t="inlineStr">
        <is>
          <t>HPC</t>
        </is>
      </c>
      <c r="F918" s="308" t="inlineStr">
        <is>
          <t>1B</t>
        </is>
      </c>
      <c r="G918" s="308" t="inlineStr">
        <is>
          <t>line</t>
        </is>
      </c>
      <c r="H918" s="311" t="n">
        <v>0.87</v>
      </c>
      <c r="I918" s="308" t="inlineStr">
        <is>
          <t>Medium</t>
        </is>
      </c>
      <c r="J918" s="308" t="inlineStr">
        <is>
          <t>drawing</t>
        </is>
      </c>
      <c r="K918" s="308" t="inlineStr">
        <is>
          <t>line:size-prefix</t>
        </is>
      </c>
      <c r="L918" s="308" t="inlineStr">
        <is>
          <t>drawing zone; process page; mapped sheet; repeated x8</t>
        </is>
      </c>
      <c r="M918" s="308" t="inlineStr">
        <is>
          <t>3/4"-HPC-1B</t>
        </is>
      </c>
      <c r="N918" s="308" t="inlineStr">
        <is>
          <t>native</t>
        </is>
      </c>
      <c r="O918" s="308" t="inlineStr">
        <is>
          <t>native-only</t>
        </is>
      </c>
      <c r="P918" s="308" t="inlineStr">
        <is>
          <t>native</t>
        </is>
      </c>
      <c r="Q918" s="308" t="inlineStr"/>
      <c r="R918" s="308" t="inlineStr">
        <is>
          <t>native text sufficient</t>
        </is>
      </c>
      <c r="S918" s="308" t="inlineStr"/>
      <c r="T918" s="308" t="inlineStr">
        <is>
          <t>p28:native:447</t>
        </is>
      </c>
      <c r="U918" s="308" t="n">
        <v>1</v>
      </c>
    </row>
    <row r="919">
      <c r="A919" s="308" t="inlineStr">
        <is>
          <t>Missing in Excel</t>
        </is>
      </c>
      <c r="B919" s="308" t="inlineStr">
        <is>
          <t>DG7700</t>
        </is>
      </c>
      <c r="C919" s="308" t="n">
        <v>28</v>
      </c>
      <c r="D919" s="308" t="inlineStr">
        <is>
          <t>3/4"-HPC-1B</t>
        </is>
      </c>
      <c r="E919" s="308" t="inlineStr">
        <is>
          <t>HPC</t>
        </is>
      </c>
      <c r="F919" s="308" t="inlineStr">
        <is>
          <t>1B</t>
        </is>
      </c>
      <c r="G919" s="308" t="inlineStr">
        <is>
          <t>line</t>
        </is>
      </c>
      <c r="H919" s="311" t="n">
        <v>0.87</v>
      </c>
      <c r="I919" s="308" t="inlineStr">
        <is>
          <t>Medium</t>
        </is>
      </c>
      <c r="J919" s="308" t="inlineStr">
        <is>
          <t>drawing</t>
        </is>
      </c>
      <c r="K919" s="308" t="inlineStr">
        <is>
          <t>line:size-prefix</t>
        </is>
      </c>
      <c r="L919" s="308" t="inlineStr">
        <is>
          <t>drawing zone; process page; mapped sheet; repeated x8</t>
        </is>
      </c>
      <c r="M919" s="308" t="inlineStr">
        <is>
          <t>3/4"-HPC-1B</t>
        </is>
      </c>
      <c r="N919" s="308" t="inlineStr">
        <is>
          <t>native</t>
        </is>
      </c>
      <c r="O919" s="308" t="inlineStr">
        <is>
          <t>native-only</t>
        </is>
      </c>
      <c r="P919" s="308" t="inlineStr">
        <is>
          <t>native</t>
        </is>
      </c>
      <c r="Q919" s="308" t="inlineStr"/>
      <c r="R919" s="308" t="inlineStr">
        <is>
          <t>native text sufficient</t>
        </is>
      </c>
      <c r="S919" s="308" t="inlineStr"/>
      <c r="T919" s="308" t="inlineStr">
        <is>
          <t>p28:native:450</t>
        </is>
      </c>
      <c r="U919" s="308" t="n">
        <v>1</v>
      </c>
    </row>
    <row r="920">
      <c r="A920" s="308" t="inlineStr">
        <is>
          <t>Missing in Excel</t>
        </is>
      </c>
      <c r="B920" s="308" t="inlineStr">
        <is>
          <t>DG7700</t>
        </is>
      </c>
      <c r="C920" s="308" t="n">
        <v>28</v>
      </c>
      <c r="D920" s="308" t="inlineStr">
        <is>
          <t>4"-HPS-1A</t>
        </is>
      </c>
      <c r="E920" s="308" t="inlineStr">
        <is>
          <t>HPS</t>
        </is>
      </c>
      <c r="F920" s="308" t="inlineStr">
        <is>
          <t>1A</t>
        </is>
      </c>
      <c r="G920" s="308" t="inlineStr">
        <is>
          <t>line</t>
        </is>
      </c>
      <c r="H920" s="311" t="n">
        <v>0.87</v>
      </c>
      <c r="I920" s="308" t="inlineStr">
        <is>
          <t>Medium</t>
        </is>
      </c>
      <c r="J920" s="308" t="inlineStr">
        <is>
          <t>drawing</t>
        </is>
      </c>
      <c r="K920" s="308" t="inlineStr">
        <is>
          <t>line:size-prefix</t>
        </is>
      </c>
      <c r="L920" s="308" t="inlineStr">
        <is>
          <t>drawing zone; process page; mapped sheet; repeated x20</t>
        </is>
      </c>
      <c r="M920" s="308" t="inlineStr">
        <is>
          <t>4"-HPS-1A</t>
        </is>
      </c>
      <c r="N920" s="308" t="inlineStr">
        <is>
          <t>native</t>
        </is>
      </c>
      <c r="O920" s="308" t="inlineStr">
        <is>
          <t>native-only</t>
        </is>
      </c>
      <c r="P920" s="308" t="inlineStr">
        <is>
          <t>native</t>
        </is>
      </c>
      <c r="Q920" s="308" t="inlineStr"/>
      <c r="R920" s="308" t="inlineStr">
        <is>
          <t>native text sufficient</t>
        </is>
      </c>
      <c r="S920" s="308" t="inlineStr"/>
      <c r="T920" s="308" t="inlineStr">
        <is>
          <t>p28:native:1</t>
        </is>
      </c>
      <c r="U920" s="308" t="n">
        <v>1</v>
      </c>
    </row>
    <row r="921">
      <c r="A921" s="308" t="inlineStr">
        <is>
          <t>Missing in Excel</t>
        </is>
      </c>
      <c r="B921" s="308" t="inlineStr">
        <is>
          <t>DG7700</t>
        </is>
      </c>
      <c r="C921" s="308" t="n">
        <v>28</v>
      </c>
      <c r="D921" s="308" t="inlineStr">
        <is>
          <t>4"-HPS-1A</t>
        </is>
      </c>
      <c r="E921" s="308" t="inlineStr">
        <is>
          <t>HPS</t>
        </is>
      </c>
      <c r="F921" s="308" t="inlineStr">
        <is>
          <t>1A</t>
        </is>
      </c>
      <c r="G921" s="308" t="inlineStr">
        <is>
          <t>line</t>
        </is>
      </c>
      <c r="H921" s="311" t="n">
        <v>0.87</v>
      </c>
      <c r="I921" s="308" t="inlineStr">
        <is>
          <t>Medium</t>
        </is>
      </c>
      <c r="J921" s="308" t="inlineStr">
        <is>
          <t>drawing</t>
        </is>
      </c>
      <c r="K921" s="308" t="inlineStr">
        <is>
          <t>line:size-prefix</t>
        </is>
      </c>
      <c r="L921" s="308" t="inlineStr">
        <is>
          <t>drawing zone; process page; mapped sheet; repeated x20</t>
        </is>
      </c>
      <c r="M921" s="308" t="inlineStr">
        <is>
          <t>4"-HPS-1A</t>
        </is>
      </c>
      <c r="N921" s="308" t="inlineStr">
        <is>
          <t>native</t>
        </is>
      </c>
      <c r="O921" s="308" t="inlineStr">
        <is>
          <t>native-only</t>
        </is>
      </c>
      <c r="P921" s="308" t="inlineStr">
        <is>
          <t>native</t>
        </is>
      </c>
      <c r="Q921" s="308" t="inlineStr"/>
      <c r="R921" s="308" t="inlineStr">
        <is>
          <t>native text sufficient</t>
        </is>
      </c>
      <c r="S921" s="308" t="inlineStr"/>
      <c r="T921" s="308" t="inlineStr">
        <is>
          <t>p28:native:46</t>
        </is>
      </c>
      <c r="U921" s="308" t="n">
        <v>1</v>
      </c>
    </row>
    <row r="922">
      <c r="A922" s="308" t="inlineStr">
        <is>
          <t>Missing in Excel</t>
        </is>
      </c>
      <c r="B922" s="308" t="inlineStr">
        <is>
          <t>DG7700</t>
        </is>
      </c>
      <c r="C922" s="308" t="n">
        <v>28</v>
      </c>
      <c r="D922" s="308" t="inlineStr">
        <is>
          <t>4"-HPS-1A</t>
        </is>
      </c>
      <c r="E922" s="308" t="inlineStr">
        <is>
          <t>HPS</t>
        </is>
      </c>
      <c r="F922" s="308" t="inlineStr">
        <is>
          <t>1A</t>
        </is>
      </c>
      <c r="G922" s="308" t="inlineStr">
        <is>
          <t>line</t>
        </is>
      </c>
      <c r="H922" s="311" t="n">
        <v>0.87</v>
      </c>
      <c r="I922" s="308" t="inlineStr">
        <is>
          <t>Medium</t>
        </is>
      </c>
      <c r="J922" s="308" t="inlineStr">
        <is>
          <t>drawing</t>
        </is>
      </c>
      <c r="K922" s="308" t="inlineStr">
        <is>
          <t>line:size-prefix</t>
        </is>
      </c>
      <c r="L922" s="308" t="inlineStr">
        <is>
          <t>drawing zone; process page; mapped sheet; repeated x20</t>
        </is>
      </c>
      <c r="M922" s="308" t="inlineStr">
        <is>
          <t>4"-HPS-1A</t>
        </is>
      </c>
      <c r="N922" s="308" t="inlineStr">
        <is>
          <t>native</t>
        </is>
      </c>
      <c r="O922" s="308" t="inlineStr">
        <is>
          <t>native-only</t>
        </is>
      </c>
      <c r="P922" s="308" t="inlineStr">
        <is>
          <t>native</t>
        </is>
      </c>
      <c r="Q922" s="308" t="inlineStr"/>
      <c r="R922" s="308" t="inlineStr">
        <is>
          <t>native text sufficient</t>
        </is>
      </c>
      <c r="S922" s="308" t="inlineStr"/>
      <c r="T922" s="308" t="inlineStr">
        <is>
          <t>p28:native:47</t>
        </is>
      </c>
      <c r="U922" s="308" t="n">
        <v>1</v>
      </c>
    </row>
    <row r="923">
      <c r="A923" s="308" t="inlineStr">
        <is>
          <t>Missing in Excel</t>
        </is>
      </c>
      <c r="B923" s="308" t="inlineStr">
        <is>
          <t>DG7700</t>
        </is>
      </c>
      <c r="C923" s="308" t="n">
        <v>28</v>
      </c>
      <c r="D923" s="308" t="inlineStr">
        <is>
          <t>4"-HPS-1A</t>
        </is>
      </c>
      <c r="E923" s="308" t="inlineStr">
        <is>
          <t>HPS</t>
        </is>
      </c>
      <c r="F923" s="308" t="inlineStr">
        <is>
          <t>1A</t>
        </is>
      </c>
      <c r="G923" s="308" t="inlineStr">
        <is>
          <t>line</t>
        </is>
      </c>
      <c r="H923" s="311" t="n">
        <v>0.87</v>
      </c>
      <c r="I923" s="308" t="inlineStr">
        <is>
          <t>Medium</t>
        </is>
      </c>
      <c r="J923" s="308" t="inlineStr">
        <is>
          <t>drawing</t>
        </is>
      </c>
      <c r="K923" s="308" t="inlineStr">
        <is>
          <t>line:size-prefix</t>
        </is>
      </c>
      <c r="L923" s="308" t="inlineStr">
        <is>
          <t>drawing zone; process page; mapped sheet; repeated x20</t>
        </is>
      </c>
      <c r="M923" s="308" t="inlineStr">
        <is>
          <t>4"-HPS-1A</t>
        </is>
      </c>
      <c r="N923" s="308" t="inlineStr">
        <is>
          <t>native</t>
        </is>
      </c>
      <c r="O923" s="308" t="inlineStr">
        <is>
          <t>native-only</t>
        </is>
      </c>
      <c r="P923" s="308" t="inlineStr">
        <is>
          <t>native</t>
        </is>
      </c>
      <c r="Q923" s="308" t="inlineStr"/>
      <c r="R923" s="308" t="inlineStr">
        <is>
          <t>native text sufficient</t>
        </is>
      </c>
      <c r="S923" s="308" t="inlineStr"/>
      <c r="T923" s="308" t="inlineStr">
        <is>
          <t>p28:native:89</t>
        </is>
      </c>
      <c r="U923" s="308" t="n">
        <v>1</v>
      </c>
    </row>
    <row r="924">
      <c r="A924" s="308" t="inlineStr">
        <is>
          <t>Missing in Excel</t>
        </is>
      </c>
      <c r="B924" s="308" t="inlineStr">
        <is>
          <t>DG7700</t>
        </is>
      </c>
      <c r="C924" s="308" t="n">
        <v>28</v>
      </c>
      <c r="D924" s="308" t="inlineStr">
        <is>
          <t>4"-HPS-1A</t>
        </is>
      </c>
      <c r="E924" s="308" t="inlineStr">
        <is>
          <t>HPS</t>
        </is>
      </c>
      <c r="F924" s="308" t="inlineStr">
        <is>
          <t>1A</t>
        </is>
      </c>
      <c r="G924" s="308" t="inlineStr">
        <is>
          <t>line</t>
        </is>
      </c>
      <c r="H924" s="311" t="n">
        <v>0.87</v>
      </c>
      <c r="I924" s="308" t="inlineStr">
        <is>
          <t>Medium</t>
        </is>
      </c>
      <c r="J924" s="308" t="inlineStr">
        <is>
          <t>drawing</t>
        </is>
      </c>
      <c r="K924" s="308" t="inlineStr">
        <is>
          <t>line:size-prefix</t>
        </is>
      </c>
      <c r="L924" s="308" t="inlineStr">
        <is>
          <t>drawing zone; process page; mapped sheet; repeated x20</t>
        </is>
      </c>
      <c r="M924" s="308" t="inlineStr">
        <is>
          <t>4"-HPS-1A</t>
        </is>
      </c>
      <c r="N924" s="308" t="inlineStr">
        <is>
          <t>native</t>
        </is>
      </c>
      <c r="O924" s="308" t="inlineStr">
        <is>
          <t>native-only</t>
        </is>
      </c>
      <c r="P924" s="308" t="inlineStr">
        <is>
          <t>native</t>
        </is>
      </c>
      <c r="Q924" s="308" t="inlineStr"/>
      <c r="R924" s="308" t="inlineStr">
        <is>
          <t>native text sufficient</t>
        </is>
      </c>
      <c r="S924" s="308" t="inlineStr"/>
      <c r="T924" s="308" t="inlineStr">
        <is>
          <t>p28:native:90</t>
        </is>
      </c>
      <c r="U924" s="308" t="n">
        <v>1</v>
      </c>
    </row>
    <row r="925">
      <c r="A925" s="308" t="inlineStr">
        <is>
          <t>Missing in Excel</t>
        </is>
      </c>
      <c r="B925" s="308" t="inlineStr">
        <is>
          <t>DG7700</t>
        </is>
      </c>
      <c r="C925" s="308" t="n">
        <v>28</v>
      </c>
      <c r="D925" s="308" t="inlineStr">
        <is>
          <t>4"-HPS-1A</t>
        </is>
      </c>
      <c r="E925" s="308" t="inlineStr">
        <is>
          <t>HPS</t>
        </is>
      </c>
      <c r="F925" s="308" t="inlineStr">
        <is>
          <t>1A</t>
        </is>
      </c>
      <c r="G925" s="308" t="inlineStr">
        <is>
          <t>line</t>
        </is>
      </c>
      <c r="H925" s="311" t="n">
        <v>0.87</v>
      </c>
      <c r="I925" s="308" t="inlineStr">
        <is>
          <t>Medium</t>
        </is>
      </c>
      <c r="J925" s="308" t="inlineStr">
        <is>
          <t>drawing</t>
        </is>
      </c>
      <c r="K925" s="308" t="inlineStr">
        <is>
          <t>line:size-prefix</t>
        </is>
      </c>
      <c r="L925" s="308" t="inlineStr">
        <is>
          <t>drawing zone; process page; mapped sheet; repeated x20</t>
        </is>
      </c>
      <c r="M925" s="308" t="inlineStr">
        <is>
          <t>4"-HPS-1A</t>
        </is>
      </c>
      <c r="N925" s="308" t="inlineStr">
        <is>
          <t>native</t>
        </is>
      </c>
      <c r="O925" s="308" t="inlineStr">
        <is>
          <t>native-only</t>
        </is>
      </c>
      <c r="P925" s="308" t="inlineStr">
        <is>
          <t>native</t>
        </is>
      </c>
      <c r="Q925" s="308" t="inlineStr"/>
      <c r="R925" s="308" t="inlineStr">
        <is>
          <t>native text sufficient</t>
        </is>
      </c>
      <c r="S925" s="308" t="inlineStr"/>
      <c r="T925" s="308" t="inlineStr">
        <is>
          <t>p28:native:91</t>
        </is>
      </c>
      <c r="U925" s="308" t="n">
        <v>1</v>
      </c>
    </row>
    <row r="926">
      <c r="A926" s="308" t="inlineStr">
        <is>
          <t>Missing in Excel</t>
        </is>
      </c>
      <c r="B926" s="308" t="inlineStr">
        <is>
          <t>DG7700</t>
        </is>
      </c>
      <c r="C926" s="308" t="n">
        <v>28</v>
      </c>
      <c r="D926" s="308" t="inlineStr">
        <is>
          <t>4"-HPS-1A</t>
        </is>
      </c>
      <c r="E926" s="308" t="inlineStr">
        <is>
          <t>HPS</t>
        </is>
      </c>
      <c r="F926" s="308" t="inlineStr">
        <is>
          <t>1A</t>
        </is>
      </c>
      <c r="G926" s="308" t="inlineStr">
        <is>
          <t>line</t>
        </is>
      </c>
      <c r="H926" s="311" t="n">
        <v>0.87</v>
      </c>
      <c r="I926" s="308" t="inlineStr">
        <is>
          <t>Medium</t>
        </is>
      </c>
      <c r="J926" s="308" t="inlineStr">
        <is>
          <t>drawing</t>
        </is>
      </c>
      <c r="K926" s="308" t="inlineStr">
        <is>
          <t>line:size-prefix</t>
        </is>
      </c>
      <c r="L926" s="308" t="inlineStr">
        <is>
          <t>drawing zone; process page; mapped sheet; repeated x20</t>
        </is>
      </c>
      <c r="M926" s="308" t="inlineStr">
        <is>
          <t>4"-HPS-1A</t>
        </is>
      </c>
      <c r="N926" s="308" t="inlineStr">
        <is>
          <t>native</t>
        </is>
      </c>
      <c r="O926" s="308" t="inlineStr">
        <is>
          <t>native-only</t>
        </is>
      </c>
      <c r="P926" s="308" t="inlineStr">
        <is>
          <t>native</t>
        </is>
      </c>
      <c r="Q926" s="308" t="inlineStr"/>
      <c r="R926" s="308" t="inlineStr">
        <is>
          <t>native text sufficient</t>
        </is>
      </c>
      <c r="S926" s="308" t="inlineStr"/>
      <c r="T926" s="308" t="inlineStr">
        <is>
          <t>p28:native:102</t>
        </is>
      </c>
      <c r="U926" s="308" t="n">
        <v>1</v>
      </c>
    </row>
    <row r="927">
      <c r="A927" s="308" t="inlineStr">
        <is>
          <t>Missing in Excel</t>
        </is>
      </c>
      <c r="B927" s="308" t="inlineStr">
        <is>
          <t>DG7700</t>
        </is>
      </c>
      <c r="C927" s="308" t="n">
        <v>28</v>
      </c>
      <c r="D927" s="308" t="inlineStr">
        <is>
          <t>4"-HPS-1A</t>
        </is>
      </c>
      <c r="E927" s="308" t="inlineStr">
        <is>
          <t>HPS</t>
        </is>
      </c>
      <c r="F927" s="308" t="inlineStr">
        <is>
          <t>1A</t>
        </is>
      </c>
      <c r="G927" s="308" t="inlineStr">
        <is>
          <t>line</t>
        </is>
      </c>
      <c r="H927" s="311" t="n">
        <v>0.87</v>
      </c>
      <c r="I927" s="308" t="inlineStr">
        <is>
          <t>Medium</t>
        </is>
      </c>
      <c r="J927" s="308" t="inlineStr">
        <is>
          <t>drawing</t>
        </is>
      </c>
      <c r="K927" s="308" t="inlineStr">
        <is>
          <t>line:size-prefix</t>
        </is>
      </c>
      <c r="L927" s="308" t="inlineStr">
        <is>
          <t>drawing zone; process page; mapped sheet; repeated x20</t>
        </is>
      </c>
      <c r="M927" s="308" t="inlineStr">
        <is>
          <t>4"-HPS-1A</t>
        </is>
      </c>
      <c r="N927" s="308" t="inlineStr">
        <is>
          <t>native</t>
        </is>
      </c>
      <c r="O927" s="308" t="inlineStr">
        <is>
          <t>native-only</t>
        </is>
      </c>
      <c r="P927" s="308" t="inlineStr">
        <is>
          <t>native</t>
        </is>
      </c>
      <c r="Q927" s="308" t="inlineStr"/>
      <c r="R927" s="308" t="inlineStr">
        <is>
          <t>native text sufficient</t>
        </is>
      </c>
      <c r="S927" s="308" t="inlineStr"/>
      <c r="T927" s="308" t="inlineStr">
        <is>
          <t>p28:native:140</t>
        </is>
      </c>
      <c r="U927" s="308" t="n">
        <v>1</v>
      </c>
    </row>
    <row r="928">
      <c r="A928" s="308" t="inlineStr">
        <is>
          <t>Missing in Excel</t>
        </is>
      </c>
      <c r="B928" s="308" t="inlineStr">
        <is>
          <t>DG7700</t>
        </is>
      </c>
      <c r="C928" s="308" t="n">
        <v>28</v>
      </c>
      <c r="D928" s="308" t="inlineStr">
        <is>
          <t>4"-HPS-1A</t>
        </is>
      </c>
      <c r="E928" s="308" t="inlineStr">
        <is>
          <t>HPS</t>
        </is>
      </c>
      <c r="F928" s="308" t="inlineStr">
        <is>
          <t>1A</t>
        </is>
      </c>
      <c r="G928" s="308" t="inlineStr">
        <is>
          <t>line</t>
        </is>
      </c>
      <c r="H928" s="311" t="n">
        <v>0.87</v>
      </c>
      <c r="I928" s="308" t="inlineStr">
        <is>
          <t>Medium</t>
        </is>
      </c>
      <c r="J928" s="308" t="inlineStr">
        <is>
          <t>drawing</t>
        </is>
      </c>
      <c r="K928" s="308" t="inlineStr">
        <is>
          <t>line:size-prefix</t>
        </is>
      </c>
      <c r="L928" s="308" t="inlineStr">
        <is>
          <t>drawing zone; process page; mapped sheet; repeated x20</t>
        </is>
      </c>
      <c r="M928" s="308" t="inlineStr">
        <is>
          <t>4"-HPS-1A</t>
        </is>
      </c>
      <c r="N928" s="308" t="inlineStr">
        <is>
          <t>native</t>
        </is>
      </c>
      <c r="O928" s="308" t="inlineStr">
        <is>
          <t>native-only</t>
        </is>
      </c>
      <c r="P928" s="308" t="inlineStr">
        <is>
          <t>native</t>
        </is>
      </c>
      <c r="Q928" s="308" t="inlineStr"/>
      <c r="R928" s="308" t="inlineStr">
        <is>
          <t>native text sufficient</t>
        </is>
      </c>
      <c r="S928" s="308" t="inlineStr"/>
      <c r="T928" s="308" t="inlineStr">
        <is>
          <t>p28:native:152</t>
        </is>
      </c>
      <c r="U928" s="308" t="n">
        <v>1</v>
      </c>
    </row>
    <row r="929">
      <c r="A929" s="308" t="inlineStr">
        <is>
          <t>Missing in Excel</t>
        </is>
      </c>
      <c r="B929" s="308" t="inlineStr">
        <is>
          <t>DG7700</t>
        </is>
      </c>
      <c r="C929" s="308" t="n">
        <v>28</v>
      </c>
      <c r="D929" s="308" t="inlineStr">
        <is>
          <t>4"-HPS-1A</t>
        </is>
      </c>
      <c r="E929" s="308" t="inlineStr">
        <is>
          <t>HPS</t>
        </is>
      </c>
      <c r="F929" s="308" t="inlineStr">
        <is>
          <t>1A</t>
        </is>
      </c>
      <c r="G929" s="308" t="inlineStr">
        <is>
          <t>line</t>
        </is>
      </c>
      <c r="H929" s="311" t="n">
        <v>0.87</v>
      </c>
      <c r="I929" s="308" t="inlineStr">
        <is>
          <t>Medium</t>
        </is>
      </c>
      <c r="J929" s="308" t="inlineStr">
        <is>
          <t>drawing</t>
        </is>
      </c>
      <c r="K929" s="308" t="inlineStr">
        <is>
          <t>line:size-prefix</t>
        </is>
      </c>
      <c r="L929" s="308" t="inlineStr">
        <is>
          <t>drawing zone; process page; mapped sheet; repeated x20</t>
        </is>
      </c>
      <c r="M929" s="308" t="inlineStr">
        <is>
          <t>4"-HPS-1A</t>
        </is>
      </c>
      <c r="N929" s="308" t="inlineStr">
        <is>
          <t>native</t>
        </is>
      </c>
      <c r="O929" s="308" t="inlineStr">
        <is>
          <t>native-only</t>
        </is>
      </c>
      <c r="P929" s="308" t="inlineStr">
        <is>
          <t>native</t>
        </is>
      </c>
      <c r="Q929" s="308" t="inlineStr"/>
      <c r="R929" s="308" t="inlineStr">
        <is>
          <t>native text sufficient</t>
        </is>
      </c>
      <c r="S929" s="308" t="inlineStr"/>
      <c r="T929" s="308" t="inlineStr">
        <is>
          <t>p28:native:155</t>
        </is>
      </c>
      <c r="U929" s="308" t="n">
        <v>1</v>
      </c>
    </row>
    <row r="930">
      <c r="A930" s="308" t="inlineStr">
        <is>
          <t>Missing in Excel</t>
        </is>
      </c>
      <c r="B930" s="308" t="inlineStr">
        <is>
          <t>DG7700</t>
        </is>
      </c>
      <c r="C930" s="308" t="n">
        <v>28</v>
      </c>
      <c r="D930" s="308" t="inlineStr">
        <is>
          <t>4"-HPS-1A</t>
        </is>
      </c>
      <c r="E930" s="308" t="inlineStr">
        <is>
          <t>HPS</t>
        </is>
      </c>
      <c r="F930" s="308" t="inlineStr">
        <is>
          <t>1A</t>
        </is>
      </c>
      <c r="G930" s="308" t="inlineStr">
        <is>
          <t>line</t>
        </is>
      </c>
      <c r="H930" s="311" t="n">
        <v>0.87</v>
      </c>
      <c r="I930" s="308" t="inlineStr">
        <is>
          <t>Medium</t>
        </is>
      </c>
      <c r="J930" s="308" t="inlineStr">
        <is>
          <t>drawing</t>
        </is>
      </c>
      <c r="K930" s="308" t="inlineStr">
        <is>
          <t>line:size-prefix</t>
        </is>
      </c>
      <c r="L930" s="308" t="inlineStr">
        <is>
          <t>drawing zone; process page; mapped sheet; repeated x20</t>
        </is>
      </c>
      <c r="M930" s="308" t="inlineStr">
        <is>
          <t>4"-HPS-1A</t>
        </is>
      </c>
      <c r="N930" s="308" t="inlineStr">
        <is>
          <t>native</t>
        </is>
      </c>
      <c r="O930" s="308" t="inlineStr">
        <is>
          <t>native-only</t>
        </is>
      </c>
      <c r="P930" s="308" t="inlineStr">
        <is>
          <t>native</t>
        </is>
      </c>
      <c r="Q930" s="308" t="inlineStr"/>
      <c r="R930" s="308" t="inlineStr">
        <is>
          <t>native text sufficient</t>
        </is>
      </c>
      <c r="S930" s="308" t="inlineStr"/>
      <c r="T930" s="308" t="inlineStr">
        <is>
          <t>p28:native:193</t>
        </is>
      </c>
      <c r="U930" s="308" t="n">
        <v>1</v>
      </c>
    </row>
    <row r="931">
      <c r="A931" s="308" t="inlineStr">
        <is>
          <t>Missing in Excel</t>
        </is>
      </c>
      <c r="B931" s="308" t="inlineStr">
        <is>
          <t>DG7700</t>
        </is>
      </c>
      <c r="C931" s="308" t="n">
        <v>28</v>
      </c>
      <c r="D931" s="308" t="inlineStr">
        <is>
          <t>4"-HPS-1A</t>
        </is>
      </c>
      <c r="E931" s="308" t="inlineStr">
        <is>
          <t>HPS</t>
        </is>
      </c>
      <c r="F931" s="308" t="inlineStr">
        <is>
          <t>1A</t>
        </is>
      </c>
      <c r="G931" s="308" t="inlineStr">
        <is>
          <t>line</t>
        </is>
      </c>
      <c r="H931" s="311" t="n">
        <v>0.87</v>
      </c>
      <c r="I931" s="308" t="inlineStr">
        <is>
          <t>Medium</t>
        </is>
      </c>
      <c r="J931" s="308" t="inlineStr">
        <is>
          <t>drawing</t>
        </is>
      </c>
      <c r="K931" s="308" t="inlineStr">
        <is>
          <t>line:size-prefix</t>
        </is>
      </c>
      <c r="L931" s="308" t="inlineStr">
        <is>
          <t>drawing zone; process page; mapped sheet; repeated x20</t>
        </is>
      </c>
      <c r="M931" s="308" t="inlineStr">
        <is>
          <t>4"-HPS-1A</t>
        </is>
      </c>
      <c r="N931" s="308" t="inlineStr">
        <is>
          <t>native</t>
        </is>
      </c>
      <c r="O931" s="308" t="inlineStr">
        <is>
          <t>native-only</t>
        </is>
      </c>
      <c r="P931" s="308" t="inlineStr">
        <is>
          <t>native</t>
        </is>
      </c>
      <c r="Q931" s="308" t="inlineStr"/>
      <c r="R931" s="308" t="inlineStr">
        <is>
          <t>native text sufficient</t>
        </is>
      </c>
      <c r="S931" s="308" t="inlineStr"/>
      <c r="T931" s="308" t="inlineStr">
        <is>
          <t>p28:native:205</t>
        </is>
      </c>
      <c r="U931" s="308" t="n">
        <v>1</v>
      </c>
    </row>
    <row r="932">
      <c r="A932" s="308" t="inlineStr">
        <is>
          <t>Missing in Excel</t>
        </is>
      </c>
      <c r="B932" s="308" t="inlineStr">
        <is>
          <t>DG7700</t>
        </is>
      </c>
      <c r="C932" s="308" t="n">
        <v>28</v>
      </c>
      <c r="D932" s="308" t="inlineStr">
        <is>
          <t>4"-HPS-1A</t>
        </is>
      </c>
      <c r="E932" s="308" t="inlineStr">
        <is>
          <t>HPS</t>
        </is>
      </c>
      <c r="F932" s="308" t="inlineStr">
        <is>
          <t>1A</t>
        </is>
      </c>
      <c r="G932" s="308" t="inlineStr">
        <is>
          <t>line</t>
        </is>
      </c>
      <c r="H932" s="311" t="n">
        <v>0.87</v>
      </c>
      <c r="I932" s="308" t="inlineStr">
        <is>
          <t>Medium</t>
        </is>
      </c>
      <c r="J932" s="308" t="inlineStr">
        <is>
          <t>drawing</t>
        </is>
      </c>
      <c r="K932" s="308" t="inlineStr">
        <is>
          <t>line:size-prefix</t>
        </is>
      </c>
      <c r="L932" s="308" t="inlineStr">
        <is>
          <t>drawing zone; process page; mapped sheet; repeated x20</t>
        </is>
      </c>
      <c r="M932" s="308" t="inlineStr">
        <is>
          <t>FE-101 3"x4"4"-HPS-1A</t>
        </is>
      </c>
      <c r="N932" s="308" t="inlineStr">
        <is>
          <t>native</t>
        </is>
      </c>
      <c r="O932" s="308" t="inlineStr">
        <is>
          <t>native-only</t>
        </is>
      </c>
      <c r="P932" s="308" t="inlineStr">
        <is>
          <t>native</t>
        </is>
      </c>
      <c r="Q932" s="308" t="inlineStr"/>
      <c r="R932" s="308" t="inlineStr">
        <is>
          <t>native text sufficient</t>
        </is>
      </c>
      <c r="S932" s="308" t="inlineStr"/>
      <c r="T932" s="308" t="inlineStr">
        <is>
          <t>p28:native:159, p28:native:207, p28:native:205</t>
        </is>
      </c>
      <c r="U932" s="308" t="n">
        <v>3</v>
      </c>
    </row>
    <row r="933">
      <c r="A933" s="308" t="inlineStr">
        <is>
          <t>Missing in Excel</t>
        </is>
      </c>
      <c r="B933" s="308" t="inlineStr">
        <is>
          <t>DG7700</t>
        </is>
      </c>
      <c r="C933" s="308" t="n">
        <v>28</v>
      </c>
      <c r="D933" s="308" t="inlineStr">
        <is>
          <t>4"-HPS-1A</t>
        </is>
      </c>
      <c r="E933" s="308" t="inlineStr">
        <is>
          <t>HPS</t>
        </is>
      </c>
      <c r="F933" s="308" t="inlineStr">
        <is>
          <t>1A</t>
        </is>
      </c>
      <c r="G933" s="308" t="inlineStr">
        <is>
          <t>line</t>
        </is>
      </c>
      <c r="H933" s="311" t="n">
        <v>0.87</v>
      </c>
      <c r="I933" s="308" t="inlineStr">
        <is>
          <t>Medium</t>
        </is>
      </c>
      <c r="J933" s="308" t="inlineStr">
        <is>
          <t>drawing</t>
        </is>
      </c>
      <c r="K933" s="308" t="inlineStr">
        <is>
          <t>line:size-prefix</t>
        </is>
      </c>
      <c r="L933" s="308" t="inlineStr">
        <is>
          <t>drawing zone; process page; mapped sheet; repeated x20</t>
        </is>
      </c>
      <c r="M933" s="308" t="inlineStr">
        <is>
          <t>3"x4"4"-HPS-1A</t>
        </is>
      </c>
      <c r="N933" s="308" t="inlineStr">
        <is>
          <t>native</t>
        </is>
      </c>
      <c r="O933" s="308" t="inlineStr">
        <is>
          <t>native-only</t>
        </is>
      </c>
      <c r="P933" s="308" t="inlineStr">
        <is>
          <t>native</t>
        </is>
      </c>
      <c r="Q933" s="308" t="inlineStr"/>
      <c r="R933" s="308" t="inlineStr">
        <is>
          <t>native text sufficient</t>
        </is>
      </c>
      <c r="S933" s="308" t="inlineStr"/>
      <c r="T933" s="308" t="inlineStr">
        <is>
          <t>p28:native:207, p28:native:205</t>
        </is>
      </c>
      <c r="U933" s="308" t="n">
        <v>2</v>
      </c>
    </row>
    <row r="934">
      <c r="A934" s="308" t="inlineStr">
        <is>
          <t>Missing in Excel</t>
        </is>
      </c>
      <c r="B934" s="308" t="inlineStr">
        <is>
          <t>DG7700</t>
        </is>
      </c>
      <c r="C934" s="308" t="n">
        <v>28</v>
      </c>
      <c r="D934" s="308" t="inlineStr">
        <is>
          <t>4"-HPS-1A</t>
        </is>
      </c>
      <c r="E934" s="308" t="inlineStr">
        <is>
          <t>HPS</t>
        </is>
      </c>
      <c r="F934" s="308" t="inlineStr">
        <is>
          <t>1A</t>
        </is>
      </c>
      <c r="G934" s="308" t="inlineStr">
        <is>
          <t>line</t>
        </is>
      </c>
      <c r="H934" s="311" t="n">
        <v>0.87</v>
      </c>
      <c r="I934" s="308" t="inlineStr">
        <is>
          <t>Medium</t>
        </is>
      </c>
      <c r="J934" s="308" t="inlineStr">
        <is>
          <t>drawing</t>
        </is>
      </c>
      <c r="K934" s="308" t="inlineStr">
        <is>
          <t>line:size-prefix</t>
        </is>
      </c>
      <c r="L934" s="308" t="inlineStr">
        <is>
          <t>drawing zone; process page; mapped sheet; repeated x20</t>
        </is>
      </c>
      <c r="M934" s="308" t="inlineStr">
        <is>
          <t>HV 4"-HPS-1A</t>
        </is>
      </c>
      <c r="N934" s="308" t="inlineStr">
        <is>
          <t>native</t>
        </is>
      </c>
      <c r="O934" s="308" t="inlineStr">
        <is>
          <t>native-only</t>
        </is>
      </c>
      <c r="P934" s="308" t="inlineStr">
        <is>
          <t>native</t>
        </is>
      </c>
      <c r="Q934" s="308" t="inlineStr"/>
      <c r="R934" s="308" t="inlineStr">
        <is>
          <t>native text sufficient</t>
        </is>
      </c>
      <c r="S934" s="308" t="inlineStr"/>
      <c r="T934" s="308" t="inlineStr">
        <is>
          <t>p28:native:216, p28:native:193</t>
        </is>
      </c>
      <c r="U934" s="308" t="n">
        <v>2</v>
      </c>
    </row>
    <row r="935">
      <c r="A935" s="308" t="inlineStr">
        <is>
          <t>Missing in Excel</t>
        </is>
      </c>
      <c r="B935" s="308" t="inlineStr">
        <is>
          <t>DG7700</t>
        </is>
      </c>
      <c r="C935" s="308" t="n">
        <v>28</v>
      </c>
      <c r="D935" s="308" t="inlineStr">
        <is>
          <t>4"-HPS-1A</t>
        </is>
      </c>
      <c r="E935" s="308" t="inlineStr">
        <is>
          <t>HPS</t>
        </is>
      </c>
      <c r="F935" s="308" t="inlineStr">
        <is>
          <t>1A</t>
        </is>
      </c>
      <c r="G935" s="308" t="inlineStr">
        <is>
          <t>line</t>
        </is>
      </c>
      <c r="H935" s="311" t="n">
        <v>0.87</v>
      </c>
      <c r="I935" s="308" t="inlineStr">
        <is>
          <t>Medium</t>
        </is>
      </c>
      <c r="J935" s="308" t="inlineStr">
        <is>
          <t>drawing</t>
        </is>
      </c>
      <c r="K935" s="308" t="inlineStr">
        <is>
          <t>line:size-prefix</t>
        </is>
      </c>
      <c r="L935" s="308" t="inlineStr">
        <is>
          <t>drawing zone; process page; mapped sheet; repeated x20</t>
        </is>
      </c>
      <c r="M935" s="308" t="inlineStr">
        <is>
          <t>FE-101 3"x4"4"-HPS-1A</t>
        </is>
      </c>
      <c r="N935" s="308" t="inlineStr">
        <is>
          <t>native</t>
        </is>
      </c>
      <c r="O935" s="308" t="inlineStr">
        <is>
          <t>native-only</t>
        </is>
      </c>
      <c r="P935" s="308" t="inlineStr">
        <is>
          <t>native</t>
        </is>
      </c>
      <c r="Q935" s="308" t="inlineStr"/>
      <c r="R935" s="308" t="inlineStr">
        <is>
          <t>native text sufficient</t>
        </is>
      </c>
      <c r="S935" s="308" t="inlineStr"/>
      <c r="T935" s="308" t="inlineStr">
        <is>
          <t>p28:native:106, p28:native:154, p28:native:152</t>
        </is>
      </c>
      <c r="U935" s="308" t="n">
        <v>3</v>
      </c>
    </row>
    <row r="936">
      <c r="A936" s="308" t="inlineStr">
        <is>
          <t>Missing in Excel</t>
        </is>
      </c>
      <c r="B936" s="308" t="inlineStr">
        <is>
          <t>DG7700</t>
        </is>
      </c>
      <c r="C936" s="308" t="n">
        <v>28</v>
      </c>
      <c r="D936" s="308" t="inlineStr">
        <is>
          <t>4"-HPS-1A</t>
        </is>
      </c>
      <c r="E936" s="308" t="inlineStr">
        <is>
          <t>HPS</t>
        </is>
      </c>
      <c r="F936" s="308" t="inlineStr">
        <is>
          <t>1A</t>
        </is>
      </c>
      <c r="G936" s="308" t="inlineStr">
        <is>
          <t>line</t>
        </is>
      </c>
      <c r="H936" s="311" t="n">
        <v>0.87</v>
      </c>
      <c r="I936" s="308" t="inlineStr">
        <is>
          <t>Medium</t>
        </is>
      </c>
      <c r="J936" s="308" t="inlineStr">
        <is>
          <t>drawing</t>
        </is>
      </c>
      <c r="K936" s="308" t="inlineStr">
        <is>
          <t>line:size-prefix</t>
        </is>
      </c>
      <c r="L936" s="308" t="inlineStr">
        <is>
          <t>drawing zone; process page; mapped sheet; repeated x20</t>
        </is>
      </c>
      <c r="M936" s="308" t="inlineStr">
        <is>
          <t>3"x4"4"-HPS-1A</t>
        </is>
      </c>
      <c r="N936" s="308" t="inlineStr">
        <is>
          <t>native</t>
        </is>
      </c>
      <c r="O936" s="308" t="inlineStr">
        <is>
          <t>native-only</t>
        </is>
      </c>
      <c r="P936" s="308" t="inlineStr">
        <is>
          <t>native</t>
        </is>
      </c>
      <c r="Q936" s="308" t="inlineStr"/>
      <c r="R936" s="308" t="inlineStr">
        <is>
          <t>native text sufficient</t>
        </is>
      </c>
      <c r="S936" s="308" t="inlineStr"/>
      <c r="T936" s="308" t="inlineStr">
        <is>
          <t>p28:native:154, p28:native:152</t>
        </is>
      </c>
      <c r="U936" s="308" t="n">
        <v>2</v>
      </c>
    </row>
    <row r="937">
      <c r="A937" s="308" t="inlineStr">
        <is>
          <t>Missing in Excel</t>
        </is>
      </c>
      <c r="B937" s="308" t="inlineStr">
        <is>
          <t>DG7700</t>
        </is>
      </c>
      <c r="C937" s="308" t="n">
        <v>28</v>
      </c>
      <c r="D937" s="308" t="inlineStr">
        <is>
          <t>4"-HPS-1A</t>
        </is>
      </c>
      <c r="E937" s="308" t="inlineStr">
        <is>
          <t>HPS</t>
        </is>
      </c>
      <c r="F937" s="308" t="inlineStr">
        <is>
          <t>1A</t>
        </is>
      </c>
      <c r="G937" s="308" t="inlineStr">
        <is>
          <t>line</t>
        </is>
      </c>
      <c r="H937" s="311" t="n">
        <v>0.87</v>
      </c>
      <c r="I937" s="308" t="inlineStr">
        <is>
          <t>Medium</t>
        </is>
      </c>
      <c r="J937" s="308" t="inlineStr">
        <is>
          <t>drawing</t>
        </is>
      </c>
      <c r="K937" s="308" t="inlineStr">
        <is>
          <t>line:size-prefix</t>
        </is>
      </c>
      <c r="L937" s="308" t="inlineStr">
        <is>
          <t>drawing zone; process page; mapped sheet; repeated x20</t>
        </is>
      </c>
      <c r="M937" s="308" t="inlineStr">
        <is>
          <t>HV 4"-HPS-1A</t>
        </is>
      </c>
      <c r="N937" s="308" t="inlineStr">
        <is>
          <t>native</t>
        </is>
      </c>
      <c r="O937" s="308" t="inlineStr">
        <is>
          <t>native-only</t>
        </is>
      </c>
      <c r="P937" s="308" t="inlineStr">
        <is>
          <t>native</t>
        </is>
      </c>
      <c r="Q937" s="308" t="inlineStr"/>
      <c r="R937" s="308" t="inlineStr">
        <is>
          <t>native text sufficient</t>
        </is>
      </c>
      <c r="S937" s="308" t="inlineStr"/>
      <c r="T937" s="308" t="inlineStr">
        <is>
          <t>p28:native:300, p28:native:140</t>
        </is>
      </c>
      <c r="U937" s="308" t="n">
        <v>2</v>
      </c>
    </row>
    <row r="938">
      <c r="A938" s="308" t="inlineStr">
        <is>
          <t>Missing in Excel</t>
        </is>
      </c>
      <c r="B938" s="308" t="inlineStr">
        <is>
          <t>DG7700</t>
        </is>
      </c>
      <c r="C938" s="308" t="n">
        <v>28</v>
      </c>
      <c r="D938" s="308" t="inlineStr">
        <is>
          <t>6"-HPS-1A</t>
        </is>
      </c>
      <c r="E938" s="308" t="inlineStr">
        <is>
          <t>HPS</t>
        </is>
      </c>
      <c r="F938" s="308" t="inlineStr">
        <is>
          <t>1A</t>
        </is>
      </c>
      <c r="G938" s="308" t="inlineStr">
        <is>
          <t>line</t>
        </is>
      </c>
      <c r="H938" s="311" t="n">
        <v>0.845</v>
      </c>
      <c r="I938" s="308" t="inlineStr">
        <is>
          <t>Medium</t>
        </is>
      </c>
      <c r="J938" s="308" t="inlineStr">
        <is>
          <t>drawing</t>
        </is>
      </c>
      <c r="K938" s="308" t="inlineStr">
        <is>
          <t>line:size-prefix</t>
        </is>
      </c>
      <c r="L938" s="308" t="inlineStr">
        <is>
          <t>drawing zone; process page; mapped sheet; repeated x3</t>
        </is>
      </c>
      <c r="M938" s="308" t="inlineStr">
        <is>
          <t>6"-HPS-1A</t>
        </is>
      </c>
      <c r="N938" s="308" t="inlineStr">
        <is>
          <t>native</t>
        </is>
      </c>
      <c r="O938" s="308" t="inlineStr">
        <is>
          <t>native-only</t>
        </is>
      </c>
      <c r="P938" s="308" t="inlineStr">
        <is>
          <t>native</t>
        </is>
      </c>
      <c r="Q938" s="308" t="inlineStr"/>
      <c r="R938" s="308" t="inlineStr">
        <is>
          <t>native text sufficient</t>
        </is>
      </c>
      <c r="S938" s="308" t="inlineStr"/>
      <c r="T938" s="308" t="inlineStr">
        <is>
          <t>p28:native:0</t>
        </is>
      </c>
      <c r="U938" s="308" t="n">
        <v>1</v>
      </c>
    </row>
    <row r="939">
      <c r="A939" s="308" t="inlineStr">
        <is>
          <t>Missing in Excel</t>
        </is>
      </c>
      <c r="B939" s="308" t="inlineStr">
        <is>
          <t>DG7700</t>
        </is>
      </c>
      <c r="C939" s="308" t="n">
        <v>28</v>
      </c>
      <c r="D939" s="308" t="inlineStr">
        <is>
          <t>6"-HPS-1A</t>
        </is>
      </c>
      <c r="E939" s="308" t="inlineStr">
        <is>
          <t>HPS</t>
        </is>
      </c>
      <c r="F939" s="308" t="inlineStr">
        <is>
          <t>1A</t>
        </is>
      </c>
      <c r="G939" s="308" t="inlineStr">
        <is>
          <t>line</t>
        </is>
      </c>
      <c r="H939" s="311" t="n">
        <v>0.845</v>
      </c>
      <c r="I939" s="308" t="inlineStr">
        <is>
          <t>Medium</t>
        </is>
      </c>
      <c r="J939" s="308" t="inlineStr">
        <is>
          <t>drawing</t>
        </is>
      </c>
      <c r="K939" s="308" t="inlineStr">
        <is>
          <t>line:size-prefix</t>
        </is>
      </c>
      <c r="L939" s="308" t="inlineStr">
        <is>
          <t>drawing zone; process page; mapped sheet; repeated x3</t>
        </is>
      </c>
      <c r="M939" s="308" t="inlineStr">
        <is>
          <t>6"-HPS-1A</t>
        </is>
      </c>
      <c r="N939" s="308" t="inlineStr">
        <is>
          <t>native</t>
        </is>
      </c>
      <c r="O939" s="308" t="inlineStr">
        <is>
          <t>native-only</t>
        </is>
      </c>
      <c r="P939" s="308" t="inlineStr">
        <is>
          <t>native</t>
        </is>
      </c>
      <c r="Q939" s="308" t="inlineStr"/>
      <c r="R939" s="308" t="inlineStr">
        <is>
          <t>native text sufficient</t>
        </is>
      </c>
      <c r="S939" s="308" t="inlineStr"/>
      <c r="T939" s="308" t="inlineStr">
        <is>
          <t>p28:native:408</t>
        </is>
      </c>
      <c r="U939" s="308" t="n">
        <v>1</v>
      </c>
    </row>
    <row r="940">
      <c r="A940" s="308" t="inlineStr">
        <is>
          <t>Missing in Excel</t>
        </is>
      </c>
      <c r="B940" s="308" t="inlineStr">
        <is>
          <t>DG7700</t>
        </is>
      </c>
      <c r="C940" s="308" t="n">
        <v>28</v>
      </c>
      <c r="D940" s="308" t="inlineStr">
        <is>
          <t>6"-HPS-1A</t>
        </is>
      </c>
      <c r="E940" s="308" t="inlineStr">
        <is>
          <t>HPS</t>
        </is>
      </c>
      <c r="F940" s="308" t="inlineStr">
        <is>
          <t>1A</t>
        </is>
      </c>
      <c r="G940" s="308" t="inlineStr">
        <is>
          <t>line</t>
        </is>
      </c>
      <c r="H940" s="311" t="n">
        <v>0.845</v>
      </c>
      <c r="I940" s="308" t="inlineStr">
        <is>
          <t>Medium</t>
        </is>
      </c>
      <c r="J940" s="308" t="inlineStr">
        <is>
          <t>drawing</t>
        </is>
      </c>
      <c r="K940" s="308" t="inlineStr">
        <is>
          <t>line:size-prefix</t>
        </is>
      </c>
      <c r="L940" s="308" t="inlineStr">
        <is>
          <t>drawing zone; process page; mapped sheet; repeated x3</t>
        </is>
      </c>
      <c r="M940" s="308" t="inlineStr">
        <is>
          <t>6"-HPS-1A RL7</t>
        </is>
      </c>
      <c r="N940" s="308" t="inlineStr">
        <is>
          <t>native</t>
        </is>
      </c>
      <c r="O940" s="308" t="inlineStr">
        <is>
          <t>native-only</t>
        </is>
      </c>
      <c r="P940" s="308" t="inlineStr">
        <is>
          <t>native</t>
        </is>
      </c>
      <c r="Q940" s="308" t="inlineStr"/>
      <c r="R940" s="308" t="inlineStr">
        <is>
          <t>native text sufficient</t>
        </is>
      </c>
      <c r="S940" s="308" t="inlineStr"/>
      <c r="T940" s="308" t="inlineStr">
        <is>
          <t>p28:native:408, p28:native:411</t>
        </is>
      </c>
      <c r="U940" s="308" t="n">
        <v>2</v>
      </c>
    </row>
    <row r="941">
      <c r="A941" s="308" t="inlineStr">
        <is>
          <t>Missing in Excel</t>
        </is>
      </c>
      <c r="B941" s="308" t="inlineStr">
        <is>
          <t>DG7700</t>
        </is>
      </c>
      <c r="C941" s="308" t="n">
        <v>28</v>
      </c>
      <c r="D941" s="308" t="inlineStr">
        <is>
          <t>RL7-CKR-101</t>
        </is>
      </c>
      <c r="E941" s="308" t="inlineStr">
        <is>
          <t>RL7-CKR-101</t>
        </is>
      </c>
      <c r="F941" s="308" t="inlineStr"/>
      <c r="G941" s="308" t="inlineStr">
        <is>
          <t>equipment</t>
        </is>
      </c>
      <c r="H941" s="311" t="n">
        <v>0.49</v>
      </c>
      <c r="I941" s="308" t="inlineStr">
        <is>
          <t>Low</t>
        </is>
      </c>
      <c r="J941" s="308" t="inlineStr">
        <is>
          <t>title-block/right</t>
        </is>
      </c>
      <c r="K941" s="308" t="inlineStr">
        <is>
          <t>standalone:asset</t>
        </is>
      </c>
      <c r="L941" s="308" t="inlineStr">
        <is>
          <t>title-block penalty; process page; mapped sheet</t>
        </is>
      </c>
      <c r="M941" s="308" t="inlineStr">
        <is>
          <t>RL7-CKR-101</t>
        </is>
      </c>
      <c r="N941" s="308" t="inlineStr">
        <is>
          <t>native</t>
        </is>
      </c>
      <c r="O941" s="308" t="inlineStr">
        <is>
          <t>native-only</t>
        </is>
      </c>
      <c r="P941" s="308" t="inlineStr">
        <is>
          <t>native</t>
        </is>
      </c>
      <c r="Q941" s="308" t="inlineStr"/>
      <c r="R941" s="308" t="inlineStr">
        <is>
          <t>native text sufficient</t>
        </is>
      </c>
      <c r="S941" s="308" t="inlineStr"/>
      <c r="T941" s="308" t="inlineStr">
        <is>
          <t>p28:native:53</t>
        </is>
      </c>
      <c r="U941" s="308" t="n">
        <v>1</v>
      </c>
    </row>
    <row r="942">
      <c r="A942" s="308" t="inlineStr">
        <is>
          <t>Missing in Excel</t>
        </is>
      </c>
      <c r="B942" s="308" t="inlineStr">
        <is>
          <t>DG7700</t>
        </is>
      </c>
      <c r="C942" s="308" t="n">
        <v>28</v>
      </c>
      <c r="D942" s="308" t="inlineStr">
        <is>
          <t>RL7-CKR-102</t>
        </is>
      </c>
      <c r="E942" s="308" t="inlineStr">
        <is>
          <t>RL7-CKR-102</t>
        </is>
      </c>
      <c r="F942" s="308" t="inlineStr"/>
      <c r="G942" s="308" t="inlineStr">
        <is>
          <t>equipment</t>
        </is>
      </c>
      <c r="H942" s="311" t="n">
        <v>0.49</v>
      </c>
      <c r="I942" s="308" t="inlineStr">
        <is>
          <t>Low</t>
        </is>
      </c>
      <c r="J942" s="308" t="inlineStr">
        <is>
          <t>title-block/right</t>
        </is>
      </c>
      <c r="K942" s="308" t="inlineStr">
        <is>
          <t>standalone:asset</t>
        </is>
      </c>
      <c r="L942" s="308" t="inlineStr">
        <is>
          <t>title-block penalty; process page; mapped sheet</t>
        </is>
      </c>
      <c r="M942" s="308" t="inlineStr">
        <is>
          <t>RL7-CKR-102</t>
        </is>
      </c>
      <c r="N942" s="308" t="inlineStr">
        <is>
          <t>native</t>
        </is>
      </c>
      <c r="O942" s="308" t="inlineStr">
        <is>
          <t>native-only</t>
        </is>
      </c>
      <c r="P942" s="308" t="inlineStr">
        <is>
          <t>native</t>
        </is>
      </c>
      <c r="Q942" s="308" t="inlineStr"/>
      <c r="R942" s="308" t="inlineStr">
        <is>
          <t>native text sufficient</t>
        </is>
      </c>
      <c r="S942" s="308" t="inlineStr"/>
      <c r="T942" s="308" t="inlineStr">
        <is>
          <t>p28:native:49</t>
        </is>
      </c>
      <c r="U942" s="308" t="n">
        <v>1</v>
      </c>
    </row>
    <row r="943">
      <c r="A943" s="308" t="inlineStr">
        <is>
          <t>Missing in Excel</t>
        </is>
      </c>
      <c r="B943" s="308" t="inlineStr">
        <is>
          <t>DG7701</t>
        </is>
      </c>
      <c r="C943" s="308" t="n">
        <v>29</v>
      </c>
      <c r="D943" s="308" t="inlineStr">
        <is>
          <t>RL7-CKR-103-PCV101</t>
        </is>
      </c>
      <c r="E943" s="308" t="inlineStr">
        <is>
          <t>RL7-CKR-103</t>
        </is>
      </c>
      <c r="F943" s="308" t="inlineStr">
        <is>
          <t>PCV101</t>
        </is>
      </c>
      <c r="G943" s="308" t="inlineStr">
        <is>
          <t>instrument</t>
        </is>
      </c>
      <c r="H943" s="311" t="n">
        <v>0.99</v>
      </c>
      <c r="I943" s="308" t="inlineStr">
        <is>
          <t>High</t>
        </is>
      </c>
      <c r="J943" s="308" t="inlineStr">
        <is>
          <t>drawing</t>
        </is>
      </c>
      <c r="K943" s="308" t="inlineStr">
        <is>
          <t>stacked:isa</t>
        </is>
      </c>
      <c r="L943" s="308" t="inlineStr">
        <is>
          <t>drawing zone; process page; mapped sheet</t>
        </is>
      </c>
      <c r="M943" s="308" t="inlineStr">
        <is>
          <t>RL7-CKR-103 / PCV-101</t>
        </is>
      </c>
      <c r="N943" s="308" t="inlineStr">
        <is>
          <t>native</t>
        </is>
      </c>
      <c r="O943" s="308" t="inlineStr">
        <is>
          <t>native-only</t>
        </is>
      </c>
      <c r="P943" s="308" t="inlineStr">
        <is>
          <t>native</t>
        </is>
      </c>
      <c r="Q943" s="308" t="inlineStr"/>
      <c r="R943" s="308" t="inlineStr">
        <is>
          <t>native text sufficient</t>
        </is>
      </c>
      <c r="S943" s="308" t="inlineStr"/>
      <c r="T943" s="308" t="inlineStr">
        <is>
          <t>p29:native:147, p29:native:148</t>
        </is>
      </c>
      <c r="U943" s="308" t="n">
        <v>2</v>
      </c>
    </row>
    <row r="944">
      <c r="A944" s="308" t="inlineStr">
        <is>
          <t>Missing in Excel</t>
        </is>
      </c>
      <c r="B944" s="308" t="inlineStr">
        <is>
          <t>DG7701</t>
        </is>
      </c>
      <c r="C944" s="308" t="n">
        <v>29</v>
      </c>
      <c r="D944" s="308" t="inlineStr">
        <is>
          <t>RL7-CKR-103-CV001</t>
        </is>
      </c>
      <c r="E944" s="308" t="inlineStr">
        <is>
          <t>RL7-CKR-103</t>
        </is>
      </c>
      <c r="F944" s="308" t="inlineStr">
        <is>
          <t>CV001</t>
        </is>
      </c>
      <c r="G944" s="308" t="inlineStr">
        <is>
          <t>instrument</t>
        </is>
      </c>
      <c r="H944" s="311" t="n">
        <v>0.57</v>
      </c>
      <c r="I944" s="308" t="inlineStr">
        <is>
          <t>Low</t>
        </is>
      </c>
      <c r="J944" s="308" t="inlineStr">
        <is>
          <t>drawing</t>
        </is>
      </c>
      <c r="K944" s="308" t="inlineStr">
        <is>
          <t>inferred:bare-isa</t>
        </is>
      </c>
      <c r="L944" s="308" t="inlineStr">
        <is>
          <t>drawing zone; process page; mapped sheet</t>
        </is>
      </c>
      <c r="M944" s="308" t="inlineStr">
        <is>
          <t>RL7-CKR-103 / CV</t>
        </is>
      </c>
      <c r="N944" s="308" t="inlineStr">
        <is>
          <t>native</t>
        </is>
      </c>
      <c r="O944" s="308" t="inlineStr">
        <is>
          <t>native-only</t>
        </is>
      </c>
      <c r="P944" s="308" t="inlineStr">
        <is>
          <t>native</t>
        </is>
      </c>
      <c r="Q944" s="308" t="inlineStr"/>
      <c r="R944" s="308" t="inlineStr">
        <is>
          <t>native text sufficient</t>
        </is>
      </c>
      <c r="S944" s="308" t="inlineStr"/>
      <c r="T944" s="308" t="inlineStr">
        <is>
          <t>p29:native:147, p29:native:224</t>
        </is>
      </c>
      <c r="U944" s="308" t="n">
        <v>2</v>
      </c>
    </row>
    <row r="945">
      <c r="A945" s="308" t="inlineStr">
        <is>
          <t>Missing in Excel</t>
        </is>
      </c>
      <c r="B945" s="308" t="inlineStr">
        <is>
          <t>DG7701</t>
        </is>
      </c>
      <c r="C945" s="308" t="n">
        <v>29</v>
      </c>
      <c r="D945" s="308" t="inlineStr">
        <is>
          <t>RL7-CKR-103-CV002</t>
        </is>
      </c>
      <c r="E945" s="308" t="inlineStr">
        <is>
          <t>RL7-CKR-103</t>
        </is>
      </c>
      <c r="F945" s="308" t="inlineStr">
        <is>
          <t>CV002</t>
        </is>
      </c>
      <c r="G945" s="308" t="inlineStr">
        <is>
          <t>instrument</t>
        </is>
      </c>
      <c r="H945" s="311" t="n">
        <v>0.57</v>
      </c>
      <c r="I945" s="308" t="inlineStr">
        <is>
          <t>Low</t>
        </is>
      </c>
      <c r="J945" s="308" t="inlineStr">
        <is>
          <t>drawing</t>
        </is>
      </c>
      <c r="K945" s="308" t="inlineStr">
        <is>
          <t>inferred:bare-isa</t>
        </is>
      </c>
      <c r="L945" s="308" t="inlineStr">
        <is>
          <t>drawing zone; process page; mapped sheet</t>
        </is>
      </c>
      <c r="M945" s="308" t="inlineStr">
        <is>
          <t>RL7-CKR-103 / CV</t>
        </is>
      </c>
      <c r="N945" s="308" t="inlineStr">
        <is>
          <t>native</t>
        </is>
      </c>
      <c r="O945" s="308" t="inlineStr">
        <is>
          <t>native-only</t>
        </is>
      </c>
      <c r="P945" s="308" t="inlineStr">
        <is>
          <t>native</t>
        </is>
      </c>
      <c r="Q945" s="308" t="inlineStr"/>
      <c r="R945" s="308" t="inlineStr">
        <is>
          <t>native text sufficient</t>
        </is>
      </c>
      <c r="S945" s="308" t="inlineStr"/>
      <c r="T945" s="308" t="inlineStr">
        <is>
          <t>p29:native:106, p29:native:89</t>
        </is>
      </c>
      <c r="U945" s="308" t="n">
        <v>2</v>
      </c>
    </row>
    <row r="946">
      <c r="A946" s="308" t="inlineStr">
        <is>
          <t>Missing in Excel</t>
        </is>
      </c>
      <c r="B946" s="308" t="inlineStr">
        <is>
          <t>DG7701</t>
        </is>
      </c>
      <c r="C946" s="308" t="n">
        <v>29</v>
      </c>
      <c r="D946" s="308" t="inlineStr">
        <is>
          <t>RL7-CKR-103-CV003</t>
        </is>
      </c>
      <c r="E946" s="308" t="inlineStr">
        <is>
          <t>RL7-CKR-103</t>
        </is>
      </c>
      <c r="F946" s="308" t="inlineStr">
        <is>
          <t>CV003</t>
        </is>
      </c>
      <c r="G946" s="308" t="inlineStr">
        <is>
          <t>instrument</t>
        </is>
      </c>
      <c r="H946" s="311" t="n">
        <v>0.57</v>
      </c>
      <c r="I946" s="308" t="inlineStr">
        <is>
          <t>Low</t>
        </is>
      </c>
      <c r="J946" s="308" t="inlineStr">
        <is>
          <t>drawing</t>
        </is>
      </c>
      <c r="K946" s="308" t="inlineStr">
        <is>
          <t>inferred:bare-isa</t>
        </is>
      </c>
      <c r="L946" s="308" t="inlineStr">
        <is>
          <t>drawing zone; process page; mapped sheet</t>
        </is>
      </c>
      <c r="M946" s="308" t="inlineStr">
        <is>
          <t>RL7-CKR-103 / CV</t>
        </is>
      </c>
      <c r="N946" s="308" t="inlineStr">
        <is>
          <t>native</t>
        </is>
      </c>
      <c r="O946" s="308" t="inlineStr">
        <is>
          <t>native-only</t>
        </is>
      </c>
      <c r="P946" s="308" t="inlineStr">
        <is>
          <t>native</t>
        </is>
      </c>
      <c r="Q946" s="308" t="inlineStr"/>
      <c r="R946" s="308" t="inlineStr">
        <is>
          <t>native text sufficient</t>
        </is>
      </c>
      <c r="S946" s="308" t="inlineStr"/>
      <c r="T946" s="308" t="inlineStr">
        <is>
          <t>p29:native:147, p29:native:112</t>
        </is>
      </c>
      <c r="U946" s="308" t="n">
        <v>2</v>
      </c>
    </row>
    <row r="947">
      <c r="A947" s="308" t="inlineStr">
        <is>
          <t>Missing in Excel</t>
        </is>
      </c>
      <c r="B947" s="308" t="inlineStr">
        <is>
          <t>DG7701</t>
        </is>
      </c>
      <c r="C947" s="308" t="n">
        <v>29</v>
      </c>
      <c r="D947" s="308" t="inlineStr">
        <is>
          <t>RL7-CKR-103-HV001</t>
        </is>
      </c>
      <c r="E947" s="308" t="inlineStr">
        <is>
          <t>RL7-CKR-103</t>
        </is>
      </c>
      <c r="F947" s="308" t="inlineStr">
        <is>
          <t>HV001</t>
        </is>
      </c>
      <c r="G947" s="308" t="inlineStr">
        <is>
          <t>instrument</t>
        </is>
      </c>
      <c r="H947" s="311" t="n">
        <v>0.57</v>
      </c>
      <c r="I947" s="308" t="inlineStr">
        <is>
          <t>Low</t>
        </is>
      </c>
      <c r="J947" s="308" t="inlineStr">
        <is>
          <t>drawing</t>
        </is>
      </c>
      <c r="K947" s="308" t="inlineStr">
        <is>
          <t>inferred:bare-isa</t>
        </is>
      </c>
      <c r="L947" s="308" t="inlineStr">
        <is>
          <t>drawing zone; process page; mapped sheet</t>
        </is>
      </c>
      <c r="M947" s="308" t="inlineStr">
        <is>
          <t>RL7-CKR-103 / HV</t>
        </is>
      </c>
      <c r="N947" s="308" t="inlineStr">
        <is>
          <t>native</t>
        </is>
      </c>
      <c r="O947" s="308" t="inlineStr">
        <is>
          <t>native-only</t>
        </is>
      </c>
      <c r="P947" s="308" t="inlineStr">
        <is>
          <t>native</t>
        </is>
      </c>
      <c r="Q947" s="308" t="inlineStr"/>
      <c r="R947" s="308" t="inlineStr">
        <is>
          <t>native text sufficient</t>
        </is>
      </c>
      <c r="S947" s="308" t="inlineStr"/>
      <c r="T947" s="308" t="inlineStr">
        <is>
          <t>p29:native:147, p29:native:202</t>
        </is>
      </c>
      <c r="U947" s="308" t="n">
        <v>2</v>
      </c>
    </row>
    <row r="948">
      <c r="A948" s="308" t="inlineStr">
        <is>
          <t>Missing in Excel</t>
        </is>
      </c>
      <c r="B948" s="308" t="inlineStr">
        <is>
          <t>DG7701</t>
        </is>
      </c>
      <c r="C948" s="308" t="n">
        <v>29</v>
      </c>
      <c r="D948" s="308" t="inlineStr">
        <is>
          <t>RL7-CKR-103-HV002</t>
        </is>
      </c>
      <c r="E948" s="308" t="inlineStr">
        <is>
          <t>RL7-CKR-103</t>
        </is>
      </c>
      <c r="F948" s="308" t="inlineStr">
        <is>
          <t>HV002</t>
        </is>
      </c>
      <c r="G948" s="308" t="inlineStr">
        <is>
          <t>instrument</t>
        </is>
      </c>
      <c r="H948" s="311" t="n">
        <v>0.57</v>
      </c>
      <c r="I948" s="308" t="inlineStr">
        <is>
          <t>Low</t>
        </is>
      </c>
      <c r="J948" s="308" t="inlineStr">
        <is>
          <t>drawing</t>
        </is>
      </c>
      <c r="K948" s="308" t="inlineStr">
        <is>
          <t>inferred:bare-isa</t>
        </is>
      </c>
      <c r="L948" s="308" t="inlineStr">
        <is>
          <t>drawing zone; process page; mapped sheet</t>
        </is>
      </c>
      <c r="M948" s="308" t="inlineStr">
        <is>
          <t>RL7-CKR-103 / HV</t>
        </is>
      </c>
      <c r="N948" s="308" t="inlineStr">
        <is>
          <t>native</t>
        </is>
      </c>
      <c r="O948" s="308" t="inlineStr">
        <is>
          <t>native-only</t>
        </is>
      </c>
      <c r="P948" s="308" t="inlineStr">
        <is>
          <t>native</t>
        </is>
      </c>
      <c r="Q948" s="308" t="inlineStr"/>
      <c r="R948" s="308" t="inlineStr">
        <is>
          <t>native text sufficient</t>
        </is>
      </c>
      <c r="S948" s="308" t="inlineStr"/>
      <c r="T948" s="308" t="inlineStr">
        <is>
          <t>p29:native:147, p29:native:236</t>
        </is>
      </c>
      <c r="U948" s="308" t="n">
        <v>2</v>
      </c>
    </row>
    <row r="949">
      <c r="A949" s="308" t="inlineStr">
        <is>
          <t>Missing in Excel</t>
        </is>
      </c>
      <c r="B949" s="308" t="inlineStr">
        <is>
          <t>DG7701</t>
        </is>
      </c>
      <c r="C949" s="308" t="n">
        <v>29</v>
      </c>
      <c r="D949" s="308" t="inlineStr">
        <is>
          <t>RL7-CKR-103-HV003</t>
        </is>
      </c>
      <c r="E949" s="308" t="inlineStr">
        <is>
          <t>RL7-CKR-103</t>
        </is>
      </c>
      <c r="F949" s="308" t="inlineStr">
        <is>
          <t>HV003</t>
        </is>
      </c>
      <c r="G949" s="308" t="inlineStr">
        <is>
          <t>instrument</t>
        </is>
      </c>
      <c r="H949" s="311" t="n">
        <v>0.57</v>
      </c>
      <c r="I949" s="308" t="inlineStr">
        <is>
          <t>Low</t>
        </is>
      </c>
      <c r="J949" s="308" t="inlineStr">
        <is>
          <t>drawing</t>
        </is>
      </c>
      <c r="K949" s="308" t="inlineStr">
        <is>
          <t>inferred:bare-isa</t>
        </is>
      </c>
      <c r="L949" s="308" t="inlineStr">
        <is>
          <t>drawing zone; process page; mapped sheet</t>
        </is>
      </c>
      <c r="M949" s="308" t="inlineStr">
        <is>
          <t>RL7-CKR-103 / HV</t>
        </is>
      </c>
      <c r="N949" s="308" t="inlineStr">
        <is>
          <t>native</t>
        </is>
      </c>
      <c r="O949" s="308" t="inlineStr">
        <is>
          <t>native-only</t>
        </is>
      </c>
      <c r="P949" s="308" t="inlineStr">
        <is>
          <t>native</t>
        </is>
      </c>
      <c r="Q949" s="308" t="inlineStr"/>
      <c r="R949" s="308" t="inlineStr">
        <is>
          <t>native text sufficient</t>
        </is>
      </c>
      <c r="S949" s="308" t="inlineStr"/>
      <c r="T949" s="308" t="inlineStr">
        <is>
          <t>p29:native:147, p29:native:211</t>
        </is>
      </c>
      <c r="U949" s="308" t="n">
        <v>2</v>
      </c>
    </row>
    <row r="950">
      <c r="A950" s="308" t="inlineStr">
        <is>
          <t>Missing in Excel</t>
        </is>
      </c>
      <c r="B950" s="308" t="inlineStr">
        <is>
          <t>DG7701</t>
        </is>
      </c>
      <c r="C950" s="308" t="n">
        <v>29</v>
      </c>
      <c r="D950" s="308" t="inlineStr">
        <is>
          <t>RL7-CKR-103-HV004</t>
        </is>
      </c>
      <c r="E950" s="308" t="inlineStr">
        <is>
          <t>RL7-CKR-103</t>
        </is>
      </c>
      <c r="F950" s="308" t="inlineStr">
        <is>
          <t>HV004</t>
        </is>
      </c>
      <c r="G950" s="308" t="inlineStr">
        <is>
          <t>instrument</t>
        </is>
      </c>
      <c r="H950" s="311" t="n">
        <v>0.57</v>
      </c>
      <c r="I950" s="308" t="inlineStr">
        <is>
          <t>Low</t>
        </is>
      </c>
      <c r="J950" s="308" t="inlineStr">
        <is>
          <t>drawing</t>
        </is>
      </c>
      <c r="K950" s="308" t="inlineStr">
        <is>
          <t>inferred:bare-isa</t>
        </is>
      </c>
      <c r="L950" s="308" t="inlineStr">
        <is>
          <t>drawing zone; process page; mapped sheet</t>
        </is>
      </c>
      <c r="M950" s="308" t="inlineStr">
        <is>
          <t>RL7-CKR-103 / HV</t>
        </is>
      </c>
      <c r="N950" s="308" t="inlineStr">
        <is>
          <t>native</t>
        </is>
      </c>
      <c r="O950" s="308" t="inlineStr">
        <is>
          <t>native-only</t>
        </is>
      </c>
      <c r="P950" s="308" t="inlineStr">
        <is>
          <t>native</t>
        </is>
      </c>
      <c r="Q950" s="308" t="inlineStr"/>
      <c r="R950" s="308" t="inlineStr">
        <is>
          <t>native text sufficient</t>
        </is>
      </c>
      <c r="S950" s="308" t="inlineStr"/>
      <c r="T950" s="308" t="inlineStr">
        <is>
          <t>p29:native:147, p29:native:30</t>
        </is>
      </c>
      <c r="U950" s="308" t="n">
        <v>2</v>
      </c>
    </row>
    <row r="951">
      <c r="A951" s="308" t="inlineStr">
        <is>
          <t>Missing in Excel</t>
        </is>
      </c>
      <c r="B951" s="308" t="inlineStr">
        <is>
          <t>DG7701</t>
        </is>
      </c>
      <c r="C951" s="308" t="n">
        <v>29</v>
      </c>
      <c r="D951" s="308" t="inlineStr">
        <is>
          <t>RL7-CKR-103-HV005</t>
        </is>
      </c>
      <c r="E951" s="308" t="inlineStr">
        <is>
          <t>RL7-CKR-103</t>
        </is>
      </c>
      <c r="F951" s="308" t="inlineStr">
        <is>
          <t>HV005</t>
        </is>
      </c>
      <c r="G951" s="308" t="inlineStr">
        <is>
          <t>instrument</t>
        </is>
      </c>
      <c r="H951" s="311" t="n">
        <v>0.57</v>
      </c>
      <c r="I951" s="308" t="inlineStr">
        <is>
          <t>Low</t>
        </is>
      </c>
      <c r="J951" s="308" t="inlineStr">
        <is>
          <t>drawing</t>
        </is>
      </c>
      <c r="K951" s="308" t="inlineStr">
        <is>
          <t>inferred:bare-isa</t>
        </is>
      </c>
      <c r="L951" s="308" t="inlineStr">
        <is>
          <t>drawing zone; process page; mapped sheet</t>
        </is>
      </c>
      <c r="M951" s="308" t="inlineStr">
        <is>
          <t>RL7-CKR-103 / HV</t>
        </is>
      </c>
      <c r="N951" s="308" t="inlineStr">
        <is>
          <t>native</t>
        </is>
      </c>
      <c r="O951" s="308" t="inlineStr">
        <is>
          <t>native-only</t>
        </is>
      </c>
      <c r="P951" s="308" t="inlineStr">
        <is>
          <t>native</t>
        </is>
      </c>
      <c r="Q951" s="308" t="inlineStr"/>
      <c r="R951" s="308" t="inlineStr">
        <is>
          <t>native text sufficient</t>
        </is>
      </c>
      <c r="S951" s="308" t="inlineStr"/>
      <c r="T951" s="308" t="inlineStr">
        <is>
          <t>p29:native:147, p29:native:48</t>
        </is>
      </c>
      <c r="U951" s="308" t="n">
        <v>2</v>
      </c>
    </row>
    <row r="952">
      <c r="A952" s="308" t="inlineStr">
        <is>
          <t>Missing in Excel</t>
        </is>
      </c>
      <c r="B952" s="308" t="inlineStr">
        <is>
          <t>DG7701</t>
        </is>
      </c>
      <c r="C952" s="308" t="n">
        <v>29</v>
      </c>
      <c r="D952" s="308" t="inlineStr">
        <is>
          <t>RL7-CKR-103-HV006</t>
        </is>
      </c>
      <c r="E952" s="308" t="inlineStr">
        <is>
          <t>RL7-CKR-103</t>
        </is>
      </c>
      <c r="F952" s="308" t="inlineStr">
        <is>
          <t>HV006</t>
        </is>
      </c>
      <c r="G952" s="308" t="inlineStr">
        <is>
          <t>instrument</t>
        </is>
      </c>
      <c r="H952" s="311" t="n">
        <v>0.57</v>
      </c>
      <c r="I952" s="308" t="inlineStr">
        <is>
          <t>Low</t>
        </is>
      </c>
      <c r="J952" s="308" t="inlineStr">
        <is>
          <t>drawing</t>
        </is>
      </c>
      <c r="K952" s="308" t="inlineStr">
        <is>
          <t>inferred:bare-isa</t>
        </is>
      </c>
      <c r="L952" s="308" t="inlineStr">
        <is>
          <t>drawing zone; process page; mapped sheet</t>
        </is>
      </c>
      <c r="M952" s="308" t="inlineStr">
        <is>
          <t>RL7-CKR-103 / HV</t>
        </is>
      </c>
      <c r="N952" s="308" t="inlineStr">
        <is>
          <t>native</t>
        </is>
      </c>
      <c r="O952" s="308" t="inlineStr">
        <is>
          <t>native-only</t>
        </is>
      </c>
      <c r="P952" s="308" t="inlineStr">
        <is>
          <t>native</t>
        </is>
      </c>
      <c r="Q952" s="308" t="inlineStr"/>
      <c r="R952" s="308" t="inlineStr">
        <is>
          <t>native text sufficient</t>
        </is>
      </c>
      <c r="S952" s="308" t="inlineStr"/>
      <c r="T952" s="308" t="inlineStr">
        <is>
          <t>p29:native:147, p29:native:18</t>
        </is>
      </c>
      <c r="U952" s="308" t="n">
        <v>2</v>
      </c>
    </row>
    <row r="953">
      <c r="A953" s="308" t="inlineStr">
        <is>
          <t>Missing in Excel</t>
        </is>
      </c>
      <c r="B953" s="308" t="inlineStr">
        <is>
          <t>DG7701</t>
        </is>
      </c>
      <c r="C953" s="308" t="n">
        <v>29</v>
      </c>
      <c r="D953" s="308" t="inlineStr">
        <is>
          <t>RL7-CKR-103-HV007</t>
        </is>
      </c>
      <c r="E953" s="308" t="inlineStr">
        <is>
          <t>RL7-CKR-103</t>
        </is>
      </c>
      <c r="F953" s="308" t="inlineStr">
        <is>
          <t>HV007</t>
        </is>
      </c>
      <c r="G953" s="308" t="inlineStr">
        <is>
          <t>instrument</t>
        </is>
      </c>
      <c r="H953" s="311" t="n">
        <v>0.57</v>
      </c>
      <c r="I953" s="308" t="inlineStr">
        <is>
          <t>Low</t>
        </is>
      </c>
      <c r="J953" s="308" t="inlineStr">
        <is>
          <t>drawing</t>
        </is>
      </c>
      <c r="K953" s="308" t="inlineStr">
        <is>
          <t>inferred:bare-isa</t>
        </is>
      </c>
      <c r="L953" s="308" t="inlineStr">
        <is>
          <t>drawing zone; process page; mapped sheet</t>
        </is>
      </c>
      <c r="M953" s="308" t="inlineStr">
        <is>
          <t>RL7-CKR-103 / HV</t>
        </is>
      </c>
      <c r="N953" s="308" t="inlineStr">
        <is>
          <t>native</t>
        </is>
      </c>
      <c r="O953" s="308" t="inlineStr">
        <is>
          <t>native-only</t>
        </is>
      </c>
      <c r="P953" s="308" t="inlineStr">
        <is>
          <t>native</t>
        </is>
      </c>
      <c r="Q953" s="308" t="inlineStr"/>
      <c r="R953" s="308" t="inlineStr">
        <is>
          <t>native text sufficient</t>
        </is>
      </c>
      <c r="S953" s="308" t="inlineStr"/>
      <c r="T953" s="308" t="inlineStr">
        <is>
          <t>p29:native:147, p29:native:24</t>
        </is>
      </c>
      <c r="U953" s="308" t="n">
        <v>2</v>
      </c>
    </row>
    <row r="954">
      <c r="A954" s="308" t="inlineStr">
        <is>
          <t>Missing in Excel</t>
        </is>
      </c>
      <c r="B954" s="308" t="inlineStr">
        <is>
          <t>DG7701</t>
        </is>
      </c>
      <c r="C954" s="308" t="n">
        <v>29</v>
      </c>
      <c r="D954" s="308" t="inlineStr">
        <is>
          <t>RL7-CKR-103-HV008</t>
        </is>
      </c>
      <c r="E954" s="308" t="inlineStr">
        <is>
          <t>RL7-CKR-103</t>
        </is>
      </c>
      <c r="F954" s="308" t="inlineStr">
        <is>
          <t>HV008</t>
        </is>
      </c>
      <c r="G954" s="308" t="inlineStr">
        <is>
          <t>instrument</t>
        </is>
      </c>
      <c r="H954" s="311" t="n">
        <v>0.57</v>
      </c>
      <c r="I954" s="308" t="inlineStr">
        <is>
          <t>Low</t>
        </is>
      </c>
      <c r="J954" s="308" t="inlineStr">
        <is>
          <t>drawing</t>
        </is>
      </c>
      <c r="K954" s="308" t="inlineStr">
        <is>
          <t>inferred:bare-isa</t>
        </is>
      </c>
      <c r="L954" s="308" t="inlineStr">
        <is>
          <t>drawing zone; process page; mapped sheet</t>
        </is>
      </c>
      <c r="M954" s="308" t="inlineStr">
        <is>
          <t>RL7-CKR-103 / HV</t>
        </is>
      </c>
      <c r="N954" s="308" t="inlineStr">
        <is>
          <t>native</t>
        </is>
      </c>
      <c r="O954" s="308" t="inlineStr">
        <is>
          <t>native-only</t>
        </is>
      </c>
      <c r="P954" s="308" t="inlineStr">
        <is>
          <t>native</t>
        </is>
      </c>
      <c r="Q954" s="308" t="inlineStr"/>
      <c r="R954" s="308" t="inlineStr">
        <is>
          <t>native text sufficient</t>
        </is>
      </c>
      <c r="S954" s="308" t="inlineStr"/>
      <c r="T954" s="308" t="inlineStr">
        <is>
          <t>p29:native:106, p29:native:124</t>
        </is>
      </c>
      <c r="U954" s="308" t="n">
        <v>2</v>
      </c>
    </row>
    <row r="955">
      <c r="A955" s="308" t="inlineStr">
        <is>
          <t>Missing in Excel</t>
        </is>
      </c>
      <c r="B955" s="308" t="inlineStr">
        <is>
          <t>DG7701</t>
        </is>
      </c>
      <c r="C955" s="308" t="n">
        <v>29</v>
      </c>
      <c r="D955" s="308" t="inlineStr">
        <is>
          <t>RL7-CKR-103-HV009</t>
        </is>
      </c>
      <c r="E955" s="308" t="inlineStr">
        <is>
          <t>RL7-CKR-103</t>
        </is>
      </c>
      <c r="F955" s="308" t="inlineStr">
        <is>
          <t>HV009</t>
        </is>
      </c>
      <c r="G955" s="308" t="inlineStr">
        <is>
          <t>instrument</t>
        </is>
      </c>
      <c r="H955" s="311" t="n">
        <v>0.57</v>
      </c>
      <c r="I955" s="308" t="inlineStr">
        <is>
          <t>Low</t>
        </is>
      </c>
      <c r="J955" s="308" t="inlineStr">
        <is>
          <t>drawing</t>
        </is>
      </c>
      <c r="K955" s="308" t="inlineStr">
        <is>
          <t>inferred:bare-isa</t>
        </is>
      </c>
      <c r="L955" s="308" t="inlineStr">
        <is>
          <t>drawing zone; process page; mapped sheet</t>
        </is>
      </c>
      <c r="M955" s="308" t="inlineStr">
        <is>
          <t>RL7-CKR-103 / HV</t>
        </is>
      </c>
      <c r="N955" s="308" t="inlineStr">
        <is>
          <t>native</t>
        </is>
      </c>
      <c r="O955" s="308" t="inlineStr">
        <is>
          <t>native-only</t>
        </is>
      </c>
      <c r="P955" s="308" t="inlineStr">
        <is>
          <t>native</t>
        </is>
      </c>
      <c r="Q955" s="308" t="inlineStr"/>
      <c r="R955" s="308" t="inlineStr">
        <is>
          <t>native text sufficient</t>
        </is>
      </c>
      <c r="S955" s="308" t="inlineStr"/>
      <c r="T955" s="308" t="inlineStr">
        <is>
          <t>p29:native:106, p29:native:36</t>
        </is>
      </c>
      <c r="U955" s="308" t="n">
        <v>2</v>
      </c>
    </row>
    <row r="956">
      <c r="A956" s="308" t="inlineStr">
        <is>
          <t>Missing in Excel</t>
        </is>
      </c>
      <c r="B956" s="308" t="inlineStr">
        <is>
          <t>DG7701</t>
        </is>
      </c>
      <c r="C956" s="308" t="n">
        <v>29</v>
      </c>
      <c r="D956" s="308" t="inlineStr">
        <is>
          <t>RL7-CKR-103-HV010</t>
        </is>
      </c>
      <c r="E956" s="308" t="inlineStr">
        <is>
          <t>RL7-CKR-103</t>
        </is>
      </c>
      <c r="F956" s="308" t="inlineStr">
        <is>
          <t>HV010</t>
        </is>
      </c>
      <c r="G956" s="308" t="inlineStr">
        <is>
          <t>instrument</t>
        </is>
      </c>
      <c r="H956" s="311" t="n">
        <v>0.57</v>
      </c>
      <c r="I956" s="308" t="inlineStr">
        <is>
          <t>Low</t>
        </is>
      </c>
      <c r="J956" s="308" t="inlineStr">
        <is>
          <t>drawing</t>
        </is>
      </c>
      <c r="K956" s="308" t="inlineStr">
        <is>
          <t>inferred:bare-isa</t>
        </is>
      </c>
      <c r="L956" s="308" t="inlineStr">
        <is>
          <t>drawing zone; process page; mapped sheet</t>
        </is>
      </c>
      <c r="M956" s="308" t="inlineStr">
        <is>
          <t>RL7-CKR-103 / HV</t>
        </is>
      </c>
      <c r="N956" s="308" t="inlineStr">
        <is>
          <t>native</t>
        </is>
      </c>
      <c r="O956" s="308" t="inlineStr">
        <is>
          <t>native-only</t>
        </is>
      </c>
      <c r="P956" s="308" t="inlineStr">
        <is>
          <t>native</t>
        </is>
      </c>
      <c r="Q956" s="308" t="inlineStr"/>
      <c r="R956" s="308" t="inlineStr">
        <is>
          <t>native text sufficient</t>
        </is>
      </c>
      <c r="S956" s="308" t="inlineStr"/>
      <c r="T956" s="308" t="inlineStr">
        <is>
          <t>p29:native:147, p29:native:82</t>
        </is>
      </c>
      <c r="U956" s="308" t="n">
        <v>2</v>
      </c>
    </row>
    <row r="957">
      <c r="A957" s="308" t="inlineStr">
        <is>
          <t>Missing in Excel</t>
        </is>
      </c>
      <c r="B957" s="308" t="inlineStr">
        <is>
          <t>DG7701</t>
        </is>
      </c>
      <c r="C957" s="308" t="n">
        <v>29</v>
      </c>
      <c r="D957" s="308" t="inlineStr">
        <is>
          <t>RL7-CKR-103-HV011</t>
        </is>
      </c>
      <c r="E957" s="308" t="inlineStr">
        <is>
          <t>RL7-CKR-103</t>
        </is>
      </c>
      <c r="F957" s="308" t="inlineStr">
        <is>
          <t>HV011</t>
        </is>
      </c>
      <c r="G957" s="308" t="inlineStr">
        <is>
          <t>instrument</t>
        </is>
      </c>
      <c r="H957" s="311" t="n">
        <v>0.57</v>
      </c>
      <c r="I957" s="308" t="inlineStr">
        <is>
          <t>Low</t>
        </is>
      </c>
      <c r="J957" s="308" t="inlineStr">
        <is>
          <t>drawing</t>
        </is>
      </c>
      <c r="K957" s="308" t="inlineStr">
        <is>
          <t>inferred:bare-isa</t>
        </is>
      </c>
      <c r="L957" s="308" t="inlineStr">
        <is>
          <t>drawing zone; process page; mapped sheet</t>
        </is>
      </c>
      <c r="M957" s="308" t="inlineStr">
        <is>
          <t>RL7-CKR-103 / HV</t>
        </is>
      </c>
      <c r="N957" s="308" t="inlineStr">
        <is>
          <t>native</t>
        </is>
      </c>
      <c r="O957" s="308" t="inlineStr">
        <is>
          <t>native-only</t>
        </is>
      </c>
      <c r="P957" s="308" t="inlineStr">
        <is>
          <t>native</t>
        </is>
      </c>
      <c r="Q957" s="308" t="inlineStr"/>
      <c r="R957" s="308" t="inlineStr">
        <is>
          <t>native text sufficient</t>
        </is>
      </c>
      <c r="S957" s="308" t="inlineStr"/>
      <c r="T957" s="308" t="inlineStr">
        <is>
          <t>p29:native:106, p29:native:101</t>
        </is>
      </c>
      <c r="U957" s="308" t="n">
        <v>2</v>
      </c>
    </row>
    <row r="958">
      <c r="A958" s="308" t="inlineStr">
        <is>
          <t>Missing in Excel</t>
        </is>
      </c>
      <c r="B958" s="308" t="inlineStr">
        <is>
          <t>DG7701</t>
        </is>
      </c>
      <c r="C958" s="308" t="n">
        <v>29</v>
      </c>
      <c r="D958" s="308" t="inlineStr">
        <is>
          <t>RL7-CKR-103-HV012</t>
        </is>
      </c>
      <c r="E958" s="308" t="inlineStr">
        <is>
          <t>RL7-CKR-103</t>
        </is>
      </c>
      <c r="F958" s="308" t="inlineStr">
        <is>
          <t>HV012</t>
        </is>
      </c>
      <c r="G958" s="308" t="inlineStr">
        <is>
          <t>instrument</t>
        </is>
      </c>
      <c r="H958" s="311" t="n">
        <v>0.57</v>
      </c>
      <c r="I958" s="308" t="inlineStr">
        <is>
          <t>Low</t>
        </is>
      </c>
      <c r="J958" s="308" t="inlineStr">
        <is>
          <t>drawing</t>
        </is>
      </c>
      <c r="K958" s="308" t="inlineStr">
        <is>
          <t>inferred:bare-isa</t>
        </is>
      </c>
      <c r="L958" s="308" t="inlineStr">
        <is>
          <t>drawing zone; process page; mapped sheet</t>
        </is>
      </c>
      <c r="M958" s="308" t="inlineStr">
        <is>
          <t>RL7-CKR-103 / HV</t>
        </is>
      </c>
      <c r="N958" s="308" t="inlineStr">
        <is>
          <t>native</t>
        </is>
      </c>
      <c r="O958" s="308" t="inlineStr">
        <is>
          <t>native-only</t>
        </is>
      </c>
      <c r="P958" s="308" t="inlineStr">
        <is>
          <t>native</t>
        </is>
      </c>
      <c r="Q958" s="308" t="inlineStr"/>
      <c r="R958" s="308" t="inlineStr">
        <is>
          <t>native text sufficient</t>
        </is>
      </c>
      <c r="S958" s="308" t="inlineStr"/>
      <c r="T958" s="308" t="inlineStr">
        <is>
          <t>p29:native:147, p29:native:177</t>
        </is>
      </c>
      <c r="U958" s="308" t="n">
        <v>2</v>
      </c>
    </row>
    <row r="959">
      <c r="A959" s="308" t="inlineStr">
        <is>
          <t>Missing in Excel</t>
        </is>
      </c>
      <c r="B959" s="308" t="inlineStr">
        <is>
          <t>DG7701</t>
        </is>
      </c>
      <c r="C959" s="308" t="n">
        <v>29</v>
      </c>
      <c r="D959" s="308" t="inlineStr">
        <is>
          <t>RL7-CKR-103-HV013</t>
        </is>
      </c>
      <c r="E959" s="308" t="inlineStr">
        <is>
          <t>RL7-CKR-103</t>
        </is>
      </c>
      <c r="F959" s="308" t="inlineStr">
        <is>
          <t>HV013</t>
        </is>
      </c>
      <c r="G959" s="308" t="inlineStr">
        <is>
          <t>instrument</t>
        </is>
      </c>
      <c r="H959" s="311" t="n">
        <v>0.57</v>
      </c>
      <c r="I959" s="308" t="inlineStr">
        <is>
          <t>Low</t>
        </is>
      </c>
      <c r="J959" s="308" t="inlineStr">
        <is>
          <t>drawing</t>
        </is>
      </c>
      <c r="K959" s="308" t="inlineStr">
        <is>
          <t>inferred:bare-isa</t>
        </is>
      </c>
      <c r="L959" s="308" t="inlineStr">
        <is>
          <t>drawing zone; process page; mapped sheet</t>
        </is>
      </c>
      <c r="M959" s="308" t="inlineStr">
        <is>
          <t>RL7-CKR-103 / HV</t>
        </is>
      </c>
      <c r="N959" s="308" t="inlineStr">
        <is>
          <t>native</t>
        </is>
      </c>
      <c r="O959" s="308" t="inlineStr">
        <is>
          <t>native-only</t>
        </is>
      </c>
      <c r="P959" s="308" t="inlineStr">
        <is>
          <t>native</t>
        </is>
      </c>
      <c r="Q959" s="308" t="inlineStr"/>
      <c r="R959" s="308" t="inlineStr">
        <is>
          <t>native text sufficient</t>
        </is>
      </c>
      <c r="S959" s="308" t="inlineStr"/>
      <c r="T959" s="308" t="inlineStr">
        <is>
          <t>p29:native:147, p29:native:130</t>
        </is>
      </c>
      <c r="U959" s="308" t="n">
        <v>2</v>
      </c>
    </row>
    <row r="960">
      <c r="A960" s="308" t="inlineStr">
        <is>
          <t>Missing in Excel</t>
        </is>
      </c>
      <c r="B960" s="308" t="inlineStr">
        <is>
          <t>DG7701</t>
        </is>
      </c>
      <c r="C960" s="308" t="n">
        <v>29</v>
      </c>
      <c r="D960" s="308" t="inlineStr">
        <is>
          <t>RL7-CKR-103-HV014</t>
        </is>
      </c>
      <c r="E960" s="308" t="inlineStr">
        <is>
          <t>RL7-CKR-103</t>
        </is>
      </c>
      <c r="F960" s="308" t="inlineStr">
        <is>
          <t>HV014</t>
        </is>
      </c>
      <c r="G960" s="308" t="inlineStr">
        <is>
          <t>instrument</t>
        </is>
      </c>
      <c r="H960" s="311" t="n">
        <v>0.57</v>
      </c>
      <c r="I960" s="308" t="inlineStr">
        <is>
          <t>Low</t>
        </is>
      </c>
      <c r="J960" s="308" t="inlineStr">
        <is>
          <t>drawing</t>
        </is>
      </c>
      <c r="K960" s="308" t="inlineStr">
        <is>
          <t>inferred:bare-isa</t>
        </is>
      </c>
      <c r="L960" s="308" t="inlineStr">
        <is>
          <t>drawing zone; process page; mapped sheet</t>
        </is>
      </c>
      <c r="M960" s="308" t="inlineStr">
        <is>
          <t>RL7-CKR-103 / HV</t>
        </is>
      </c>
      <c r="N960" s="308" t="inlineStr">
        <is>
          <t>native</t>
        </is>
      </c>
      <c r="O960" s="308" t="inlineStr">
        <is>
          <t>native-only</t>
        </is>
      </c>
      <c r="P960" s="308" t="inlineStr">
        <is>
          <t>native</t>
        </is>
      </c>
      <c r="Q960" s="308" t="inlineStr"/>
      <c r="R960" s="308" t="inlineStr">
        <is>
          <t>native text sufficient</t>
        </is>
      </c>
      <c r="S960" s="308" t="inlineStr"/>
      <c r="T960" s="308" t="inlineStr">
        <is>
          <t>p29:native:147, p29:native:70</t>
        </is>
      </c>
      <c r="U960" s="308" t="n">
        <v>2</v>
      </c>
    </row>
    <row r="961">
      <c r="A961" s="308" t="inlineStr">
        <is>
          <t>Missing in Excel</t>
        </is>
      </c>
      <c r="B961" s="308" t="inlineStr">
        <is>
          <t>DG7701</t>
        </is>
      </c>
      <c r="C961" s="308" t="n">
        <v>29</v>
      </c>
      <c r="D961" s="308" t="inlineStr">
        <is>
          <t>RL7-CKR-103-PI001</t>
        </is>
      </c>
      <c r="E961" s="308" t="inlineStr">
        <is>
          <t>RL7-CKR-103</t>
        </is>
      </c>
      <c r="F961" s="308" t="inlineStr">
        <is>
          <t>PI001</t>
        </is>
      </c>
      <c r="G961" s="308" t="inlineStr">
        <is>
          <t>instrument</t>
        </is>
      </c>
      <c r="H961" s="311" t="n">
        <v>0.57</v>
      </c>
      <c r="I961" s="308" t="inlineStr">
        <is>
          <t>Low</t>
        </is>
      </c>
      <c r="J961" s="308" t="inlineStr">
        <is>
          <t>drawing</t>
        </is>
      </c>
      <c r="K961" s="308" t="inlineStr">
        <is>
          <t>inferred:bare-isa</t>
        </is>
      </c>
      <c r="L961" s="308" t="inlineStr">
        <is>
          <t>drawing zone; process page; mapped sheet</t>
        </is>
      </c>
      <c r="M961" s="308" t="inlineStr">
        <is>
          <t>RL7-CKR-103 / PI</t>
        </is>
      </c>
      <c r="N961" s="308" t="inlineStr">
        <is>
          <t>native</t>
        </is>
      </c>
      <c r="O961" s="308" t="inlineStr">
        <is>
          <t>native-only</t>
        </is>
      </c>
      <c r="P961" s="308" t="inlineStr">
        <is>
          <t>native</t>
        </is>
      </c>
      <c r="Q961" s="308" t="inlineStr"/>
      <c r="R961" s="308" t="inlineStr">
        <is>
          <t>native text sufficient</t>
        </is>
      </c>
      <c r="S961" s="308" t="inlineStr"/>
      <c r="T961" s="308" t="inlineStr">
        <is>
          <t>p29:native:147, p29:native:42</t>
        </is>
      </c>
      <c r="U961" s="308" t="n">
        <v>2</v>
      </c>
    </row>
    <row r="962">
      <c r="A962" s="308" t="inlineStr">
        <is>
          <t>Missing in Excel</t>
        </is>
      </c>
      <c r="B962" s="308" t="inlineStr">
        <is>
          <t>DG7701</t>
        </is>
      </c>
      <c r="C962" s="308" t="n">
        <v>29</v>
      </c>
      <c r="D962" s="308" t="inlineStr">
        <is>
          <t>RL7-CKR-103-PI002</t>
        </is>
      </c>
      <c r="E962" s="308" t="inlineStr">
        <is>
          <t>RL7-CKR-103</t>
        </is>
      </c>
      <c r="F962" s="308" t="inlineStr">
        <is>
          <t>PI002</t>
        </is>
      </c>
      <c r="G962" s="308" t="inlineStr">
        <is>
          <t>instrument</t>
        </is>
      </c>
      <c r="H962" s="311" t="n">
        <v>0.57</v>
      </c>
      <c r="I962" s="308" t="inlineStr">
        <is>
          <t>Low</t>
        </is>
      </c>
      <c r="J962" s="308" t="inlineStr">
        <is>
          <t>drawing</t>
        </is>
      </c>
      <c r="K962" s="308" t="inlineStr">
        <is>
          <t>inferred:bare-isa</t>
        </is>
      </c>
      <c r="L962" s="308" t="inlineStr">
        <is>
          <t>drawing zone; process page; mapped sheet</t>
        </is>
      </c>
      <c r="M962" s="308" t="inlineStr">
        <is>
          <t>RL7-CKR-103 / PI</t>
        </is>
      </c>
      <c r="N962" s="308" t="inlineStr">
        <is>
          <t>native</t>
        </is>
      </c>
      <c r="O962" s="308" t="inlineStr">
        <is>
          <t>native-only</t>
        </is>
      </c>
      <c r="P962" s="308" t="inlineStr">
        <is>
          <t>native</t>
        </is>
      </c>
      <c r="Q962" s="308" t="inlineStr"/>
      <c r="R962" s="308" t="inlineStr">
        <is>
          <t>native text sufficient</t>
        </is>
      </c>
      <c r="S962" s="308" t="inlineStr"/>
      <c r="T962" s="308" t="inlineStr">
        <is>
          <t>p29:native:106, p29:native:156</t>
        </is>
      </c>
      <c r="U962" s="308" t="n">
        <v>2</v>
      </c>
    </row>
    <row r="963">
      <c r="A963" s="308" t="inlineStr">
        <is>
          <t>Missing in Excel</t>
        </is>
      </c>
      <c r="B963" s="308" t="inlineStr">
        <is>
          <t>DG7701</t>
        </is>
      </c>
      <c r="C963" s="308" t="n">
        <v>29</v>
      </c>
      <c r="D963" s="308" t="inlineStr">
        <is>
          <t>RL7-CKR-103-PI003</t>
        </is>
      </c>
      <c r="E963" s="308" t="inlineStr">
        <is>
          <t>RL7-CKR-103</t>
        </is>
      </c>
      <c r="F963" s="308" t="inlineStr">
        <is>
          <t>PI003</t>
        </is>
      </c>
      <c r="G963" s="308" t="inlineStr">
        <is>
          <t>instrument</t>
        </is>
      </c>
      <c r="H963" s="311" t="n">
        <v>0.57</v>
      </c>
      <c r="I963" s="308" t="inlineStr">
        <is>
          <t>Low</t>
        </is>
      </c>
      <c r="J963" s="308" t="inlineStr">
        <is>
          <t>drawing</t>
        </is>
      </c>
      <c r="K963" s="308" t="inlineStr">
        <is>
          <t>inferred:bare-isa</t>
        </is>
      </c>
      <c r="L963" s="308" t="inlineStr">
        <is>
          <t>drawing zone; process page; mapped sheet</t>
        </is>
      </c>
      <c r="M963" s="308" t="inlineStr">
        <is>
          <t>RL7-CKR-103 / PI</t>
        </is>
      </c>
      <c r="N963" s="308" t="inlineStr">
        <is>
          <t>native</t>
        </is>
      </c>
      <c r="O963" s="308" t="inlineStr">
        <is>
          <t>native-only</t>
        </is>
      </c>
      <c r="P963" s="308" t="inlineStr">
        <is>
          <t>native</t>
        </is>
      </c>
      <c r="Q963" s="308" t="inlineStr"/>
      <c r="R963" s="308" t="inlineStr">
        <is>
          <t>native text sufficient</t>
        </is>
      </c>
      <c r="S963" s="308" t="inlineStr"/>
      <c r="T963" s="308" t="inlineStr">
        <is>
          <t>p29:native:147, p29:native:168</t>
        </is>
      </c>
      <c r="U963" s="308" t="n">
        <v>2</v>
      </c>
    </row>
    <row r="964">
      <c r="A964" s="308" t="inlineStr">
        <is>
          <t>Missing in Excel</t>
        </is>
      </c>
      <c r="B964" s="308" t="inlineStr">
        <is>
          <t>DG7701</t>
        </is>
      </c>
      <c r="C964" s="308" t="n">
        <v>29</v>
      </c>
      <c r="D964" s="308" t="inlineStr">
        <is>
          <t>RL7-CKR-103-PI004</t>
        </is>
      </c>
      <c r="E964" s="308" t="inlineStr">
        <is>
          <t>RL7-CKR-103</t>
        </is>
      </c>
      <c r="F964" s="308" t="inlineStr">
        <is>
          <t>PI004</t>
        </is>
      </c>
      <c r="G964" s="308" t="inlineStr">
        <is>
          <t>instrument</t>
        </is>
      </c>
      <c r="H964" s="311" t="n">
        <v>0.57</v>
      </c>
      <c r="I964" s="308" t="inlineStr">
        <is>
          <t>Low</t>
        </is>
      </c>
      <c r="J964" s="308" t="inlineStr">
        <is>
          <t>drawing</t>
        </is>
      </c>
      <c r="K964" s="308" t="inlineStr">
        <is>
          <t>inferred:bare-isa</t>
        </is>
      </c>
      <c r="L964" s="308" t="inlineStr">
        <is>
          <t>drawing zone; process page; mapped sheet</t>
        </is>
      </c>
      <c r="M964" s="308" t="inlineStr">
        <is>
          <t>RL7-CKR-103 / PI</t>
        </is>
      </c>
      <c r="N964" s="308" t="inlineStr">
        <is>
          <t>native</t>
        </is>
      </c>
      <c r="O964" s="308" t="inlineStr">
        <is>
          <t>native-only</t>
        </is>
      </c>
      <c r="P964" s="308" t="inlineStr">
        <is>
          <t>native</t>
        </is>
      </c>
      <c r="Q964" s="308" t="inlineStr"/>
      <c r="R964" s="308" t="inlineStr">
        <is>
          <t>native text sufficient</t>
        </is>
      </c>
      <c r="S964" s="308" t="inlineStr"/>
      <c r="T964" s="308" t="inlineStr">
        <is>
          <t>p29:native:106, p29:native:166</t>
        </is>
      </c>
      <c r="U964" s="308" t="n">
        <v>2</v>
      </c>
    </row>
    <row r="965">
      <c r="A965" s="308" t="inlineStr">
        <is>
          <t>Missing in Excel</t>
        </is>
      </c>
      <c r="B965" s="308" t="inlineStr">
        <is>
          <t>DG7701</t>
        </is>
      </c>
      <c r="C965" s="308" t="n">
        <v>29</v>
      </c>
      <c r="D965" s="308" t="inlineStr">
        <is>
          <t>RL7-CKR-103-TR001</t>
        </is>
      </c>
      <c r="E965" s="308" t="inlineStr">
        <is>
          <t>RL7-CKR-103</t>
        </is>
      </c>
      <c r="F965" s="308" t="inlineStr">
        <is>
          <t>TR001</t>
        </is>
      </c>
      <c r="G965" s="308" t="inlineStr">
        <is>
          <t>instrument</t>
        </is>
      </c>
      <c r="H965" s="311" t="n">
        <v>0.57</v>
      </c>
      <c r="I965" s="308" t="inlineStr">
        <is>
          <t>Low</t>
        </is>
      </c>
      <c r="J965" s="308" t="inlineStr">
        <is>
          <t>drawing</t>
        </is>
      </c>
      <c r="K965" s="308" t="inlineStr">
        <is>
          <t>inferred:bare-isa</t>
        </is>
      </c>
      <c r="L965" s="308" t="inlineStr">
        <is>
          <t>drawing zone; process page; mapped sheet</t>
        </is>
      </c>
      <c r="M965" s="308" t="inlineStr">
        <is>
          <t>RL7-CKR-103 / TR</t>
        </is>
      </c>
      <c r="N965" s="308" t="inlineStr">
        <is>
          <t>native</t>
        </is>
      </c>
      <c r="O965" s="308" t="inlineStr">
        <is>
          <t>native-only</t>
        </is>
      </c>
      <c r="P965" s="308" t="inlineStr">
        <is>
          <t>native</t>
        </is>
      </c>
      <c r="Q965" s="308" t="inlineStr"/>
      <c r="R965" s="308" t="inlineStr">
        <is>
          <t>native text sufficient</t>
        </is>
      </c>
      <c r="S965" s="308" t="inlineStr"/>
      <c r="T965" s="308" t="inlineStr">
        <is>
          <t>p29:native:147, p29:native:230</t>
        </is>
      </c>
      <c r="U965" s="308" t="n">
        <v>2</v>
      </c>
    </row>
    <row r="966">
      <c r="A966" s="308" t="inlineStr">
        <is>
          <t>Missing in Excel</t>
        </is>
      </c>
      <c r="B966" s="308" t="inlineStr">
        <is>
          <t>DG7701</t>
        </is>
      </c>
      <c r="C966" s="308" t="n">
        <v>29</v>
      </c>
      <c r="D966" s="308" t="inlineStr">
        <is>
          <t>RL7-CKR-103-TR002</t>
        </is>
      </c>
      <c r="E966" s="308" t="inlineStr">
        <is>
          <t>RL7-CKR-103</t>
        </is>
      </c>
      <c r="F966" s="308" t="inlineStr">
        <is>
          <t>TR002</t>
        </is>
      </c>
      <c r="G966" s="308" t="inlineStr">
        <is>
          <t>instrument</t>
        </is>
      </c>
      <c r="H966" s="311" t="n">
        <v>0.57</v>
      </c>
      <c r="I966" s="308" t="inlineStr">
        <is>
          <t>Low</t>
        </is>
      </c>
      <c r="J966" s="308" t="inlineStr">
        <is>
          <t>drawing</t>
        </is>
      </c>
      <c r="K966" s="308" t="inlineStr">
        <is>
          <t>inferred:bare-isa</t>
        </is>
      </c>
      <c r="L966" s="308" t="inlineStr">
        <is>
          <t>drawing zone; process page; mapped sheet</t>
        </is>
      </c>
      <c r="M966" s="308" t="inlineStr">
        <is>
          <t>RL7-CKR-103 / TR</t>
        </is>
      </c>
      <c r="N966" s="308" t="inlineStr">
        <is>
          <t>native</t>
        </is>
      </c>
      <c r="O966" s="308" t="inlineStr">
        <is>
          <t>native-only</t>
        </is>
      </c>
      <c r="P966" s="308" t="inlineStr">
        <is>
          <t>native</t>
        </is>
      </c>
      <c r="Q966" s="308" t="inlineStr"/>
      <c r="R966" s="308" t="inlineStr">
        <is>
          <t>native text sufficient</t>
        </is>
      </c>
      <c r="S966" s="308" t="inlineStr"/>
      <c r="T966" s="308" t="inlineStr">
        <is>
          <t>p29:native:147, p29:native:95</t>
        </is>
      </c>
      <c r="U966" s="308" t="n">
        <v>2</v>
      </c>
    </row>
    <row r="967">
      <c r="A967" s="308" t="inlineStr">
        <is>
          <t>Missing in Excel</t>
        </is>
      </c>
      <c r="B967" s="308" t="inlineStr">
        <is>
          <t>DG7701</t>
        </is>
      </c>
      <c r="C967" s="308" t="n">
        <v>29</v>
      </c>
      <c r="D967" s="308" t="inlineStr">
        <is>
          <t>RL7-CKR-103-TR003</t>
        </is>
      </c>
      <c r="E967" s="308" t="inlineStr">
        <is>
          <t>RL7-CKR-103</t>
        </is>
      </c>
      <c r="F967" s="308" t="inlineStr">
        <is>
          <t>TR003</t>
        </is>
      </c>
      <c r="G967" s="308" t="inlineStr">
        <is>
          <t>instrument</t>
        </is>
      </c>
      <c r="H967" s="311" t="n">
        <v>0.57</v>
      </c>
      <c r="I967" s="308" t="inlineStr">
        <is>
          <t>Low</t>
        </is>
      </c>
      <c r="J967" s="308" t="inlineStr">
        <is>
          <t>drawing</t>
        </is>
      </c>
      <c r="K967" s="308" t="inlineStr">
        <is>
          <t>inferred:bare-isa</t>
        </is>
      </c>
      <c r="L967" s="308" t="inlineStr">
        <is>
          <t>drawing zone; process page; mapped sheet</t>
        </is>
      </c>
      <c r="M967" s="308" t="inlineStr">
        <is>
          <t>RL7-CKR-103 / TR</t>
        </is>
      </c>
      <c r="N967" s="308" t="inlineStr">
        <is>
          <t>native</t>
        </is>
      </c>
      <c r="O967" s="308" t="inlineStr">
        <is>
          <t>native-only</t>
        </is>
      </c>
      <c r="P967" s="308" t="inlineStr">
        <is>
          <t>native</t>
        </is>
      </c>
      <c r="Q967" s="308" t="inlineStr"/>
      <c r="R967" s="308" t="inlineStr">
        <is>
          <t>native text sufficient</t>
        </is>
      </c>
      <c r="S967" s="308" t="inlineStr"/>
      <c r="T967" s="308" t="inlineStr">
        <is>
          <t>p29:native:147, p29:native:118</t>
        </is>
      </c>
      <c r="U967" s="308" t="n">
        <v>2</v>
      </c>
    </row>
    <row r="968">
      <c r="A968" s="308" t="inlineStr">
        <is>
          <t>Missing in Excel</t>
        </is>
      </c>
      <c r="B968" s="308" t="inlineStr">
        <is>
          <t>DG7701</t>
        </is>
      </c>
      <c r="C968" s="308" t="n">
        <v>29</v>
      </c>
      <c r="D968" s="308" t="inlineStr">
        <is>
          <t>3"-HPS-1A</t>
        </is>
      </c>
      <c r="E968" s="308" t="inlineStr">
        <is>
          <t>HPS</t>
        </is>
      </c>
      <c r="F968" s="308" t="inlineStr">
        <is>
          <t>1A</t>
        </is>
      </c>
      <c r="G968" s="308" t="inlineStr">
        <is>
          <t>line</t>
        </is>
      </c>
      <c r="H968" s="311" t="n">
        <v>0.87</v>
      </c>
      <c r="I968" s="308" t="inlineStr">
        <is>
          <t>Medium</t>
        </is>
      </c>
      <c r="J968" s="308" t="inlineStr">
        <is>
          <t>drawing</t>
        </is>
      </c>
      <c r="K968" s="308" t="inlineStr">
        <is>
          <t>line:size-prefix</t>
        </is>
      </c>
      <c r="L968" s="308" t="inlineStr">
        <is>
          <t>drawing zone; process page; mapped sheet; repeated x18</t>
        </is>
      </c>
      <c r="M968" s="308" t="inlineStr">
        <is>
          <t>3"-HPS-1A</t>
        </is>
      </c>
      <c r="N968" s="308" t="inlineStr">
        <is>
          <t>native</t>
        </is>
      </c>
      <c r="O968" s="308" t="inlineStr">
        <is>
          <t>native-only</t>
        </is>
      </c>
      <c r="P968" s="308" t="inlineStr">
        <is>
          <t>native</t>
        </is>
      </c>
      <c r="Q968" s="308" t="inlineStr"/>
      <c r="R968" s="308" t="inlineStr">
        <is>
          <t>native text sufficient</t>
        </is>
      </c>
      <c r="S968" s="308" t="inlineStr"/>
      <c r="T968" s="308" t="inlineStr">
        <is>
          <t>p29:native:13</t>
        </is>
      </c>
      <c r="U968" s="308" t="n">
        <v>1</v>
      </c>
    </row>
    <row r="969">
      <c r="A969" s="308" t="inlineStr">
        <is>
          <t>Missing in Excel</t>
        </is>
      </c>
      <c r="B969" s="308" t="inlineStr">
        <is>
          <t>DG7701</t>
        </is>
      </c>
      <c r="C969" s="308" t="n">
        <v>29</v>
      </c>
      <c r="D969" s="308" t="inlineStr">
        <is>
          <t>3"-HPS-1A</t>
        </is>
      </c>
      <c r="E969" s="308" t="inlineStr">
        <is>
          <t>HPS</t>
        </is>
      </c>
      <c r="F969" s="308" t="inlineStr">
        <is>
          <t>1A</t>
        </is>
      </c>
      <c r="G969" s="308" t="inlineStr">
        <is>
          <t>line</t>
        </is>
      </c>
      <c r="H969" s="311" t="n">
        <v>0.87</v>
      </c>
      <c r="I969" s="308" t="inlineStr">
        <is>
          <t>Medium</t>
        </is>
      </c>
      <c r="J969" s="308" t="inlineStr">
        <is>
          <t>drawing</t>
        </is>
      </c>
      <c r="K969" s="308" t="inlineStr">
        <is>
          <t>line:size-prefix</t>
        </is>
      </c>
      <c r="L969" s="308" t="inlineStr">
        <is>
          <t>drawing zone; process page; mapped sheet; repeated x18</t>
        </is>
      </c>
      <c r="M969" s="308" t="inlineStr">
        <is>
          <t>3"-HPS-1A</t>
        </is>
      </c>
      <c r="N969" s="308" t="inlineStr">
        <is>
          <t>native</t>
        </is>
      </c>
      <c r="O969" s="308" t="inlineStr">
        <is>
          <t>native-only</t>
        </is>
      </c>
      <c r="P969" s="308" t="inlineStr">
        <is>
          <t>native</t>
        </is>
      </c>
      <c r="Q969" s="308" t="inlineStr"/>
      <c r="R969" s="308" t="inlineStr">
        <is>
          <t>native text sufficient</t>
        </is>
      </c>
      <c r="S969" s="308" t="inlineStr"/>
      <c r="T969" s="308" t="inlineStr">
        <is>
          <t>p29:native:50</t>
        </is>
      </c>
      <c r="U969" s="308" t="n">
        <v>1</v>
      </c>
    </row>
    <row r="970">
      <c r="A970" s="308" t="inlineStr">
        <is>
          <t>Missing in Excel</t>
        </is>
      </c>
      <c r="B970" s="308" t="inlineStr">
        <is>
          <t>DG7701</t>
        </is>
      </c>
      <c r="C970" s="308" t="n">
        <v>29</v>
      </c>
      <c r="D970" s="308" t="inlineStr">
        <is>
          <t>3"-HPS-1A</t>
        </is>
      </c>
      <c r="E970" s="308" t="inlineStr">
        <is>
          <t>HPS</t>
        </is>
      </c>
      <c r="F970" s="308" t="inlineStr">
        <is>
          <t>1A</t>
        </is>
      </c>
      <c r="G970" s="308" t="inlineStr">
        <is>
          <t>line</t>
        </is>
      </c>
      <c r="H970" s="311" t="n">
        <v>0.87</v>
      </c>
      <c r="I970" s="308" t="inlineStr">
        <is>
          <t>Medium</t>
        </is>
      </c>
      <c r="J970" s="308" t="inlineStr">
        <is>
          <t>drawing</t>
        </is>
      </c>
      <c r="K970" s="308" t="inlineStr">
        <is>
          <t>line:size-prefix</t>
        </is>
      </c>
      <c r="L970" s="308" t="inlineStr">
        <is>
          <t>drawing zone; process page; mapped sheet; repeated x18</t>
        </is>
      </c>
      <c r="M970" s="308" t="inlineStr">
        <is>
          <t>3"-HPS-1A</t>
        </is>
      </c>
      <c r="N970" s="308" t="inlineStr">
        <is>
          <t>native</t>
        </is>
      </c>
      <c r="O970" s="308" t="inlineStr">
        <is>
          <t>native-only</t>
        </is>
      </c>
      <c r="P970" s="308" t="inlineStr">
        <is>
          <t>native</t>
        </is>
      </c>
      <c r="Q970" s="308" t="inlineStr"/>
      <c r="R970" s="308" t="inlineStr">
        <is>
          <t>native text sufficient</t>
        </is>
      </c>
      <c r="S970" s="308" t="inlineStr"/>
      <c r="T970" s="308" t="inlineStr">
        <is>
          <t>p29:native:51</t>
        </is>
      </c>
      <c r="U970" s="308" t="n">
        <v>1</v>
      </c>
    </row>
    <row r="971">
      <c r="A971" s="308" t="inlineStr">
        <is>
          <t>Missing in Excel</t>
        </is>
      </c>
      <c r="B971" s="308" t="inlineStr">
        <is>
          <t>DG7701</t>
        </is>
      </c>
      <c r="C971" s="308" t="n">
        <v>29</v>
      </c>
      <c r="D971" s="308" t="inlineStr">
        <is>
          <t>3"-HPS-1A</t>
        </is>
      </c>
      <c r="E971" s="308" t="inlineStr">
        <is>
          <t>HPS</t>
        </is>
      </c>
      <c r="F971" s="308" t="inlineStr">
        <is>
          <t>1A</t>
        </is>
      </c>
      <c r="G971" s="308" t="inlineStr">
        <is>
          <t>line</t>
        </is>
      </c>
      <c r="H971" s="311" t="n">
        <v>0.87</v>
      </c>
      <c r="I971" s="308" t="inlineStr">
        <is>
          <t>Medium</t>
        </is>
      </c>
      <c r="J971" s="308" t="inlineStr">
        <is>
          <t>drawing</t>
        </is>
      </c>
      <c r="K971" s="308" t="inlineStr">
        <is>
          <t>line:size-prefix</t>
        </is>
      </c>
      <c r="L971" s="308" t="inlineStr">
        <is>
          <t>drawing zone; process page; mapped sheet; repeated x18</t>
        </is>
      </c>
      <c r="M971" s="308" t="inlineStr">
        <is>
          <t>3"-HPS-1A</t>
        </is>
      </c>
      <c r="N971" s="308" t="inlineStr">
        <is>
          <t>native</t>
        </is>
      </c>
      <c r="O971" s="308" t="inlineStr">
        <is>
          <t>native-only</t>
        </is>
      </c>
      <c r="P971" s="308" t="inlineStr">
        <is>
          <t>native</t>
        </is>
      </c>
      <c r="Q971" s="308" t="inlineStr"/>
      <c r="R971" s="308" t="inlineStr">
        <is>
          <t>native text sufficient</t>
        </is>
      </c>
      <c r="S971" s="308" t="inlineStr"/>
      <c r="T971" s="308" t="inlineStr">
        <is>
          <t>p29:native:52</t>
        </is>
      </c>
      <c r="U971" s="308" t="n">
        <v>1</v>
      </c>
    </row>
    <row r="972">
      <c r="A972" s="308" t="inlineStr">
        <is>
          <t>Missing in Excel</t>
        </is>
      </c>
      <c r="B972" s="308" t="inlineStr">
        <is>
          <t>DG7701</t>
        </is>
      </c>
      <c r="C972" s="308" t="n">
        <v>29</v>
      </c>
      <c r="D972" s="308" t="inlineStr">
        <is>
          <t>3"-HPS-1A</t>
        </is>
      </c>
      <c r="E972" s="308" t="inlineStr">
        <is>
          <t>HPS</t>
        </is>
      </c>
      <c r="F972" s="308" t="inlineStr">
        <is>
          <t>1A</t>
        </is>
      </c>
      <c r="G972" s="308" t="inlineStr">
        <is>
          <t>line</t>
        </is>
      </c>
      <c r="H972" s="311" t="n">
        <v>0.87</v>
      </c>
      <c r="I972" s="308" t="inlineStr">
        <is>
          <t>Medium</t>
        </is>
      </c>
      <c r="J972" s="308" t="inlineStr">
        <is>
          <t>drawing</t>
        </is>
      </c>
      <c r="K972" s="308" t="inlineStr">
        <is>
          <t>line:size-prefix</t>
        </is>
      </c>
      <c r="L972" s="308" t="inlineStr">
        <is>
          <t>drawing zone; process page; mapped sheet; repeated x18</t>
        </is>
      </c>
      <c r="M972" s="308" t="inlineStr">
        <is>
          <t>3"-HPS-1A</t>
        </is>
      </c>
      <c r="N972" s="308" t="inlineStr">
        <is>
          <t>native</t>
        </is>
      </c>
      <c r="O972" s="308" t="inlineStr">
        <is>
          <t>native-only</t>
        </is>
      </c>
      <c r="P972" s="308" t="inlineStr">
        <is>
          <t>native</t>
        </is>
      </c>
      <c r="Q972" s="308" t="inlineStr"/>
      <c r="R972" s="308" t="inlineStr">
        <is>
          <t>native text sufficient</t>
        </is>
      </c>
      <c r="S972" s="308" t="inlineStr"/>
      <c r="T972" s="308" t="inlineStr">
        <is>
          <t>p29:native:53</t>
        </is>
      </c>
      <c r="U972" s="308" t="n">
        <v>1</v>
      </c>
    </row>
    <row r="973">
      <c r="A973" s="308" t="inlineStr">
        <is>
          <t>Missing in Excel</t>
        </is>
      </c>
      <c r="B973" s="308" t="inlineStr">
        <is>
          <t>DG7701</t>
        </is>
      </c>
      <c r="C973" s="308" t="n">
        <v>29</v>
      </c>
      <c r="D973" s="308" t="inlineStr">
        <is>
          <t>3"-HPS-1A</t>
        </is>
      </c>
      <c r="E973" s="308" t="inlineStr">
        <is>
          <t>HPS</t>
        </is>
      </c>
      <c r="F973" s="308" t="inlineStr">
        <is>
          <t>1A</t>
        </is>
      </c>
      <c r="G973" s="308" t="inlineStr">
        <is>
          <t>line</t>
        </is>
      </c>
      <c r="H973" s="311" t="n">
        <v>0.87</v>
      </c>
      <c r="I973" s="308" t="inlineStr">
        <is>
          <t>Medium</t>
        </is>
      </c>
      <c r="J973" s="308" t="inlineStr">
        <is>
          <t>drawing</t>
        </is>
      </c>
      <c r="K973" s="308" t="inlineStr">
        <is>
          <t>line:size-prefix</t>
        </is>
      </c>
      <c r="L973" s="308" t="inlineStr">
        <is>
          <t>drawing zone; process page; mapped sheet; repeated x18</t>
        </is>
      </c>
      <c r="M973" s="308" t="inlineStr">
        <is>
          <t>3"-HPS-1A</t>
        </is>
      </c>
      <c r="N973" s="308" t="inlineStr">
        <is>
          <t>native</t>
        </is>
      </c>
      <c r="O973" s="308" t="inlineStr">
        <is>
          <t>native-only</t>
        </is>
      </c>
      <c r="P973" s="308" t="inlineStr">
        <is>
          <t>native</t>
        </is>
      </c>
      <c r="Q973" s="308" t="inlineStr"/>
      <c r="R973" s="308" t="inlineStr">
        <is>
          <t>native text sufficient</t>
        </is>
      </c>
      <c r="S973" s="308" t="inlineStr"/>
      <c r="T973" s="308" t="inlineStr">
        <is>
          <t>p29:native:84</t>
        </is>
      </c>
      <c r="U973" s="308" t="n">
        <v>1</v>
      </c>
    </row>
    <row r="974">
      <c r="A974" s="308" t="inlineStr">
        <is>
          <t>Missing in Excel</t>
        </is>
      </c>
      <c r="B974" s="308" t="inlineStr">
        <is>
          <t>DG7701</t>
        </is>
      </c>
      <c r="C974" s="308" t="n">
        <v>29</v>
      </c>
      <c r="D974" s="308" t="inlineStr">
        <is>
          <t>3"-HPS-1A</t>
        </is>
      </c>
      <c r="E974" s="308" t="inlineStr">
        <is>
          <t>HPS</t>
        </is>
      </c>
      <c r="F974" s="308" t="inlineStr">
        <is>
          <t>1A</t>
        </is>
      </c>
      <c r="G974" s="308" t="inlineStr">
        <is>
          <t>line</t>
        </is>
      </c>
      <c r="H974" s="311" t="n">
        <v>0.87</v>
      </c>
      <c r="I974" s="308" t="inlineStr">
        <is>
          <t>Medium</t>
        </is>
      </c>
      <c r="J974" s="308" t="inlineStr">
        <is>
          <t>drawing</t>
        </is>
      </c>
      <c r="K974" s="308" t="inlineStr">
        <is>
          <t>line:size-prefix</t>
        </is>
      </c>
      <c r="L974" s="308" t="inlineStr">
        <is>
          <t>drawing zone; process page; mapped sheet; repeated x18</t>
        </is>
      </c>
      <c r="M974" s="308" t="inlineStr">
        <is>
          <t>3"-HPS-1A</t>
        </is>
      </c>
      <c r="N974" s="308" t="inlineStr">
        <is>
          <t>native</t>
        </is>
      </c>
      <c r="O974" s="308" t="inlineStr">
        <is>
          <t>native-only</t>
        </is>
      </c>
      <c r="P974" s="308" t="inlineStr">
        <is>
          <t>native</t>
        </is>
      </c>
      <c r="Q974" s="308" t="inlineStr"/>
      <c r="R974" s="308" t="inlineStr">
        <is>
          <t>native text sufficient</t>
        </is>
      </c>
      <c r="S974" s="308" t="inlineStr"/>
      <c r="T974" s="308" t="inlineStr">
        <is>
          <t>p29:native:204</t>
        </is>
      </c>
      <c r="U974" s="308" t="n">
        <v>1</v>
      </c>
    </row>
    <row r="975">
      <c r="A975" s="308" t="inlineStr">
        <is>
          <t>Missing in Excel</t>
        </is>
      </c>
      <c r="B975" s="308" t="inlineStr">
        <is>
          <t>DG7701</t>
        </is>
      </c>
      <c r="C975" s="308" t="n">
        <v>29</v>
      </c>
      <c r="D975" s="308" t="inlineStr">
        <is>
          <t>3"-HPS-1A</t>
        </is>
      </c>
      <c r="E975" s="308" t="inlineStr">
        <is>
          <t>HPS</t>
        </is>
      </c>
      <c r="F975" s="308" t="inlineStr">
        <is>
          <t>1A</t>
        </is>
      </c>
      <c r="G975" s="308" t="inlineStr">
        <is>
          <t>line</t>
        </is>
      </c>
      <c r="H975" s="311" t="n">
        <v>0.87</v>
      </c>
      <c r="I975" s="308" t="inlineStr">
        <is>
          <t>Medium</t>
        </is>
      </c>
      <c r="J975" s="308" t="inlineStr">
        <is>
          <t>drawing</t>
        </is>
      </c>
      <c r="K975" s="308" t="inlineStr">
        <is>
          <t>line:size-prefix</t>
        </is>
      </c>
      <c r="L975" s="308" t="inlineStr">
        <is>
          <t>drawing zone; process page; mapped sheet; repeated x18</t>
        </is>
      </c>
      <c r="M975" s="308" t="inlineStr">
        <is>
          <t>3"-HPS-1A</t>
        </is>
      </c>
      <c r="N975" s="308" t="inlineStr">
        <is>
          <t>native</t>
        </is>
      </c>
      <c r="O975" s="308" t="inlineStr">
        <is>
          <t>native-only</t>
        </is>
      </c>
      <c r="P975" s="308" t="inlineStr">
        <is>
          <t>native</t>
        </is>
      </c>
      <c r="Q975" s="308" t="inlineStr"/>
      <c r="R975" s="308" t="inlineStr">
        <is>
          <t>native text sufficient</t>
        </is>
      </c>
      <c r="S975" s="308" t="inlineStr"/>
      <c r="T975" s="308" t="inlineStr">
        <is>
          <t>p29:native:205</t>
        </is>
      </c>
      <c r="U975" s="308" t="n">
        <v>1</v>
      </c>
    </row>
    <row r="976">
      <c r="A976" s="308" t="inlineStr">
        <is>
          <t>Missing in Excel</t>
        </is>
      </c>
      <c r="B976" s="308" t="inlineStr">
        <is>
          <t>DG7701</t>
        </is>
      </c>
      <c r="C976" s="308" t="n">
        <v>29</v>
      </c>
      <c r="D976" s="308" t="inlineStr">
        <is>
          <t>3"-HPS-1A</t>
        </is>
      </c>
      <c r="E976" s="308" t="inlineStr">
        <is>
          <t>HPS</t>
        </is>
      </c>
      <c r="F976" s="308" t="inlineStr">
        <is>
          <t>1A</t>
        </is>
      </c>
      <c r="G976" s="308" t="inlineStr">
        <is>
          <t>line</t>
        </is>
      </c>
      <c r="H976" s="311" t="n">
        <v>0.87</v>
      </c>
      <c r="I976" s="308" t="inlineStr">
        <is>
          <t>Medium</t>
        </is>
      </c>
      <c r="J976" s="308" t="inlineStr">
        <is>
          <t>drawing</t>
        </is>
      </c>
      <c r="K976" s="308" t="inlineStr">
        <is>
          <t>line:size-prefix</t>
        </is>
      </c>
      <c r="L976" s="308" t="inlineStr">
        <is>
          <t>drawing zone; process page; mapped sheet; repeated x18</t>
        </is>
      </c>
      <c r="M976" s="308" t="inlineStr">
        <is>
          <t>3"-HPS-1A</t>
        </is>
      </c>
      <c r="N976" s="308" t="inlineStr">
        <is>
          <t>native</t>
        </is>
      </c>
      <c r="O976" s="308" t="inlineStr">
        <is>
          <t>native-only</t>
        </is>
      </c>
      <c r="P976" s="308" t="inlineStr">
        <is>
          <t>native</t>
        </is>
      </c>
      <c r="Q976" s="308" t="inlineStr"/>
      <c r="R976" s="308" t="inlineStr">
        <is>
          <t>native text sufficient</t>
        </is>
      </c>
      <c r="S976" s="308" t="inlineStr"/>
      <c r="T976" s="308" t="inlineStr">
        <is>
          <t>p29:native:206</t>
        </is>
      </c>
      <c r="U976" s="308" t="n">
        <v>1</v>
      </c>
    </row>
    <row r="977">
      <c r="A977" s="308" t="inlineStr">
        <is>
          <t>Missing in Excel</t>
        </is>
      </c>
      <c r="B977" s="308" t="inlineStr">
        <is>
          <t>DG7701</t>
        </is>
      </c>
      <c r="C977" s="308" t="n">
        <v>29</v>
      </c>
      <c r="D977" s="308" t="inlineStr">
        <is>
          <t>3"-HPS-1A</t>
        </is>
      </c>
      <c r="E977" s="308" t="inlineStr">
        <is>
          <t>HPS</t>
        </is>
      </c>
      <c r="F977" s="308" t="inlineStr">
        <is>
          <t>1A</t>
        </is>
      </c>
      <c r="G977" s="308" t="inlineStr">
        <is>
          <t>line</t>
        </is>
      </c>
      <c r="H977" s="311" t="n">
        <v>0.87</v>
      </c>
      <c r="I977" s="308" t="inlineStr">
        <is>
          <t>Medium</t>
        </is>
      </c>
      <c r="J977" s="308" t="inlineStr">
        <is>
          <t>drawing</t>
        </is>
      </c>
      <c r="K977" s="308" t="inlineStr">
        <is>
          <t>line:size-prefix</t>
        </is>
      </c>
      <c r="L977" s="308" t="inlineStr">
        <is>
          <t>drawing zone; process page; mapped sheet; repeated x18</t>
        </is>
      </c>
      <c r="M977" s="308" t="inlineStr">
        <is>
          <t>3"-HPS-1A</t>
        </is>
      </c>
      <c r="N977" s="308" t="inlineStr">
        <is>
          <t>native</t>
        </is>
      </c>
      <c r="O977" s="308" t="inlineStr">
        <is>
          <t>native-only</t>
        </is>
      </c>
      <c r="P977" s="308" t="inlineStr">
        <is>
          <t>native</t>
        </is>
      </c>
      <c r="Q977" s="308" t="inlineStr"/>
      <c r="R977" s="308" t="inlineStr">
        <is>
          <t>native text sufficient</t>
        </is>
      </c>
      <c r="S977" s="308" t="inlineStr"/>
      <c r="T977" s="308" t="inlineStr">
        <is>
          <t>p29:native:219</t>
        </is>
      </c>
      <c r="U977" s="308" t="n">
        <v>1</v>
      </c>
    </row>
    <row r="978">
      <c r="A978" s="308" t="inlineStr">
        <is>
          <t>Missing in Excel</t>
        </is>
      </c>
      <c r="B978" s="308" t="inlineStr">
        <is>
          <t>DG7701</t>
        </is>
      </c>
      <c r="C978" s="308" t="n">
        <v>29</v>
      </c>
      <c r="D978" s="308" t="inlineStr">
        <is>
          <t>3"-HPS-1A</t>
        </is>
      </c>
      <c r="E978" s="308" t="inlineStr">
        <is>
          <t>HPS</t>
        </is>
      </c>
      <c r="F978" s="308" t="inlineStr">
        <is>
          <t>1A</t>
        </is>
      </c>
      <c r="G978" s="308" t="inlineStr">
        <is>
          <t>line</t>
        </is>
      </c>
      <c r="H978" s="311" t="n">
        <v>0.87</v>
      </c>
      <c r="I978" s="308" t="inlineStr">
        <is>
          <t>Medium</t>
        </is>
      </c>
      <c r="J978" s="308" t="inlineStr">
        <is>
          <t>drawing</t>
        </is>
      </c>
      <c r="K978" s="308" t="inlineStr">
        <is>
          <t>line:size-prefix</t>
        </is>
      </c>
      <c r="L978" s="308" t="inlineStr">
        <is>
          <t>drawing zone; process page; mapped sheet; repeated x18</t>
        </is>
      </c>
      <c r="M978" s="308" t="inlineStr">
        <is>
          <t>3"-HPS-1A RL7</t>
        </is>
      </c>
      <c r="N978" s="308" t="inlineStr">
        <is>
          <t>native</t>
        </is>
      </c>
      <c r="O978" s="308" t="inlineStr">
        <is>
          <t>native-only</t>
        </is>
      </c>
      <c r="P978" s="308" t="inlineStr">
        <is>
          <t>native</t>
        </is>
      </c>
      <c r="Q978" s="308" t="inlineStr"/>
      <c r="R978" s="308" t="inlineStr">
        <is>
          <t>native text sufficient</t>
        </is>
      </c>
      <c r="S978" s="308" t="inlineStr"/>
      <c r="T978" s="308" t="inlineStr">
        <is>
          <t>p29:native:219, p29:native:215</t>
        </is>
      </c>
      <c r="U978" s="308" t="n">
        <v>2</v>
      </c>
    </row>
    <row r="979">
      <c r="A979" s="308" t="inlineStr">
        <is>
          <t>Missing in Excel</t>
        </is>
      </c>
      <c r="B979" s="308" t="inlineStr">
        <is>
          <t>DG7701</t>
        </is>
      </c>
      <c r="C979" s="308" t="n">
        <v>29</v>
      </c>
      <c r="D979" s="308" t="inlineStr">
        <is>
          <t>3"-HPS-1A</t>
        </is>
      </c>
      <c r="E979" s="308" t="inlineStr">
        <is>
          <t>HPS</t>
        </is>
      </c>
      <c r="F979" s="308" t="inlineStr">
        <is>
          <t>1A</t>
        </is>
      </c>
      <c r="G979" s="308" t="inlineStr">
        <is>
          <t>line</t>
        </is>
      </c>
      <c r="H979" s="311" t="n">
        <v>0.87</v>
      </c>
      <c r="I979" s="308" t="inlineStr">
        <is>
          <t>Medium</t>
        </is>
      </c>
      <c r="J979" s="308" t="inlineStr">
        <is>
          <t>drawing</t>
        </is>
      </c>
      <c r="K979" s="308" t="inlineStr">
        <is>
          <t>line:size-prefix</t>
        </is>
      </c>
      <c r="L979" s="308" t="inlineStr">
        <is>
          <t>drawing zone; process page; mapped sheet; repeated x18</t>
        </is>
      </c>
      <c r="M979" s="308" t="inlineStr">
        <is>
          <t>3"-HPS-1A HPS-C004</t>
        </is>
      </c>
      <c r="N979" s="308" t="inlineStr">
        <is>
          <t>native</t>
        </is>
      </c>
      <c r="O979" s="308" t="inlineStr">
        <is>
          <t>native-only</t>
        </is>
      </c>
      <c r="P979" s="308" t="inlineStr">
        <is>
          <t>native</t>
        </is>
      </c>
      <c r="Q979" s="308" t="inlineStr"/>
      <c r="R979" s="308" t="inlineStr">
        <is>
          <t>native text sufficient</t>
        </is>
      </c>
      <c r="S979" s="308" t="inlineStr"/>
      <c r="T979" s="308" t="inlineStr">
        <is>
          <t>p29:native:206, p29:native:57</t>
        </is>
      </c>
      <c r="U979" s="308" t="n">
        <v>2</v>
      </c>
    </row>
    <row r="980">
      <c r="A980" s="308" t="inlineStr">
        <is>
          <t>Missing in Excel</t>
        </is>
      </c>
      <c r="B980" s="308" t="inlineStr">
        <is>
          <t>DG7701</t>
        </is>
      </c>
      <c r="C980" s="308" t="n">
        <v>29</v>
      </c>
      <c r="D980" s="308" t="inlineStr">
        <is>
          <t>3"-HPS-1A</t>
        </is>
      </c>
      <c r="E980" s="308" t="inlineStr">
        <is>
          <t>HPS</t>
        </is>
      </c>
      <c r="F980" s="308" t="inlineStr">
        <is>
          <t>1A</t>
        </is>
      </c>
      <c r="G980" s="308" t="inlineStr">
        <is>
          <t>line</t>
        </is>
      </c>
      <c r="H980" s="311" t="n">
        <v>0.87</v>
      </c>
      <c r="I980" s="308" t="inlineStr">
        <is>
          <t>Medium</t>
        </is>
      </c>
      <c r="J980" s="308" t="inlineStr">
        <is>
          <t>drawing</t>
        </is>
      </c>
      <c r="K980" s="308" t="inlineStr">
        <is>
          <t>line:size-prefix</t>
        </is>
      </c>
      <c r="L980" s="308" t="inlineStr">
        <is>
          <t>drawing zone; process page; mapped sheet; repeated x18</t>
        </is>
      </c>
      <c r="M980" s="308" t="inlineStr">
        <is>
          <t>3"-HPS-1A R7</t>
        </is>
      </c>
      <c r="N980" s="308" t="inlineStr">
        <is>
          <t>native</t>
        </is>
      </c>
      <c r="O980" s="308" t="inlineStr">
        <is>
          <t>native-only</t>
        </is>
      </c>
      <c r="P980" s="308" t="inlineStr">
        <is>
          <t>native</t>
        </is>
      </c>
      <c r="Q980" s="308" t="inlineStr"/>
      <c r="R980" s="308" t="inlineStr">
        <is>
          <t>native text sufficient</t>
        </is>
      </c>
      <c r="S980" s="308" t="inlineStr"/>
      <c r="T980" s="308" t="inlineStr">
        <is>
          <t>p29:native:84, p29:native:74</t>
        </is>
      </c>
      <c r="U980" s="308" t="n">
        <v>2</v>
      </c>
    </row>
    <row r="981">
      <c r="A981" s="308" t="inlineStr">
        <is>
          <t>Missing in Excel</t>
        </is>
      </c>
      <c r="B981" s="308" t="inlineStr">
        <is>
          <t>DG7701</t>
        </is>
      </c>
      <c r="C981" s="308" t="n">
        <v>29</v>
      </c>
      <c r="D981" s="308" t="inlineStr">
        <is>
          <t>3"-HPS-1A</t>
        </is>
      </c>
      <c r="E981" s="308" t="inlineStr">
        <is>
          <t>HPS</t>
        </is>
      </c>
      <c r="F981" s="308" t="inlineStr">
        <is>
          <t>1A</t>
        </is>
      </c>
      <c r="G981" s="308" t="inlineStr">
        <is>
          <t>line</t>
        </is>
      </c>
      <c r="H981" s="311" t="n">
        <v>0.87</v>
      </c>
      <c r="I981" s="308" t="inlineStr">
        <is>
          <t>Medium</t>
        </is>
      </c>
      <c r="J981" s="308" t="inlineStr">
        <is>
          <t>drawing</t>
        </is>
      </c>
      <c r="K981" s="308" t="inlineStr">
        <is>
          <t>line:size-prefix</t>
        </is>
      </c>
      <c r="L981" s="308" t="inlineStr">
        <is>
          <t>drawing zone; process page; mapped sheet; repeated x18</t>
        </is>
      </c>
      <c r="M981" s="308" t="inlineStr">
        <is>
          <t>108 3"x2"3"-HPS-1A</t>
        </is>
      </c>
      <c r="N981" s="308" t="inlineStr">
        <is>
          <t>native</t>
        </is>
      </c>
      <c r="O981" s="308" t="inlineStr">
        <is>
          <t>native-only</t>
        </is>
      </c>
      <c r="P981" s="308" t="inlineStr">
        <is>
          <t>native</t>
        </is>
      </c>
      <c r="Q981" s="308" t="inlineStr"/>
      <c r="R981" s="308" t="inlineStr">
        <is>
          <t>native text sufficient</t>
        </is>
      </c>
      <c r="S981" s="308" t="inlineStr"/>
      <c r="T981" s="308" t="inlineStr">
        <is>
          <t>p29:native:19, p29:native:170, p29:native:13</t>
        </is>
      </c>
      <c r="U981" s="308" t="n">
        <v>3</v>
      </c>
    </row>
    <row r="982">
      <c r="A982" s="308" t="inlineStr">
        <is>
          <t>Missing in Excel</t>
        </is>
      </c>
      <c r="B982" s="308" t="inlineStr">
        <is>
          <t>DG7701</t>
        </is>
      </c>
      <c r="C982" s="308" t="n">
        <v>29</v>
      </c>
      <c r="D982" s="308" t="inlineStr">
        <is>
          <t>3"-HPS-1A</t>
        </is>
      </c>
      <c r="E982" s="308" t="inlineStr">
        <is>
          <t>HPS</t>
        </is>
      </c>
      <c r="F982" s="308" t="inlineStr">
        <is>
          <t>1A</t>
        </is>
      </c>
      <c r="G982" s="308" t="inlineStr">
        <is>
          <t>line</t>
        </is>
      </c>
      <c r="H982" s="311" t="n">
        <v>0.87</v>
      </c>
      <c r="I982" s="308" t="inlineStr">
        <is>
          <t>Medium</t>
        </is>
      </c>
      <c r="J982" s="308" t="inlineStr">
        <is>
          <t>drawing</t>
        </is>
      </c>
      <c r="K982" s="308" t="inlineStr">
        <is>
          <t>line:size-prefix</t>
        </is>
      </c>
      <c r="L982" s="308" t="inlineStr">
        <is>
          <t>drawing zone; process page; mapped sheet; repeated x18</t>
        </is>
      </c>
      <c r="M982" s="308" t="inlineStr">
        <is>
          <t>3"x2"3"-HPS-1A</t>
        </is>
      </c>
      <c r="N982" s="308" t="inlineStr">
        <is>
          <t>native</t>
        </is>
      </c>
      <c r="O982" s="308" t="inlineStr">
        <is>
          <t>native-only</t>
        </is>
      </c>
      <c r="P982" s="308" t="inlineStr">
        <is>
          <t>native</t>
        </is>
      </c>
      <c r="Q982" s="308" t="inlineStr"/>
      <c r="R982" s="308" t="inlineStr">
        <is>
          <t>native text sufficient</t>
        </is>
      </c>
      <c r="S982" s="308" t="inlineStr"/>
      <c r="T982" s="308" t="inlineStr">
        <is>
          <t>p29:native:170, p29:native:13</t>
        </is>
      </c>
      <c r="U982" s="308" t="n">
        <v>2</v>
      </c>
    </row>
    <row r="983">
      <c r="A983" s="308" t="inlineStr">
        <is>
          <t>Missing in Excel</t>
        </is>
      </c>
      <c r="B983" s="308" t="inlineStr">
        <is>
          <t>DG7701</t>
        </is>
      </c>
      <c r="C983" s="308" t="n">
        <v>29</v>
      </c>
      <c r="D983" s="308" t="inlineStr">
        <is>
          <t>3"-HPS-1A</t>
        </is>
      </c>
      <c r="E983" s="308" t="inlineStr">
        <is>
          <t>HPS</t>
        </is>
      </c>
      <c r="F983" s="308" t="inlineStr">
        <is>
          <t>1A</t>
        </is>
      </c>
      <c r="G983" s="308" t="inlineStr">
        <is>
          <t>line</t>
        </is>
      </c>
      <c r="H983" s="311" t="n">
        <v>0.87</v>
      </c>
      <c r="I983" s="308" t="inlineStr">
        <is>
          <t>Medium</t>
        </is>
      </c>
      <c r="J983" s="308" t="inlineStr">
        <is>
          <t>drawing</t>
        </is>
      </c>
      <c r="K983" s="308" t="inlineStr">
        <is>
          <t>line:size-prefix</t>
        </is>
      </c>
      <c r="L983" s="308" t="inlineStr">
        <is>
          <t>drawing zone; process page; mapped sheet; repeated x18</t>
        </is>
      </c>
      <c r="M983" s="308" t="inlineStr">
        <is>
          <t>3"-HPS-1A HPS-C003</t>
        </is>
      </c>
      <c r="N983" s="308" t="inlineStr">
        <is>
          <t>native</t>
        </is>
      </c>
      <c r="O983" s="308" t="inlineStr">
        <is>
          <t>native-only</t>
        </is>
      </c>
      <c r="P983" s="308" t="inlineStr">
        <is>
          <t>native</t>
        </is>
      </c>
      <c r="Q983" s="308" t="inlineStr"/>
      <c r="R983" s="308" t="inlineStr">
        <is>
          <t>native text sufficient</t>
        </is>
      </c>
      <c r="S983" s="308" t="inlineStr"/>
      <c r="T983" s="308" t="inlineStr">
        <is>
          <t>p29:native:53, p29:native:61</t>
        </is>
      </c>
      <c r="U983" s="308" t="n">
        <v>2</v>
      </c>
    </row>
    <row r="984">
      <c r="A984" s="308" t="inlineStr">
        <is>
          <t>Missing in Excel</t>
        </is>
      </c>
      <c r="B984" s="308" t="inlineStr">
        <is>
          <t>DG7701</t>
        </is>
      </c>
      <c r="C984" s="308" t="n">
        <v>29</v>
      </c>
      <c r="D984" s="308" t="inlineStr">
        <is>
          <t>3"-HPS-1A</t>
        </is>
      </c>
      <c r="E984" s="308" t="inlineStr">
        <is>
          <t>HPS</t>
        </is>
      </c>
      <c r="F984" s="308" t="inlineStr">
        <is>
          <t>1A</t>
        </is>
      </c>
      <c r="G984" s="308" t="inlineStr">
        <is>
          <t>line</t>
        </is>
      </c>
      <c r="H984" s="311" t="n">
        <v>0.87</v>
      </c>
      <c r="I984" s="308" t="inlineStr">
        <is>
          <t>Medium</t>
        </is>
      </c>
      <c r="J984" s="308" t="inlineStr">
        <is>
          <t>drawing</t>
        </is>
      </c>
      <c r="K984" s="308" t="inlineStr">
        <is>
          <t>line:size-prefix</t>
        </is>
      </c>
      <c r="L984" s="308" t="inlineStr">
        <is>
          <t>drawing zone; process page; mapped sheet; repeated x18</t>
        </is>
      </c>
      <c r="M984" s="308" t="inlineStr">
        <is>
          <t>3"-HPS-1A 3"-HPS-1A</t>
        </is>
      </c>
      <c r="N984" s="308" t="inlineStr">
        <is>
          <t>native</t>
        </is>
      </c>
      <c r="O984" s="308" t="inlineStr">
        <is>
          <t>native-only</t>
        </is>
      </c>
      <c r="P984" s="308" t="inlineStr">
        <is>
          <t>native</t>
        </is>
      </c>
      <c r="Q984" s="308" t="inlineStr"/>
      <c r="R984" s="308" t="inlineStr">
        <is>
          <t>native text sufficient</t>
        </is>
      </c>
      <c r="S984" s="308" t="inlineStr"/>
      <c r="T984" s="308" t="inlineStr">
        <is>
          <t>p29:native:51, p29:native:50</t>
        </is>
      </c>
      <c r="U984" s="308" t="n">
        <v>2</v>
      </c>
    </row>
    <row r="985">
      <c r="A985" s="308" t="inlineStr">
        <is>
          <t>Missing in Excel</t>
        </is>
      </c>
      <c r="B985" s="308" t="inlineStr">
        <is>
          <t>DG7701</t>
        </is>
      </c>
      <c r="C985" s="308" t="n">
        <v>29</v>
      </c>
      <c r="D985" s="308" t="inlineStr">
        <is>
          <t>3/4"-HPC-1B</t>
        </is>
      </c>
      <c r="E985" s="308" t="inlineStr">
        <is>
          <t>HPC</t>
        </is>
      </c>
      <c r="F985" s="308" t="inlineStr">
        <is>
          <t>1B</t>
        </is>
      </c>
      <c r="G985" s="308" t="inlineStr">
        <is>
          <t>line</t>
        </is>
      </c>
      <c r="H985" s="311" t="n">
        <v>0.87</v>
      </c>
      <c r="I985" s="308" t="inlineStr">
        <is>
          <t>Medium</t>
        </is>
      </c>
      <c r="J985" s="308" t="inlineStr">
        <is>
          <t>drawing</t>
        </is>
      </c>
      <c r="K985" s="308" t="inlineStr">
        <is>
          <t>line:size-prefix</t>
        </is>
      </c>
      <c r="L985" s="308" t="inlineStr">
        <is>
          <t>drawing zone; process page; mapped sheet; repeated x10</t>
        </is>
      </c>
      <c r="M985" s="308" t="inlineStr">
        <is>
          <t>3/4"-HPC-1B</t>
        </is>
      </c>
      <c r="N985" s="308" t="inlineStr">
        <is>
          <t>native</t>
        </is>
      </c>
      <c r="O985" s="308" t="inlineStr">
        <is>
          <t>native-only</t>
        </is>
      </c>
      <c r="P985" s="308" t="inlineStr">
        <is>
          <t>native</t>
        </is>
      </c>
      <c r="Q985" s="308" t="inlineStr"/>
      <c r="R985" s="308" t="inlineStr">
        <is>
          <t>native text sufficient</t>
        </is>
      </c>
      <c r="S985" s="308" t="inlineStr"/>
      <c r="T985" s="308" t="inlineStr">
        <is>
          <t>p29:native:105</t>
        </is>
      </c>
      <c r="U985" s="308" t="n">
        <v>1</v>
      </c>
    </row>
    <row r="986">
      <c r="A986" s="308" t="inlineStr">
        <is>
          <t>Missing in Excel</t>
        </is>
      </c>
      <c r="B986" s="308" t="inlineStr">
        <is>
          <t>DG7701</t>
        </is>
      </c>
      <c r="C986" s="308" t="n">
        <v>29</v>
      </c>
      <c r="D986" s="308" t="inlineStr">
        <is>
          <t>3/4"-HPC-1B</t>
        </is>
      </c>
      <c r="E986" s="308" t="inlineStr">
        <is>
          <t>HPC</t>
        </is>
      </c>
      <c r="F986" s="308" t="inlineStr">
        <is>
          <t>1B</t>
        </is>
      </c>
      <c r="G986" s="308" t="inlineStr">
        <is>
          <t>line</t>
        </is>
      </c>
      <c r="H986" s="311" t="n">
        <v>0.87</v>
      </c>
      <c r="I986" s="308" t="inlineStr">
        <is>
          <t>Medium</t>
        </is>
      </c>
      <c r="J986" s="308" t="inlineStr">
        <is>
          <t>drawing</t>
        </is>
      </c>
      <c r="K986" s="308" t="inlineStr">
        <is>
          <t>line:size-prefix</t>
        </is>
      </c>
      <c r="L986" s="308" t="inlineStr">
        <is>
          <t>drawing zone; process page; mapped sheet; repeated x10</t>
        </is>
      </c>
      <c r="M986" s="308" t="inlineStr">
        <is>
          <t>3/4"-HPC-1B</t>
        </is>
      </c>
      <c r="N986" s="308" t="inlineStr">
        <is>
          <t>native</t>
        </is>
      </c>
      <c r="O986" s="308" t="inlineStr">
        <is>
          <t>native-only</t>
        </is>
      </c>
      <c r="P986" s="308" t="inlineStr">
        <is>
          <t>native</t>
        </is>
      </c>
      <c r="Q986" s="308" t="inlineStr"/>
      <c r="R986" s="308" t="inlineStr">
        <is>
          <t>native text sufficient</t>
        </is>
      </c>
      <c r="S986" s="308" t="inlineStr"/>
      <c r="T986" s="308" t="inlineStr">
        <is>
          <t>p29:native:134</t>
        </is>
      </c>
      <c r="U986" s="308" t="n">
        <v>1</v>
      </c>
    </row>
    <row r="987">
      <c r="A987" s="308" t="inlineStr">
        <is>
          <t>Missing in Excel</t>
        </is>
      </c>
      <c r="B987" s="308" t="inlineStr">
        <is>
          <t>DG7701</t>
        </is>
      </c>
      <c r="C987" s="308" t="n">
        <v>29</v>
      </c>
      <c r="D987" s="308" t="inlineStr">
        <is>
          <t>3/4"-HPC-1B</t>
        </is>
      </c>
      <c r="E987" s="308" t="inlineStr">
        <is>
          <t>HPC</t>
        </is>
      </c>
      <c r="F987" s="308" t="inlineStr">
        <is>
          <t>1B</t>
        </is>
      </c>
      <c r="G987" s="308" t="inlineStr">
        <is>
          <t>line</t>
        </is>
      </c>
      <c r="H987" s="311" t="n">
        <v>0.87</v>
      </c>
      <c r="I987" s="308" t="inlineStr">
        <is>
          <t>Medium</t>
        </is>
      </c>
      <c r="J987" s="308" t="inlineStr">
        <is>
          <t>drawing</t>
        </is>
      </c>
      <c r="K987" s="308" t="inlineStr">
        <is>
          <t>line:size-prefix</t>
        </is>
      </c>
      <c r="L987" s="308" t="inlineStr">
        <is>
          <t>drawing zone; process page; mapped sheet; repeated x10</t>
        </is>
      </c>
      <c r="M987" s="308" t="inlineStr">
        <is>
          <t>3/4"-HPC-1B</t>
        </is>
      </c>
      <c r="N987" s="308" t="inlineStr">
        <is>
          <t>native</t>
        </is>
      </c>
      <c r="O987" s="308" t="inlineStr">
        <is>
          <t>native-only</t>
        </is>
      </c>
      <c r="P987" s="308" t="inlineStr">
        <is>
          <t>native</t>
        </is>
      </c>
      <c r="Q987" s="308" t="inlineStr"/>
      <c r="R987" s="308" t="inlineStr">
        <is>
          <t>native text sufficient</t>
        </is>
      </c>
      <c r="S987" s="308" t="inlineStr"/>
      <c r="T987" s="308" t="inlineStr">
        <is>
          <t>p29:native:149</t>
        </is>
      </c>
      <c r="U987" s="308" t="n">
        <v>1</v>
      </c>
    </row>
    <row r="988">
      <c r="A988" s="308" t="inlineStr">
        <is>
          <t>Missing in Excel</t>
        </is>
      </c>
      <c r="B988" s="308" t="inlineStr">
        <is>
          <t>DG7701</t>
        </is>
      </c>
      <c r="C988" s="308" t="n">
        <v>29</v>
      </c>
      <c r="D988" s="308" t="inlineStr">
        <is>
          <t>3/4"-HPC-1B</t>
        </is>
      </c>
      <c r="E988" s="308" t="inlineStr">
        <is>
          <t>HPC</t>
        </is>
      </c>
      <c r="F988" s="308" t="inlineStr">
        <is>
          <t>1B</t>
        </is>
      </c>
      <c r="G988" s="308" t="inlineStr">
        <is>
          <t>line</t>
        </is>
      </c>
      <c r="H988" s="311" t="n">
        <v>0.87</v>
      </c>
      <c r="I988" s="308" t="inlineStr">
        <is>
          <t>Medium</t>
        </is>
      </c>
      <c r="J988" s="308" t="inlineStr">
        <is>
          <t>drawing</t>
        </is>
      </c>
      <c r="K988" s="308" t="inlineStr">
        <is>
          <t>line:size-prefix</t>
        </is>
      </c>
      <c r="L988" s="308" t="inlineStr">
        <is>
          <t>drawing zone; process page; mapped sheet; repeated x10</t>
        </is>
      </c>
      <c r="M988" s="308" t="inlineStr">
        <is>
          <t>3/4"-HPC-1B</t>
        </is>
      </c>
      <c r="N988" s="308" t="inlineStr">
        <is>
          <t>native</t>
        </is>
      </c>
      <c r="O988" s="308" t="inlineStr">
        <is>
          <t>native-only</t>
        </is>
      </c>
      <c r="P988" s="308" t="inlineStr">
        <is>
          <t>native</t>
        </is>
      </c>
      <c r="Q988" s="308" t="inlineStr"/>
      <c r="R988" s="308" t="inlineStr">
        <is>
          <t>native text sufficient</t>
        </is>
      </c>
      <c r="S988" s="308" t="inlineStr"/>
      <c r="T988" s="308" t="inlineStr">
        <is>
          <t>p29:native:150</t>
        </is>
      </c>
      <c r="U988" s="308" t="n">
        <v>1</v>
      </c>
    </row>
    <row r="989">
      <c r="A989" s="308" t="inlineStr">
        <is>
          <t>Missing in Excel</t>
        </is>
      </c>
      <c r="B989" s="308" t="inlineStr">
        <is>
          <t>DG7701</t>
        </is>
      </c>
      <c r="C989" s="308" t="n">
        <v>29</v>
      </c>
      <c r="D989" s="308" t="inlineStr">
        <is>
          <t>3/4"-HPC-1B</t>
        </is>
      </c>
      <c r="E989" s="308" t="inlineStr">
        <is>
          <t>HPC</t>
        </is>
      </c>
      <c r="F989" s="308" t="inlineStr">
        <is>
          <t>1B</t>
        </is>
      </c>
      <c r="G989" s="308" t="inlineStr">
        <is>
          <t>line</t>
        </is>
      </c>
      <c r="H989" s="311" t="n">
        <v>0.87</v>
      </c>
      <c r="I989" s="308" t="inlineStr">
        <is>
          <t>Medium</t>
        </is>
      </c>
      <c r="J989" s="308" t="inlineStr">
        <is>
          <t>drawing</t>
        </is>
      </c>
      <c r="K989" s="308" t="inlineStr">
        <is>
          <t>line:size-prefix</t>
        </is>
      </c>
      <c r="L989" s="308" t="inlineStr">
        <is>
          <t>drawing zone; process page; mapped sheet; repeated x10</t>
        </is>
      </c>
      <c r="M989" s="308" t="inlineStr">
        <is>
          <t>3/4"-HPC-1B</t>
        </is>
      </c>
      <c r="N989" s="308" t="inlineStr">
        <is>
          <t>native</t>
        </is>
      </c>
      <c r="O989" s="308" t="inlineStr">
        <is>
          <t>native-only</t>
        </is>
      </c>
      <c r="P989" s="308" t="inlineStr">
        <is>
          <t>native</t>
        </is>
      </c>
      <c r="Q989" s="308" t="inlineStr"/>
      <c r="R989" s="308" t="inlineStr">
        <is>
          <t>native text sufficient</t>
        </is>
      </c>
      <c r="S989" s="308" t="inlineStr"/>
      <c r="T989" s="308" t="inlineStr">
        <is>
          <t>p29:native:240</t>
        </is>
      </c>
      <c r="U989" s="308" t="n">
        <v>1</v>
      </c>
    </row>
    <row r="990">
      <c r="A990" s="308" t="inlineStr">
        <is>
          <t>Missing in Excel</t>
        </is>
      </c>
      <c r="B990" s="308" t="inlineStr">
        <is>
          <t>DG7701</t>
        </is>
      </c>
      <c r="C990" s="308" t="n">
        <v>29</v>
      </c>
      <c r="D990" s="308" t="inlineStr">
        <is>
          <t>3/4"-HPC-1B</t>
        </is>
      </c>
      <c r="E990" s="308" t="inlineStr">
        <is>
          <t>HPC</t>
        </is>
      </c>
      <c r="F990" s="308" t="inlineStr">
        <is>
          <t>1B</t>
        </is>
      </c>
      <c r="G990" s="308" t="inlineStr">
        <is>
          <t>line</t>
        </is>
      </c>
      <c r="H990" s="311" t="n">
        <v>0.87</v>
      </c>
      <c r="I990" s="308" t="inlineStr">
        <is>
          <t>Medium</t>
        </is>
      </c>
      <c r="J990" s="308" t="inlineStr">
        <is>
          <t>drawing</t>
        </is>
      </c>
      <c r="K990" s="308" t="inlineStr">
        <is>
          <t>line:size-prefix</t>
        </is>
      </c>
      <c r="L990" s="308" t="inlineStr">
        <is>
          <t>drawing zone; process page; mapped sheet; repeated x10</t>
        </is>
      </c>
      <c r="M990" s="308" t="inlineStr">
        <is>
          <t>3/4"-HPC-1B</t>
        </is>
      </c>
      <c r="N990" s="308" t="inlineStr">
        <is>
          <t>native</t>
        </is>
      </c>
      <c r="O990" s="308" t="inlineStr">
        <is>
          <t>native-only</t>
        </is>
      </c>
      <c r="P990" s="308" t="inlineStr">
        <is>
          <t>native</t>
        </is>
      </c>
      <c r="Q990" s="308" t="inlineStr"/>
      <c r="R990" s="308" t="inlineStr">
        <is>
          <t>native text sufficient</t>
        </is>
      </c>
      <c r="S990" s="308" t="inlineStr"/>
      <c r="T990" s="308" t="inlineStr">
        <is>
          <t>p29:native:247</t>
        </is>
      </c>
      <c r="U990" s="308" t="n">
        <v>1</v>
      </c>
    </row>
    <row r="991">
      <c r="A991" s="308" t="inlineStr">
        <is>
          <t>Missing in Excel</t>
        </is>
      </c>
      <c r="B991" s="308" t="inlineStr">
        <is>
          <t>DG7701</t>
        </is>
      </c>
      <c r="C991" s="308" t="n">
        <v>29</v>
      </c>
      <c r="D991" s="308" t="inlineStr">
        <is>
          <t>3/4"-HPC-1B</t>
        </is>
      </c>
      <c r="E991" s="308" t="inlineStr">
        <is>
          <t>HPC</t>
        </is>
      </c>
      <c r="F991" s="308" t="inlineStr">
        <is>
          <t>1B</t>
        </is>
      </c>
      <c r="G991" s="308" t="inlineStr">
        <is>
          <t>line</t>
        </is>
      </c>
      <c r="H991" s="311" t="n">
        <v>0.87</v>
      </c>
      <c r="I991" s="308" t="inlineStr">
        <is>
          <t>Medium</t>
        </is>
      </c>
      <c r="J991" s="308" t="inlineStr">
        <is>
          <t>drawing</t>
        </is>
      </c>
      <c r="K991" s="308" t="inlineStr">
        <is>
          <t>line:size-prefix</t>
        </is>
      </c>
      <c r="L991" s="308" t="inlineStr">
        <is>
          <t>drawing zone; process page; mapped sheet; repeated x10</t>
        </is>
      </c>
      <c r="M991" s="308" t="inlineStr">
        <is>
          <t>3/4"-HPC-1B RL7</t>
        </is>
      </c>
      <c r="N991" s="308" t="inlineStr">
        <is>
          <t>native</t>
        </is>
      </c>
      <c r="O991" s="308" t="inlineStr">
        <is>
          <t>native-only</t>
        </is>
      </c>
      <c r="P991" s="308" t="inlineStr">
        <is>
          <t>native</t>
        </is>
      </c>
      <c r="Q991" s="308" t="inlineStr"/>
      <c r="R991" s="308" t="inlineStr">
        <is>
          <t>native text sufficient</t>
        </is>
      </c>
      <c r="S991" s="308" t="inlineStr"/>
      <c r="T991" s="308" t="inlineStr">
        <is>
          <t>p29:native:134, p29:native:128</t>
        </is>
      </c>
      <c r="U991" s="308" t="n">
        <v>2</v>
      </c>
    </row>
    <row r="992">
      <c r="A992" s="308" t="inlineStr">
        <is>
          <t>Missing in Excel</t>
        </is>
      </c>
      <c r="B992" s="308" t="inlineStr">
        <is>
          <t>DG7701</t>
        </is>
      </c>
      <c r="C992" s="308" t="n">
        <v>29</v>
      </c>
      <c r="D992" s="308" t="inlineStr">
        <is>
          <t>RL-CIP-200</t>
        </is>
      </c>
      <c r="E992" s="308" t="inlineStr">
        <is>
          <t>RL-CIP-200</t>
        </is>
      </c>
      <c r="F992" s="308" t="inlineStr"/>
      <c r="G992" s="308" t="inlineStr">
        <is>
          <t>equipment</t>
        </is>
      </c>
      <c r="H992" s="311" t="n">
        <v>0.49</v>
      </c>
      <c r="I992" s="308" t="inlineStr">
        <is>
          <t>Low</t>
        </is>
      </c>
      <c r="J992" s="308" t="inlineStr">
        <is>
          <t>title-block/right</t>
        </is>
      </c>
      <c r="K992" s="308" t="inlineStr">
        <is>
          <t>standalone:asset</t>
        </is>
      </c>
      <c r="L992" s="308" t="inlineStr">
        <is>
          <t>title-block penalty; process page; mapped sheet</t>
        </is>
      </c>
      <c r="M992" s="308" t="inlineStr">
        <is>
          <t>RL-CIP-200</t>
        </is>
      </c>
      <c r="N992" s="308" t="inlineStr">
        <is>
          <t>native</t>
        </is>
      </c>
      <c r="O992" s="308" t="inlineStr">
        <is>
          <t>native-only</t>
        </is>
      </c>
      <c r="P992" s="308" t="inlineStr">
        <is>
          <t>native</t>
        </is>
      </c>
      <c r="Q992" s="308" t="inlineStr"/>
      <c r="R992" s="308" t="inlineStr">
        <is>
          <t>native text sufficient</t>
        </is>
      </c>
      <c r="S992" s="308" t="inlineStr"/>
      <c r="T992" s="308" t="inlineStr">
        <is>
          <t>p29:native:55</t>
        </is>
      </c>
      <c r="U992" s="308" t="n">
        <v>1</v>
      </c>
    </row>
    <row r="993">
      <c r="A993" s="308" t="inlineStr">
        <is>
          <t>Missing in Excel</t>
        </is>
      </c>
      <c r="B993" s="308" t="inlineStr">
        <is>
          <t>DG7701</t>
        </is>
      </c>
      <c r="C993" s="308" t="n">
        <v>29</v>
      </c>
      <c r="D993" s="308" t="inlineStr">
        <is>
          <t>RL7-CKR-103</t>
        </is>
      </c>
      <c r="E993" s="308" t="inlineStr">
        <is>
          <t>RL7-CKR-103</t>
        </is>
      </c>
      <c r="F993" s="308" t="inlineStr"/>
      <c r="G993" s="308" t="inlineStr">
        <is>
          <t>equipment</t>
        </is>
      </c>
      <c r="H993" s="311" t="n">
        <v>0.49</v>
      </c>
      <c r="I993" s="308" t="inlineStr">
        <is>
          <t>Low</t>
        </is>
      </c>
      <c r="J993" s="308" t="inlineStr">
        <is>
          <t>title-block/right</t>
        </is>
      </c>
      <c r="K993" s="308" t="inlineStr">
        <is>
          <t>standalone:asset</t>
        </is>
      </c>
      <c r="L993" s="308" t="inlineStr">
        <is>
          <t>title-block penalty; process page; mapped sheet</t>
        </is>
      </c>
      <c r="M993" s="308" t="inlineStr">
        <is>
          <t>RL7-CKR-103</t>
        </is>
      </c>
      <c r="N993" s="308" t="inlineStr">
        <is>
          <t>native</t>
        </is>
      </c>
      <c r="O993" s="308" t="inlineStr">
        <is>
          <t>native-only</t>
        </is>
      </c>
      <c r="P993" s="308" t="inlineStr">
        <is>
          <t>native</t>
        </is>
      </c>
      <c r="Q993" s="308" t="inlineStr"/>
      <c r="R993" s="308" t="inlineStr">
        <is>
          <t>native text sufficient</t>
        </is>
      </c>
      <c r="S993" s="308" t="inlineStr"/>
      <c r="T993" s="308" t="inlineStr">
        <is>
          <t>p29:native:59</t>
        </is>
      </c>
      <c r="U993" s="308" t="n">
        <v>1</v>
      </c>
    </row>
  </sheetData>
  <autoFilter ref="A1:U993"/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1">
    <tabColor theme="4" tint="0.7999816888943144"/>
    <outlinePr summaryBelow="1" summaryRight="1"/>
    <pageSetUpPr fitToPage="1"/>
  </sheetPr>
  <dimension ref="A1:AQ1662"/>
  <sheetViews>
    <sheetView tabSelected="1" zoomScaleNormal="100" zoomScaleSheetLayoutView="85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C2" sqref="C2:C1048576"/>
    </sheetView>
  </sheetViews>
  <sheetFormatPr baseColWidth="8" defaultColWidth="8.85546875" defaultRowHeight="15"/>
  <cols>
    <col width="8.42578125" bestFit="1" customWidth="1" style="165" min="1" max="1"/>
    <col hidden="1" width="22.42578125" customWidth="1" style="167" min="2" max="2"/>
    <col width="33.28515625" customWidth="1" style="267" min="3" max="3"/>
    <col hidden="1" width="12.28515625" customWidth="1" style="282" min="4" max="4"/>
    <col width="10.28515625" customWidth="1" style="167" min="5" max="5"/>
    <col width="86" customWidth="1" style="168" min="6" max="6"/>
    <col width="8.140625" bestFit="1" customWidth="1" style="165" min="7" max="7"/>
    <col width="9" customWidth="1" style="167" min="8" max="8"/>
    <col width="19.5703125" bestFit="1" customWidth="1" style="167" min="9" max="9"/>
    <col width="7.7109375" customWidth="1" style="165" min="10" max="12"/>
    <col width="12.7109375" customWidth="1" style="165" min="13" max="14"/>
    <col width="13.7109375" customWidth="1" style="195" min="15" max="15"/>
    <col width="11.140625" customWidth="1" style="165" min="16" max="23"/>
    <col width="8.28515625" customWidth="1" style="165" min="24" max="25"/>
    <col width="57.140625" customWidth="1" style="175" min="26" max="26"/>
    <col width="8.85546875" customWidth="1" style="122" min="27" max="37"/>
    <col width="8.85546875" customWidth="1" style="122" min="38" max="16384"/>
  </cols>
  <sheetData>
    <row r="1" ht="60.6" customFormat="1" customHeight="1" s="136">
      <c r="A1" s="196" t="inlineStr">
        <is>
          <t>NO</t>
        </is>
      </c>
      <c r="B1" s="198" t="inlineStr">
        <is>
          <t>PHASE 2 TAG</t>
        </is>
      </c>
      <c r="C1" s="273" t="inlineStr">
        <is>
          <t>PHASE 2A TAG</t>
        </is>
      </c>
      <c r="D1" s="198" t="inlineStr">
        <is>
          <t>OEM TAG</t>
        </is>
      </c>
      <c r="E1" s="198" t="inlineStr">
        <is>
          <t>JB</t>
        </is>
      </c>
      <c r="F1" s="198" t="inlineStr">
        <is>
          <t>DESCRIPTION</t>
        </is>
      </c>
      <c r="G1" s="198" t="inlineStr">
        <is>
          <t>P&amp;ID</t>
        </is>
      </c>
      <c r="H1" s="198" t="inlineStr">
        <is>
          <t>ROOM</t>
        </is>
      </c>
      <c r="I1" s="198" t="inlineStr">
        <is>
          <t>PANEL</t>
        </is>
      </c>
      <c r="J1" s="199" t="inlineStr">
        <is>
          <t>ORDER</t>
        </is>
      </c>
      <c r="K1" s="199" t="inlineStr">
        <is>
          <t>SLOT</t>
        </is>
      </c>
      <c r="L1" s="199" t="inlineStr">
        <is>
          <t>CH</t>
        </is>
      </c>
      <c r="M1" s="198" t="inlineStr">
        <is>
          <t>MODULE 
TYPE</t>
        </is>
      </c>
      <c r="N1" s="198" t="inlineStr">
        <is>
          <t>MODULE 
P/N</t>
        </is>
      </c>
      <c r="O1" s="213" t="inlineStr">
        <is>
          <t>RANGE</t>
        </is>
      </c>
      <c r="P1" s="199" t="inlineStr">
        <is>
          <t>DEVICE
INSTALLED</t>
        </is>
      </c>
      <c r="Q1" s="199" t="inlineStr">
        <is>
          <t>DEVICE
TAGGED</t>
        </is>
      </c>
      <c r="R1" s="199" t="inlineStr">
        <is>
          <t>CA
INSTALLED</t>
        </is>
      </c>
      <c r="S1" s="199" t="inlineStr">
        <is>
          <t>RACEWAYS
COMPLETE</t>
        </is>
      </c>
      <c r="T1" s="199" t="inlineStr">
        <is>
          <t>WIRE
PULLED</t>
        </is>
      </c>
      <c r="U1" s="199" t="inlineStr">
        <is>
          <t>WIRE
TERMED</t>
        </is>
      </c>
      <c r="V1" s="199" t="inlineStr">
        <is>
          <t>WIRE
TAGGED</t>
        </is>
      </c>
      <c r="W1" s="199" t="inlineStr">
        <is>
          <t>POINT
TO POINT</t>
        </is>
      </c>
      <c r="X1" s="201" t="inlineStr">
        <is>
          <t>IO CHECK</t>
        </is>
      </c>
      <c r="Y1" s="201" t="inlineStr">
        <is>
          <t>IO GOOD</t>
        </is>
      </c>
      <c r="Z1" s="198" t="inlineStr">
        <is>
          <t>NOTES</t>
        </is>
      </c>
      <c r="AA1" s="306" t="inlineStr">
        <is>
          <t>Comparison Status</t>
        </is>
      </c>
      <c r="AB1" s="306" t="inlineStr">
        <is>
          <t>Best Confidence</t>
        </is>
      </c>
      <c r="AC1" s="306" t="inlineStr">
        <is>
          <t>Rating</t>
        </is>
      </c>
      <c r="AD1" s="306" t="inlineStr">
        <is>
          <t>PDF Occurrences</t>
        </is>
      </c>
      <c r="AE1" s="306" t="inlineStr">
        <is>
          <t>Best PDF Sheet</t>
        </is>
      </c>
      <c r="AF1" s="306" t="inlineStr">
        <is>
          <t>Best PDF Page</t>
        </is>
      </c>
      <c r="AG1" s="306" t="inlineStr">
        <is>
          <t>Best PDF Zone</t>
        </is>
      </c>
      <c r="AH1" s="306" t="inlineStr">
        <is>
          <t>Best PDF Method</t>
        </is>
      </c>
      <c r="AI1" s="306" t="inlineStr">
        <is>
          <t>Best Evidence</t>
        </is>
      </c>
      <c r="AJ1" s="306" t="inlineStr">
        <is>
          <t>Best Text Source</t>
        </is>
      </c>
      <c r="AK1" s="306" t="inlineStr">
        <is>
          <t>Best Source Agreement</t>
        </is>
      </c>
      <c r="AL1" s="306" t="inlineStr">
        <is>
          <t>Best OCR Confidence</t>
        </is>
      </c>
      <c r="AM1" s="306" t="inlineStr">
        <is>
          <t>Allowed Pages</t>
        </is>
      </c>
      <c r="AN1" s="306" t="inlineStr">
        <is>
          <t>Sheet Filter Used</t>
        </is>
      </c>
      <c r="AO1" s="306" t="inlineStr">
        <is>
          <t>Filter Reason</t>
        </is>
      </c>
      <c r="AP1" s="306" t="inlineStr">
        <is>
          <t>Source Node IDs</t>
        </is>
      </c>
      <c r="AQ1" s="306" t="inlineStr">
        <is>
          <t>Source Node Count</t>
        </is>
      </c>
    </row>
    <row r="2">
      <c r="A2" s="203">
        <f>ROW()-2</f>
        <v/>
      </c>
      <c r="B2" s="128" t="inlineStr">
        <is>
          <t>RL7-LFT-101-1:I.PT00</t>
        </is>
      </c>
      <c r="C2" s="312" t="inlineStr">
        <is>
          <t>RL7-LFT-101-1:I.PT00</t>
        </is>
      </c>
      <c r="D2" s="262" t="n"/>
      <c r="E2" s="128" t="n"/>
      <c r="F2" s="138" t="inlineStr">
        <is>
          <t>E-STOP OK</t>
        </is>
      </c>
      <c r="G2" s="131" t="inlineStr">
        <is>
          <t>DG6800</t>
        </is>
      </c>
      <c r="H2" s="128" t="inlineStr">
        <is>
          <t>PROC</t>
        </is>
      </c>
      <c r="I2" s="132" t="inlineStr">
        <is>
          <t>RL7-LFT-RIO1</t>
        </is>
      </c>
      <c r="J2" s="133" t="n">
        <v>2</v>
      </c>
      <c r="K2" s="129" t="n">
        <v>1</v>
      </c>
      <c r="L2" s="129" t="n">
        <v>0</v>
      </c>
      <c r="M2" s="129" t="inlineStr">
        <is>
          <t>24 VDC DI</t>
        </is>
      </c>
      <c r="N2" s="129" t="inlineStr">
        <is>
          <t>5069-IB16</t>
        </is>
      </c>
      <c r="O2" s="139" t="n"/>
      <c r="P2" s="127" t="n"/>
      <c r="Q2" s="127" t="n"/>
      <c r="R2" s="127" t="n"/>
      <c r="S2" s="127" t="n"/>
      <c r="T2" s="127" t="n"/>
      <c r="U2" s="127" t="n"/>
      <c r="V2" s="127" t="n"/>
      <c r="W2" s="127" t="n"/>
      <c r="X2" s="127" t="n"/>
      <c r="Y2" s="127" t="n"/>
      <c r="Z2" s="140" t="inlineStr">
        <is>
          <t>OEM PANEL</t>
        </is>
      </c>
      <c r="AA2" t="inlineStr">
        <is>
          <t>Skipped - unrecognized tag</t>
        </is>
      </c>
      <c r="AC2" t="inlineStr">
        <is>
          <t>Low</t>
        </is>
      </c>
      <c r="AN2" t="inlineStr">
        <is>
          <t>Yes</t>
        </is>
      </c>
      <c r="AO2" t="inlineStr">
        <is>
          <t>unrecognized tag</t>
        </is>
      </c>
    </row>
    <row r="3">
      <c r="A3" s="203">
        <f>ROW()-2</f>
        <v/>
      </c>
      <c r="B3" s="128" t="inlineStr">
        <is>
          <t>RL7-LFT-101-1:I.PT01</t>
        </is>
      </c>
      <c r="C3" s="312" t="inlineStr">
        <is>
          <t>RL7-LFT-101-1:I.PT01</t>
        </is>
      </c>
      <c r="D3" s="262" t="n"/>
      <c r="E3" s="128" t="n"/>
      <c r="F3" s="138" t="inlineStr">
        <is>
          <t>THERMAL FAULT HYDRAULIC</t>
        </is>
      </c>
      <c r="G3" s="131" t="inlineStr">
        <is>
          <t>DG6800</t>
        </is>
      </c>
      <c r="H3" s="128" t="inlineStr">
        <is>
          <t>PROC</t>
        </is>
      </c>
      <c r="I3" s="132" t="inlineStr">
        <is>
          <t>RL7-LFT-RIO1</t>
        </is>
      </c>
      <c r="J3" s="133" t="n">
        <v>2</v>
      </c>
      <c r="K3" s="129" t="n">
        <v>1</v>
      </c>
      <c r="L3" s="129" t="n">
        <v>1</v>
      </c>
      <c r="M3" s="129" t="inlineStr">
        <is>
          <t>24 VDC DI</t>
        </is>
      </c>
      <c r="N3" s="129" t="inlineStr">
        <is>
          <t>5069-IB16</t>
        </is>
      </c>
      <c r="O3" s="139" t="n"/>
      <c r="P3" s="127" t="n"/>
      <c r="Q3" s="127" t="n"/>
      <c r="R3" s="127" t="n"/>
      <c r="S3" s="127" t="n"/>
      <c r="T3" s="127" t="n"/>
      <c r="U3" s="127" t="n"/>
      <c r="V3" s="127" t="n"/>
      <c r="W3" s="127" t="n"/>
      <c r="X3" s="127" t="n"/>
      <c r="Y3" s="127" t="n"/>
      <c r="Z3" s="140" t="inlineStr">
        <is>
          <t>OEM PANEL</t>
        </is>
      </c>
      <c r="AA3" t="inlineStr">
        <is>
          <t>Skipped - unrecognized tag</t>
        </is>
      </c>
      <c r="AC3" t="inlineStr">
        <is>
          <t>Low</t>
        </is>
      </c>
      <c r="AN3" t="inlineStr">
        <is>
          <t>Yes</t>
        </is>
      </c>
      <c r="AO3" t="inlineStr">
        <is>
          <t>unrecognized tag</t>
        </is>
      </c>
    </row>
    <row r="4">
      <c r="A4" s="203">
        <f>ROW()-2</f>
        <v/>
      </c>
      <c r="B4" s="128" t="inlineStr">
        <is>
          <t>RL7-LFT-101-1:I.PT02</t>
        </is>
      </c>
      <c r="C4" s="312" t="inlineStr">
        <is>
          <t>RL7-LFT-101-1:I.PT02</t>
        </is>
      </c>
      <c r="D4" s="262" t="n"/>
      <c r="E4" s="128" t="n"/>
      <c r="F4" s="138" t="inlineStr">
        <is>
          <t>THERMAL FAULT LIFT</t>
        </is>
      </c>
      <c r="G4" s="131" t="inlineStr">
        <is>
          <t>DG6800</t>
        </is>
      </c>
      <c r="H4" s="128" t="inlineStr">
        <is>
          <t>PROC</t>
        </is>
      </c>
      <c r="I4" s="132" t="inlineStr">
        <is>
          <t>RL7-LFT-RIO1</t>
        </is>
      </c>
      <c r="J4" s="133" t="n">
        <v>2</v>
      </c>
      <c r="K4" s="129" t="n">
        <v>1</v>
      </c>
      <c r="L4" s="129" t="n">
        <v>2</v>
      </c>
      <c r="M4" s="129" t="inlineStr">
        <is>
          <t>24 VDC DI</t>
        </is>
      </c>
      <c r="N4" s="129" t="inlineStr">
        <is>
          <t>5069-IB16</t>
        </is>
      </c>
      <c r="O4" s="139" t="n"/>
      <c r="P4" s="127" t="n"/>
      <c r="Q4" s="127" t="n"/>
      <c r="R4" s="127" t="n"/>
      <c r="S4" s="127" t="n"/>
      <c r="T4" s="127" t="n"/>
      <c r="U4" s="127" t="n"/>
      <c r="V4" s="127" t="n"/>
      <c r="W4" s="127" t="n"/>
      <c r="X4" s="127" t="n"/>
      <c r="Y4" s="127" t="n"/>
      <c r="Z4" s="140" t="inlineStr">
        <is>
          <t>OEM PANEL</t>
        </is>
      </c>
      <c r="AA4" t="inlineStr">
        <is>
          <t>Skipped - unrecognized tag</t>
        </is>
      </c>
      <c r="AC4" t="inlineStr">
        <is>
          <t>Low</t>
        </is>
      </c>
      <c r="AN4" t="inlineStr">
        <is>
          <t>Yes</t>
        </is>
      </c>
      <c r="AO4" t="inlineStr">
        <is>
          <t>unrecognized tag</t>
        </is>
      </c>
    </row>
    <row r="5">
      <c r="A5" s="203">
        <f>ROW()-2</f>
        <v/>
      </c>
      <c r="B5" s="128" t="inlineStr">
        <is>
          <t>RL7-LFT-101-1:I.PT03</t>
        </is>
      </c>
      <c r="C5" s="312" t="inlineStr">
        <is>
          <t>RL7-LFT-101-1:I.PT03</t>
        </is>
      </c>
      <c r="D5" s="262" t="n"/>
      <c r="E5" s="128" t="n"/>
      <c r="F5" s="138" t="inlineStr">
        <is>
          <t>STOP BUTTON</t>
        </is>
      </c>
      <c r="G5" s="131" t="inlineStr">
        <is>
          <t>DG6800</t>
        </is>
      </c>
      <c r="H5" s="128" t="inlineStr">
        <is>
          <t>PROC</t>
        </is>
      </c>
      <c r="I5" s="132" t="inlineStr">
        <is>
          <t>RL7-LFT-RIO1</t>
        </is>
      </c>
      <c r="J5" s="133" t="n">
        <v>2</v>
      </c>
      <c r="K5" s="129" t="n">
        <v>1</v>
      </c>
      <c r="L5" s="129" t="n">
        <v>3</v>
      </c>
      <c r="M5" s="129" t="inlineStr">
        <is>
          <t>24 VDC DI</t>
        </is>
      </c>
      <c r="N5" s="129" t="inlineStr">
        <is>
          <t>5069-IB16</t>
        </is>
      </c>
      <c r="O5" s="139" t="n"/>
      <c r="P5" s="127" t="n"/>
      <c r="Q5" s="127" t="n"/>
      <c r="R5" s="127" t="n"/>
      <c r="S5" s="127" t="n"/>
      <c r="T5" s="127" t="n"/>
      <c r="U5" s="127" t="n"/>
      <c r="V5" s="127" t="n"/>
      <c r="W5" s="127" t="n"/>
      <c r="X5" s="127" t="n"/>
      <c r="Y5" s="127" t="n"/>
      <c r="Z5" s="140" t="inlineStr">
        <is>
          <t>OEM PANEL</t>
        </is>
      </c>
      <c r="AA5" t="inlineStr">
        <is>
          <t>Skipped - unrecognized tag</t>
        </is>
      </c>
      <c r="AC5" t="inlineStr">
        <is>
          <t>Low</t>
        </is>
      </c>
      <c r="AN5" t="inlineStr">
        <is>
          <t>Yes</t>
        </is>
      </c>
      <c r="AO5" t="inlineStr">
        <is>
          <t>unrecognized tag</t>
        </is>
      </c>
    </row>
    <row r="6">
      <c r="A6" s="203">
        <f>ROW()-2</f>
        <v/>
      </c>
      <c r="B6" s="128" t="inlineStr">
        <is>
          <t>RL7-LFT-101-1:I.PT04</t>
        </is>
      </c>
      <c r="C6" s="312" t="inlineStr">
        <is>
          <t>RL7-LFT-101-1:I.PT04</t>
        </is>
      </c>
      <c r="D6" s="262" t="n"/>
      <c r="E6" s="128" t="n"/>
      <c r="F6" s="138" t="inlineStr">
        <is>
          <t>LIFT UP BUTTON</t>
        </is>
      </c>
      <c r="G6" s="131" t="inlineStr">
        <is>
          <t>DG6800</t>
        </is>
      </c>
      <c r="H6" s="128" t="inlineStr">
        <is>
          <t>PROC</t>
        </is>
      </c>
      <c r="I6" s="132" t="inlineStr">
        <is>
          <t>RL7-LFT-RIO1</t>
        </is>
      </c>
      <c r="J6" s="133" t="n">
        <v>2</v>
      </c>
      <c r="K6" s="129" t="n">
        <v>1</v>
      </c>
      <c r="L6" s="129" t="n">
        <v>4</v>
      </c>
      <c r="M6" s="129" t="inlineStr">
        <is>
          <t>24 VDC DI</t>
        </is>
      </c>
      <c r="N6" s="129" t="inlineStr">
        <is>
          <t>5069-IB16</t>
        </is>
      </c>
      <c r="O6" s="139" t="n"/>
      <c r="P6" s="127" t="n"/>
      <c r="Q6" s="127" t="n"/>
      <c r="R6" s="127" t="n"/>
      <c r="S6" s="127" t="n"/>
      <c r="T6" s="127" t="n"/>
      <c r="U6" s="127" t="n"/>
      <c r="V6" s="127" t="n"/>
      <c r="W6" s="127" t="n"/>
      <c r="X6" s="127" t="n"/>
      <c r="Y6" s="127" t="n"/>
      <c r="Z6" s="140" t="inlineStr">
        <is>
          <t>OEM PANEL</t>
        </is>
      </c>
      <c r="AA6" t="inlineStr">
        <is>
          <t>Skipped - unrecognized tag</t>
        </is>
      </c>
      <c r="AC6" t="inlineStr">
        <is>
          <t>Low</t>
        </is>
      </c>
      <c r="AN6" t="inlineStr">
        <is>
          <t>Yes</t>
        </is>
      </c>
      <c r="AO6" t="inlineStr">
        <is>
          <t>unrecognized tag</t>
        </is>
      </c>
    </row>
    <row r="7">
      <c r="A7" s="203">
        <f>ROW()-2</f>
        <v/>
      </c>
      <c r="B7" s="128" t="inlineStr">
        <is>
          <t>RL7-LFT-101-1:I.PT05</t>
        </is>
      </c>
      <c r="C7" s="312" t="inlineStr">
        <is>
          <t>RL7-LFT-101-1:I.PT05</t>
        </is>
      </c>
      <c r="D7" s="262" t="n"/>
      <c r="E7" s="128" t="n"/>
      <c r="F7" s="138" t="inlineStr">
        <is>
          <t>LIFT DOWN BUTTON</t>
        </is>
      </c>
      <c r="G7" s="131" t="inlineStr">
        <is>
          <t>DG6800</t>
        </is>
      </c>
      <c r="H7" s="128" t="inlineStr">
        <is>
          <t>PROC</t>
        </is>
      </c>
      <c r="I7" s="132" t="inlineStr">
        <is>
          <t>RL7-LFT-RIO1</t>
        </is>
      </c>
      <c r="J7" s="133" t="n">
        <v>2</v>
      </c>
      <c r="K7" s="129" t="n">
        <v>1</v>
      </c>
      <c r="L7" s="129" t="n">
        <v>5</v>
      </c>
      <c r="M7" s="129" t="inlineStr">
        <is>
          <t>24 VDC DI</t>
        </is>
      </c>
      <c r="N7" s="129" t="inlineStr">
        <is>
          <t>5069-IB16</t>
        </is>
      </c>
      <c r="O7" s="139" t="n"/>
      <c r="P7" s="127" t="n"/>
      <c r="Q7" s="127" t="n"/>
      <c r="R7" s="127" t="n"/>
      <c r="S7" s="127" t="n"/>
      <c r="T7" s="127" t="n"/>
      <c r="U7" s="127" t="n"/>
      <c r="V7" s="127" t="n"/>
      <c r="W7" s="127" t="n"/>
      <c r="X7" s="127" t="n"/>
      <c r="Y7" s="127" t="n"/>
      <c r="Z7" s="140" t="inlineStr">
        <is>
          <t>OEM PANEL</t>
        </is>
      </c>
      <c r="AA7" t="inlineStr">
        <is>
          <t>Skipped - unrecognized tag</t>
        </is>
      </c>
      <c r="AC7" t="inlineStr">
        <is>
          <t>Low</t>
        </is>
      </c>
      <c r="AN7" t="inlineStr">
        <is>
          <t>Yes</t>
        </is>
      </c>
      <c r="AO7" t="inlineStr">
        <is>
          <t>unrecognized tag</t>
        </is>
      </c>
    </row>
    <row r="8">
      <c r="A8" s="203">
        <f>ROW()-2</f>
        <v/>
      </c>
      <c r="B8" s="128" t="inlineStr">
        <is>
          <t>RL7-LFT-101-1:I.PT06</t>
        </is>
      </c>
      <c r="C8" s="312" t="inlineStr">
        <is>
          <t>RL7-LFT-101-1:I.PT06</t>
        </is>
      </c>
      <c r="D8" s="262" t="n"/>
      <c r="E8" s="128" t="n"/>
      <c r="F8" s="138" t="inlineStr">
        <is>
          <t>TURN RIGHT SWITCH SELECTOR</t>
        </is>
      </c>
      <c r="G8" s="131" t="inlineStr">
        <is>
          <t>DG6800</t>
        </is>
      </c>
      <c r="H8" s="128" t="inlineStr">
        <is>
          <t>PROC</t>
        </is>
      </c>
      <c r="I8" s="132" t="inlineStr">
        <is>
          <t>RL7-LFT-RIO1</t>
        </is>
      </c>
      <c r="J8" s="133" t="n">
        <v>2</v>
      </c>
      <c r="K8" s="129" t="n">
        <v>1</v>
      </c>
      <c r="L8" s="129" t="n">
        <v>6</v>
      </c>
      <c r="M8" s="129" t="inlineStr">
        <is>
          <t>24 VDC DI</t>
        </is>
      </c>
      <c r="N8" s="129" t="inlineStr">
        <is>
          <t>5069-IB16</t>
        </is>
      </c>
      <c r="O8" s="139" t="n"/>
      <c r="P8" s="127" t="n"/>
      <c r="Q8" s="127" t="n"/>
      <c r="R8" s="127" t="n"/>
      <c r="S8" s="127" t="n"/>
      <c r="T8" s="127" t="n"/>
      <c r="U8" s="127" t="n"/>
      <c r="V8" s="127" t="n"/>
      <c r="W8" s="127" t="n"/>
      <c r="X8" s="127" t="n"/>
      <c r="Y8" s="127" t="n"/>
      <c r="Z8" s="140" t="inlineStr">
        <is>
          <t>OEM PANEL</t>
        </is>
      </c>
      <c r="AA8" t="inlineStr">
        <is>
          <t>Skipped - unrecognized tag</t>
        </is>
      </c>
      <c r="AC8" t="inlineStr">
        <is>
          <t>Low</t>
        </is>
      </c>
      <c r="AN8" t="inlineStr">
        <is>
          <t>Yes</t>
        </is>
      </c>
      <c r="AO8" t="inlineStr">
        <is>
          <t>unrecognized tag</t>
        </is>
      </c>
    </row>
    <row r="9">
      <c r="A9" s="203">
        <f>ROW()-2</f>
        <v/>
      </c>
      <c r="B9" s="128" t="inlineStr">
        <is>
          <t>RL7-LFT-101-1:I.PT07</t>
        </is>
      </c>
      <c r="C9" s="312" t="inlineStr">
        <is>
          <t>RL7-LFT-101-1:I.PT07</t>
        </is>
      </c>
      <c r="D9" s="262" t="n"/>
      <c r="E9" s="128" t="n"/>
      <c r="F9" s="138" t="inlineStr">
        <is>
          <t>TURN LEFT SWITCH SELECTOR</t>
        </is>
      </c>
      <c r="G9" s="131" t="inlineStr">
        <is>
          <t>DG6800</t>
        </is>
      </c>
      <c r="H9" s="128" t="inlineStr">
        <is>
          <t>PROC</t>
        </is>
      </c>
      <c r="I9" s="132" t="inlineStr">
        <is>
          <t>RL7-LFT-RIO1</t>
        </is>
      </c>
      <c r="J9" s="133" t="n">
        <v>2</v>
      </c>
      <c r="K9" s="129" t="n">
        <v>1</v>
      </c>
      <c r="L9" s="129" t="n">
        <v>7</v>
      </c>
      <c r="M9" s="129" t="inlineStr">
        <is>
          <t>24 VDC DI</t>
        </is>
      </c>
      <c r="N9" s="129" t="inlineStr">
        <is>
          <t>5069-IB16</t>
        </is>
      </c>
      <c r="O9" s="139" t="n"/>
      <c r="P9" s="127" t="n"/>
      <c r="Q9" s="127" t="n"/>
      <c r="R9" s="127" t="n"/>
      <c r="S9" s="127" t="n"/>
      <c r="T9" s="127" t="n"/>
      <c r="U9" s="127" t="n"/>
      <c r="V9" s="127" t="n"/>
      <c r="W9" s="127" t="n"/>
      <c r="X9" s="127" t="n"/>
      <c r="Y9" s="127" t="n"/>
      <c r="Z9" s="140" t="inlineStr">
        <is>
          <t>OEM PANEL</t>
        </is>
      </c>
      <c r="AA9" t="inlineStr">
        <is>
          <t>Skipped - unrecognized tag</t>
        </is>
      </c>
      <c r="AC9" t="inlineStr">
        <is>
          <t>Low</t>
        </is>
      </c>
      <c r="AN9" t="inlineStr">
        <is>
          <t>Yes</t>
        </is>
      </c>
      <c r="AO9" t="inlineStr">
        <is>
          <t>unrecognized tag</t>
        </is>
      </c>
    </row>
    <row r="10">
      <c r="A10" s="203">
        <f>ROW()-2</f>
        <v/>
      </c>
      <c r="B10" s="128" t="inlineStr">
        <is>
          <t>RL7-LFT-101-1:I.PT08</t>
        </is>
      </c>
      <c r="C10" s="312" t="inlineStr">
        <is>
          <t>RL7-LFT-101-1:I.PT08</t>
        </is>
      </c>
      <c r="D10" s="262" t="n"/>
      <c r="E10" s="128" t="n"/>
      <c r="F10" s="138" t="inlineStr">
        <is>
          <t>CLAMP SWITCH SELECTOR</t>
        </is>
      </c>
      <c r="G10" s="131" t="inlineStr">
        <is>
          <t>DG6800</t>
        </is>
      </c>
      <c r="H10" s="128" t="inlineStr">
        <is>
          <t>PROC</t>
        </is>
      </c>
      <c r="I10" s="132" t="inlineStr">
        <is>
          <t>RL7-LFT-RIO1</t>
        </is>
      </c>
      <c r="J10" s="133" t="n">
        <v>2</v>
      </c>
      <c r="K10" s="129" t="n">
        <v>1</v>
      </c>
      <c r="L10" s="129" t="n">
        <v>8</v>
      </c>
      <c r="M10" s="129" t="inlineStr">
        <is>
          <t>24 VDC DI</t>
        </is>
      </c>
      <c r="N10" s="129" t="inlineStr">
        <is>
          <t>5069-IB16</t>
        </is>
      </c>
      <c r="O10" s="139" t="n"/>
      <c r="P10" s="127" t="n"/>
      <c r="Q10" s="127" t="n"/>
      <c r="R10" s="127" t="n"/>
      <c r="S10" s="127" t="n"/>
      <c r="T10" s="127" t="n"/>
      <c r="U10" s="127" t="n"/>
      <c r="V10" s="127" t="n"/>
      <c r="W10" s="127" t="n"/>
      <c r="X10" s="127" t="n"/>
      <c r="Y10" s="127" t="n"/>
      <c r="Z10" s="140" t="inlineStr">
        <is>
          <t>OEM PANEL</t>
        </is>
      </c>
      <c r="AA10" t="inlineStr">
        <is>
          <t>Skipped - unrecognized tag</t>
        </is>
      </c>
      <c r="AC10" t="inlineStr">
        <is>
          <t>Low</t>
        </is>
      </c>
      <c r="AN10" t="inlineStr">
        <is>
          <t>Yes</t>
        </is>
      </c>
      <c r="AO10" t="inlineStr">
        <is>
          <t>unrecognized tag</t>
        </is>
      </c>
    </row>
    <row r="11" customFormat="1" s="136">
      <c r="A11" s="203">
        <f>ROW()-2</f>
        <v/>
      </c>
      <c r="B11" s="128" t="inlineStr">
        <is>
          <t>RL7-LFT-101-1:I.PT09</t>
        </is>
      </c>
      <c r="C11" s="312" t="inlineStr">
        <is>
          <t>RL7-LFT-101-1:I.PT09</t>
        </is>
      </c>
      <c r="D11" s="262" t="n"/>
      <c r="E11" s="128" t="n"/>
      <c r="F11" s="138" t="inlineStr">
        <is>
          <t>RELEASE SWITCH SELECTOR</t>
        </is>
      </c>
      <c r="G11" s="131" t="inlineStr">
        <is>
          <t>DG6800</t>
        </is>
      </c>
      <c r="H11" s="128" t="inlineStr">
        <is>
          <t>PROC</t>
        </is>
      </c>
      <c r="I11" s="132" t="inlineStr">
        <is>
          <t>RL7-LFT-RIO1</t>
        </is>
      </c>
      <c r="J11" s="133" t="n">
        <v>2</v>
      </c>
      <c r="K11" s="129" t="n">
        <v>1</v>
      </c>
      <c r="L11" s="129" t="n">
        <v>9</v>
      </c>
      <c r="M11" s="129" t="inlineStr">
        <is>
          <t>24 VDC DI</t>
        </is>
      </c>
      <c r="N11" s="129" t="inlineStr">
        <is>
          <t>5069-IB16</t>
        </is>
      </c>
      <c r="O11" s="139" t="n"/>
      <c r="P11" s="127" t="n"/>
      <c r="Q11" s="127" t="n"/>
      <c r="R11" s="127" t="n"/>
      <c r="S11" s="127" t="n"/>
      <c r="T11" s="127" t="n"/>
      <c r="U11" s="127" t="n"/>
      <c r="V11" s="127" t="n"/>
      <c r="W11" s="127" t="n"/>
      <c r="X11" s="127" t="n"/>
      <c r="Y11" s="127" t="n"/>
      <c r="Z11" s="140" t="inlineStr">
        <is>
          <t>OEM PANEL</t>
        </is>
      </c>
      <c r="AA11" t="inlineStr">
        <is>
          <t>Skipped - unrecognized tag</t>
        </is>
      </c>
      <c r="AC11" t="inlineStr">
        <is>
          <t>Low</t>
        </is>
      </c>
      <c r="AN11" t="inlineStr">
        <is>
          <t>Yes</t>
        </is>
      </c>
      <c r="AO11" t="inlineStr">
        <is>
          <t>unrecognized tag</t>
        </is>
      </c>
    </row>
    <row r="12">
      <c r="A12" s="203">
        <f>ROW()-2</f>
        <v/>
      </c>
      <c r="B12" s="128" t="inlineStr">
        <is>
          <t>RL7-LFT-101-1:I.PT10</t>
        </is>
      </c>
      <c r="C12" s="312" t="inlineStr">
        <is>
          <t>RL7-LFT-101-1:I.PT10</t>
        </is>
      </c>
      <c r="D12" s="262" t="n"/>
      <c r="E12" s="128" t="n"/>
      <c r="F12" s="138" t="inlineStr">
        <is>
          <t>SERVICE BUTTON</t>
        </is>
      </c>
      <c r="G12" s="131" t="inlineStr">
        <is>
          <t>DG6800</t>
        </is>
      </c>
      <c r="H12" s="128" t="inlineStr">
        <is>
          <t>PROC</t>
        </is>
      </c>
      <c r="I12" s="132" t="inlineStr">
        <is>
          <t>RL7-LFT-RIO1</t>
        </is>
      </c>
      <c r="J12" s="133" t="n">
        <v>2</v>
      </c>
      <c r="K12" s="129" t="n">
        <v>1</v>
      </c>
      <c r="L12" s="129" t="n">
        <v>10</v>
      </c>
      <c r="M12" s="129" t="inlineStr">
        <is>
          <t>24 VDC DI</t>
        </is>
      </c>
      <c r="N12" s="129" t="inlineStr">
        <is>
          <t>5069-IB16</t>
        </is>
      </c>
      <c r="O12" s="139" t="n"/>
      <c r="P12" s="127" t="n"/>
      <c r="Q12" s="127" t="n"/>
      <c r="R12" s="127" t="n"/>
      <c r="S12" s="127" t="n"/>
      <c r="T12" s="127" t="n"/>
      <c r="U12" s="127" t="n"/>
      <c r="V12" s="127" t="n"/>
      <c r="W12" s="127" t="n"/>
      <c r="X12" s="127" t="n"/>
      <c r="Y12" s="127" t="n"/>
      <c r="Z12" s="140" t="inlineStr">
        <is>
          <t>OEM PANEL</t>
        </is>
      </c>
      <c r="AA12" t="inlineStr">
        <is>
          <t>Skipped - unrecognized tag</t>
        </is>
      </c>
      <c r="AC12" t="inlineStr">
        <is>
          <t>Low</t>
        </is>
      </c>
      <c r="AN12" t="inlineStr">
        <is>
          <t>Yes</t>
        </is>
      </c>
      <c r="AO12" t="inlineStr">
        <is>
          <t>unrecognized tag</t>
        </is>
      </c>
    </row>
    <row r="13">
      <c r="A13" s="203">
        <f>ROW()-2</f>
        <v/>
      </c>
      <c r="B13" s="128" t="inlineStr">
        <is>
          <t>RL7-LFT-101-1:I.PT11</t>
        </is>
      </c>
      <c r="C13" s="312" t="inlineStr">
        <is>
          <t>RL7-LFT-101-1:I.PT11</t>
        </is>
      </c>
      <c r="D13" s="262" t="n"/>
      <c r="E13" s="128" t="n"/>
      <c r="F13" s="138" t="inlineStr">
        <is>
          <t>SENSOR RIGHT</t>
        </is>
      </c>
      <c r="G13" s="131" t="inlineStr">
        <is>
          <t>DG6800</t>
        </is>
      </c>
      <c r="H13" s="128" t="inlineStr">
        <is>
          <t>PROC</t>
        </is>
      </c>
      <c r="I13" s="132" t="inlineStr">
        <is>
          <t>RL7-LFT-RIO1</t>
        </is>
      </c>
      <c r="J13" s="133" t="n">
        <v>2</v>
      </c>
      <c r="K13" s="129" t="n">
        <v>1</v>
      </c>
      <c r="L13" s="129" t="n">
        <v>11</v>
      </c>
      <c r="M13" s="129" t="inlineStr">
        <is>
          <t>24 VDC DI</t>
        </is>
      </c>
      <c r="N13" s="129" t="inlineStr">
        <is>
          <t>5069-IB16</t>
        </is>
      </c>
      <c r="O13" s="139" t="n"/>
      <c r="P13" s="127" t="n"/>
      <c r="Q13" s="127" t="n"/>
      <c r="R13" s="127" t="n"/>
      <c r="S13" s="127" t="n"/>
      <c r="T13" s="127" t="n"/>
      <c r="U13" s="127" t="n"/>
      <c r="V13" s="127" t="n"/>
      <c r="W13" s="127" t="n"/>
      <c r="X13" s="127" t="n"/>
      <c r="Y13" s="127" t="n"/>
      <c r="Z13" s="140" t="inlineStr">
        <is>
          <t>OEM PANEL</t>
        </is>
      </c>
      <c r="AA13" t="inlineStr">
        <is>
          <t>Skipped - unrecognized tag</t>
        </is>
      </c>
      <c r="AC13" t="inlineStr">
        <is>
          <t>Low</t>
        </is>
      </c>
      <c r="AN13" t="inlineStr">
        <is>
          <t>Yes</t>
        </is>
      </c>
      <c r="AO13" t="inlineStr">
        <is>
          <t>unrecognized tag</t>
        </is>
      </c>
    </row>
    <row r="14">
      <c r="A14" s="203">
        <f>ROW()-2</f>
        <v/>
      </c>
      <c r="B14" s="128" t="inlineStr">
        <is>
          <t>RL7-LFT-101-1:I.PT12</t>
        </is>
      </c>
      <c r="C14" s="312" t="inlineStr">
        <is>
          <t>RL7-LFT-101-1:I.PT12</t>
        </is>
      </c>
      <c r="D14" s="262" t="n"/>
      <c r="E14" s="128" t="n"/>
      <c r="F14" s="138" t="inlineStr">
        <is>
          <t>SENSOR BOTTOM</t>
        </is>
      </c>
      <c r="G14" s="131" t="inlineStr">
        <is>
          <t>DG6800</t>
        </is>
      </c>
      <c r="H14" s="128" t="inlineStr">
        <is>
          <t>PROC</t>
        </is>
      </c>
      <c r="I14" s="132" t="inlineStr">
        <is>
          <t>RL7-LFT-RIO1</t>
        </is>
      </c>
      <c r="J14" s="133" t="n">
        <v>2</v>
      </c>
      <c r="K14" s="129" t="n">
        <v>1</v>
      </c>
      <c r="L14" s="129" t="n">
        <v>12</v>
      </c>
      <c r="M14" s="129" t="inlineStr">
        <is>
          <t>24 VDC DI</t>
        </is>
      </c>
      <c r="N14" s="129" t="inlineStr">
        <is>
          <t>5069-IB16</t>
        </is>
      </c>
      <c r="O14" s="139" t="n"/>
      <c r="P14" s="127" t="n"/>
      <c r="Q14" s="127" t="n"/>
      <c r="R14" s="127" t="n"/>
      <c r="S14" s="127" t="n"/>
      <c r="T14" s="127" t="n"/>
      <c r="U14" s="127" t="n"/>
      <c r="V14" s="127" t="n"/>
      <c r="W14" s="127" t="n"/>
      <c r="X14" s="127" t="n"/>
      <c r="Y14" s="127" t="n"/>
      <c r="Z14" s="140" t="inlineStr">
        <is>
          <t>OEM PANEL</t>
        </is>
      </c>
      <c r="AA14" t="inlineStr">
        <is>
          <t>Skipped - unrecognized tag</t>
        </is>
      </c>
      <c r="AC14" t="inlineStr">
        <is>
          <t>Low</t>
        </is>
      </c>
      <c r="AN14" t="inlineStr">
        <is>
          <t>Yes</t>
        </is>
      </c>
      <c r="AO14" t="inlineStr">
        <is>
          <t>unrecognized tag</t>
        </is>
      </c>
    </row>
    <row r="15">
      <c r="A15" s="203">
        <f>ROW()-2</f>
        <v/>
      </c>
      <c r="B15" s="128" t="inlineStr">
        <is>
          <t>RL7-LFT-101-1:I.PT13</t>
        </is>
      </c>
      <c r="C15" s="312" t="inlineStr">
        <is>
          <t>RL7-LFT-101-1:I.PT13</t>
        </is>
      </c>
      <c r="D15" s="262" t="n"/>
      <c r="E15" s="128" t="n"/>
      <c r="F15" s="138" t="inlineStr">
        <is>
          <t>SENSOR TOP</t>
        </is>
      </c>
      <c r="G15" s="131" t="inlineStr">
        <is>
          <t>DG6800</t>
        </is>
      </c>
      <c r="H15" s="128" t="inlineStr">
        <is>
          <t>PROC</t>
        </is>
      </c>
      <c r="I15" s="132" t="inlineStr">
        <is>
          <t>RL7-LFT-RIO1</t>
        </is>
      </c>
      <c r="J15" s="133" t="n">
        <v>2</v>
      </c>
      <c r="K15" s="129" t="n">
        <v>1</v>
      </c>
      <c r="L15" s="129" t="n">
        <v>13</v>
      </c>
      <c r="M15" s="129" t="inlineStr">
        <is>
          <t>24 VDC DI</t>
        </is>
      </c>
      <c r="N15" s="129" t="inlineStr">
        <is>
          <t>5069-IB16</t>
        </is>
      </c>
      <c r="O15" s="139" t="n"/>
      <c r="P15" s="127" t="n"/>
      <c r="Q15" s="127" t="n"/>
      <c r="R15" s="127" t="n"/>
      <c r="S15" s="127" t="n"/>
      <c r="T15" s="127" t="n"/>
      <c r="U15" s="127" t="n"/>
      <c r="V15" s="127" t="n"/>
      <c r="W15" s="127" t="n"/>
      <c r="X15" s="127" t="n"/>
      <c r="Y15" s="127" t="n"/>
      <c r="Z15" s="140" t="inlineStr">
        <is>
          <t>OEM PANEL</t>
        </is>
      </c>
      <c r="AA15" t="inlineStr">
        <is>
          <t>Skipped - unrecognized tag</t>
        </is>
      </c>
      <c r="AC15" t="inlineStr">
        <is>
          <t>Low</t>
        </is>
      </c>
      <c r="AN15" t="inlineStr">
        <is>
          <t>Yes</t>
        </is>
      </c>
      <c r="AO15" t="inlineStr">
        <is>
          <t>unrecognized tag</t>
        </is>
      </c>
    </row>
    <row r="16">
      <c r="A16" s="203">
        <f>ROW()-2</f>
        <v/>
      </c>
      <c r="B16" s="128" t="inlineStr">
        <is>
          <t>RL7-LFT-101-1:I.PT14</t>
        </is>
      </c>
      <c r="C16" s="312" t="inlineStr">
        <is>
          <t>RL7-LFT-101-1:I.PT14</t>
        </is>
      </c>
      <c r="D16" s="262" t="n"/>
      <c r="E16" s="128" t="n"/>
      <c r="F16" s="138" t="inlineStr">
        <is>
          <t>SENSOR SAFE BOTTOM</t>
        </is>
      </c>
      <c r="G16" s="131" t="inlineStr">
        <is>
          <t>DG6800</t>
        </is>
      </c>
      <c r="H16" s="128" t="inlineStr">
        <is>
          <t>PROC</t>
        </is>
      </c>
      <c r="I16" s="132" t="inlineStr">
        <is>
          <t>RL7-LFT-RIO1</t>
        </is>
      </c>
      <c r="J16" s="133" t="n">
        <v>2</v>
      </c>
      <c r="K16" s="129" t="n">
        <v>1</v>
      </c>
      <c r="L16" s="129" t="n">
        <v>14</v>
      </c>
      <c r="M16" s="129" t="inlineStr">
        <is>
          <t>24 VDC DI</t>
        </is>
      </c>
      <c r="N16" s="129" t="inlineStr">
        <is>
          <t>5069-IB16</t>
        </is>
      </c>
      <c r="O16" s="139" t="n"/>
      <c r="P16" s="127" t="n"/>
      <c r="Q16" s="127" t="n"/>
      <c r="R16" s="127" t="n"/>
      <c r="S16" s="127" t="n"/>
      <c r="T16" s="127" t="n"/>
      <c r="U16" s="127" t="n"/>
      <c r="V16" s="127" t="n"/>
      <c r="W16" s="127" t="n"/>
      <c r="X16" s="127" t="n"/>
      <c r="Y16" s="127" t="n"/>
      <c r="Z16" s="140" t="inlineStr">
        <is>
          <t>OEM PANEL</t>
        </is>
      </c>
      <c r="AA16" t="inlineStr">
        <is>
          <t>Skipped - unrecognized tag</t>
        </is>
      </c>
      <c r="AC16" t="inlineStr">
        <is>
          <t>Low</t>
        </is>
      </c>
      <c r="AN16" t="inlineStr">
        <is>
          <t>Yes</t>
        </is>
      </c>
      <c r="AO16" t="inlineStr">
        <is>
          <t>unrecognized tag</t>
        </is>
      </c>
    </row>
    <row r="17">
      <c r="A17" s="203">
        <f>ROW()-2</f>
        <v/>
      </c>
      <c r="B17" s="128" t="inlineStr">
        <is>
          <t>RL7-LFT-101-1:I.PT15</t>
        </is>
      </c>
      <c r="C17" s="312" t="inlineStr">
        <is>
          <t>RL7-LFT-101-1:I.PT15</t>
        </is>
      </c>
      <c r="D17" s="262" t="n"/>
      <c r="E17" s="128" t="n"/>
      <c r="F17" s="138" t="inlineStr">
        <is>
          <t>SENSOR SAFE TOP</t>
        </is>
      </c>
      <c r="G17" s="131" t="inlineStr">
        <is>
          <t>DG6800</t>
        </is>
      </c>
      <c r="H17" s="128" t="inlineStr">
        <is>
          <t>PROC</t>
        </is>
      </c>
      <c r="I17" s="132" t="inlineStr">
        <is>
          <t>RL7-LFT-RIO1</t>
        </is>
      </c>
      <c r="J17" s="133" t="n">
        <v>2</v>
      </c>
      <c r="K17" s="129" t="n">
        <v>1</v>
      </c>
      <c r="L17" s="129" t="n">
        <v>15</v>
      </c>
      <c r="M17" s="129" t="inlineStr">
        <is>
          <t>24 VDC DI</t>
        </is>
      </c>
      <c r="N17" s="129" t="inlineStr">
        <is>
          <t>5069-IB16</t>
        </is>
      </c>
      <c r="O17" s="139" t="n"/>
      <c r="P17" s="127" t="n"/>
      <c r="Q17" s="127" t="n"/>
      <c r="R17" s="127" t="n"/>
      <c r="S17" s="127" t="n"/>
      <c r="T17" s="127" t="n"/>
      <c r="U17" s="127" t="n"/>
      <c r="V17" s="127" t="n"/>
      <c r="W17" s="127" t="n"/>
      <c r="X17" s="127" t="n"/>
      <c r="Y17" s="127" t="n"/>
      <c r="Z17" s="140" t="inlineStr">
        <is>
          <t>OEM PANEL</t>
        </is>
      </c>
      <c r="AA17" t="inlineStr">
        <is>
          <t>Skipped - unrecognized tag</t>
        </is>
      </c>
      <c r="AC17" t="inlineStr">
        <is>
          <t>Low</t>
        </is>
      </c>
      <c r="AN17" t="inlineStr">
        <is>
          <t>Yes</t>
        </is>
      </c>
      <c r="AO17" t="inlineStr">
        <is>
          <t>unrecognized tag</t>
        </is>
      </c>
    </row>
    <row r="18">
      <c r="A18" s="203">
        <f>ROW()-2</f>
        <v/>
      </c>
      <c r="B18" s="128" t="inlineStr">
        <is>
          <t>RL7-LFT-101-2:I.PT00</t>
        </is>
      </c>
      <c r="C18" s="312" t="inlineStr">
        <is>
          <t>RL7-LFT-101-2:I.PT00</t>
        </is>
      </c>
      <c r="D18" s="262" t="n"/>
      <c r="E18" s="128" t="n"/>
      <c r="F18" s="138" t="inlineStr">
        <is>
          <t>SENSOR MIDDLE</t>
        </is>
      </c>
      <c r="G18" s="131" t="inlineStr">
        <is>
          <t>DG6800</t>
        </is>
      </c>
      <c r="H18" s="128" t="inlineStr">
        <is>
          <t>PROC</t>
        </is>
      </c>
      <c r="I18" s="132" t="inlineStr">
        <is>
          <t>RL7-LFT-RIO1</t>
        </is>
      </c>
      <c r="J18" s="133" t="n">
        <v>2</v>
      </c>
      <c r="K18" s="129" t="n">
        <v>2</v>
      </c>
      <c r="L18" s="129" t="n">
        <v>0</v>
      </c>
      <c r="M18" s="129" t="inlineStr">
        <is>
          <t>24 VDC DI</t>
        </is>
      </c>
      <c r="N18" s="129" t="inlineStr">
        <is>
          <t>5069-IB16</t>
        </is>
      </c>
      <c r="O18" s="139" t="n"/>
      <c r="P18" s="127" t="n"/>
      <c r="Q18" s="127" t="n"/>
      <c r="R18" s="127" t="n"/>
      <c r="S18" s="127" t="n"/>
      <c r="T18" s="127" t="n"/>
      <c r="U18" s="127" t="n"/>
      <c r="V18" s="127" t="n"/>
      <c r="W18" s="127" t="n"/>
      <c r="X18" s="127" t="n"/>
      <c r="Y18" s="127" t="n"/>
      <c r="Z18" s="140" t="inlineStr">
        <is>
          <t>OEM PANEL</t>
        </is>
      </c>
      <c r="AA18" t="inlineStr">
        <is>
          <t>Skipped - unrecognized tag</t>
        </is>
      </c>
      <c r="AC18" t="inlineStr">
        <is>
          <t>Low</t>
        </is>
      </c>
      <c r="AN18" t="inlineStr">
        <is>
          <t>Yes</t>
        </is>
      </c>
      <c r="AO18" t="inlineStr">
        <is>
          <t>unrecognized tag</t>
        </is>
      </c>
    </row>
    <row r="19" customFormat="1" s="136">
      <c r="A19" s="203">
        <f>ROW()-2</f>
        <v/>
      </c>
      <c r="B19" s="128" t="inlineStr">
        <is>
          <t>RL7-LFT-101-2:I.PT01</t>
        </is>
      </c>
      <c r="C19" s="312" t="inlineStr">
        <is>
          <t>RL7-LFT-101-2:I.PT01</t>
        </is>
      </c>
      <c r="D19" s="262" t="n"/>
      <c r="E19" s="128" t="n"/>
      <c r="F19" s="138" t="inlineStr">
        <is>
          <t>SENSOR LEFT</t>
        </is>
      </c>
      <c r="G19" s="131" t="inlineStr">
        <is>
          <t>DG6800</t>
        </is>
      </c>
      <c r="H19" s="128" t="inlineStr">
        <is>
          <t>PROC</t>
        </is>
      </c>
      <c r="I19" s="132" t="inlineStr">
        <is>
          <t>RL7-LFT-RIO1</t>
        </is>
      </c>
      <c r="J19" s="133" t="n">
        <v>2</v>
      </c>
      <c r="K19" s="129" t="n">
        <v>2</v>
      </c>
      <c r="L19" s="129" t="n">
        <v>1</v>
      </c>
      <c r="M19" s="129" t="inlineStr">
        <is>
          <t>24 VDC DI</t>
        </is>
      </c>
      <c r="N19" s="129" t="inlineStr">
        <is>
          <t>5069-IB16</t>
        </is>
      </c>
      <c r="O19" s="139" t="n"/>
      <c r="P19" s="127" t="n"/>
      <c r="Q19" s="127" t="n"/>
      <c r="R19" s="127" t="n"/>
      <c r="S19" s="127" t="n"/>
      <c r="T19" s="127" t="n"/>
      <c r="U19" s="127" t="n"/>
      <c r="V19" s="127" t="n"/>
      <c r="W19" s="127" t="n"/>
      <c r="X19" s="127" t="n"/>
      <c r="Y19" s="127" t="n"/>
      <c r="Z19" s="140" t="inlineStr">
        <is>
          <t>OEM PANEL</t>
        </is>
      </c>
      <c r="AA19" t="inlineStr">
        <is>
          <t>Skipped - unrecognized tag</t>
        </is>
      </c>
      <c r="AC19" t="inlineStr">
        <is>
          <t>Low</t>
        </is>
      </c>
      <c r="AN19" t="inlineStr">
        <is>
          <t>Yes</t>
        </is>
      </c>
      <c r="AO19" t="inlineStr">
        <is>
          <t>unrecognized tag</t>
        </is>
      </c>
    </row>
    <row r="20">
      <c r="A20" s="203">
        <f>ROW()-2</f>
        <v/>
      </c>
      <c r="B20" s="128" t="inlineStr">
        <is>
          <t>RL7-LFT-101-2:I.PT02</t>
        </is>
      </c>
      <c r="C20" s="312" t="inlineStr">
        <is>
          <t>RL7-LFT-101-2:I.PT02</t>
        </is>
      </c>
      <c r="D20" s="262" t="n"/>
      <c r="E20" s="128" t="n"/>
      <c r="F20" s="138" t="inlineStr">
        <is>
          <t>BEFORE TILT</t>
        </is>
      </c>
      <c r="G20" s="131" t="inlineStr">
        <is>
          <t>DG6800</t>
        </is>
      </c>
      <c r="H20" s="128" t="inlineStr">
        <is>
          <t>PROC</t>
        </is>
      </c>
      <c r="I20" s="132" t="inlineStr">
        <is>
          <t>RL7-LFT-RIO1</t>
        </is>
      </c>
      <c r="J20" s="133" t="n">
        <v>2</v>
      </c>
      <c r="K20" s="129" t="n">
        <v>2</v>
      </c>
      <c r="L20" s="129" t="n">
        <v>2</v>
      </c>
      <c r="M20" s="129" t="inlineStr">
        <is>
          <t>24 VDC DI</t>
        </is>
      </c>
      <c r="N20" s="129" t="inlineStr">
        <is>
          <t>5069-IB16</t>
        </is>
      </c>
      <c r="O20" s="139" t="n"/>
      <c r="P20" s="127" t="n"/>
      <c r="Q20" s="127" t="n"/>
      <c r="R20" s="127" t="n"/>
      <c r="S20" s="127" t="n"/>
      <c r="T20" s="127" t="n"/>
      <c r="U20" s="127" t="n"/>
      <c r="V20" s="127" t="n"/>
      <c r="W20" s="127" t="n"/>
      <c r="X20" s="127" t="n"/>
      <c r="Y20" s="127" t="n"/>
      <c r="Z20" s="140" t="inlineStr">
        <is>
          <t>OEM PANEL</t>
        </is>
      </c>
      <c r="AA20" t="inlineStr">
        <is>
          <t>Skipped - unrecognized tag</t>
        </is>
      </c>
      <c r="AC20" t="inlineStr">
        <is>
          <t>Low</t>
        </is>
      </c>
      <c r="AN20" t="inlineStr">
        <is>
          <t>Yes</t>
        </is>
      </c>
      <c r="AO20" t="inlineStr">
        <is>
          <t>unrecognized tag</t>
        </is>
      </c>
    </row>
    <row r="21">
      <c r="A21" s="203">
        <f>ROW()-2</f>
        <v/>
      </c>
      <c r="B21" s="128" t="inlineStr">
        <is>
          <t>RL7-LFT-101-2:I.PT03</t>
        </is>
      </c>
      <c r="C21" s="312" t="inlineStr">
        <is>
          <t>RL7-LFT-101-2:I.PT03</t>
        </is>
      </c>
      <c r="D21" s="262" t="n"/>
      <c r="E21" s="128" t="n"/>
      <c r="F21" s="138" t="inlineStr">
        <is>
          <t>NEXT MACHINE READY</t>
        </is>
      </c>
      <c r="G21" s="131" t="inlineStr">
        <is>
          <t>DG6800</t>
        </is>
      </c>
      <c r="H21" s="128" t="inlineStr">
        <is>
          <t>PROC</t>
        </is>
      </c>
      <c r="I21" s="132" t="inlineStr">
        <is>
          <t>RL7-LFT-RIO1</t>
        </is>
      </c>
      <c r="J21" s="133" t="n">
        <v>2</v>
      </c>
      <c r="K21" s="129" t="n">
        <v>2</v>
      </c>
      <c r="L21" s="129" t="n">
        <v>3</v>
      </c>
      <c r="M21" s="129" t="inlineStr">
        <is>
          <t>24 VDC DI</t>
        </is>
      </c>
      <c r="N21" s="129" t="inlineStr">
        <is>
          <t>5069-IB16</t>
        </is>
      </c>
      <c r="O21" s="139" t="n"/>
      <c r="P21" s="127" t="n"/>
      <c r="Q21" s="127" t="n"/>
      <c r="R21" s="127" t="n"/>
      <c r="S21" s="127" t="n"/>
      <c r="T21" s="127" t="n"/>
      <c r="U21" s="127" t="n"/>
      <c r="V21" s="127" t="n"/>
      <c r="W21" s="127" t="n"/>
      <c r="X21" s="127" t="n"/>
      <c r="Y21" s="127" t="n"/>
      <c r="Z21" s="140" t="n"/>
      <c r="AA21" t="inlineStr">
        <is>
          <t>Skipped - unrecognized tag</t>
        </is>
      </c>
      <c r="AC21" t="inlineStr">
        <is>
          <t>Low</t>
        </is>
      </c>
      <c r="AN21" t="inlineStr">
        <is>
          <t>Yes</t>
        </is>
      </c>
      <c r="AO21" t="inlineStr">
        <is>
          <t>unrecognized tag</t>
        </is>
      </c>
    </row>
    <row r="22">
      <c r="A22" s="203">
        <f>ROW()-2</f>
        <v/>
      </c>
      <c r="B22" s="128" t="inlineStr">
        <is>
          <t>RL7-LFT-101-2:I.PT04</t>
        </is>
      </c>
      <c r="C22" s="312" t="inlineStr">
        <is>
          <t>RL7-LFT-101-2:I.PT04</t>
        </is>
      </c>
      <c r="D22" s="262" t="n"/>
      <c r="E22" s="128" t="n"/>
      <c r="F22" s="138" t="inlineStr">
        <is>
          <t>GATE OPEN SENSORS</t>
        </is>
      </c>
      <c r="G22" s="131" t="inlineStr">
        <is>
          <t>DG6800</t>
        </is>
      </c>
      <c r="H22" s="128" t="inlineStr">
        <is>
          <t>PROC</t>
        </is>
      </c>
      <c r="I22" s="132" t="inlineStr">
        <is>
          <t>RL7-LFT-RIO1</t>
        </is>
      </c>
      <c r="J22" s="133" t="n">
        <v>2</v>
      </c>
      <c r="K22" s="129" t="n">
        <v>2</v>
      </c>
      <c r="L22" s="129" t="n">
        <v>4</v>
      </c>
      <c r="M22" s="129" t="inlineStr">
        <is>
          <t>24 VDC DI</t>
        </is>
      </c>
      <c r="N22" s="129" t="inlineStr">
        <is>
          <t>5069-IB16</t>
        </is>
      </c>
      <c r="O22" s="139" t="n"/>
      <c r="P22" s="127" t="n"/>
      <c r="Q22" s="127" t="n"/>
      <c r="R22" s="127" t="n"/>
      <c r="S22" s="127" t="n"/>
      <c r="T22" s="127" t="n"/>
      <c r="U22" s="127" t="n"/>
      <c r="V22" s="127" t="n"/>
      <c r="W22" s="127" t="n"/>
      <c r="X22" s="127" t="n"/>
      <c r="Y22" s="127" t="n"/>
      <c r="Z22" s="140" t="inlineStr">
        <is>
          <t>OEM PANEL</t>
        </is>
      </c>
      <c r="AA22" t="inlineStr">
        <is>
          <t>Skipped - unrecognized tag</t>
        </is>
      </c>
      <c r="AC22" t="inlineStr">
        <is>
          <t>Low</t>
        </is>
      </c>
      <c r="AN22" t="inlineStr">
        <is>
          <t>Yes</t>
        </is>
      </c>
      <c r="AO22" t="inlineStr">
        <is>
          <t>unrecognized tag</t>
        </is>
      </c>
    </row>
    <row r="23">
      <c r="A23" s="203">
        <f>ROW()-2</f>
        <v/>
      </c>
      <c r="B23" s="128" t="inlineStr">
        <is>
          <t>RL7-LFT-101-2:I.PT05</t>
        </is>
      </c>
      <c r="C23" s="312" t="inlineStr">
        <is>
          <t>RL7-LFT-101-2:I.PT05</t>
        </is>
      </c>
      <c r="D23" s="262" t="n"/>
      <c r="E23" s="128" t="n"/>
      <c r="F23" s="138" t="inlineStr">
        <is>
          <t>GATE CLOSED SENSORS</t>
        </is>
      </c>
      <c r="G23" s="131" t="inlineStr">
        <is>
          <t>DG6800</t>
        </is>
      </c>
      <c r="H23" s="128" t="inlineStr">
        <is>
          <t>PROC</t>
        </is>
      </c>
      <c r="I23" s="132" t="inlineStr">
        <is>
          <t>RL7-LFT-RIO1</t>
        </is>
      </c>
      <c r="J23" s="133" t="n">
        <v>2</v>
      </c>
      <c r="K23" s="129" t="n">
        <v>2</v>
      </c>
      <c r="L23" s="129" t="n">
        <v>5</v>
      </c>
      <c r="M23" s="129" t="inlineStr">
        <is>
          <t>24 VDC DI</t>
        </is>
      </c>
      <c r="N23" s="129" t="inlineStr">
        <is>
          <t>5069-IB16</t>
        </is>
      </c>
      <c r="O23" s="139" t="n"/>
      <c r="P23" s="127" t="n"/>
      <c r="Q23" s="127" t="n"/>
      <c r="R23" s="127" t="n"/>
      <c r="S23" s="127" t="n"/>
      <c r="T23" s="127" t="n"/>
      <c r="U23" s="127" t="n"/>
      <c r="V23" s="127" t="n"/>
      <c r="W23" s="127" t="n"/>
      <c r="X23" s="127" t="n"/>
      <c r="Y23" s="127" t="n"/>
      <c r="Z23" s="140" t="inlineStr">
        <is>
          <t>OEM PANEL</t>
        </is>
      </c>
      <c r="AA23" t="inlineStr">
        <is>
          <t>Skipped - unrecognized tag</t>
        </is>
      </c>
      <c r="AC23" t="inlineStr">
        <is>
          <t>Low</t>
        </is>
      </c>
      <c r="AN23" t="inlineStr">
        <is>
          <t>Yes</t>
        </is>
      </c>
      <c r="AO23" t="inlineStr">
        <is>
          <t>unrecognized tag</t>
        </is>
      </c>
    </row>
    <row r="24">
      <c r="A24" s="203">
        <f>ROW()-2</f>
        <v/>
      </c>
      <c r="B24" s="128" t="inlineStr">
        <is>
          <t>RL7-LFT-101-2:I.PT06</t>
        </is>
      </c>
      <c r="C24" s="312" t="inlineStr">
        <is>
          <t>RL7-LFT-101-2:I.PT06</t>
        </is>
      </c>
      <c r="D24" s="262" t="n"/>
      <c r="E24" s="128" t="n"/>
      <c r="F24" s="138" t="inlineStr">
        <is>
          <t>BOTTON OPEN</t>
        </is>
      </c>
      <c r="G24" s="131" t="inlineStr">
        <is>
          <t>DG6800</t>
        </is>
      </c>
      <c r="H24" s="128" t="inlineStr">
        <is>
          <t>PROC</t>
        </is>
      </c>
      <c r="I24" s="132" t="inlineStr">
        <is>
          <t>RL7-LFT-RIO1</t>
        </is>
      </c>
      <c r="J24" s="133" t="n">
        <v>2</v>
      </c>
      <c r="K24" s="129" t="n">
        <v>2</v>
      </c>
      <c r="L24" s="129" t="n">
        <v>6</v>
      </c>
      <c r="M24" s="129" t="inlineStr">
        <is>
          <t>24 VDC DI</t>
        </is>
      </c>
      <c r="N24" s="129" t="inlineStr">
        <is>
          <t>5069-IB16</t>
        </is>
      </c>
      <c r="O24" s="139" t="n"/>
      <c r="P24" s="127" t="n"/>
      <c r="Q24" s="127" t="n"/>
      <c r="R24" s="127" t="n"/>
      <c r="S24" s="127" t="n"/>
      <c r="T24" s="127" t="n"/>
      <c r="U24" s="127" t="n"/>
      <c r="V24" s="127" t="n"/>
      <c r="W24" s="127" t="n"/>
      <c r="X24" s="127" t="n"/>
      <c r="Y24" s="127" t="n"/>
      <c r="Z24" s="140" t="inlineStr">
        <is>
          <t>OEM PANEL</t>
        </is>
      </c>
      <c r="AA24" t="inlineStr">
        <is>
          <t>Skipped - unrecognized tag</t>
        </is>
      </c>
      <c r="AC24" t="inlineStr">
        <is>
          <t>Low</t>
        </is>
      </c>
      <c r="AN24" t="inlineStr">
        <is>
          <t>Yes</t>
        </is>
      </c>
      <c r="AO24" t="inlineStr">
        <is>
          <t>unrecognized tag</t>
        </is>
      </c>
    </row>
    <row r="25">
      <c r="A25" s="203">
        <f>ROW()-2</f>
        <v/>
      </c>
      <c r="B25" s="128" t="inlineStr">
        <is>
          <t>RL7-LFT-101-2:I.PT07</t>
        </is>
      </c>
      <c r="C25" s="312" t="inlineStr">
        <is>
          <t>RL7-LFT-101-2:I.PT07</t>
        </is>
      </c>
      <c r="D25" s="262" t="n"/>
      <c r="E25" s="128" t="n"/>
      <c r="F25" s="138" t="inlineStr">
        <is>
          <t>BUTTON CLOSED</t>
        </is>
      </c>
      <c r="G25" s="131" t="inlineStr">
        <is>
          <t>DG6800</t>
        </is>
      </c>
      <c r="H25" s="128" t="inlineStr">
        <is>
          <t>PROC</t>
        </is>
      </c>
      <c r="I25" s="132" t="inlineStr">
        <is>
          <t>RL7-LFT-RIO1</t>
        </is>
      </c>
      <c r="J25" s="133" t="n">
        <v>2</v>
      </c>
      <c r="K25" s="129" t="n">
        <v>2</v>
      </c>
      <c r="L25" s="129" t="n">
        <v>7</v>
      </c>
      <c r="M25" s="129" t="inlineStr">
        <is>
          <t>24 VDC DI</t>
        </is>
      </c>
      <c r="N25" s="129" t="inlineStr">
        <is>
          <t>5069-IB16</t>
        </is>
      </c>
      <c r="O25" s="139" t="n"/>
      <c r="P25" s="127" t="n"/>
      <c r="Q25" s="127" t="n"/>
      <c r="R25" s="127" t="n"/>
      <c r="S25" s="127" t="n"/>
      <c r="T25" s="127" t="n"/>
      <c r="U25" s="127" t="n"/>
      <c r="V25" s="127" t="n"/>
      <c r="W25" s="127" t="n"/>
      <c r="X25" s="127" t="n"/>
      <c r="Y25" s="127" t="n"/>
      <c r="Z25" s="140" t="inlineStr">
        <is>
          <t>OEM PANEL</t>
        </is>
      </c>
      <c r="AA25" t="inlineStr">
        <is>
          <t>Skipped - unrecognized tag</t>
        </is>
      </c>
      <c r="AC25" t="inlineStr">
        <is>
          <t>Low</t>
        </is>
      </c>
      <c r="AN25" t="inlineStr">
        <is>
          <t>Yes</t>
        </is>
      </c>
      <c r="AO25" t="inlineStr">
        <is>
          <t>unrecognized tag</t>
        </is>
      </c>
    </row>
    <row r="26">
      <c r="A26" s="203">
        <f>ROW()-2</f>
        <v/>
      </c>
      <c r="B26" s="128" t="inlineStr">
        <is>
          <t>RL7-LFT-101-3:O.PT00</t>
        </is>
      </c>
      <c r="C26" s="312" t="inlineStr">
        <is>
          <t>RL7-LFT-101-3:O.PT00</t>
        </is>
      </c>
      <c r="D26" s="262" t="n"/>
      <c r="E26" s="128" t="n"/>
      <c r="F26" s="138" t="inlineStr">
        <is>
          <t>MOTOR FORWARD</t>
        </is>
      </c>
      <c r="G26" s="131" t="inlineStr">
        <is>
          <t>DG6800</t>
        </is>
      </c>
      <c r="H26" s="128" t="inlineStr">
        <is>
          <t>PROC</t>
        </is>
      </c>
      <c r="I26" s="132" t="inlineStr">
        <is>
          <t>RL7-LFT-RIO1</t>
        </is>
      </c>
      <c r="J26" s="133" t="n">
        <v>2</v>
      </c>
      <c r="K26" s="129" t="n">
        <v>3</v>
      </c>
      <c r="L26" s="129" t="n">
        <v>0</v>
      </c>
      <c r="M26" s="129" t="inlineStr">
        <is>
          <t>24 VDC DO</t>
        </is>
      </c>
      <c r="N26" s="129" t="inlineStr">
        <is>
          <t>5069-OB16</t>
        </is>
      </c>
      <c r="O26" s="139" t="n"/>
      <c r="P26" s="127" t="n"/>
      <c r="Q26" s="127" t="n"/>
      <c r="R26" s="127" t="n"/>
      <c r="S26" s="127" t="n"/>
      <c r="T26" s="127" t="n"/>
      <c r="U26" s="127" t="n"/>
      <c r="V26" s="127" t="n"/>
      <c r="W26" s="127" t="n"/>
      <c r="X26" s="127" t="n"/>
      <c r="Y26" s="127" t="n"/>
      <c r="Z26" s="140" t="inlineStr">
        <is>
          <t>OEM PANEL</t>
        </is>
      </c>
      <c r="AA26" t="inlineStr">
        <is>
          <t>Skipped - unrecognized tag</t>
        </is>
      </c>
      <c r="AC26" t="inlineStr">
        <is>
          <t>Low</t>
        </is>
      </c>
      <c r="AN26" t="inlineStr">
        <is>
          <t>Yes</t>
        </is>
      </c>
      <c r="AO26" t="inlineStr">
        <is>
          <t>unrecognized tag</t>
        </is>
      </c>
    </row>
    <row r="27">
      <c r="A27" s="203">
        <f>ROW()-2</f>
        <v/>
      </c>
      <c r="B27" s="128" t="inlineStr">
        <is>
          <t>RL7-LFT-101-3:O.PT01</t>
        </is>
      </c>
      <c r="C27" s="312" t="inlineStr">
        <is>
          <t>RL7-LFT-101-3:O.PT01</t>
        </is>
      </c>
      <c r="D27" s="262" t="n"/>
      <c r="E27" s="128" t="n"/>
      <c r="F27" s="138" t="inlineStr">
        <is>
          <t>MOTOR REVERSE</t>
        </is>
      </c>
      <c r="G27" s="131" t="inlineStr">
        <is>
          <t>DG6800</t>
        </is>
      </c>
      <c r="H27" s="128" t="inlineStr">
        <is>
          <t>PROC</t>
        </is>
      </c>
      <c r="I27" s="132" t="inlineStr">
        <is>
          <t>RL7-LFT-RIO1</t>
        </is>
      </c>
      <c r="J27" s="133" t="n">
        <v>2</v>
      </c>
      <c r="K27" s="129" t="n">
        <v>3</v>
      </c>
      <c r="L27" s="129" t="n">
        <v>1</v>
      </c>
      <c r="M27" s="129" t="inlineStr">
        <is>
          <t>24 VDC DO</t>
        </is>
      </c>
      <c r="N27" s="129" t="inlineStr">
        <is>
          <t>5069-OB16</t>
        </is>
      </c>
      <c r="O27" s="139" t="n"/>
      <c r="P27" s="127" t="n"/>
      <c r="Q27" s="127" t="n"/>
      <c r="R27" s="127" t="n"/>
      <c r="S27" s="127" t="n"/>
      <c r="T27" s="127" t="n"/>
      <c r="U27" s="127" t="n"/>
      <c r="V27" s="127" t="n"/>
      <c r="W27" s="127" t="n"/>
      <c r="X27" s="127" t="n"/>
      <c r="Y27" s="127" t="n"/>
      <c r="Z27" s="140" t="inlineStr">
        <is>
          <t>OEM PANEL</t>
        </is>
      </c>
      <c r="AA27" t="inlineStr">
        <is>
          <t>Skipped - unrecognized tag</t>
        </is>
      </c>
      <c r="AC27" t="inlineStr">
        <is>
          <t>Low</t>
        </is>
      </c>
      <c r="AN27" t="inlineStr">
        <is>
          <t>Yes</t>
        </is>
      </c>
      <c r="AO27" t="inlineStr">
        <is>
          <t>unrecognized tag</t>
        </is>
      </c>
    </row>
    <row r="28">
      <c r="A28" s="203">
        <f>ROW()-2</f>
        <v/>
      </c>
      <c r="B28" s="128" t="inlineStr">
        <is>
          <t>RL7-LFT-101-3:O.PT02</t>
        </is>
      </c>
      <c r="C28" s="312" t="inlineStr">
        <is>
          <t>RL7-LFT-101-3:O.PT02</t>
        </is>
      </c>
      <c r="D28" s="262" t="n"/>
      <c r="E28" s="128" t="n"/>
      <c r="F28" s="138" t="inlineStr">
        <is>
          <t>HYDRAULIC ON</t>
        </is>
      </c>
      <c r="G28" s="131" t="inlineStr">
        <is>
          <t>DG6800</t>
        </is>
      </c>
      <c r="H28" s="128" t="inlineStr">
        <is>
          <t>PROC</t>
        </is>
      </c>
      <c r="I28" s="132" t="inlineStr">
        <is>
          <t>RL7-LFT-RIO1</t>
        </is>
      </c>
      <c r="J28" s="133" t="n">
        <v>2</v>
      </c>
      <c r="K28" s="129" t="n">
        <v>3</v>
      </c>
      <c r="L28" s="129" t="n">
        <v>2</v>
      </c>
      <c r="M28" s="129" t="inlineStr">
        <is>
          <t>24 VDC DO</t>
        </is>
      </c>
      <c r="N28" s="129" t="inlineStr">
        <is>
          <t>5069-OB16</t>
        </is>
      </c>
      <c r="O28" s="139" t="n"/>
      <c r="P28" s="127" t="n"/>
      <c r="Q28" s="127" t="n"/>
      <c r="R28" s="127" t="n"/>
      <c r="S28" s="127" t="n"/>
      <c r="T28" s="127" t="n"/>
      <c r="U28" s="127" t="n"/>
      <c r="V28" s="127" t="n"/>
      <c r="W28" s="127" t="n"/>
      <c r="X28" s="127" t="n"/>
      <c r="Y28" s="127" t="n"/>
      <c r="Z28" s="140" t="inlineStr">
        <is>
          <t>OEM PANEL</t>
        </is>
      </c>
      <c r="AA28" t="inlineStr">
        <is>
          <t>Skipped - unrecognized tag</t>
        </is>
      </c>
      <c r="AC28" t="inlineStr">
        <is>
          <t>Low</t>
        </is>
      </c>
      <c r="AN28" t="inlineStr">
        <is>
          <t>Yes</t>
        </is>
      </c>
      <c r="AO28" t="inlineStr">
        <is>
          <t>unrecognized tag</t>
        </is>
      </c>
    </row>
    <row r="29">
      <c r="A29" s="203">
        <f>ROW()-2</f>
        <v/>
      </c>
      <c r="B29" s="128" t="inlineStr">
        <is>
          <t>RL7-LFT-101-3:O.PT03</t>
        </is>
      </c>
      <c r="C29" s="312" t="inlineStr">
        <is>
          <t>RL7-LFT-101-3:O.PT03</t>
        </is>
      </c>
      <c r="D29" s="262" t="n"/>
      <c r="E29" s="128" t="n"/>
      <c r="F29" s="138" t="inlineStr">
        <is>
          <t>VALVE GRIP CLAMP</t>
        </is>
      </c>
      <c r="G29" s="131" t="inlineStr">
        <is>
          <t>DG6800</t>
        </is>
      </c>
      <c r="H29" s="128" t="inlineStr">
        <is>
          <t>PROC</t>
        </is>
      </c>
      <c r="I29" s="132" t="inlineStr">
        <is>
          <t>RL7-LFT-RIO1</t>
        </is>
      </c>
      <c r="J29" s="133" t="n">
        <v>2</v>
      </c>
      <c r="K29" s="129" t="n">
        <v>3</v>
      </c>
      <c r="L29" s="129" t="n">
        <v>3</v>
      </c>
      <c r="M29" s="129" t="inlineStr">
        <is>
          <t>24 VDC DO</t>
        </is>
      </c>
      <c r="N29" s="129" t="inlineStr">
        <is>
          <t>5069-OB16</t>
        </is>
      </c>
      <c r="O29" s="139" t="n"/>
      <c r="P29" s="127" t="n"/>
      <c r="Q29" s="127" t="n"/>
      <c r="R29" s="127" t="n"/>
      <c r="S29" s="127" t="n"/>
      <c r="T29" s="127" t="n"/>
      <c r="U29" s="127" t="n"/>
      <c r="V29" s="127" t="n"/>
      <c r="W29" s="127" t="n"/>
      <c r="X29" s="127" t="n"/>
      <c r="Y29" s="127" t="n"/>
      <c r="Z29" s="140" t="inlineStr">
        <is>
          <t>OEM PANEL</t>
        </is>
      </c>
      <c r="AA29" t="inlineStr">
        <is>
          <t>Skipped - unrecognized tag</t>
        </is>
      </c>
      <c r="AC29" t="inlineStr">
        <is>
          <t>Low</t>
        </is>
      </c>
      <c r="AN29" t="inlineStr">
        <is>
          <t>Yes</t>
        </is>
      </c>
      <c r="AO29" t="inlineStr">
        <is>
          <t>unrecognized tag</t>
        </is>
      </c>
    </row>
    <row r="30">
      <c r="A30" s="203">
        <f>ROW()-2</f>
        <v/>
      </c>
      <c r="B30" s="128" t="inlineStr">
        <is>
          <t>RL7-LFT-101-3:O.PT04</t>
        </is>
      </c>
      <c r="C30" s="312" t="inlineStr">
        <is>
          <t>RL7-LFT-101-3:O.PT04</t>
        </is>
      </c>
      <c r="D30" s="262" t="n"/>
      <c r="E30" s="128" t="n"/>
      <c r="F30" s="138" t="inlineStr">
        <is>
          <t>VALVE GRIP RELEASE</t>
        </is>
      </c>
      <c r="G30" s="131" t="inlineStr">
        <is>
          <t>DG6800</t>
        </is>
      </c>
      <c r="H30" s="128" t="inlineStr">
        <is>
          <t>PROC</t>
        </is>
      </c>
      <c r="I30" s="132" t="inlineStr">
        <is>
          <t>RL7-LFT-RIO1</t>
        </is>
      </c>
      <c r="J30" s="133" t="n">
        <v>2</v>
      </c>
      <c r="K30" s="129" t="n">
        <v>3</v>
      </c>
      <c r="L30" s="129" t="n">
        <v>4</v>
      </c>
      <c r="M30" s="129" t="inlineStr">
        <is>
          <t>24 VDC DO</t>
        </is>
      </c>
      <c r="N30" s="129" t="inlineStr">
        <is>
          <t>5069-OB16</t>
        </is>
      </c>
      <c r="O30" s="139" t="n"/>
      <c r="P30" s="127" t="n"/>
      <c r="Q30" s="127" t="n"/>
      <c r="R30" s="127" t="n"/>
      <c r="S30" s="127" t="n"/>
      <c r="T30" s="127" t="n"/>
      <c r="U30" s="127" t="n"/>
      <c r="V30" s="127" t="n"/>
      <c r="W30" s="127" t="n"/>
      <c r="X30" s="127" t="n"/>
      <c r="Y30" s="127" t="n"/>
      <c r="Z30" s="140" t="inlineStr">
        <is>
          <t>OEM PANEL</t>
        </is>
      </c>
      <c r="AA30" t="inlineStr">
        <is>
          <t>Skipped - unrecognized tag</t>
        </is>
      </c>
      <c r="AC30" t="inlineStr">
        <is>
          <t>Low</t>
        </is>
      </c>
      <c r="AN30" t="inlineStr">
        <is>
          <t>Yes</t>
        </is>
      </c>
      <c r="AO30" t="inlineStr">
        <is>
          <t>unrecognized tag</t>
        </is>
      </c>
    </row>
    <row r="31">
      <c r="A31" s="203">
        <f>ROW()-2</f>
        <v/>
      </c>
      <c r="B31" s="128" t="inlineStr">
        <is>
          <t>RL7-LFT-101-3:O.PT05</t>
        </is>
      </c>
      <c r="C31" s="312" t="inlineStr">
        <is>
          <t>RL7-LFT-101-3:O.PT05</t>
        </is>
      </c>
      <c r="D31" s="262" t="n"/>
      <c r="E31" s="128" t="n"/>
      <c r="F31" s="138" t="inlineStr">
        <is>
          <t>VALVE TURN RIGHT</t>
        </is>
      </c>
      <c r="G31" s="131" t="inlineStr">
        <is>
          <t>DG6800</t>
        </is>
      </c>
      <c r="H31" s="128" t="inlineStr">
        <is>
          <t>PROC</t>
        </is>
      </c>
      <c r="I31" s="132" t="inlineStr">
        <is>
          <t>RL7-LFT-RIO1</t>
        </is>
      </c>
      <c r="J31" s="133" t="n">
        <v>2</v>
      </c>
      <c r="K31" s="129" t="n">
        <v>3</v>
      </c>
      <c r="L31" s="129" t="n">
        <v>5</v>
      </c>
      <c r="M31" s="129" t="inlineStr">
        <is>
          <t>24 VDC DO</t>
        </is>
      </c>
      <c r="N31" s="129" t="inlineStr">
        <is>
          <t>5069-OB16</t>
        </is>
      </c>
      <c r="O31" s="139" t="n"/>
      <c r="P31" s="127" t="n"/>
      <c r="Q31" s="127" t="n"/>
      <c r="R31" s="127" t="n"/>
      <c r="S31" s="127" t="n"/>
      <c r="T31" s="127" t="n"/>
      <c r="U31" s="127" t="n"/>
      <c r="V31" s="127" t="n"/>
      <c r="W31" s="127" t="n"/>
      <c r="X31" s="127" t="n"/>
      <c r="Y31" s="127" t="n"/>
      <c r="Z31" s="140" t="inlineStr">
        <is>
          <t>OEM PANEL</t>
        </is>
      </c>
      <c r="AA31" t="inlineStr">
        <is>
          <t>Skipped - unrecognized tag</t>
        </is>
      </c>
      <c r="AC31" t="inlineStr">
        <is>
          <t>Low</t>
        </is>
      </c>
      <c r="AN31" t="inlineStr">
        <is>
          <t>Yes</t>
        </is>
      </c>
      <c r="AO31" t="inlineStr">
        <is>
          <t>unrecognized tag</t>
        </is>
      </c>
    </row>
    <row r="32">
      <c r="A32" s="203">
        <f>ROW()-2</f>
        <v/>
      </c>
      <c r="B32" s="128" t="inlineStr">
        <is>
          <t>RL7-LFT-101-3:O.PT06</t>
        </is>
      </c>
      <c r="C32" s="312" t="inlineStr">
        <is>
          <t>RL7-LFT-101-3:O.PT06</t>
        </is>
      </c>
      <c r="D32" s="262" t="n"/>
      <c r="E32" s="128" t="n"/>
      <c r="F32" s="138" t="inlineStr">
        <is>
          <t>VALVE TURN LEFT</t>
        </is>
      </c>
      <c r="G32" s="131" t="inlineStr">
        <is>
          <t>DG6800</t>
        </is>
      </c>
      <c r="H32" s="128" t="inlineStr">
        <is>
          <t>PROC</t>
        </is>
      </c>
      <c r="I32" s="132" t="inlineStr">
        <is>
          <t>RL7-LFT-RIO1</t>
        </is>
      </c>
      <c r="J32" s="133" t="n">
        <v>2</v>
      </c>
      <c r="K32" s="129" t="n">
        <v>3</v>
      </c>
      <c r="L32" s="129" t="n">
        <v>6</v>
      </c>
      <c r="M32" s="129" t="inlineStr">
        <is>
          <t>24 VDC DO</t>
        </is>
      </c>
      <c r="N32" s="129" t="inlineStr">
        <is>
          <t>5069-OB16</t>
        </is>
      </c>
      <c r="O32" s="139" t="n"/>
      <c r="P32" s="127" t="n"/>
      <c r="Q32" s="127" t="n"/>
      <c r="R32" s="127" t="n"/>
      <c r="S32" s="127" t="n"/>
      <c r="T32" s="127" t="n"/>
      <c r="U32" s="127" t="n"/>
      <c r="V32" s="127" t="n"/>
      <c r="W32" s="127" t="n"/>
      <c r="X32" s="127" t="n"/>
      <c r="Y32" s="127" t="n"/>
      <c r="Z32" s="140" t="inlineStr">
        <is>
          <t>OEM PANEL</t>
        </is>
      </c>
      <c r="AA32" t="inlineStr">
        <is>
          <t>Skipped - unrecognized tag</t>
        </is>
      </c>
      <c r="AC32" t="inlineStr">
        <is>
          <t>Low</t>
        </is>
      </c>
      <c r="AN32" t="inlineStr">
        <is>
          <t>Yes</t>
        </is>
      </c>
      <c r="AO32" t="inlineStr">
        <is>
          <t>unrecognized tag</t>
        </is>
      </c>
    </row>
    <row r="33">
      <c r="A33" s="203">
        <f>ROW()-2</f>
        <v/>
      </c>
      <c r="B33" s="128" t="inlineStr">
        <is>
          <t>RL7-LFT-101-3:O.PT07</t>
        </is>
      </c>
      <c r="C33" s="312" t="inlineStr">
        <is>
          <t>RL7-LFT-101-3:O.PT07</t>
        </is>
      </c>
      <c r="D33" s="262" t="n"/>
      <c r="E33" s="128" t="n"/>
      <c r="F33" s="138" t="inlineStr">
        <is>
          <t>RESET LAMP</t>
        </is>
      </c>
      <c r="G33" s="131" t="inlineStr">
        <is>
          <t>DG6800</t>
        </is>
      </c>
      <c r="H33" s="128" t="inlineStr">
        <is>
          <t>PROC</t>
        </is>
      </c>
      <c r="I33" s="132" t="inlineStr">
        <is>
          <t>RL7-LFT-RIO1</t>
        </is>
      </c>
      <c r="J33" s="133" t="n">
        <v>2</v>
      </c>
      <c r="K33" s="129" t="n">
        <v>3</v>
      </c>
      <c r="L33" s="129" t="n">
        <v>7</v>
      </c>
      <c r="M33" s="129" t="inlineStr">
        <is>
          <t>24 VDC DO</t>
        </is>
      </c>
      <c r="N33" s="129" t="inlineStr">
        <is>
          <t>5069-OB16</t>
        </is>
      </c>
      <c r="O33" s="139" t="n"/>
      <c r="P33" s="127" t="n"/>
      <c r="Q33" s="127" t="n"/>
      <c r="R33" s="127" t="n"/>
      <c r="S33" s="127" t="n"/>
      <c r="T33" s="127" t="n"/>
      <c r="U33" s="127" t="n"/>
      <c r="V33" s="127" t="n"/>
      <c r="W33" s="127" t="n"/>
      <c r="X33" s="127" t="n"/>
      <c r="Y33" s="127" t="n"/>
      <c r="Z33" s="140" t="inlineStr">
        <is>
          <t>OEM PANEL</t>
        </is>
      </c>
      <c r="AA33" t="inlineStr">
        <is>
          <t>Skipped - unrecognized tag</t>
        </is>
      </c>
      <c r="AC33" t="inlineStr">
        <is>
          <t>Low</t>
        </is>
      </c>
      <c r="AN33" t="inlineStr">
        <is>
          <t>Yes</t>
        </is>
      </c>
      <c r="AO33" t="inlineStr">
        <is>
          <t>unrecognized tag</t>
        </is>
      </c>
    </row>
    <row r="34">
      <c r="A34" s="203">
        <f>ROW()-2</f>
        <v/>
      </c>
      <c r="B34" s="128" t="inlineStr">
        <is>
          <t>RL7-LFT-101-3:O.PT08</t>
        </is>
      </c>
      <c r="C34" s="312" t="inlineStr">
        <is>
          <t>RL7-LFT-101-3:O.PT08</t>
        </is>
      </c>
      <c r="D34" s="262" t="n"/>
      <c r="E34" s="128" t="n"/>
      <c r="F34" s="138" t="inlineStr">
        <is>
          <t>LIFT UP LAMP</t>
        </is>
      </c>
      <c r="G34" s="131" t="inlineStr">
        <is>
          <t>DG6800</t>
        </is>
      </c>
      <c r="H34" s="128" t="inlineStr">
        <is>
          <t>PROC</t>
        </is>
      </c>
      <c r="I34" s="132" t="inlineStr">
        <is>
          <t>RL7-LFT-RIO1</t>
        </is>
      </c>
      <c r="J34" s="133" t="n">
        <v>2</v>
      </c>
      <c r="K34" s="129" t="n">
        <v>3</v>
      </c>
      <c r="L34" s="129" t="n">
        <v>8</v>
      </c>
      <c r="M34" s="129" t="inlineStr">
        <is>
          <t>24 VDC DO</t>
        </is>
      </c>
      <c r="N34" s="129" t="inlineStr">
        <is>
          <t>5069-OB16</t>
        </is>
      </c>
      <c r="O34" s="139" t="n"/>
      <c r="P34" s="127" t="n"/>
      <c r="Q34" s="127" t="n"/>
      <c r="R34" s="127" t="n"/>
      <c r="S34" s="127" t="n"/>
      <c r="T34" s="127" t="n"/>
      <c r="U34" s="127" t="n"/>
      <c r="V34" s="127" t="n"/>
      <c r="W34" s="127" t="n"/>
      <c r="X34" s="127" t="n"/>
      <c r="Y34" s="127" t="n"/>
      <c r="Z34" s="140" t="inlineStr">
        <is>
          <t>OEM PANEL</t>
        </is>
      </c>
      <c r="AA34" t="inlineStr">
        <is>
          <t>Skipped - unrecognized tag</t>
        </is>
      </c>
      <c r="AC34" t="inlineStr">
        <is>
          <t>Low</t>
        </is>
      </c>
      <c r="AN34" t="inlineStr">
        <is>
          <t>Yes</t>
        </is>
      </c>
      <c r="AO34" t="inlineStr">
        <is>
          <t>unrecognized tag</t>
        </is>
      </c>
    </row>
    <row r="35">
      <c r="A35" s="203">
        <f>ROW()-2</f>
        <v/>
      </c>
      <c r="B35" s="128" t="inlineStr">
        <is>
          <t>RL7-LFT-101-3:O.PT09</t>
        </is>
      </c>
      <c r="C35" s="312" t="inlineStr">
        <is>
          <t>RL7-LFT-101-3:O.PT09</t>
        </is>
      </c>
      <c r="D35" s="262" t="n"/>
      <c r="E35" s="128" t="n"/>
      <c r="F35" s="138" t="inlineStr">
        <is>
          <t>LIFT DOWN LAMP</t>
        </is>
      </c>
      <c r="G35" s="131" t="inlineStr">
        <is>
          <t>DG6800</t>
        </is>
      </c>
      <c r="H35" s="128" t="inlineStr">
        <is>
          <t>PROC</t>
        </is>
      </c>
      <c r="I35" s="132" t="inlineStr">
        <is>
          <t>RL7-LFT-RIO1</t>
        </is>
      </c>
      <c r="J35" s="133" t="n">
        <v>2</v>
      </c>
      <c r="K35" s="129" t="n">
        <v>3</v>
      </c>
      <c r="L35" s="129" t="n">
        <v>9</v>
      </c>
      <c r="M35" s="129" t="inlineStr">
        <is>
          <t>24 VDC DO</t>
        </is>
      </c>
      <c r="N35" s="129" t="inlineStr">
        <is>
          <t>5069-OB16</t>
        </is>
      </c>
      <c r="O35" s="139" t="n"/>
      <c r="P35" s="127" t="n"/>
      <c r="Q35" s="127" t="n"/>
      <c r="R35" s="127" t="n"/>
      <c r="S35" s="127" t="n"/>
      <c r="T35" s="127" t="n"/>
      <c r="U35" s="127" t="n"/>
      <c r="V35" s="127" t="n"/>
      <c r="W35" s="127" t="n"/>
      <c r="X35" s="127" t="n"/>
      <c r="Y35" s="127" t="n"/>
      <c r="Z35" s="140" t="inlineStr">
        <is>
          <t>OEM PANEL</t>
        </is>
      </c>
      <c r="AA35" t="inlineStr">
        <is>
          <t>Skipped - unrecognized tag</t>
        </is>
      </c>
      <c r="AC35" t="inlineStr">
        <is>
          <t>Low</t>
        </is>
      </c>
      <c r="AN35" t="inlineStr">
        <is>
          <t>Yes</t>
        </is>
      </c>
      <c r="AO35" t="inlineStr">
        <is>
          <t>unrecognized tag</t>
        </is>
      </c>
    </row>
    <row r="36">
      <c r="A36" s="203">
        <f>ROW()-2</f>
        <v/>
      </c>
      <c r="B36" s="128" t="inlineStr">
        <is>
          <t>RL7-LFT-101-3:O.PT10</t>
        </is>
      </c>
      <c r="C36" s="312" t="inlineStr">
        <is>
          <t>RL7-LFT-101-3:O.PT10</t>
        </is>
      </c>
      <c r="D36" s="262" t="n"/>
      <c r="E36" s="128" t="n"/>
      <c r="F36" s="138" t="inlineStr">
        <is>
          <t>STOP LAMP</t>
        </is>
      </c>
      <c r="G36" s="131" t="inlineStr">
        <is>
          <t>DG6800</t>
        </is>
      </c>
      <c r="H36" s="128" t="inlineStr">
        <is>
          <t>PROC</t>
        </is>
      </c>
      <c r="I36" s="132" t="inlineStr">
        <is>
          <t>RL7-LFT-RIO1</t>
        </is>
      </c>
      <c r="J36" s="133" t="n">
        <v>2</v>
      </c>
      <c r="K36" s="129" t="n">
        <v>3</v>
      </c>
      <c r="L36" s="129" t="n">
        <v>10</v>
      </c>
      <c r="M36" s="129" t="inlineStr">
        <is>
          <t>24 VDC DO</t>
        </is>
      </c>
      <c r="N36" s="129" t="inlineStr">
        <is>
          <t>5069-OB16</t>
        </is>
      </c>
      <c r="O36" s="139" t="n"/>
      <c r="P36" s="127" t="n"/>
      <c r="Q36" s="127" t="n"/>
      <c r="R36" s="127" t="n"/>
      <c r="S36" s="127" t="n"/>
      <c r="T36" s="127" t="n"/>
      <c r="U36" s="127" t="n"/>
      <c r="V36" s="127" t="n"/>
      <c r="W36" s="127" t="n"/>
      <c r="X36" s="127" t="n"/>
      <c r="Y36" s="127" t="n"/>
      <c r="Z36" s="140" t="inlineStr">
        <is>
          <t>OEM PANEL</t>
        </is>
      </c>
      <c r="AA36" t="inlineStr">
        <is>
          <t>Skipped - unrecognized tag</t>
        </is>
      </c>
      <c r="AC36" t="inlineStr">
        <is>
          <t>Low</t>
        </is>
      </c>
      <c r="AN36" t="inlineStr">
        <is>
          <t>Yes</t>
        </is>
      </c>
      <c r="AO36" t="inlineStr">
        <is>
          <t>unrecognized tag</t>
        </is>
      </c>
    </row>
    <row r="37">
      <c r="A37" s="203">
        <f>ROW()-2</f>
        <v/>
      </c>
      <c r="B37" s="128" t="inlineStr">
        <is>
          <t>RL7-LFT-101-3:O.PT11</t>
        </is>
      </c>
      <c r="C37" s="312" t="inlineStr">
        <is>
          <t>RL7-LFT-101-3:O.PT11</t>
        </is>
      </c>
      <c r="D37" s="262" t="n"/>
      <c r="E37" s="128" t="n"/>
      <c r="F37" s="138" t="inlineStr">
        <is>
          <t>SERVICE LAMP</t>
        </is>
      </c>
      <c r="G37" s="131" t="inlineStr">
        <is>
          <t>DG6800</t>
        </is>
      </c>
      <c r="H37" s="128" t="inlineStr">
        <is>
          <t>PROC</t>
        </is>
      </c>
      <c r="I37" s="132" t="inlineStr">
        <is>
          <t>RL7-LFT-RIO1</t>
        </is>
      </c>
      <c r="J37" s="133" t="n">
        <v>2</v>
      </c>
      <c r="K37" s="129" t="n">
        <v>3</v>
      </c>
      <c r="L37" s="129" t="n">
        <v>11</v>
      </c>
      <c r="M37" s="129" t="inlineStr">
        <is>
          <t>24 VDC DO</t>
        </is>
      </c>
      <c r="N37" s="129" t="inlineStr">
        <is>
          <t>5069-OB16</t>
        </is>
      </c>
      <c r="O37" s="139" t="n"/>
      <c r="P37" s="127" t="n"/>
      <c r="Q37" s="127" t="n"/>
      <c r="R37" s="127" t="n"/>
      <c r="S37" s="127" t="n"/>
      <c r="T37" s="127" t="n"/>
      <c r="U37" s="127" t="n"/>
      <c r="V37" s="127" t="n"/>
      <c r="W37" s="127" t="n"/>
      <c r="X37" s="127" t="n"/>
      <c r="Y37" s="127" t="n"/>
      <c r="Z37" s="140" t="inlineStr">
        <is>
          <t>OEM PANEL</t>
        </is>
      </c>
      <c r="AA37" t="inlineStr">
        <is>
          <t>Skipped - unrecognized tag</t>
        </is>
      </c>
      <c r="AC37" t="inlineStr">
        <is>
          <t>Low</t>
        </is>
      </c>
      <c r="AN37" t="inlineStr">
        <is>
          <t>Yes</t>
        </is>
      </c>
      <c r="AO37" t="inlineStr">
        <is>
          <t>unrecognized tag</t>
        </is>
      </c>
    </row>
    <row r="38">
      <c r="A38" s="203">
        <f>ROW()-2</f>
        <v/>
      </c>
      <c r="B38" s="128" t="inlineStr">
        <is>
          <t>RL7-LFT-101-3:O.PT12</t>
        </is>
      </c>
      <c r="C38" s="312" t="inlineStr">
        <is>
          <t>RL7-LFT-101-3:O.PT12</t>
        </is>
      </c>
      <c r="D38" s="262" t="n"/>
      <c r="E38" s="128" t="n"/>
      <c r="F38" s="138" t="inlineStr">
        <is>
          <t>BYPASS VALVE</t>
        </is>
      </c>
      <c r="G38" s="131" t="inlineStr">
        <is>
          <t>DG6800</t>
        </is>
      </c>
      <c r="H38" s="128" t="inlineStr">
        <is>
          <t>PROC</t>
        </is>
      </c>
      <c r="I38" s="132" t="inlineStr">
        <is>
          <t>RL7-LFT-RIO1</t>
        </is>
      </c>
      <c r="J38" s="133" t="n">
        <v>2</v>
      </c>
      <c r="K38" s="129" t="n">
        <v>3</v>
      </c>
      <c r="L38" s="129" t="n">
        <v>12</v>
      </c>
      <c r="M38" s="129" t="inlineStr">
        <is>
          <t>24 VDC DO</t>
        </is>
      </c>
      <c r="N38" s="129" t="inlineStr">
        <is>
          <t>5069-OB16</t>
        </is>
      </c>
      <c r="O38" s="139" t="n"/>
      <c r="P38" s="127" t="n"/>
      <c r="Q38" s="127" t="n"/>
      <c r="R38" s="127" t="n"/>
      <c r="S38" s="127" t="n"/>
      <c r="T38" s="127" t="n"/>
      <c r="U38" s="127" t="n"/>
      <c r="V38" s="127" t="n"/>
      <c r="W38" s="127" t="n"/>
      <c r="X38" s="127" t="n"/>
      <c r="Y38" s="127" t="n"/>
      <c r="Z38" s="140" t="inlineStr">
        <is>
          <t>OEM PANEL</t>
        </is>
      </c>
      <c r="AA38" t="inlineStr">
        <is>
          <t>Skipped - unrecognized tag</t>
        </is>
      </c>
      <c r="AC38" t="inlineStr">
        <is>
          <t>Low</t>
        </is>
      </c>
      <c r="AN38" t="inlineStr">
        <is>
          <t>Yes</t>
        </is>
      </c>
      <c r="AO38" t="inlineStr">
        <is>
          <t>unrecognized tag</t>
        </is>
      </c>
    </row>
    <row r="39">
      <c r="A39" s="203">
        <f>ROW()-2</f>
        <v/>
      </c>
      <c r="B39" s="128" t="inlineStr">
        <is>
          <t>RL7-LFT-101-3:O.PT13</t>
        </is>
      </c>
      <c r="C39" s="312" t="inlineStr">
        <is>
          <t>RL7-LFT-101-3:O.PT13</t>
        </is>
      </c>
      <c r="D39" s="262" t="n"/>
      <c r="E39" s="128" t="n"/>
      <c r="F39" s="138" t="inlineStr">
        <is>
          <t>LINK IN</t>
        </is>
      </c>
      <c r="G39" s="131" t="inlineStr">
        <is>
          <t>DG6800</t>
        </is>
      </c>
      <c r="H39" s="128" t="inlineStr">
        <is>
          <t>PROC</t>
        </is>
      </c>
      <c r="I39" s="132" t="inlineStr">
        <is>
          <t>RL7-LFT-RIO1</t>
        </is>
      </c>
      <c r="J39" s="133" t="n">
        <v>2</v>
      </c>
      <c r="K39" s="129" t="n">
        <v>3</v>
      </c>
      <c r="L39" s="129" t="n">
        <v>13</v>
      </c>
      <c r="M39" s="129" t="inlineStr">
        <is>
          <t>24 VDC DO</t>
        </is>
      </c>
      <c r="N39" s="129" t="inlineStr">
        <is>
          <t>5069-OB16</t>
        </is>
      </c>
      <c r="O39" s="139" t="n"/>
      <c r="P39" s="127" t="n"/>
      <c r="Q39" s="127" t="n"/>
      <c r="R39" s="127" t="n"/>
      <c r="S39" s="127" t="n"/>
      <c r="T39" s="127" t="n"/>
      <c r="U39" s="127" t="n"/>
      <c r="V39" s="127" t="n"/>
      <c r="W39" s="127" t="n"/>
      <c r="X39" s="127" t="n"/>
      <c r="Y39" s="127" t="n"/>
      <c r="Z39" s="140" t="inlineStr">
        <is>
          <t>OEM PANEL</t>
        </is>
      </c>
      <c r="AA39" t="inlineStr">
        <is>
          <t>Skipped - unrecognized tag</t>
        </is>
      </c>
      <c r="AC39" t="inlineStr">
        <is>
          <t>Low</t>
        </is>
      </c>
      <c r="AN39" t="inlineStr">
        <is>
          <t>Yes</t>
        </is>
      </c>
      <c r="AO39" t="inlineStr">
        <is>
          <t>unrecognized tag</t>
        </is>
      </c>
    </row>
    <row r="40">
      <c r="A40" s="203">
        <f>ROW()-2</f>
        <v/>
      </c>
      <c r="B40" s="128" t="inlineStr">
        <is>
          <t>RL7-LFT-101-3:O.PT14</t>
        </is>
      </c>
      <c r="C40" s="312" t="inlineStr">
        <is>
          <t>RL7-LFT-101-3:O.PT14</t>
        </is>
      </c>
      <c r="D40" s="262" t="n"/>
      <c r="E40" s="128" t="n"/>
      <c r="F40" s="138" t="inlineStr">
        <is>
          <t>LINK OUT</t>
        </is>
      </c>
      <c r="G40" s="131" t="inlineStr">
        <is>
          <t>DG6800</t>
        </is>
      </c>
      <c r="H40" s="128" t="inlineStr">
        <is>
          <t>PROC</t>
        </is>
      </c>
      <c r="I40" s="132" t="inlineStr">
        <is>
          <t>RL7-LFT-RIO1</t>
        </is>
      </c>
      <c r="J40" s="133" t="n">
        <v>2</v>
      </c>
      <c r="K40" s="129" t="n">
        <v>3</v>
      </c>
      <c r="L40" s="129" t="n">
        <v>14</v>
      </c>
      <c r="M40" s="129" t="inlineStr">
        <is>
          <t>24 VDC DO</t>
        </is>
      </c>
      <c r="N40" s="129" t="inlineStr">
        <is>
          <t>5069-OB16</t>
        </is>
      </c>
      <c r="O40" s="139" t="n"/>
      <c r="P40" s="127" t="n"/>
      <c r="Q40" s="127" t="n"/>
      <c r="R40" s="127" t="n"/>
      <c r="S40" s="127" t="n"/>
      <c r="T40" s="127" t="n"/>
      <c r="U40" s="127" t="n"/>
      <c r="V40" s="127" t="n"/>
      <c r="W40" s="127" t="n"/>
      <c r="X40" s="127" t="n"/>
      <c r="Y40" s="127" t="n"/>
      <c r="Z40" s="140" t="inlineStr">
        <is>
          <t>OEM PANEL</t>
        </is>
      </c>
      <c r="AA40" t="inlineStr">
        <is>
          <t>Skipped - unrecognized tag</t>
        </is>
      </c>
      <c r="AC40" t="inlineStr">
        <is>
          <t>Low</t>
        </is>
      </c>
      <c r="AN40" t="inlineStr">
        <is>
          <t>Yes</t>
        </is>
      </c>
      <c r="AO40" t="inlineStr">
        <is>
          <t>unrecognized tag</t>
        </is>
      </c>
    </row>
    <row r="41">
      <c r="A41" s="203">
        <f>ROW()-1</f>
        <v/>
      </c>
      <c r="B41" s="128" t="inlineStr">
        <is>
          <t>RL7-TNK-101-ZSC-04</t>
        </is>
      </c>
      <c r="C41" s="313" t="inlineStr">
        <is>
          <t>RL7-TNK-101-ZSC-04</t>
        </is>
      </c>
      <c r="D41" s="262" t="n"/>
      <c r="E41" s="128" t="n"/>
      <c r="F41" s="138" t="inlineStr">
        <is>
          <t>BREDDO MIXER SWING ELBOW IN PROCESS POSITION</t>
        </is>
      </c>
      <c r="G41" s="131" t="inlineStr">
        <is>
          <t>DG6806</t>
        </is>
      </c>
      <c r="H41" s="128" t="inlineStr">
        <is>
          <t>PROC</t>
        </is>
      </c>
      <c r="I41" s="132" t="inlineStr">
        <is>
          <t>RL7-BRED-RIO1</t>
        </is>
      </c>
      <c r="J41" s="133" t="n">
        <v>11</v>
      </c>
      <c r="K41" s="128" t="n">
        <v>3</v>
      </c>
      <c r="L41" s="128" t="n">
        <v>6</v>
      </c>
      <c r="M41" s="128" t="inlineStr">
        <is>
          <t>24 VDC DI</t>
        </is>
      </c>
      <c r="N41" s="128" t="inlineStr">
        <is>
          <t>5069-IB16</t>
        </is>
      </c>
      <c r="O41" s="139" t="n"/>
      <c r="P41" s="127" t="n"/>
      <c r="Q41" s="127" t="n"/>
      <c r="R41" s="127" t="n"/>
      <c r="S41" s="127" t="n"/>
      <c r="T41" s="127" t="n"/>
      <c r="U41" s="127" t="n"/>
      <c r="V41" s="127" t="n"/>
      <c r="W41" s="127" t="n"/>
      <c r="X41" s="127" t="n"/>
      <c r="Y41" s="127" t="n"/>
      <c r="Z41" s="140" t="n"/>
      <c r="AA41" t="inlineStr">
        <is>
          <t>No mapped PDF sheet</t>
        </is>
      </c>
      <c r="AC41" t="inlineStr">
        <is>
          <t>Low</t>
        </is>
      </c>
      <c r="AN41" t="inlineStr">
        <is>
          <t>Yes</t>
        </is>
      </c>
      <c r="AO41" t="inlineStr">
        <is>
          <t>sheet value not mapped to PDF</t>
        </is>
      </c>
    </row>
    <row r="42">
      <c r="A42" s="203">
        <f>ROW()-1</f>
        <v/>
      </c>
      <c r="B42" s="128" t="inlineStr">
        <is>
          <t>RL7-TNK-101-ZSC-05</t>
        </is>
      </c>
      <c r="C42" s="313" t="inlineStr">
        <is>
          <t>RL7-TNK-101-ZSC-05</t>
        </is>
      </c>
      <c r="D42" s="262" t="n"/>
      <c r="E42" s="128" t="n"/>
      <c r="F42" s="138" t="inlineStr">
        <is>
          <t>BREDDO MIXER SWING ELBOW IN SANITATION POSITION</t>
        </is>
      </c>
      <c r="G42" s="131" t="inlineStr">
        <is>
          <t>DG6806</t>
        </is>
      </c>
      <c r="H42" s="128" t="inlineStr">
        <is>
          <t>PROC</t>
        </is>
      </c>
      <c r="I42" s="132" t="inlineStr">
        <is>
          <t>RL7-BRED-RIO1</t>
        </is>
      </c>
      <c r="J42" s="133" t="n">
        <v>11</v>
      </c>
      <c r="K42" s="128" t="n">
        <v>3</v>
      </c>
      <c r="L42" s="128" t="n">
        <v>7</v>
      </c>
      <c r="M42" s="128" t="inlineStr">
        <is>
          <t>24 VDC DI</t>
        </is>
      </c>
      <c r="N42" s="128" t="inlineStr">
        <is>
          <t>5069-IB16</t>
        </is>
      </c>
      <c r="O42" s="139" t="n"/>
      <c r="P42" s="127" t="n"/>
      <c r="Q42" s="127" t="n"/>
      <c r="R42" s="127" t="n"/>
      <c r="S42" s="127" t="n"/>
      <c r="T42" s="127" t="n"/>
      <c r="U42" s="127" t="n"/>
      <c r="V42" s="127" t="n"/>
      <c r="W42" s="127" t="n"/>
      <c r="X42" s="127" t="n"/>
      <c r="Y42" s="127" t="n"/>
      <c r="Z42" s="140" t="n"/>
      <c r="AA42" t="inlineStr">
        <is>
          <t>No mapped PDF sheet</t>
        </is>
      </c>
      <c r="AC42" t="inlineStr">
        <is>
          <t>Low</t>
        </is>
      </c>
      <c r="AN42" t="inlineStr">
        <is>
          <t>Yes</t>
        </is>
      </c>
      <c r="AO42" t="inlineStr">
        <is>
          <t>sheet value not mapped to PDF</t>
        </is>
      </c>
    </row>
    <row r="43">
      <c r="A43" s="203">
        <f>ROW()-1</f>
        <v/>
      </c>
      <c r="B43" s="128" t="inlineStr">
        <is>
          <t>RL7-AGC-104-PBL-01</t>
        </is>
      </c>
      <c r="C43" s="313" t="inlineStr">
        <is>
          <t>RL7-AGC-104-PBL-01</t>
        </is>
      </c>
      <c r="D43" s="262" t="inlineStr">
        <is>
          <t>PB906161</t>
        </is>
      </c>
      <c r="E43" s="128" t="inlineStr">
        <is>
          <t>JIC11B, OS11A</t>
        </is>
      </c>
      <c r="F43" s="138" t="inlineStr">
        <is>
          <t xml:space="preserve">FRESH AUGER CART 1 PUMP E-STOP PB PILOT LIGHT </t>
        </is>
      </c>
      <c r="G43" s="131" t="inlineStr">
        <is>
          <t>DG6807</t>
        </is>
      </c>
      <c r="H43" s="128" t="inlineStr">
        <is>
          <t>PROC</t>
        </is>
      </c>
      <c r="I43" s="132" t="inlineStr">
        <is>
          <t>RL7-FAGC1-RIO1</t>
        </is>
      </c>
      <c r="J43" s="133" t="n">
        <v>8</v>
      </c>
      <c r="K43" s="128" t="n">
        <v>6</v>
      </c>
      <c r="L43" s="128" t="n">
        <v>8</v>
      </c>
      <c r="M43" s="128" t="inlineStr">
        <is>
          <t>24 VDC DO</t>
        </is>
      </c>
      <c r="N43" s="128" t="inlineStr">
        <is>
          <t>5069-OB16</t>
        </is>
      </c>
      <c r="O43" s="139" t="n"/>
      <c r="P43" s="127" t="n"/>
      <c r="Q43" s="127" t="n"/>
      <c r="R43" s="127" t="n"/>
      <c r="S43" s="127" t="n"/>
      <c r="T43" s="127" t="n"/>
      <c r="U43" s="127" t="n"/>
      <c r="V43" s="127" t="n"/>
      <c r="W43" s="127" t="n"/>
      <c r="X43" s="127" t="n"/>
      <c r="Y43" s="127" t="n"/>
      <c r="Z43" s="140" t="n"/>
      <c r="AA43" t="inlineStr">
        <is>
          <t>No mapped PDF sheet</t>
        </is>
      </c>
      <c r="AC43" t="inlineStr">
        <is>
          <t>Low</t>
        </is>
      </c>
      <c r="AN43" t="inlineStr">
        <is>
          <t>Yes</t>
        </is>
      </c>
      <c r="AO43" t="inlineStr">
        <is>
          <t>sheet value not mapped to PDF</t>
        </is>
      </c>
    </row>
    <row r="44">
      <c r="A44" s="203">
        <f>ROW()-1</f>
        <v/>
      </c>
      <c r="B44" s="128" t="inlineStr">
        <is>
          <t>RL7-CNV-107-XV-08</t>
        </is>
      </c>
      <c r="C44" s="313" t="inlineStr">
        <is>
          <t>RL7-CNV-107-XV-08</t>
        </is>
      </c>
      <c r="D44" s="262" t="n"/>
      <c r="E44" s="128" t="n"/>
      <c r="F44" s="138" t="inlineStr">
        <is>
          <t>INCLINE PIVOT AUGER 3 SANITATION VALVE OPEN SOLENOID</t>
        </is>
      </c>
      <c r="G44" s="131" t="inlineStr">
        <is>
          <t>DG6809</t>
        </is>
      </c>
      <c r="H44" s="128" t="inlineStr">
        <is>
          <t>PROC</t>
        </is>
      </c>
      <c r="I44" s="132" t="inlineStr">
        <is>
          <t>RL7-CKR2-RIO1</t>
        </is>
      </c>
      <c r="J44" s="133" t="n">
        <v>13</v>
      </c>
      <c r="K44" s="128" t="n">
        <v>9</v>
      </c>
      <c r="L44" s="128" t="n">
        <v>12</v>
      </c>
      <c r="M44" s="128" t="inlineStr">
        <is>
          <t>24 VDC DO</t>
        </is>
      </c>
      <c r="N44" s="128" t="inlineStr">
        <is>
          <t>5069-OB16</t>
        </is>
      </c>
      <c r="O44" s="139" t="n"/>
      <c r="P44" s="127" t="n"/>
      <c r="Q44" s="127" t="n"/>
      <c r="R44" s="127" t="n"/>
      <c r="S44" s="127" t="n"/>
      <c r="T44" s="127" t="n"/>
      <c r="U44" s="127" t="n"/>
      <c r="V44" s="127" t="n"/>
      <c r="W44" s="127" t="n"/>
      <c r="X44" s="127" t="n"/>
      <c r="Y44" s="127" t="n"/>
      <c r="Z44" s="140" t="n"/>
      <c r="AA44" t="inlineStr">
        <is>
          <t>No mapped PDF sheet</t>
        </is>
      </c>
      <c r="AC44" t="inlineStr">
        <is>
          <t>Low</t>
        </is>
      </c>
      <c r="AN44" t="inlineStr">
        <is>
          <t>Yes</t>
        </is>
      </c>
      <c r="AO44" t="inlineStr">
        <is>
          <t>sheet value not mapped to PDF</t>
        </is>
      </c>
    </row>
    <row r="45">
      <c r="A45" s="203">
        <f>ROW()-1</f>
        <v/>
      </c>
      <c r="B45" s="128" t="n"/>
      <c r="C45" s="313" t="inlineStr">
        <is>
          <t>RL7-CNV-107.M2</t>
        </is>
      </c>
      <c r="D45" s="277" t="n"/>
      <c r="E45" s="142" t="n"/>
      <c r="F45" s="141" t="inlineStr">
        <is>
          <t>INCLINE PIVOT AUGER 3 HYDRAULIC PUMP ENABLE</t>
        </is>
      </c>
      <c r="G45" s="142" t="inlineStr">
        <is>
          <t>DG6809</t>
        </is>
      </c>
      <c r="H45" s="133" t="inlineStr">
        <is>
          <t>MCC</t>
        </is>
      </c>
      <c r="I45" s="131" t="inlineStr">
        <is>
          <t>RL7-INTSL-RIO1</t>
        </is>
      </c>
      <c r="J45" s="133" t="n">
        <v>18</v>
      </c>
      <c r="K45" s="129" t="n">
        <v>14</v>
      </c>
      <c r="L45" s="129" t="n">
        <v>7</v>
      </c>
      <c r="M45" s="129" t="inlineStr">
        <is>
          <t>24 VDC DO</t>
        </is>
      </c>
      <c r="N45" s="129" t="inlineStr">
        <is>
          <t>5069-OB16</t>
        </is>
      </c>
      <c r="O45" s="146" t="n"/>
      <c r="P45" s="146" t="n"/>
      <c r="Q45" s="146" t="n"/>
      <c r="R45" s="146" t="n"/>
      <c r="S45" s="146" t="n"/>
      <c r="T45" s="146" t="n"/>
      <c r="U45" s="146" t="n"/>
      <c r="V45" s="146" t="n"/>
      <c r="W45" s="146" t="n"/>
      <c r="X45" s="146" t="n"/>
      <c r="Y45" s="146" t="n"/>
      <c r="Z45" s="143" t="n"/>
      <c r="AA45" t="inlineStr">
        <is>
          <t>Skipped - unrecognized tag</t>
        </is>
      </c>
      <c r="AC45" t="inlineStr">
        <is>
          <t>Low</t>
        </is>
      </c>
      <c r="AN45" t="inlineStr">
        <is>
          <t>Yes</t>
        </is>
      </c>
      <c r="AO45" t="inlineStr">
        <is>
          <t>unrecognized tag</t>
        </is>
      </c>
    </row>
    <row r="46">
      <c r="A46" s="203">
        <f>ROW()-1</f>
        <v/>
      </c>
      <c r="B46" s="128" t="inlineStr">
        <is>
          <t>RL7-AGC-201-ZSS-02</t>
        </is>
      </c>
      <c r="C46" s="313" t="inlineStr">
        <is>
          <t>RL7-AGC-201-ZSS-02</t>
        </is>
      </c>
      <c r="D46" s="262" t="inlineStr">
        <is>
          <t>PRS1106211</t>
        </is>
      </c>
      <c r="E46" s="128" t="n"/>
      <c r="F46" s="138" t="inlineStr">
        <is>
          <t>DISCHARGE AUGER CART COVER CLOSED SAFETY INPUT CH1</t>
        </is>
      </c>
      <c r="G46" s="131" t="inlineStr">
        <is>
          <t>DG6817</t>
        </is>
      </c>
      <c r="H46" s="128" t="inlineStr">
        <is>
          <t>CHILL</t>
        </is>
      </c>
      <c r="I46" s="132" t="inlineStr">
        <is>
          <t>RL7-DAGC1-RIO1</t>
        </is>
      </c>
      <c r="J46" s="133" t="n">
        <v>14</v>
      </c>
      <c r="K46" s="128" t="n">
        <v>2</v>
      </c>
      <c r="L46" s="128" t="n">
        <v>0</v>
      </c>
      <c r="M46" s="128" t="inlineStr">
        <is>
          <t>24 VDC SI</t>
        </is>
      </c>
      <c r="N46" s="128" t="inlineStr">
        <is>
          <t>5069-IB8S</t>
        </is>
      </c>
      <c r="O46" s="139" t="n"/>
      <c r="P46" s="127" t="n"/>
      <c r="Q46" s="127" t="n"/>
      <c r="R46" s="127" t="n"/>
      <c r="S46" s="127" t="n"/>
      <c r="T46" s="127" t="n"/>
      <c r="U46" s="127" t="n"/>
      <c r="V46" s="127" t="n"/>
      <c r="W46" s="127" t="n"/>
      <c r="X46" s="127" t="n"/>
      <c r="Y46" s="127" t="n"/>
      <c r="Z46" s="140" t="n"/>
      <c r="AA46" t="inlineStr">
        <is>
          <t>No mapped PDF sheet</t>
        </is>
      </c>
      <c r="AC46" t="inlineStr">
        <is>
          <t>Low</t>
        </is>
      </c>
      <c r="AN46" t="inlineStr">
        <is>
          <t>Yes</t>
        </is>
      </c>
      <c r="AO46" t="inlineStr">
        <is>
          <t>sheet value not mapped to PDF</t>
        </is>
      </c>
    </row>
    <row r="47">
      <c r="A47" s="203">
        <f>ROW()-1</f>
        <v/>
      </c>
      <c r="B47" s="128" t="inlineStr">
        <is>
          <t>RL7-AGC-201-ZSS-02</t>
        </is>
      </c>
      <c r="C47" s="313" t="inlineStr">
        <is>
          <t>RL7-AGC-201-ZSS-02</t>
        </is>
      </c>
      <c r="D47" s="262" t="inlineStr">
        <is>
          <t>PRS1106211</t>
        </is>
      </c>
      <c r="E47" s="128" t="n"/>
      <c r="F47" s="138" t="inlineStr">
        <is>
          <t>DISCHARGE AUGER CART COVER CLOSED SAFETY INPUT CH2</t>
        </is>
      </c>
      <c r="G47" s="131" t="inlineStr">
        <is>
          <t>DG6817</t>
        </is>
      </c>
      <c r="H47" s="128" t="inlineStr">
        <is>
          <t>CHILL</t>
        </is>
      </c>
      <c r="I47" s="132" t="inlineStr">
        <is>
          <t>RL7-DAGC1-RIO1</t>
        </is>
      </c>
      <c r="J47" s="133" t="n">
        <v>14</v>
      </c>
      <c r="K47" s="128" t="n">
        <v>2</v>
      </c>
      <c r="L47" s="128" t="n">
        <v>1</v>
      </c>
      <c r="M47" s="128" t="inlineStr">
        <is>
          <t>24 VDC SI</t>
        </is>
      </c>
      <c r="N47" s="128" t="inlineStr">
        <is>
          <t>5069-IB8S</t>
        </is>
      </c>
      <c r="O47" s="139" t="n"/>
      <c r="P47" s="127" t="n"/>
      <c r="Q47" s="127" t="n"/>
      <c r="R47" s="127" t="n"/>
      <c r="S47" s="127" t="n"/>
      <c r="T47" s="127" t="n"/>
      <c r="U47" s="127" t="n"/>
      <c r="V47" s="127" t="n"/>
      <c r="W47" s="127" t="n"/>
      <c r="X47" s="127" t="n"/>
      <c r="Y47" s="127" t="n"/>
      <c r="Z47" s="140" t="n"/>
      <c r="AA47" t="inlineStr">
        <is>
          <t>No mapped PDF sheet</t>
        </is>
      </c>
      <c r="AC47" t="inlineStr">
        <is>
          <t>Low</t>
        </is>
      </c>
      <c r="AN47" t="inlineStr">
        <is>
          <t>Yes</t>
        </is>
      </c>
      <c r="AO47" t="inlineStr">
        <is>
          <t>sheet value not mapped to PDF</t>
        </is>
      </c>
    </row>
    <row r="48">
      <c r="A48" s="203">
        <f>ROW()-1</f>
        <v/>
      </c>
      <c r="B48" s="128" t="inlineStr">
        <is>
          <t>RL7-AGC-201-PSL-01</t>
        </is>
      </c>
      <c r="C48" s="313" t="inlineStr">
        <is>
          <t>RL7-AGC-201-PSL-01</t>
        </is>
      </c>
      <c r="D48" s="262" t="inlineStr">
        <is>
          <t>PRG1107191</t>
        </is>
      </c>
      <c r="E48" s="128" t="inlineStr">
        <is>
          <t>JIC13B</t>
        </is>
      </c>
      <c r="F48" s="138" t="inlineStr">
        <is>
          <t>DISCHARGE AUGER CART PRESSURE REGULATOR LOW PRESSURE SWITCH</t>
        </is>
      </c>
      <c r="G48" s="131" t="inlineStr">
        <is>
          <t>DG6817</t>
        </is>
      </c>
      <c r="H48" s="128" t="inlineStr">
        <is>
          <t>CHILL</t>
        </is>
      </c>
      <c r="I48" s="132" t="inlineStr">
        <is>
          <t>RL7-DAGC1-RIO1</t>
        </is>
      </c>
      <c r="J48" s="133" t="n">
        <v>14</v>
      </c>
      <c r="K48" s="128" t="n">
        <v>4</v>
      </c>
      <c r="L48" s="128" t="n">
        <v>2</v>
      </c>
      <c r="M48" s="128" t="inlineStr">
        <is>
          <t>24 VDC DI</t>
        </is>
      </c>
      <c r="N48" s="128" t="inlineStr">
        <is>
          <t>5069-IB16</t>
        </is>
      </c>
      <c r="O48" s="139" t="n"/>
      <c r="P48" s="127" t="n"/>
      <c r="Q48" s="127" t="n"/>
      <c r="R48" s="127" t="n"/>
      <c r="S48" s="127" t="n"/>
      <c r="T48" s="127" t="n"/>
      <c r="U48" s="127" t="n"/>
      <c r="V48" s="127" t="n"/>
      <c r="W48" s="127" t="n"/>
      <c r="X48" s="127" t="n"/>
      <c r="Y48" s="127" t="n"/>
      <c r="Z48" s="140" t="n"/>
      <c r="AA48" t="inlineStr">
        <is>
          <t>No mapped PDF sheet</t>
        </is>
      </c>
      <c r="AC48" t="inlineStr">
        <is>
          <t>Low</t>
        </is>
      </c>
      <c r="AN48" t="inlineStr">
        <is>
          <t>Yes</t>
        </is>
      </c>
      <c r="AO48" t="inlineStr">
        <is>
          <t>sheet value not mapped to PDF</t>
        </is>
      </c>
    </row>
    <row r="49">
      <c r="A49" s="203">
        <f>ROW()-1</f>
        <v/>
      </c>
      <c r="B49" s="128" t="inlineStr">
        <is>
          <t>RL7-CNV-201-YI-01</t>
        </is>
      </c>
      <c r="C49" s="313" t="inlineStr">
        <is>
          <t>RL7-CNV-201-YI-01</t>
        </is>
      </c>
      <c r="D49" s="262" t="n"/>
      <c r="E49" s="128" t="n"/>
      <c r="F49" s="138" t="inlineStr">
        <is>
          <t xml:space="preserve">CHUB MACHINE RUNNING  </t>
        </is>
      </c>
      <c r="G49" s="131" t="inlineStr">
        <is>
          <t>DG6818</t>
        </is>
      </c>
      <c r="H49" s="128" t="inlineStr">
        <is>
          <t>CHILL</t>
        </is>
      </c>
      <c r="I49" s="132" t="inlineStr">
        <is>
          <t>RL7-SERP-RIO1</t>
        </is>
      </c>
      <c r="J49" s="133" t="n">
        <v>15</v>
      </c>
      <c r="K49" s="128" t="n">
        <v>3</v>
      </c>
      <c r="L49" s="128" t="n">
        <v>13</v>
      </c>
      <c r="M49" s="128" t="inlineStr">
        <is>
          <t>24 VDC DI</t>
        </is>
      </c>
      <c r="N49" s="128" t="inlineStr">
        <is>
          <t>5069-IB16</t>
        </is>
      </c>
      <c r="O49" s="139" t="n"/>
      <c r="P49" s="127" t="n"/>
      <c r="Q49" s="127" t="n"/>
      <c r="R49" s="127" t="n"/>
      <c r="S49" s="127" t="n"/>
      <c r="T49" s="127" t="n"/>
      <c r="U49" s="127" t="n"/>
      <c r="V49" s="127" t="n"/>
      <c r="W49" s="127" t="n"/>
      <c r="X49" s="127" t="n"/>
      <c r="Y49" s="127" t="n"/>
      <c r="Z49" s="140" t="n"/>
      <c r="AA49" t="inlineStr">
        <is>
          <t>No mapped PDF sheet</t>
        </is>
      </c>
      <c r="AC49" t="inlineStr">
        <is>
          <t>Low</t>
        </is>
      </c>
      <c r="AN49" t="inlineStr">
        <is>
          <t>Yes</t>
        </is>
      </c>
      <c r="AO49" t="inlineStr">
        <is>
          <t>sheet value not mapped to PDF</t>
        </is>
      </c>
    </row>
    <row r="50">
      <c r="A50" s="203">
        <f>ROW()-1</f>
        <v/>
      </c>
      <c r="B50" s="128" t="inlineStr">
        <is>
          <t>RL7-CHM-201-YS-01</t>
        </is>
      </c>
      <c r="C50" s="313" t="inlineStr">
        <is>
          <t>RL7-CHM-201-YS-01</t>
        </is>
      </c>
      <c r="D50" s="262" t="n"/>
      <c r="E50" s="128" t="n"/>
      <c r="F50" s="138" t="inlineStr">
        <is>
          <t>ROLL MACHINE OK TO RUN PERMISSIVE</t>
        </is>
      </c>
      <c r="G50" s="131" t="inlineStr">
        <is>
          <t>DG6818</t>
        </is>
      </c>
      <c r="H50" s="128" t="inlineStr">
        <is>
          <t>CHILL</t>
        </is>
      </c>
      <c r="I50" s="132" t="inlineStr">
        <is>
          <t>RL7-SERP-RIO1</t>
        </is>
      </c>
      <c r="J50" s="133" t="n">
        <v>15</v>
      </c>
      <c r="K50" s="128" t="n">
        <v>6</v>
      </c>
      <c r="L50" s="128" t="n">
        <v>0</v>
      </c>
      <c r="M50" s="128" t="inlineStr">
        <is>
          <t>24 VDC DO</t>
        </is>
      </c>
      <c r="N50" s="128" t="inlineStr">
        <is>
          <t>5069-OB16</t>
        </is>
      </c>
      <c r="O50" s="139" t="n"/>
      <c r="P50" s="127" t="n"/>
      <c r="Q50" s="127" t="n"/>
      <c r="R50" s="127" t="n"/>
      <c r="S50" s="127" t="n"/>
      <c r="T50" s="127" t="n"/>
      <c r="U50" s="127" t="n"/>
      <c r="V50" s="127" t="n"/>
      <c r="W50" s="127" t="n"/>
      <c r="X50" s="127" t="n"/>
      <c r="Y50" s="127" t="n"/>
      <c r="Z50" s="140" t="n"/>
      <c r="AA50" t="inlineStr">
        <is>
          <t>No mapped PDF sheet</t>
        </is>
      </c>
      <c r="AC50" t="inlineStr">
        <is>
          <t>Low</t>
        </is>
      </c>
      <c r="AN50" t="inlineStr">
        <is>
          <t>Yes</t>
        </is>
      </c>
      <c r="AO50" t="inlineStr">
        <is>
          <t>sheet value not mapped to PDF</t>
        </is>
      </c>
    </row>
    <row r="51">
      <c r="A51" s="203">
        <f>ROW()-1</f>
        <v/>
      </c>
      <c r="B51" s="128" t="inlineStr">
        <is>
          <t>RL7-CHR-201-AH-01</t>
        </is>
      </c>
      <c r="C51" s="313" t="inlineStr">
        <is>
          <t>RL7-CHR-201-AH-01</t>
        </is>
      </c>
      <c r="D51" s="262" t="n"/>
      <c r="E51" s="128" t="n"/>
      <c r="F51" s="138" t="inlineStr">
        <is>
          <t xml:space="preserve">SERPENTINE ALARM HORN   </t>
        </is>
      </c>
      <c r="G51" s="131" t="inlineStr">
        <is>
          <t>DG6820</t>
        </is>
      </c>
      <c r="H51" s="128" t="inlineStr">
        <is>
          <t>CHILL</t>
        </is>
      </c>
      <c r="I51" s="132" t="inlineStr">
        <is>
          <t>RL7-SERP-RIO1</t>
        </is>
      </c>
      <c r="J51" s="133" t="n">
        <v>15</v>
      </c>
      <c r="K51" s="128" t="n">
        <v>5</v>
      </c>
      <c r="L51" s="128" t="n">
        <v>0</v>
      </c>
      <c r="M51" s="128" t="inlineStr">
        <is>
          <t>24 VDC DO</t>
        </is>
      </c>
      <c r="N51" s="128" t="inlineStr">
        <is>
          <t>5069-OB16</t>
        </is>
      </c>
      <c r="O51" s="139" t="n"/>
      <c r="P51" s="127" t="n"/>
      <c r="Q51" s="127" t="n"/>
      <c r="R51" s="127" t="n"/>
      <c r="S51" s="127" t="n"/>
      <c r="T51" s="127" t="n"/>
      <c r="U51" s="127" t="n"/>
      <c r="V51" s="127" t="n"/>
      <c r="W51" s="127" t="n"/>
      <c r="X51" s="127" t="n"/>
      <c r="Y51" s="127" t="n"/>
      <c r="Z51" s="153" t="n"/>
      <c r="AA51" t="inlineStr">
        <is>
          <t>No mapped PDF sheet</t>
        </is>
      </c>
      <c r="AC51" t="inlineStr">
        <is>
          <t>Low</t>
        </is>
      </c>
      <c r="AN51" t="inlineStr">
        <is>
          <t>Yes</t>
        </is>
      </c>
      <c r="AO51" t="inlineStr">
        <is>
          <t>sheet value not mapped to PDF</t>
        </is>
      </c>
    </row>
    <row r="52">
      <c r="A52" s="203">
        <f>ROW()-2</f>
        <v/>
      </c>
      <c r="B52" s="128" t="inlineStr">
        <is>
          <t>RL7-GRR-103-ZSS-01</t>
        </is>
      </c>
      <c r="C52" s="314" t="inlineStr">
        <is>
          <t>RL7-GRR-103-ZSS-01</t>
        </is>
      </c>
      <c r="D52" s="262" t="inlineStr">
        <is>
          <t>BGZ01</t>
        </is>
      </c>
      <c r="E52" s="128" t="inlineStr">
        <is>
          <t>P002-JB01</t>
        </is>
      </c>
      <c r="F52" s="130" t="inlineStr">
        <is>
          <t>FROZEN BLOCK CRUSHER LEFT ACCESS DOOR 1 SAFETY INPUT CH1</t>
        </is>
      </c>
      <c r="G52" s="131" t="inlineStr">
        <is>
          <t>DG7000</t>
        </is>
      </c>
      <c r="H52" s="128" t="inlineStr">
        <is>
          <t>PROC</t>
        </is>
      </c>
      <c r="I52" s="132" t="inlineStr">
        <is>
          <t>RL7-PBK-RIO1</t>
        </is>
      </c>
      <c r="J52" s="133" t="n">
        <v>1</v>
      </c>
      <c r="K52" s="128" t="n">
        <v>1</v>
      </c>
      <c r="L52" s="128" t="n">
        <v>0</v>
      </c>
      <c r="M52" s="132" t="inlineStr">
        <is>
          <t>24 VDC SI</t>
        </is>
      </c>
      <c r="N52" s="132" t="inlineStr">
        <is>
          <t>5069-IB8S</t>
        </is>
      </c>
      <c r="O52" s="134" t="n"/>
      <c r="P52" s="127" t="n"/>
      <c r="Q52" s="127" t="n"/>
      <c r="R52" s="127" t="n"/>
      <c r="S52" s="127" t="n"/>
      <c r="T52" s="127" t="n"/>
      <c r="U52" s="127" t="n"/>
      <c r="V52" s="127" t="n"/>
      <c r="W52" s="127" t="n"/>
      <c r="X52" s="127" t="n"/>
      <c r="Y52" s="127" t="n"/>
      <c r="Z52" s="135" t="n"/>
      <c r="AA52" t="inlineStr">
        <is>
          <t>Matched</t>
        </is>
      </c>
      <c r="AB52" s="315" t="n">
        <v>0.99</v>
      </c>
      <c r="AC52" t="inlineStr">
        <is>
          <t>High</t>
        </is>
      </c>
      <c r="AD52" t="n">
        <v>1</v>
      </c>
      <c r="AE52" t="inlineStr">
        <is>
          <t>DG7000</t>
        </is>
      </c>
      <c r="AF52" t="n">
        <v>4</v>
      </c>
      <c r="AG52" t="inlineStr">
        <is>
          <t>drawing</t>
        </is>
      </c>
      <c r="AH52" t="inlineStr">
        <is>
          <t>stacked:isa</t>
        </is>
      </c>
      <c r="AI52" t="inlineStr">
        <is>
          <t>drawing zone; process page; mapped sheet; excel sheet match</t>
        </is>
      </c>
      <c r="AJ52" t="inlineStr">
        <is>
          <t>native</t>
        </is>
      </c>
      <c r="AK52" t="inlineStr">
        <is>
          <t>native-only</t>
        </is>
      </c>
      <c r="AM52" t="inlineStr">
        <is>
          <t>4</t>
        </is>
      </c>
      <c r="AN52" t="inlineStr">
        <is>
          <t>Yes</t>
        </is>
      </c>
      <c r="AO52" t="inlineStr">
        <is>
          <t>mapped sheet id</t>
        </is>
      </c>
      <c r="AP52" t="inlineStr">
        <is>
          <t>p4:native:99, p4:native:100</t>
        </is>
      </c>
      <c r="AQ52" t="n">
        <v>2</v>
      </c>
    </row>
    <row r="53">
      <c r="A53" s="203">
        <f>ROW()-2</f>
        <v/>
      </c>
      <c r="B53" s="128" t="inlineStr">
        <is>
          <t>RL7-GRR-103-ZSS-01</t>
        </is>
      </c>
      <c r="C53" s="314" t="inlineStr">
        <is>
          <t>RL7-GRR-103-ZSS-01</t>
        </is>
      </c>
      <c r="D53" s="262" t="inlineStr">
        <is>
          <t>BGZ01</t>
        </is>
      </c>
      <c r="E53" s="128" t="inlineStr">
        <is>
          <t>P002-JB01</t>
        </is>
      </c>
      <c r="F53" s="130" t="inlineStr">
        <is>
          <t>FROZEN BLOCK CRUSHER LEFT ACCESS DOOR 1 SAFETY INPUT CH2</t>
        </is>
      </c>
      <c r="G53" s="131" t="inlineStr">
        <is>
          <t>DG7000</t>
        </is>
      </c>
      <c r="H53" s="128" t="inlineStr">
        <is>
          <t>PROC</t>
        </is>
      </c>
      <c r="I53" s="132" t="inlineStr">
        <is>
          <t>RL7-PBK-RIO1</t>
        </is>
      </c>
      <c r="J53" s="133" t="n">
        <v>1</v>
      </c>
      <c r="K53" s="128" t="n">
        <v>1</v>
      </c>
      <c r="L53" s="128" t="n">
        <v>1</v>
      </c>
      <c r="M53" s="132" t="inlineStr">
        <is>
          <t>24 VDC SI</t>
        </is>
      </c>
      <c r="N53" s="132" t="inlineStr">
        <is>
          <t>5069-IB8S</t>
        </is>
      </c>
      <c r="O53" s="134" t="n"/>
      <c r="P53" s="127" t="n"/>
      <c r="Q53" s="127" t="n"/>
      <c r="R53" s="127" t="n"/>
      <c r="S53" s="127" t="n"/>
      <c r="T53" s="127" t="n"/>
      <c r="U53" s="127" t="n"/>
      <c r="V53" s="127" t="n"/>
      <c r="W53" s="127" t="n"/>
      <c r="X53" s="127" t="n"/>
      <c r="Y53" s="127" t="n"/>
      <c r="Z53" s="135" t="n"/>
      <c r="AA53" t="inlineStr">
        <is>
          <t>Matched</t>
        </is>
      </c>
      <c r="AB53" s="315" t="n">
        <v>0.99</v>
      </c>
      <c r="AC53" t="inlineStr">
        <is>
          <t>High</t>
        </is>
      </c>
      <c r="AD53" t="n">
        <v>1</v>
      </c>
      <c r="AE53" t="inlineStr">
        <is>
          <t>DG7000</t>
        </is>
      </c>
      <c r="AF53" t="n">
        <v>4</v>
      </c>
      <c r="AG53" t="inlineStr">
        <is>
          <t>drawing</t>
        </is>
      </c>
      <c r="AH53" t="inlineStr">
        <is>
          <t>stacked:isa</t>
        </is>
      </c>
      <c r="AI53" t="inlineStr">
        <is>
          <t>drawing zone; process page; mapped sheet; excel sheet match</t>
        </is>
      </c>
      <c r="AJ53" t="inlineStr">
        <is>
          <t>native</t>
        </is>
      </c>
      <c r="AK53" t="inlineStr">
        <is>
          <t>native-only</t>
        </is>
      </c>
      <c r="AM53" t="inlineStr">
        <is>
          <t>4</t>
        </is>
      </c>
      <c r="AN53" t="inlineStr">
        <is>
          <t>Yes</t>
        </is>
      </c>
      <c r="AO53" t="inlineStr">
        <is>
          <t>mapped sheet id</t>
        </is>
      </c>
      <c r="AP53" t="inlineStr">
        <is>
          <t>p4:native:99, p4:native:100</t>
        </is>
      </c>
      <c r="AQ53" t="n">
        <v>2</v>
      </c>
    </row>
    <row r="54">
      <c r="A54" s="203">
        <f>ROW()-2</f>
        <v/>
      </c>
      <c r="B54" s="128" t="inlineStr">
        <is>
          <t>RL7-GRR-103-ZSS-02</t>
        </is>
      </c>
      <c r="C54" s="314" t="inlineStr">
        <is>
          <t>RL7-GRR-103-ZSS-02</t>
        </is>
      </c>
      <c r="D54" s="262" t="inlineStr">
        <is>
          <t>BGZ02</t>
        </is>
      </c>
      <c r="E54" s="128" t="inlineStr">
        <is>
          <t>P002-JB01</t>
        </is>
      </c>
      <c r="F54" s="130" t="inlineStr">
        <is>
          <t>FROZEN BLOCK CRUSHER LEFT ACCESS DOOR 2 SAFETY INPUT CH1</t>
        </is>
      </c>
      <c r="G54" s="131" t="inlineStr">
        <is>
          <t>DG7000</t>
        </is>
      </c>
      <c r="H54" s="128" t="inlineStr">
        <is>
          <t>PROC</t>
        </is>
      </c>
      <c r="I54" s="132" t="inlineStr">
        <is>
          <t>RL7-PBK-RIO1</t>
        </is>
      </c>
      <c r="J54" s="133" t="n">
        <v>1</v>
      </c>
      <c r="K54" s="128" t="n">
        <v>1</v>
      </c>
      <c r="L54" s="128" t="n">
        <v>2</v>
      </c>
      <c r="M54" s="132" t="inlineStr">
        <is>
          <t>24 VDC SI</t>
        </is>
      </c>
      <c r="N54" s="132" t="inlineStr">
        <is>
          <t>5069-IB8S</t>
        </is>
      </c>
      <c r="O54" s="134" t="n"/>
      <c r="P54" s="127" t="n"/>
      <c r="Q54" s="127" t="n"/>
      <c r="R54" s="127" t="n"/>
      <c r="S54" s="127" t="n"/>
      <c r="T54" s="127" t="n"/>
      <c r="U54" s="127" t="n"/>
      <c r="V54" s="127" t="n"/>
      <c r="W54" s="127" t="n"/>
      <c r="X54" s="127" t="n"/>
      <c r="Y54" s="127" t="n"/>
      <c r="Z54" s="135" t="n"/>
      <c r="AA54" t="inlineStr">
        <is>
          <t>Matched</t>
        </is>
      </c>
      <c r="AB54" s="315" t="n">
        <v>0.99</v>
      </c>
      <c r="AC54" t="inlineStr">
        <is>
          <t>High</t>
        </is>
      </c>
      <c r="AD54" t="n">
        <v>1</v>
      </c>
      <c r="AE54" t="inlineStr">
        <is>
          <t>DG7000</t>
        </is>
      </c>
      <c r="AF54" t="n">
        <v>4</v>
      </c>
      <c r="AG54" t="inlineStr">
        <is>
          <t>drawing</t>
        </is>
      </c>
      <c r="AH54" t="inlineStr">
        <is>
          <t>stacked:isa</t>
        </is>
      </c>
      <c r="AI54" t="inlineStr">
        <is>
          <t>drawing zone; process page; mapped sheet; excel sheet match</t>
        </is>
      </c>
      <c r="AJ54" t="inlineStr">
        <is>
          <t>native</t>
        </is>
      </c>
      <c r="AK54" t="inlineStr">
        <is>
          <t>native-only</t>
        </is>
      </c>
      <c r="AM54" t="inlineStr">
        <is>
          <t>4</t>
        </is>
      </c>
      <c r="AN54" t="inlineStr">
        <is>
          <t>Yes</t>
        </is>
      </c>
      <c r="AO54" t="inlineStr">
        <is>
          <t>mapped sheet id</t>
        </is>
      </c>
      <c r="AP54" t="inlineStr">
        <is>
          <t>p4:native:101, p4:native:102</t>
        </is>
      </c>
      <c r="AQ54" t="n">
        <v>2</v>
      </c>
    </row>
    <row r="55">
      <c r="A55" s="203">
        <f>ROW()-2</f>
        <v/>
      </c>
      <c r="B55" s="128" t="inlineStr">
        <is>
          <t>RL7-GRR-103-ZSS-02</t>
        </is>
      </c>
      <c r="C55" s="314" t="inlineStr">
        <is>
          <t>RL7-GRR-103-ZSS-02</t>
        </is>
      </c>
      <c r="D55" s="262" t="inlineStr">
        <is>
          <t>BGZ02</t>
        </is>
      </c>
      <c r="E55" s="128" t="inlineStr">
        <is>
          <t>P002-JB01</t>
        </is>
      </c>
      <c r="F55" s="130" t="inlineStr">
        <is>
          <t>FROZEN BLOCK CRUSHER LEFT ACCESS DOOR 2 SAFETY INPUT CH2</t>
        </is>
      </c>
      <c r="G55" s="131" t="inlineStr">
        <is>
          <t>DG7000</t>
        </is>
      </c>
      <c r="H55" s="128" t="inlineStr">
        <is>
          <t>PROC</t>
        </is>
      </c>
      <c r="I55" s="132" t="inlineStr">
        <is>
          <t>RL7-PBK-RIO1</t>
        </is>
      </c>
      <c r="J55" s="133" t="n">
        <v>1</v>
      </c>
      <c r="K55" s="128" t="n">
        <v>1</v>
      </c>
      <c r="L55" s="128" t="n">
        <v>3</v>
      </c>
      <c r="M55" s="132" t="inlineStr">
        <is>
          <t>24 VDC SI</t>
        </is>
      </c>
      <c r="N55" s="132" t="inlineStr">
        <is>
          <t>5069-IB8S</t>
        </is>
      </c>
      <c r="O55" s="134" t="n"/>
      <c r="P55" s="127" t="n"/>
      <c r="Q55" s="127" t="n"/>
      <c r="R55" s="127" t="n"/>
      <c r="S55" s="127" t="n"/>
      <c r="T55" s="127" t="n"/>
      <c r="U55" s="127" t="n"/>
      <c r="V55" s="127" t="n"/>
      <c r="W55" s="127" t="n"/>
      <c r="X55" s="127" t="n"/>
      <c r="Y55" s="127" t="n"/>
      <c r="Z55" s="135" t="n"/>
      <c r="AA55" t="inlineStr">
        <is>
          <t>Matched</t>
        </is>
      </c>
      <c r="AB55" s="315" t="n">
        <v>0.99</v>
      </c>
      <c r="AC55" t="inlineStr">
        <is>
          <t>High</t>
        </is>
      </c>
      <c r="AD55" t="n">
        <v>1</v>
      </c>
      <c r="AE55" t="inlineStr">
        <is>
          <t>DG7000</t>
        </is>
      </c>
      <c r="AF55" t="n">
        <v>4</v>
      </c>
      <c r="AG55" t="inlineStr">
        <is>
          <t>drawing</t>
        </is>
      </c>
      <c r="AH55" t="inlineStr">
        <is>
          <t>stacked:isa</t>
        </is>
      </c>
      <c r="AI55" t="inlineStr">
        <is>
          <t>drawing zone; process page; mapped sheet; excel sheet match</t>
        </is>
      </c>
      <c r="AJ55" t="inlineStr">
        <is>
          <t>native</t>
        </is>
      </c>
      <c r="AK55" t="inlineStr">
        <is>
          <t>native-only</t>
        </is>
      </c>
      <c r="AM55" t="inlineStr">
        <is>
          <t>4</t>
        </is>
      </c>
      <c r="AN55" t="inlineStr">
        <is>
          <t>Yes</t>
        </is>
      </c>
      <c r="AO55" t="inlineStr">
        <is>
          <t>mapped sheet id</t>
        </is>
      </c>
      <c r="AP55" t="inlineStr">
        <is>
          <t>p4:native:101, p4:native:102</t>
        </is>
      </c>
      <c r="AQ55" t="n">
        <v>2</v>
      </c>
    </row>
    <row r="56">
      <c r="A56" s="203">
        <f>ROW()-2</f>
        <v/>
      </c>
      <c r="B56" s="128" t="inlineStr">
        <is>
          <t>RL7-GRR-103-ZSS-03</t>
        </is>
      </c>
      <c r="C56" s="314" t="inlineStr">
        <is>
          <t>RL7-GRR-103-ZSS-03</t>
        </is>
      </c>
      <c r="D56" s="262" t="inlineStr">
        <is>
          <t>BGZ03</t>
        </is>
      </c>
      <c r="E56" s="128" t="inlineStr">
        <is>
          <t>P002-JB01</t>
        </is>
      </c>
      <c r="F56" s="130" t="inlineStr">
        <is>
          <t>FROZEN BLOCK CRUSHER RIGHT ACCESS DOOR 1 SAFETY INPUT CH1</t>
        </is>
      </c>
      <c r="G56" s="131" t="inlineStr">
        <is>
          <t>DG7000</t>
        </is>
      </c>
      <c r="H56" s="128" t="inlineStr">
        <is>
          <t>PROC</t>
        </is>
      </c>
      <c r="I56" s="132" t="inlineStr">
        <is>
          <t>RL7-PBK-RIO1</t>
        </is>
      </c>
      <c r="J56" s="133" t="n">
        <v>1</v>
      </c>
      <c r="K56" s="128" t="n">
        <v>1</v>
      </c>
      <c r="L56" s="128" t="n">
        <v>4</v>
      </c>
      <c r="M56" s="132" t="inlineStr">
        <is>
          <t>24 VDC SI</t>
        </is>
      </c>
      <c r="N56" s="132" t="inlineStr">
        <is>
          <t>5069-IB8S</t>
        </is>
      </c>
      <c r="O56" s="134" t="n"/>
      <c r="P56" s="127" t="n"/>
      <c r="Q56" s="127" t="n"/>
      <c r="R56" s="127" t="n"/>
      <c r="S56" s="127" t="n"/>
      <c r="T56" s="127" t="n"/>
      <c r="U56" s="127" t="n"/>
      <c r="V56" s="127" t="n"/>
      <c r="W56" s="127" t="n"/>
      <c r="X56" s="127" t="n"/>
      <c r="Y56" s="127" t="n"/>
      <c r="Z56" s="135" t="n"/>
      <c r="AA56" t="inlineStr">
        <is>
          <t>Matched</t>
        </is>
      </c>
      <c r="AB56" s="315" t="n">
        <v>0.99</v>
      </c>
      <c r="AC56" t="inlineStr">
        <is>
          <t>High</t>
        </is>
      </c>
      <c r="AD56" t="n">
        <v>1</v>
      </c>
      <c r="AE56" t="inlineStr">
        <is>
          <t>DG7000</t>
        </is>
      </c>
      <c r="AF56" t="n">
        <v>4</v>
      </c>
      <c r="AG56" t="inlineStr">
        <is>
          <t>drawing</t>
        </is>
      </c>
      <c r="AH56" t="inlineStr">
        <is>
          <t>stacked:isa</t>
        </is>
      </c>
      <c r="AI56" t="inlineStr">
        <is>
          <t>drawing zone; process page; mapped sheet; excel sheet match</t>
        </is>
      </c>
      <c r="AJ56" t="inlineStr">
        <is>
          <t>native</t>
        </is>
      </c>
      <c r="AK56" t="inlineStr">
        <is>
          <t>native-only</t>
        </is>
      </c>
      <c r="AM56" t="inlineStr">
        <is>
          <t>4</t>
        </is>
      </c>
      <c r="AN56" t="inlineStr">
        <is>
          <t>Yes</t>
        </is>
      </c>
      <c r="AO56" t="inlineStr">
        <is>
          <t>mapped sheet id</t>
        </is>
      </c>
      <c r="AP56" t="inlineStr">
        <is>
          <t>p4:native:103, p4:native:104</t>
        </is>
      </c>
      <c r="AQ56" t="n">
        <v>2</v>
      </c>
    </row>
    <row r="57">
      <c r="A57" s="203">
        <f>ROW()-2</f>
        <v/>
      </c>
      <c r="B57" s="128" t="inlineStr">
        <is>
          <t>RL7-GRR-103-ZSS-03</t>
        </is>
      </c>
      <c r="C57" s="314" t="inlineStr">
        <is>
          <t>RL7-GRR-103-ZSS-03</t>
        </is>
      </c>
      <c r="D57" s="262" t="inlineStr">
        <is>
          <t>BGZ03</t>
        </is>
      </c>
      <c r="E57" s="128" t="inlineStr">
        <is>
          <t>P002-JB01</t>
        </is>
      </c>
      <c r="F57" s="130" t="inlineStr">
        <is>
          <t>FROZEN BLOCK CRUSHER RIGHT ACCESS DOOR 1 SAFETY INPUT CH2</t>
        </is>
      </c>
      <c r="G57" s="131" t="inlineStr">
        <is>
          <t>DG7000</t>
        </is>
      </c>
      <c r="H57" s="128" t="inlineStr">
        <is>
          <t>PROC</t>
        </is>
      </c>
      <c r="I57" s="132" t="inlineStr">
        <is>
          <t>RL7-PBK-RIO1</t>
        </is>
      </c>
      <c r="J57" s="133" t="n">
        <v>1</v>
      </c>
      <c r="K57" s="128" t="n">
        <v>1</v>
      </c>
      <c r="L57" s="128" t="n">
        <v>5</v>
      </c>
      <c r="M57" s="132" t="inlineStr">
        <is>
          <t>24 VDC SI</t>
        </is>
      </c>
      <c r="N57" s="132" t="inlineStr">
        <is>
          <t>5069-IB8S</t>
        </is>
      </c>
      <c r="O57" s="134" t="n"/>
      <c r="P57" s="127" t="n"/>
      <c r="Q57" s="127" t="n"/>
      <c r="R57" s="127" t="n"/>
      <c r="S57" s="127" t="n"/>
      <c r="T57" s="127" t="n"/>
      <c r="U57" s="127" t="n"/>
      <c r="V57" s="127" t="n"/>
      <c r="W57" s="127" t="n"/>
      <c r="X57" s="127" t="n"/>
      <c r="Y57" s="127" t="n"/>
      <c r="Z57" s="135" t="n"/>
      <c r="AA57" t="inlineStr">
        <is>
          <t>Matched</t>
        </is>
      </c>
      <c r="AB57" s="315" t="n">
        <v>0.99</v>
      </c>
      <c r="AC57" t="inlineStr">
        <is>
          <t>High</t>
        </is>
      </c>
      <c r="AD57" t="n">
        <v>1</v>
      </c>
      <c r="AE57" t="inlineStr">
        <is>
          <t>DG7000</t>
        </is>
      </c>
      <c r="AF57" t="n">
        <v>4</v>
      </c>
      <c r="AG57" t="inlineStr">
        <is>
          <t>drawing</t>
        </is>
      </c>
      <c r="AH57" t="inlineStr">
        <is>
          <t>stacked:isa</t>
        </is>
      </c>
      <c r="AI57" t="inlineStr">
        <is>
          <t>drawing zone; process page; mapped sheet; excel sheet match</t>
        </is>
      </c>
      <c r="AJ57" t="inlineStr">
        <is>
          <t>native</t>
        </is>
      </c>
      <c r="AK57" t="inlineStr">
        <is>
          <t>native-only</t>
        </is>
      </c>
      <c r="AM57" t="inlineStr">
        <is>
          <t>4</t>
        </is>
      </c>
      <c r="AN57" t="inlineStr">
        <is>
          <t>Yes</t>
        </is>
      </c>
      <c r="AO57" t="inlineStr">
        <is>
          <t>mapped sheet id</t>
        </is>
      </c>
      <c r="AP57" t="inlineStr">
        <is>
          <t>p4:native:103, p4:native:104</t>
        </is>
      </c>
      <c r="AQ57" t="n">
        <v>2</v>
      </c>
    </row>
    <row r="58">
      <c r="A58" s="203">
        <f>ROW()-2</f>
        <v/>
      </c>
      <c r="B58" s="128" t="inlineStr">
        <is>
          <t>RL7-GRR-103-ZSS-04</t>
        </is>
      </c>
      <c r="C58" s="314" t="inlineStr">
        <is>
          <t>RL7-GRR-103-ZSS-04</t>
        </is>
      </c>
      <c r="D58" s="262" t="inlineStr">
        <is>
          <t>BGZ04</t>
        </is>
      </c>
      <c r="E58" s="128" t="inlineStr">
        <is>
          <t>P002-JB01</t>
        </is>
      </c>
      <c r="F58" s="130" t="inlineStr">
        <is>
          <t>FROZEN BLOCK CRUSHER RIGHT ACCESS DOOR 2 SAFETY INPUT CH1</t>
        </is>
      </c>
      <c r="G58" s="131" t="inlineStr">
        <is>
          <t>DG7000</t>
        </is>
      </c>
      <c r="H58" s="128" t="inlineStr">
        <is>
          <t>PROC</t>
        </is>
      </c>
      <c r="I58" s="132" t="inlineStr">
        <is>
          <t>RL7-PBK-RIO1</t>
        </is>
      </c>
      <c r="J58" s="133" t="n">
        <v>1</v>
      </c>
      <c r="K58" s="128" t="n">
        <v>1</v>
      </c>
      <c r="L58" s="128" t="n">
        <v>6</v>
      </c>
      <c r="M58" s="132" t="inlineStr">
        <is>
          <t>24 VDC SI</t>
        </is>
      </c>
      <c r="N58" s="132" t="inlineStr">
        <is>
          <t>5069-IB8S</t>
        </is>
      </c>
      <c r="O58" s="134" t="n"/>
      <c r="P58" s="127" t="n"/>
      <c r="Q58" s="127" t="n"/>
      <c r="R58" s="127" t="n"/>
      <c r="S58" s="127" t="n"/>
      <c r="T58" s="127" t="n"/>
      <c r="U58" s="127" t="n"/>
      <c r="V58" s="127" t="n"/>
      <c r="W58" s="127" t="n"/>
      <c r="X58" s="127" t="n"/>
      <c r="Y58" s="127" t="n"/>
      <c r="Z58" s="135" t="n"/>
      <c r="AA58" t="inlineStr">
        <is>
          <t>Matched</t>
        </is>
      </c>
      <c r="AB58" s="315" t="n">
        <v>0.99</v>
      </c>
      <c r="AC58" t="inlineStr">
        <is>
          <t>High</t>
        </is>
      </c>
      <c r="AD58" t="n">
        <v>1</v>
      </c>
      <c r="AE58" t="inlineStr">
        <is>
          <t>DG7000</t>
        </is>
      </c>
      <c r="AF58" t="n">
        <v>4</v>
      </c>
      <c r="AG58" t="inlineStr">
        <is>
          <t>drawing</t>
        </is>
      </c>
      <c r="AH58" t="inlineStr">
        <is>
          <t>stacked:isa</t>
        </is>
      </c>
      <c r="AI58" t="inlineStr">
        <is>
          <t>drawing zone; process page; mapped sheet; excel sheet match</t>
        </is>
      </c>
      <c r="AJ58" t="inlineStr">
        <is>
          <t>native</t>
        </is>
      </c>
      <c r="AK58" t="inlineStr">
        <is>
          <t>native-only</t>
        </is>
      </c>
      <c r="AM58" t="inlineStr">
        <is>
          <t>4</t>
        </is>
      </c>
      <c r="AN58" t="inlineStr">
        <is>
          <t>Yes</t>
        </is>
      </c>
      <c r="AO58" t="inlineStr">
        <is>
          <t>mapped sheet id</t>
        </is>
      </c>
      <c r="AP58" t="inlineStr">
        <is>
          <t>p4:native:74, p4:native:75</t>
        </is>
      </c>
      <c r="AQ58" t="n">
        <v>2</v>
      </c>
    </row>
    <row r="59">
      <c r="A59" s="203">
        <f>ROW()-2</f>
        <v/>
      </c>
      <c r="B59" s="128" t="inlineStr">
        <is>
          <t>RL7-GRR-103-ZSS-04</t>
        </is>
      </c>
      <c r="C59" s="314" t="inlineStr">
        <is>
          <t>RL7-GRR-103-ZSS-04</t>
        </is>
      </c>
      <c r="D59" s="262" t="inlineStr">
        <is>
          <t>BGZ04</t>
        </is>
      </c>
      <c r="E59" s="128" t="inlineStr">
        <is>
          <t>P002-JB01</t>
        </is>
      </c>
      <c r="F59" s="130" t="inlineStr">
        <is>
          <t>FROZEN BLOCK CRUSHER RIGHT ACCESS DOOR 2 SAFETY INPUT CH2</t>
        </is>
      </c>
      <c r="G59" s="131" t="inlineStr">
        <is>
          <t>DG7000</t>
        </is>
      </c>
      <c r="H59" s="128" t="inlineStr">
        <is>
          <t>PROC</t>
        </is>
      </c>
      <c r="I59" s="132" t="inlineStr">
        <is>
          <t>RL7-PBK-RIO1</t>
        </is>
      </c>
      <c r="J59" s="133" t="n">
        <v>1</v>
      </c>
      <c r="K59" s="128" t="n">
        <v>1</v>
      </c>
      <c r="L59" s="128" t="n">
        <v>7</v>
      </c>
      <c r="M59" s="132" t="inlineStr">
        <is>
          <t>24 VDC SI</t>
        </is>
      </c>
      <c r="N59" s="132" t="inlineStr">
        <is>
          <t>5069-IB8S</t>
        </is>
      </c>
      <c r="O59" s="134" t="n"/>
      <c r="P59" s="127" t="n"/>
      <c r="Q59" s="127" t="n"/>
      <c r="R59" s="127" t="n"/>
      <c r="S59" s="127" t="n"/>
      <c r="T59" s="127" t="n"/>
      <c r="U59" s="127" t="n"/>
      <c r="V59" s="127" t="n"/>
      <c r="W59" s="127" t="n"/>
      <c r="X59" s="127" t="n"/>
      <c r="Y59" s="127" t="n"/>
      <c r="Z59" s="135" t="n"/>
      <c r="AA59" t="inlineStr">
        <is>
          <t>Matched</t>
        </is>
      </c>
      <c r="AB59" s="315" t="n">
        <v>0.99</v>
      </c>
      <c r="AC59" t="inlineStr">
        <is>
          <t>High</t>
        </is>
      </c>
      <c r="AD59" t="n">
        <v>1</v>
      </c>
      <c r="AE59" t="inlineStr">
        <is>
          <t>DG7000</t>
        </is>
      </c>
      <c r="AF59" t="n">
        <v>4</v>
      </c>
      <c r="AG59" t="inlineStr">
        <is>
          <t>drawing</t>
        </is>
      </c>
      <c r="AH59" t="inlineStr">
        <is>
          <t>stacked:isa</t>
        </is>
      </c>
      <c r="AI59" t="inlineStr">
        <is>
          <t>drawing zone; process page; mapped sheet; excel sheet match</t>
        </is>
      </c>
      <c r="AJ59" t="inlineStr">
        <is>
          <t>native</t>
        </is>
      </c>
      <c r="AK59" t="inlineStr">
        <is>
          <t>native-only</t>
        </is>
      </c>
      <c r="AM59" t="inlineStr">
        <is>
          <t>4</t>
        </is>
      </c>
      <c r="AN59" t="inlineStr">
        <is>
          <t>Yes</t>
        </is>
      </c>
      <c r="AO59" t="inlineStr">
        <is>
          <t>mapped sheet id</t>
        </is>
      </c>
      <c r="AP59" t="inlineStr">
        <is>
          <t>p4:native:74, p4:native:75</t>
        </is>
      </c>
      <c r="AQ59" t="n">
        <v>2</v>
      </c>
    </row>
    <row r="60">
      <c r="A60" s="203">
        <f>ROW()-2</f>
        <v/>
      </c>
      <c r="B60" s="128" t="inlineStr">
        <is>
          <t>RL7-CNV-109-ZSS-01</t>
        </is>
      </c>
      <c r="C60" s="314" t="inlineStr">
        <is>
          <t>RL7-CNV-109-ZSS-01</t>
        </is>
      </c>
      <c r="D60" s="262" t="inlineStr">
        <is>
          <t>BGZ01</t>
        </is>
      </c>
      <c r="E60" s="128" t="inlineStr">
        <is>
          <t>P003-JB01</t>
        </is>
      </c>
      <c r="F60" s="130" t="inlineStr">
        <is>
          <t>FROZEN BLOCK CRUSHER INCLINE AUGER LID 1 COVER SAFETY INPUT CH1</t>
        </is>
      </c>
      <c r="G60" s="131" t="inlineStr">
        <is>
          <t>DG7000</t>
        </is>
      </c>
      <c r="H60" s="128" t="inlineStr">
        <is>
          <t>PROC</t>
        </is>
      </c>
      <c r="I60" s="132" t="inlineStr">
        <is>
          <t>RL7-PBK-RIO1</t>
        </is>
      </c>
      <c r="J60" s="133" t="n">
        <v>1</v>
      </c>
      <c r="K60" s="129" t="n">
        <v>2</v>
      </c>
      <c r="L60" s="129" t="n">
        <v>0</v>
      </c>
      <c r="M60" s="131" t="inlineStr">
        <is>
          <t>24 VDC SI</t>
        </is>
      </c>
      <c r="N60" s="131" t="inlineStr">
        <is>
          <t>5069-IB8S</t>
        </is>
      </c>
      <c r="O60" s="134" t="n"/>
      <c r="P60" s="127" t="n"/>
      <c r="Q60" s="127" t="n"/>
      <c r="R60" s="127" t="n"/>
      <c r="S60" s="127" t="n"/>
      <c r="T60" s="127" t="n"/>
      <c r="U60" s="127" t="n"/>
      <c r="V60" s="127" t="n"/>
      <c r="W60" s="127" t="n"/>
      <c r="X60" s="127" t="n"/>
      <c r="Y60" s="127" t="n"/>
      <c r="Z60" s="135" t="n"/>
      <c r="AA60" t="inlineStr">
        <is>
          <t>Matched</t>
        </is>
      </c>
      <c r="AB60" s="315" t="n">
        <v>0.99</v>
      </c>
      <c r="AC60" t="inlineStr">
        <is>
          <t>High</t>
        </is>
      </c>
      <c r="AD60" t="n">
        <v>1</v>
      </c>
      <c r="AE60" t="inlineStr">
        <is>
          <t>DG7000</t>
        </is>
      </c>
      <c r="AF60" t="n">
        <v>4</v>
      </c>
      <c r="AG60" t="inlineStr">
        <is>
          <t>drawing</t>
        </is>
      </c>
      <c r="AH60" t="inlineStr">
        <is>
          <t>stacked:isa</t>
        </is>
      </c>
      <c r="AI60" t="inlineStr">
        <is>
          <t>drawing zone; process page; mapped sheet; excel sheet match</t>
        </is>
      </c>
      <c r="AJ60" t="inlineStr">
        <is>
          <t>native</t>
        </is>
      </c>
      <c r="AK60" t="inlineStr">
        <is>
          <t>native-only</t>
        </is>
      </c>
      <c r="AM60" t="inlineStr">
        <is>
          <t>4</t>
        </is>
      </c>
      <c r="AN60" t="inlineStr">
        <is>
          <t>Yes</t>
        </is>
      </c>
      <c r="AO60" t="inlineStr">
        <is>
          <t>mapped sheet id</t>
        </is>
      </c>
      <c r="AP60" t="inlineStr">
        <is>
          <t>p4:native:76, p4:native:77</t>
        </is>
      </c>
      <c r="AQ60" t="n">
        <v>2</v>
      </c>
    </row>
    <row r="61">
      <c r="A61" s="203">
        <f>ROW()-2</f>
        <v/>
      </c>
      <c r="B61" s="128" t="inlineStr">
        <is>
          <t>RL7-CNV-109-ZSS-01</t>
        </is>
      </c>
      <c r="C61" s="314" t="inlineStr">
        <is>
          <t>RL7-CNV-109-ZSS-01</t>
        </is>
      </c>
      <c r="D61" s="262" t="inlineStr">
        <is>
          <t>BGZ01</t>
        </is>
      </c>
      <c r="E61" s="128" t="inlineStr">
        <is>
          <t>P003-JB01</t>
        </is>
      </c>
      <c r="F61" s="130" t="inlineStr">
        <is>
          <t>FROZEN BLOCK CRUSHER INCLINE AUGER LID 1 COVER SAFETY INPUT CH2</t>
        </is>
      </c>
      <c r="G61" s="131" t="inlineStr">
        <is>
          <t>DG7000</t>
        </is>
      </c>
      <c r="H61" s="128" t="inlineStr">
        <is>
          <t>PROC</t>
        </is>
      </c>
      <c r="I61" s="132" t="inlineStr">
        <is>
          <t>RL7-PBK-RIO1</t>
        </is>
      </c>
      <c r="J61" s="133" t="n">
        <v>1</v>
      </c>
      <c r="K61" s="129" t="n">
        <v>2</v>
      </c>
      <c r="L61" s="129" t="n">
        <v>1</v>
      </c>
      <c r="M61" s="131" t="inlineStr">
        <is>
          <t>24 VDC SI</t>
        </is>
      </c>
      <c r="N61" s="131" t="inlineStr">
        <is>
          <t>5069-IB8S</t>
        </is>
      </c>
      <c r="O61" s="134" t="n"/>
      <c r="P61" s="127" t="n"/>
      <c r="Q61" s="127" t="n"/>
      <c r="R61" s="127" t="n"/>
      <c r="S61" s="127" t="n"/>
      <c r="T61" s="127" t="n"/>
      <c r="U61" s="127" t="n"/>
      <c r="V61" s="127" t="n"/>
      <c r="W61" s="127" t="n"/>
      <c r="X61" s="127" t="n"/>
      <c r="Y61" s="127" t="n"/>
      <c r="Z61" s="135" t="n"/>
      <c r="AA61" t="inlineStr">
        <is>
          <t>Matched</t>
        </is>
      </c>
      <c r="AB61" s="315" t="n">
        <v>0.99</v>
      </c>
      <c r="AC61" t="inlineStr">
        <is>
          <t>High</t>
        </is>
      </c>
      <c r="AD61" t="n">
        <v>1</v>
      </c>
      <c r="AE61" t="inlineStr">
        <is>
          <t>DG7000</t>
        </is>
      </c>
      <c r="AF61" t="n">
        <v>4</v>
      </c>
      <c r="AG61" t="inlineStr">
        <is>
          <t>drawing</t>
        </is>
      </c>
      <c r="AH61" t="inlineStr">
        <is>
          <t>stacked:isa</t>
        </is>
      </c>
      <c r="AI61" t="inlineStr">
        <is>
          <t>drawing zone; process page; mapped sheet; excel sheet match</t>
        </is>
      </c>
      <c r="AJ61" t="inlineStr">
        <is>
          <t>native</t>
        </is>
      </c>
      <c r="AK61" t="inlineStr">
        <is>
          <t>native-only</t>
        </is>
      </c>
      <c r="AM61" t="inlineStr">
        <is>
          <t>4</t>
        </is>
      </c>
      <c r="AN61" t="inlineStr">
        <is>
          <t>Yes</t>
        </is>
      </c>
      <c r="AO61" t="inlineStr">
        <is>
          <t>mapped sheet id</t>
        </is>
      </c>
      <c r="AP61" t="inlineStr">
        <is>
          <t>p4:native:76, p4:native:77</t>
        </is>
      </c>
      <c r="AQ61" t="n">
        <v>2</v>
      </c>
    </row>
    <row r="62">
      <c r="A62" s="203">
        <f>ROW()-2</f>
        <v/>
      </c>
      <c r="B62" s="128" t="inlineStr">
        <is>
          <t>RL7-CNV-109-ZSS-02</t>
        </is>
      </c>
      <c r="C62" s="314" t="inlineStr">
        <is>
          <t>RL7-CNV-109-ZSS-02</t>
        </is>
      </c>
      <c r="D62" s="262" t="inlineStr">
        <is>
          <t>BGZ02</t>
        </is>
      </c>
      <c r="E62" s="128" t="inlineStr">
        <is>
          <t>P003-JB01</t>
        </is>
      </c>
      <c r="F62" s="130" t="inlineStr">
        <is>
          <t>FROZEN BLOCK CRUSHER INCLINE AUGER LID 2 COVER SAFETY INPUT CH1</t>
        </is>
      </c>
      <c r="G62" s="131" t="inlineStr">
        <is>
          <t>DG7000</t>
        </is>
      </c>
      <c r="H62" s="128" t="inlineStr">
        <is>
          <t>PROC</t>
        </is>
      </c>
      <c r="I62" s="132" t="inlineStr">
        <is>
          <t>RL7-PBK-RIO1</t>
        </is>
      </c>
      <c r="J62" s="133" t="n">
        <v>1</v>
      </c>
      <c r="K62" s="129" t="n">
        <v>2</v>
      </c>
      <c r="L62" s="129" t="n">
        <v>2</v>
      </c>
      <c r="M62" s="131" t="inlineStr">
        <is>
          <t>24 VDC SI</t>
        </is>
      </c>
      <c r="N62" s="131" t="inlineStr">
        <is>
          <t>5069-IB8S</t>
        </is>
      </c>
      <c r="O62" s="134" t="n"/>
      <c r="P62" s="127" t="n"/>
      <c r="Q62" s="127" t="n"/>
      <c r="R62" s="127" t="n"/>
      <c r="S62" s="127" t="n"/>
      <c r="T62" s="127" t="n"/>
      <c r="U62" s="127" t="n"/>
      <c r="V62" s="127" t="n"/>
      <c r="W62" s="127" t="n"/>
      <c r="X62" s="127" t="n"/>
      <c r="Y62" s="127" t="n"/>
      <c r="Z62" s="135" t="n"/>
      <c r="AA62" t="inlineStr">
        <is>
          <t>Matched</t>
        </is>
      </c>
      <c r="AB62" s="315" t="n">
        <v>0.99</v>
      </c>
      <c r="AC62" t="inlineStr">
        <is>
          <t>High</t>
        </is>
      </c>
      <c r="AD62" t="n">
        <v>1</v>
      </c>
      <c r="AE62" t="inlineStr">
        <is>
          <t>DG7000</t>
        </is>
      </c>
      <c r="AF62" t="n">
        <v>4</v>
      </c>
      <c r="AG62" t="inlineStr">
        <is>
          <t>drawing</t>
        </is>
      </c>
      <c r="AH62" t="inlineStr">
        <is>
          <t>stacked:isa</t>
        </is>
      </c>
      <c r="AI62" t="inlineStr">
        <is>
          <t>drawing zone; process page; mapped sheet; excel sheet match</t>
        </is>
      </c>
      <c r="AJ62" t="inlineStr">
        <is>
          <t>native</t>
        </is>
      </c>
      <c r="AK62" t="inlineStr">
        <is>
          <t>native-only</t>
        </is>
      </c>
      <c r="AM62" t="inlineStr">
        <is>
          <t>4</t>
        </is>
      </c>
      <c r="AN62" t="inlineStr">
        <is>
          <t>Yes</t>
        </is>
      </c>
      <c r="AO62" t="inlineStr">
        <is>
          <t>mapped sheet id</t>
        </is>
      </c>
      <c r="AP62" t="inlineStr">
        <is>
          <t>p4:native:78, p4:native:79</t>
        </is>
      </c>
      <c r="AQ62" t="n">
        <v>2</v>
      </c>
    </row>
    <row r="63">
      <c r="A63" s="203">
        <f>ROW()-2</f>
        <v/>
      </c>
      <c r="B63" s="128" t="inlineStr">
        <is>
          <t>RL7-CNV-109-ZSS-02</t>
        </is>
      </c>
      <c r="C63" s="314" t="inlineStr">
        <is>
          <t>RL7-CNV-109-ZSS-02</t>
        </is>
      </c>
      <c r="D63" s="262" t="inlineStr">
        <is>
          <t>BGZ02</t>
        </is>
      </c>
      <c r="E63" s="128" t="inlineStr">
        <is>
          <t>P003-JB01</t>
        </is>
      </c>
      <c r="F63" s="130" t="inlineStr">
        <is>
          <t>FROZEN BLOCK CRUSHER INCLINE AUGER LID 2 COVER SAFETY INPUT CH2</t>
        </is>
      </c>
      <c r="G63" s="131" t="inlineStr">
        <is>
          <t>DG7000</t>
        </is>
      </c>
      <c r="H63" s="128" t="inlineStr">
        <is>
          <t>PROC</t>
        </is>
      </c>
      <c r="I63" s="132" t="inlineStr">
        <is>
          <t>RL7-PBK-RIO1</t>
        </is>
      </c>
      <c r="J63" s="133" t="n">
        <v>1</v>
      </c>
      <c r="K63" s="129" t="n">
        <v>2</v>
      </c>
      <c r="L63" s="129" t="n">
        <v>3</v>
      </c>
      <c r="M63" s="131" t="inlineStr">
        <is>
          <t>24 VDC SI</t>
        </is>
      </c>
      <c r="N63" s="131" t="inlineStr">
        <is>
          <t>5069-IB8S</t>
        </is>
      </c>
      <c r="O63" s="134" t="n"/>
      <c r="P63" s="127" t="n"/>
      <c r="Q63" s="127" t="n"/>
      <c r="R63" s="127" t="n"/>
      <c r="S63" s="127" t="n"/>
      <c r="T63" s="127" t="n"/>
      <c r="U63" s="127" t="n"/>
      <c r="V63" s="127" t="n"/>
      <c r="W63" s="127" t="n"/>
      <c r="X63" s="127" t="n"/>
      <c r="Y63" s="127" t="n"/>
      <c r="Z63" s="135" t="n"/>
      <c r="AA63" t="inlineStr">
        <is>
          <t>Matched</t>
        </is>
      </c>
      <c r="AB63" s="315" t="n">
        <v>0.99</v>
      </c>
      <c r="AC63" t="inlineStr">
        <is>
          <t>High</t>
        </is>
      </c>
      <c r="AD63" t="n">
        <v>1</v>
      </c>
      <c r="AE63" t="inlineStr">
        <is>
          <t>DG7000</t>
        </is>
      </c>
      <c r="AF63" t="n">
        <v>4</v>
      </c>
      <c r="AG63" t="inlineStr">
        <is>
          <t>drawing</t>
        </is>
      </c>
      <c r="AH63" t="inlineStr">
        <is>
          <t>stacked:isa</t>
        </is>
      </c>
      <c r="AI63" t="inlineStr">
        <is>
          <t>drawing zone; process page; mapped sheet; excel sheet match</t>
        </is>
      </c>
      <c r="AJ63" t="inlineStr">
        <is>
          <t>native</t>
        </is>
      </c>
      <c r="AK63" t="inlineStr">
        <is>
          <t>native-only</t>
        </is>
      </c>
      <c r="AM63" t="inlineStr">
        <is>
          <t>4</t>
        </is>
      </c>
      <c r="AN63" t="inlineStr">
        <is>
          <t>Yes</t>
        </is>
      </c>
      <c r="AO63" t="inlineStr">
        <is>
          <t>mapped sheet id</t>
        </is>
      </c>
      <c r="AP63" t="inlineStr">
        <is>
          <t>p4:native:78, p4:native:79</t>
        </is>
      </c>
      <c r="AQ63" t="n">
        <v>2</v>
      </c>
    </row>
    <row r="64">
      <c r="A64" s="203">
        <f>ROW()-2</f>
        <v/>
      </c>
      <c r="B64" s="128" t="inlineStr">
        <is>
          <t>RL7-CNV-109-ZSS-03</t>
        </is>
      </c>
      <c r="C64" s="314" t="inlineStr">
        <is>
          <t>RL7-CNV-109-ZSS-03</t>
        </is>
      </c>
      <c r="D64" s="262" t="inlineStr">
        <is>
          <t>BGZ03</t>
        </is>
      </c>
      <c r="E64" s="128" t="inlineStr">
        <is>
          <t>P003-JB01</t>
        </is>
      </c>
      <c r="F64" s="130" t="inlineStr">
        <is>
          <t>FROZEN BLOCK CRUSHER INCLINE AUGER LID 3 COVER SAFETY INPUT CH1</t>
        </is>
      </c>
      <c r="G64" s="131" t="inlineStr">
        <is>
          <t>DG7000</t>
        </is>
      </c>
      <c r="H64" s="128" t="inlineStr">
        <is>
          <t>PROC</t>
        </is>
      </c>
      <c r="I64" s="132" t="inlineStr">
        <is>
          <t>RL7-PBK-RIO1</t>
        </is>
      </c>
      <c r="J64" s="133" t="n">
        <v>1</v>
      </c>
      <c r="K64" s="129" t="n">
        <v>2</v>
      </c>
      <c r="L64" s="129" t="n">
        <v>4</v>
      </c>
      <c r="M64" s="131" t="inlineStr">
        <is>
          <t>24 VDC SI</t>
        </is>
      </c>
      <c r="N64" s="131" t="inlineStr">
        <is>
          <t>5069-IB8S</t>
        </is>
      </c>
      <c r="O64" s="134" t="n"/>
      <c r="P64" s="127" t="n"/>
      <c r="Q64" s="127" t="n"/>
      <c r="R64" s="127" t="n"/>
      <c r="S64" s="127" t="n"/>
      <c r="T64" s="127" t="n"/>
      <c r="U64" s="127" t="n"/>
      <c r="V64" s="127" t="n"/>
      <c r="W64" s="127" t="n"/>
      <c r="X64" s="127" t="n"/>
      <c r="Y64" s="127" t="n"/>
      <c r="Z64" s="135" t="n"/>
      <c r="AA64" t="inlineStr">
        <is>
          <t>Matched</t>
        </is>
      </c>
      <c r="AB64" s="315" t="n">
        <v>0.99</v>
      </c>
      <c r="AC64" t="inlineStr">
        <is>
          <t>High</t>
        </is>
      </c>
      <c r="AD64" t="n">
        <v>1</v>
      </c>
      <c r="AE64" t="inlineStr">
        <is>
          <t>DG7000</t>
        </is>
      </c>
      <c r="AF64" t="n">
        <v>4</v>
      </c>
      <c r="AG64" t="inlineStr">
        <is>
          <t>drawing</t>
        </is>
      </c>
      <c r="AH64" t="inlineStr">
        <is>
          <t>stacked:isa</t>
        </is>
      </c>
      <c r="AI64" t="inlineStr">
        <is>
          <t>drawing zone; process page; mapped sheet; excel sheet match</t>
        </is>
      </c>
      <c r="AJ64" t="inlineStr">
        <is>
          <t>native</t>
        </is>
      </c>
      <c r="AK64" t="inlineStr">
        <is>
          <t>native-only</t>
        </is>
      </c>
      <c r="AM64" t="inlineStr">
        <is>
          <t>4</t>
        </is>
      </c>
      <c r="AN64" t="inlineStr">
        <is>
          <t>Yes</t>
        </is>
      </c>
      <c r="AO64" t="inlineStr">
        <is>
          <t>mapped sheet id</t>
        </is>
      </c>
      <c r="AP64" t="inlineStr">
        <is>
          <t>p4:native:80, p4:native:81</t>
        </is>
      </c>
      <c r="AQ64" t="n">
        <v>2</v>
      </c>
    </row>
    <row r="65">
      <c r="A65" s="203">
        <f>ROW()-2</f>
        <v/>
      </c>
      <c r="B65" s="128" t="inlineStr">
        <is>
          <t>RL7-CNV-109-ZSS-03</t>
        </is>
      </c>
      <c r="C65" s="314" t="inlineStr">
        <is>
          <t>RL7-CNV-109-ZSS-03</t>
        </is>
      </c>
      <c r="D65" s="262" t="inlineStr">
        <is>
          <t>BGZ03</t>
        </is>
      </c>
      <c r="E65" s="128" t="inlineStr">
        <is>
          <t>P003-JB01</t>
        </is>
      </c>
      <c r="F65" s="130" t="inlineStr">
        <is>
          <t>FROZEN BLOCK CRUSHER INCLINE AUGER LID 3 COVER SAFETY INPUT CH2</t>
        </is>
      </c>
      <c r="G65" s="131" t="inlineStr">
        <is>
          <t>DG7000</t>
        </is>
      </c>
      <c r="H65" s="128" t="inlineStr">
        <is>
          <t>PROC</t>
        </is>
      </c>
      <c r="I65" s="132" t="inlineStr">
        <is>
          <t>RL7-PBK-RIO1</t>
        </is>
      </c>
      <c r="J65" s="133" t="n">
        <v>1</v>
      </c>
      <c r="K65" s="129" t="n">
        <v>2</v>
      </c>
      <c r="L65" s="129" t="n">
        <v>5</v>
      </c>
      <c r="M65" s="131" t="inlineStr">
        <is>
          <t>24 VDC SI</t>
        </is>
      </c>
      <c r="N65" s="131" t="inlineStr">
        <is>
          <t>5069-IB8S</t>
        </is>
      </c>
      <c r="O65" s="134" t="n"/>
      <c r="P65" s="127" t="n"/>
      <c r="Q65" s="127" t="n"/>
      <c r="R65" s="127" t="n"/>
      <c r="S65" s="127" t="n"/>
      <c r="T65" s="127" t="n"/>
      <c r="U65" s="127" t="n"/>
      <c r="V65" s="127" t="n"/>
      <c r="W65" s="127" t="n"/>
      <c r="X65" s="127" t="n"/>
      <c r="Y65" s="127" t="n"/>
      <c r="Z65" s="135" t="n"/>
      <c r="AA65" t="inlineStr">
        <is>
          <t>Matched</t>
        </is>
      </c>
      <c r="AB65" s="315" t="n">
        <v>0.99</v>
      </c>
      <c r="AC65" t="inlineStr">
        <is>
          <t>High</t>
        </is>
      </c>
      <c r="AD65" t="n">
        <v>1</v>
      </c>
      <c r="AE65" t="inlineStr">
        <is>
          <t>DG7000</t>
        </is>
      </c>
      <c r="AF65" t="n">
        <v>4</v>
      </c>
      <c r="AG65" t="inlineStr">
        <is>
          <t>drawing</t>
        </is>
      </c>
      <c r="AH65" t="inlineStr">
        <is>
          <t>stacked:isa</t>
        </is>
      </c>
      <c r="AI65" t="inlineStr">
        <is>
          <t>drawing zone; process page; mapped sheet; excel sheet match</t>
        </is>
      </c>
      <c r="AJ65" t="inlineStr">
        <is>
          <t>native</t>
        </is>
      </c>
      <c r="AK65" t="inlineStr">
        <is>
          <t>native-only</t>
        </is>
      </c>
      <c r="AM65" t="inlineStr">
        <is>
          <t>4</t>
        </is>
      </c>
      <c r="AN65" t="inlineStr">
        <is>
          <t>Yes</t>
        </is>
      </c>
      <c r="AO65" t="inlineStr">
        <is>
          <t>mapped sheet id</t>
        </is>
      </c>
      <c r="AP65" t="inlineStr">
        <is>
          <t>p4:native:80, p4:native:81</t>
        </is>
      </c>
      <c r="AQ65" t="n">
        <v>2</v>
      </c>
    </row>
    <row r="66">
      <c r="A66" s="203">
        <f>ROW()-2</f>
        <v/>
      </c>
      <c r="B66" s="128" t="inlineStr">
        <is>
          <t>RL7-CNV-109-ZSS-04</t>
        </is>
      </c>
      <c r="C66" s="314" t="inlineStr">
        <is>
          <t>RL7-CNV-109-ZSS-04</t>
        </is>
      </c>
      <c r="D66" s="262" t="inlineStr">
        <is>
          <t>BGZ04</t>
        </is>
      </c>
      <c r="E66" s="128" t="inlineStr">
        <is>
          <t>P003-JB01</t>
        </is>
      </c>
      <c r="F66" s="130" t="inlineStr">
        <is>
          <t>FROZEN BLOCK CRUSHER INCLINE AUGER LID 4 COVER SAFETY INPUT CH1</t>
        </is>
      </c>
      <c r="G66" s="131" t="inlineStr">
        <is>
          <t>DG7000</t>
        </is>
      </c>
      <c r="H66" s="128" t="inlineStr">
        <is>
          <t>PROC</t>
        </is>
      </c>
      <c r="I66" s="132" t="inlineStr">
        <is>
          <t>RL7-PBK-RIO1</t>
        </is>
      </c>
      <c r="J66" s="133" t="n">
        <v>1</v>
      </c>
      <c r="K66" s="129" t="n">
        <v>2</v>
      </c>
      <c r="L66" s="129" t="n">
        <v>6</v>
      </c>
      <c r="M66" s="131" t="inlineStr">
        <is>
          <t>24 VDC SI</t>
        </is>
      </c>
      <c r="N66" s="131" t="inlineStr">
        <is>
          <t>5069-IB8S</t>
        </is>
      </c>
      <c r="O66" s="134" t="n"/>
      <c r="P66" s="127" t="n"/>
      <c r="Q66" s="127" t="n"/>
      <c r="R66" s="127" t="n"/>
      <c r="S66" s="127" t="n"/>
      <c r="T66" s="127" t="n"/>
      <c r="U66" s="127" t="n"/>
      <c r="V66" s="127" t="n"/>
      <c r="W66" s="127" t="n"/>
      <c r="X66" s="127" t="n"/>
      <c r="Y66" s="127" t="n"/>
      <c r="Z66" s="135" t="n"/>
      <c r="AA66" t="inlineStr">
        <is>
          <t>Matched</t>
        </is>
      </c>
      <c r="AB66" s="315" t="n">
        <v>0.99</v>
      </c>
      <c r="AC66" t="inlineStr">
        <is>
          <t>High</t>
        </is>
      </c>
      <c r="AD66" t="n">
        <v>1</v>
      </c>
      <c r="AE66" t="inlineStr">
        <is>
          <t>DG7000</t>
        </is>
      </c>
      <c r="AF66" t="n">
        <v>4</v>
      </c>
      <c r="AG66" t="inlineStr">
        <is>
          <t>drawing</t>
        </is>
      </c>
      <c r="AH66" t="inlineStr">
        <is>
          <t>stacked:isa</t>
        </is>
      </c>
      <c r="AI66" t="inlineStr">
        <is>
          <t>drawing zone; process page; mapped sheet; excel sheet match</t>
        </is>
      </c>
      <c r="AJ66" t="inlineStr">
        <is>
          <t>native</t>
        </is>
      </c>
      <c r="AK66" t="inlineStr">
        <is>
          <t>native-only</t>
        </is>
      </c>
      <c r="AM66" t="inlineStr">
        <is>
          <t>4</t>
        </is>
      </c>
      <c r="AN66" t="inlineStr">
        <is>
          <t>Yes</t>
        </is>
      </c>
      <c r="AO66" t="inlineStr">
        <is>
          <t>mapped sheet id</t>
        </is>
      </c>
      <c r="AP66" t="inlineStr">
        <is>
          <t>p4:native:82, p4:native:83</t>
        </is>
      </c>
      <c r="AQ66" t="n">
        <v>2</v>
      </c>
    </row>
    <row r="67">
      <c r="A67" s="203">
        <f>ROW()-2</f>
        <v/>
      </c>
      <c r="B67" s="128" t="inlineStr">
        <is>
          <t>RL7-CNV-109-ZSS-04</t>
        </is>
      </c>
      <c r="C67" s="314" t="inlineStr">
        <is>
          <t>RL7-CNV-109-ZSS-04</t>
        </is>
      </c>
      <c r="D67" s="262" t="inlineStr">
        <is>
          <t>BGZ04</t>
        </is>
      </c>
      <c r="E67" s="128" t="inlineStr">
        <is>
          <t>P003-JB01</t>
        </is>
      </c>
      <c r="F67" s="130" t="inlineStr">
        <is>
          <t>FROZEN BLOCK CRUSHER INCLINE AUGER LID 4 COVER SAFETY INPUT CH2</t>
        </is>
      </c>
      <c r="G67" s="131" t="inlineStr">
        <is>
          <t>DG7000</t>
        </is>
      </c>
      <c r="H67" s="128" t="inlineStr">
        <is>
          <t>PROC</t>
        </is>
      </c>
      <c r="I67" s="132" t="inlineStr">
        <is>
          <t>RL7-PBK-RIO1</t>
        </is>
      </c>
      <c r="J67" s="133" t="n">
        <v>1</v>
      </c>
      <c r="K67" s="129" t="n">
        <v>2</v>
      </c>
      <c r="L67" s="129" t="n">
        <v>7</v>
      </c>
      <c r="M67" s="131" t="inlineStr">
        <is>
          <t>24 VDC SI</t>
        </is>
      </c>
      <c r="N67" s="131" t="inlineStr">
        <is>
          <t>5069-IB8S</t>
        </is>
      </c>
      <c r="O67" s="134" t="n"/>
      <c r="P67" s="127" t="n"/>
      <c r="Q67" s="127" t="n"/>
      <c r="R67" s="127" t="n"/>
      <c r="S67" s="127" t="n"/>
      <c r="T67" s="127" t="n"/>
      <c r="U67" s="127" t="n"/>
      <c r="V67" s="127" t="n"/>
      <c r="W67" s="127" t="n"/>
      <c r="X67" s="127" t="n"/>
      <c r="Y67" s="127" t="n"/>
      <c r="Z67" s="135" t="n"/>
      <c r="AA67" t="inlineStr">
        <is>
          <t>Matched</t>
        </is>
      </c>
      <c r="AB67" s="315" t="n">
        <v>0.99</v>
      </c>
      <c r="AC67" t="inlineStr">
        <is>
          <t>High</t>
        </is>
      </c>
      <c r="AD67" t="n">
        <v>1</v>
      </c>
      <c r="AE67" t="inlineStr">
        <is>
          <t>DG7000</t>
        </is>
      </c>
      <c r="AF67" t="n">
        <v>4</v>
      </c>
      <c r="AG67" t="inlineStr">
        <is>
          <t>drawing</t>
        </is>
      </c>
      <c r="AH67" t="inlineStr">
        <is>
          <t>stacked:isa</t>
        </is>
      </c>
      <c r="AI67" t="inlineStr">
        <is>
          <t>drawing zone; process page; mapped sheet; excel sheet match</t>
        </is>
      </c>
      <c r="AJ67" t="inlineStr">
        <is>
          <t>native</t>
        </is>
      </c>
      <c r="AK67" t="inlineStr">
        <is>
          <t>native-only</t>
        </is>
      </c>
      <c r="AM67" t="inlineStr">
        <is>
          <t>4</t>
        </is>
      </c>
      <c r="AN67" t="inlineStr">
        <is>
          <t>Yes</t>
        </is>
      </c>
      <c r="AO67" t="inlineStr">
        <is>
          <t>mapped sheet id</t>
        </is>
      </c>
      <c r="AP67" t="inlineStr">
        <is>
          <t>p4:native:82, p4:native:83</t>
        </is>
      </c>
      <c r="AQ67" t="n">
        <v>2</v>
      </c>
    </row>
    <row r="68">
      <c r="A68" s="203">
        <f>ROW()-2</f>
        <v/>
      </c>
      <c r="B68" s="128" t="n"/>
      <c r="C68" s="314" t="inlineStr">
        <is>
          <t>RL7-CNV-109-ZSS-05</t>
        </is>
      </c>
      <c r="D68" s="262" t="inlineStr">
        <is>
          <t>BGZ05</t>
        </is>
      </c>
      <c r="E68" s="128" t="inlineStr">
        <is>
          <t>P003-JB01</t>
        </is>
      </c>
      <c r="F68" s="130" t="inlineStr">
        <is>
          <t>FROZEN BLOCK CRUSHER INCLINE AUGER LID 5 COVER SAFETY INPUT CH1</t>
        </is>
      </c>
      <c r="G68" s="131" t="inlineStr">
        <is>
          <t>DG7000</t>
        </is>
      </c>
      <c r="H68" s="128" t="inlineStr">
        <is>
          <t>PROC</t>
        </is>
      </c>
      <c r="I68" s="132" t="inlineStr">
        <is>
          <t>RL7-PBK-RIO1</t>
        </is>
      </c>
      <c r="J68" s="133" t="n">
        <v>1</v>
      </c>
      <c r="K68" s="129" t="n">
        <v>3</v>
      </c>
      <c r="L68" s="129" t="n">
        <v>0</v>
      </c>
      <c r="M68" s="131" t="inlineStr">
        <is>
          <t>24 VDC SI</t>
        </is>
      </c>
      <c r="N68" s="131" t="inlineStr">
        <is>
          <t>5069-IB8S</t>
        </is>
      </c>
      <c r="O68" s="134" t="n"/>
      <c r="P68" s="127" t="n"/>
      <c r="Q68" s="127" t="n"/>
      <c r="R68" s="127" t="n"/>
      <c r="S68" s="127" t="n"/>
      <c r="T68" s="127" t="n"/>
      <c r="U68" s="127" t="n"/>
      <c r="V68" s="127" t="n"/>
      <c r="W68" s="127" t="n"/>
      <c r="X68" s="127" t="n"/>
      <c r="Y68" s="127" t="n"/>
      <c r="Z68" s="135" t="n"/>
      <c r="AA68" t="inlineStr">
        <is>
          <t>Matched</t>
        </is>
      </c>
      <c r="AB68" s="315" t="n">
        <v>0.99</v>
      </c>
      <c r="AC68" t="inlineStr">
        <is>
          <t>High</t>
        </is>
      </c>
      <c r="AD68" t="n">
        <v>1</v>
      </c>
      <c r="AE68" t="inlineStr">
        <is>
          <t>DG7000</t>
        </is>
      </c>
      <c r="AF68" t="n">
        <v>4</v>
      </c>
      <c r="AG68" t="inlineStr">
        <is>
          <t>drawing</t>
        </is>
      </c>
      <c r="AH68" t="inlineStr">
        <is>
          <t>stacked:isa</t>
        </is>
      </c>
      <c r="AI68" t="inlineStr">
        <is>
          <t>drawing zone; process page; mapped sheet; excel sheet match</t>
        </is>
      </c>
      <c r="AJ68" t="inlineStr">
        <is>
          <t>native</t>
        </is>
      </c>
      <c r="AK68" t="inlineStr">
        <is>
          <t>native-only</t>
        </is>
      </c>
      <c r="AM68" t="inlineStr">
        <is>
          <t>4</t>
        </is>
      </c>
      <c r="AN68" t="inlineStr">
        <is>
          <t>Yes</t>
        </is>
      </c>
      <c r="AO68" t="inlineStr">
        <is>
          <t>mapped sheet id</t>
        </is>
      </c>
      <c r="AP68" t="inlineStr">
        <is>
          <t>p4:native:84, p4:native:85</t>
        </is>
      </c>
      <c r="AQ68" t="n">
        <v>2</v>
      </c>
    </row>
    <row r="69">
      <c r="A69" s="203">
        <f>ROW()-2</f>
        <v/>
      </c>
      <c r="B69" s="128" t="n"/>
      <c r="C69" s="314" t="inlineStr">
        <is>
          <t>RL7-CNV-109-ZSS-05</t>
        </is>
      </c>
      <c r="D69" s="262" t="inlineStr">
        <is>
          <t>BGZ05</t>
        </is>
      </c>
      <c r="E69" s="128" t="inlineStr">
        <is>
          <t>P003-JB01</t>
        </is>
      </c>
      <c r="F69" s="130" t="inlineStr">
        <is>
          <t>FROZEN BLOCK CRUSHER INCLINE AUGER LID 5 COVER SAFETY INPUT CH2</t>
        </is>
      </c>
      <c r="G69" s="131" t="inlineStr">
        <is>
          <t>DG7000</t>
        </is>
      </c>
      <c r="H69" s="128" t="inlineStr">
        <is>
          <t>PROC</t>
        </is>
      </c>
      <c r="I69" s="132" t="inlineStr">
        <is>
          <t>RL7-PBK-RIO1</t>
        </is>
      </c>
      <c r="J69" s="133" t="n">
        <v>1</v>
      </c>
      <c r="K69" s="129" t="n">
        <v>3</v>
      </c>
      <c r="L69" s="129" t="n">
        <v>1</v>
      </c>
      <c r="M69" s="131" t="inlineStr">
        <is>
          <t>24 VDC SI</t>
        </is>
      </c>
      <c r="N69" s="131" t="inlineStr">
        <is>
          <t>5069-IB8S</t>
        </is>
      </c>
      <c r="O69" s="134" t="n"/>
      <c r="P69" s="127" t="n"/>
      <c r="Q69" s="127" t="n"/>
      <c r="R69" s="127" t="n"/>
      <c r="S69" s="127" t="n"/>
      <c r="T69" s="127" t="n"/>
      <c r="U69" s="127" t="n"/>
      <c r="V69" s="127" t="n"/>
      <c r="W69" s="127" t="n"/>
      <c r="X69" s="127" t="n"/>
      <c r="Y69" s="127" t="n"/>
      <c r="Z69" s="135" t="n"/>
      <c r="AA69" t="inlineStr">
        <is>
          <t>Matched</t>
        </is>
      </c>
      <c r="AB69" s="315" t="n">
        <v>0.99</v>
      </c>
      <c r="AC69" t="inlineStr">
        <is>
          <t>High</t>
        </is>
      </c>
      <c r="AD69" t="n">
        <v>1</v>
      </c>
      <c r="AE69" t="inlineStr">
        <is>
          <t>DG7000</t>
        </is>
      </c>
      <c r="AF69" t="n">
        <v>4</v>
      </c>
      <c r="AG69" t="inlineStr">
        <is>
          <t>drawing</t>
        </is>
      </c>
      <c r="AH69" t="inlineStr">
        <is>
          <t>stacked:isa</t>
        </is>
      </c>
      <c r="AI69" t="inlineStr">
        <is>
          <t>drawing zone; process page; mapped sheet; excel sheet match</t>
        </is>
      </c>
      <c r="AJ69" t="inlineStr">
        <is>
          <t>native</t>
        </is>
      </c>
      <c r="AK69" t="inlineStr">
        <is>
          <t>native-only</t>
        </is>
      </c>
      <c r="AM69" t="inlineStr">
        <is>
          <t>4</t>
        </is>
      </c>
      <c r="AN69" t="inlineStr">
        <is>
          <t>Yes</t>
        </is>
      </c>
      <c r="AO69" t="inlineStr">
        <is>
          <t>mapped sheet id</t>
        </is>
      </c>
      <c r="AP69" t="inlineStr">
        <is>
          <t>p4:native:84, p4:native:85</t>
        </is>
      </c>
      <c r="AQ69" t="n">
        <v>2</v>
      </c>
    </row>
    <row r="70">
      <c r="A70" s="203">
        <f>ROW()-2</f>
        <v/>
      </c>
      <c r="B70" s="128" t="n"/>
      <c r="C70" s="313" t="inlineStr">
        <is>
          <t>RL7-CNV-109-ZSS-06</t>
        </is>
      </c>
      <c r="D70" s="262" t="inlineStr">
        <is>
          <t>BGZ06</t>
        </is>
      </c>
      <c r="E70" s="128" t="inlineStr">
        <is>
          <t>P003-JB01</t>
        </is>
      </c>
      <c r="F70" s="130" t="inlineStr">
        <is>
          <t>FROZEN BLOCK CRUSHER INCLINE AUGER BOMB DOOR 1 SAFETY INPUT CH1</t>
        </is>
      </c>
      <c r="G70" s="131" t="inlineStr">
        <is>
          <t>DG7000</t>
        </is>
      </c>
      <c r="H70" s="128" t="inlineStr">
        <is>
          <t>PROC</t>
        </is>
      </c>
      <c r="I70" s="132" t="inlineStr">
        <is>
          <t>RL7-PBK-RIO1</t>
        </is>
      </c>
      <c r="J70" s="133" t="n">
        <v>1</v>
      </c>
      <c r="K70" s="129" t="n">
        <v>3</v>
      </c>
      <c r="L70" s="129" t="n">
        <v>2</v>
      </c>
      <c r="M70" s="131" t="inlineStr">
        <is>
          <t>24 VDC SI</t>
        </is>
      </c>
      <c r="N70" s="131" t="inlineStr">
        <is>
          <t>5069-IB8S</t>
        </is>
      </c>
      <c r="O70" s="134" t="n"/>
      <c r="P70" s="127" t="n"/>
      <c r="Q70" s="127" t="n"/>
      <c r="R70" s="127" t="n"/>
      <c r="S70" s="127" t="n"/>
      <c r="T70" s="127" t="n"/>
      <c r="U70" s="127" t="n"/>
      <c r="V70" s="127" t="n"/>
      <c r="W70" s="127" t="n"/>
      <c r="X70" s="127" t="n"/>
      <c r="Y70" s="127" t="n"/>
      <c r="Z70" s="135" t="n"/>
      <c r="AA70" t="inlineStr">
        <is>
          <t>Not found in PDF</t>
        </is>
      </c>
      <c r="AC70" t="inlineStr">
        <is>
          <t>Low</t>
        </is>
      </c>
      <c r="AM70" t="inlineStr">
        <is>
          <t>4</t>
        </is>
      </c>
      <c r="AN70" t="inlineStr">
        <is>
          <t>Yes</t>
        </is>
      </c>
      <c r="AO70" t="inlineStr">
        <is>
          <t>mapped sheet id</t>
        </is>
      </c>
    </row>
    <row r="71">
      <c r="A71" s="203">
        <f>ROW()-2</f>
        <v/>
      </c>
      <c r="B71" s="128" t="n"/>
      <c r="C71" s="313" t="inlineStr">
        <is>
          <t>RL7-CNV-109-ZSS-06</t>
        </is>
      </c>
      <c r="D71" s="262" t="inlineStr">
        <is>
          <t>BGZ06</t>
        </is>
      </c>
      <c r="E71" s="128" t="inlineStr">
        <is>
          <t>P003-JB01</t>
        </is>
      </c>
      <c r="F71" s="130" t="inlineStr">
        <is>
          <t>FROZEN BLOCK CRUSHER INCLINE AUGER BOMB DOOR 1 SAFETY INPUT CH2</t>
        </is>
      </c>
      <c r="G71" s="131" t="inlineStr">
        <is>
          <t>DG7000</t>
        </is>
      </c>
      <c r="H71" s="128" t="inlineStr">
        <is>
          <t>PROC</t>
        </is>
      </c>
      <c r="I71" s="132" t="inlineStr">
        <is>
          <t>RL7-PBK-RIO1</t>
        </is>
      </c>
      <c r="J71" s="133" t="n">
        <v>1</v>
      </c>
      <c r="K71" s="129" t="n">
        <v>3</v>
      </c>
      <c r="L71" s="129" t="n">
        <v>3</v>
      </c>
      <c r="M71" s="131" t="inlineStr">
        <is>
          <t>24 VDC SI</t>
        </is>
      </c>
      <c r="N71" s="131" t="inlineStr">
        <is>
          <t>5069-IB8S</t>
        </is>
      </c>
      <c r="O71" s="134" t="n"/>
      <c r="P71" s="127" t="n"/>
      <c r="Q71" s="127" t="n"/>
      <c r="R71" s="127" t="n"/>
      <c r="S71" s="127" t="n"/>
      <c r="T71" s="127" t="n"/>
      <c r="U71" s="127" t="n"/>
      <c r="V71" s="127" t="n"/>
      <c r="W71" s="127" t="n"/>
      <c r="X71" s="127" t="n"/>
      <c r="Y71" s="127" t="n"/>
      <c r="Z71" s="135" t="n"/>
      <c r="AA71" t="inlineStr">
        <is>
          <t>Not found in PDF</t>
        </is>
      </c>
      <c r="AC71" t="inlineStr">
        <is>
          <t>Low</t>
        </is>
      </c>
      <c r="AM71" t="inlineStr">
        <is>
          <t>4</t>
        </is>
      </c>
      <c r="AN71" t="inlineStr">
        <is>
          <t>Yes</t>
        </is>
      </c>
      <c r="AO71" t="inlineStr">
        <is>
          <t>mapped sheet id</t>
        </is>
      </c>
    </row>
    <row r="72">
      <c r="A72" s="203">
        <f>ROW()-2</f>
        <v/>
      </c>
      <c r="B72" s="128" t="n"/>
      <c r="C72" s="313" t="inlineStr">
        <is>
          <t>RL7-CNV-109-ZSS-07</t>
        </is>
      </c>
      <c r="D72" s="262" t="inlineStr">
        <is>
          <t>BGZ07</t>
        </is>
      </c>
      <c r="E72" s="128" t="inlineStr">
        <is>
          <t>P003-JB01</t>
        </is>
      </c>
      <c r="F72" s="130" t="inlineStr">
        <is>
          <t>FROZEN BLOCK CRUSHER INCLINE AUGER BOMB DOOR 2 SAFETY INPUT CH1</t>
        </is>
      </c>
      <c r="G72" s="131" t="inlineStr">
        <is>
          <t>DG7000</t>
        </is>
      </c>
      <c r="H72" s="128" t="inlineStr">
        <is>
          <t>PROC</t>
        </is>
      </c>
      <c r="I72" s="132" t="inlineStr">
        <is>
          <t>RL7-PBK-RIO1</t>
        </is>
      </c>
      <c r="J72" s="133" t="n">
        <v>1</v>
      </c>
      <c r="K72" s="129" t="n">
        <v>3</v>
      </c>
      <c r="L72" s="129" t="n">
        <v>4</v>
      </c>
      <c r="M72" s="131" t="inlineStr">
        <is>
          <t>24 VDC SI</t>
        </is>
      </c>
      <c r="N72" s="131" t="inlineStr">
        <is>
          <t>5069-IB8S</t>
        </is>
      </c>
      <c r="O72" s="134" t="n"/>
      <c r="P72" s="127" t="n"/>
      <c r="Q72" s="127" t="n"/>
      <c r="R72" s="127" t="n"/>
      <c r="S72" s="127" t="n"/>
      <c r="T72" s="127" t="n"/>
      <c r="U72" s="127" t="n"/>
      <c r="V72" s="127" t="n"/>
      <c r="W72" s="127" t="n"/>
      <c r="X72" s="127" t="n"/>
      <c r="Y72" s="127" t="n"/>
      <c r="Z72" s="135" t="n"/>
      <c r="AA72" t="inlineStr">
        <is>
          <t>Not found in PDF</t>
        </is>
      </c>
      <c r="AC72" t="inlineStr">
        <is>
          <t>Low</t>
        </is>
      </c>
      <c r="AM72" t="inlineStr">
        <is>
          <t>4</t>
        </is>
      </c>
      <c r="AN72" t="inlineStr">
        <is>
          <t>Yes</t>
        </is>
      </c>
      <c r="AO72" t="inlineStr">
        <is>
          <t>mapped sheet id</t>
        </is>
      </c>
    </row>
    <row r="73">
      <c r="A73" s="203">
        <f>ROW()-2</f>
        <v/>
      </c>
      <c r="B73" s="128" t="n"/>
      <c r="C73" s="313" t="inlineStr">
        <is>
          <t>RL7-CNV-109-ZSS-07</t>
        </is>
      </c>
      <c r="D73" s="262" t="inlineStr">
        <is>
          <t>BGZ07</t>
        </is>
      </c>
      <c r="E73" s="128" t="inlineStr">
        <is>
          <t>P003-JB01</t>
        </is>
      </c>
      <c r="F73" s="130" t="inlineStr">
        <is>
          <t>FROZEN BLOCK CRUSHER INCLINE AUGER BOMB DOOR 2 SAFETY INPUT CH2</t>
        </is>
      </c>
      <c r="G73" s="131" t="inlineStr">
        <is>
          <t>DG7000</t>
        </is>
      </c>
      <c r="H73" s="128" t="inlineStr">
        <is>
          <t>PROC</t>
        </is>
      </c>
      <c r="I73" s="132" t="inlineStr">
        <is>
          <t>RL7-PBK-RIO1</t>
        </is>
      </c>
      <c r="J73" s="133" t="n">
        <v>1</v>
      </c>
      <c r="K73" s="129" t="n">
        <v>3</v>
      </c>
      <c r="L73" s="129" t="n">
        <v>5</v>
      </c>
      <c r="M73" s="131" t="inlineStr">
        <is>
          <t>24 VDC SI</t>
        </is>
      </c>
      <c r="N73" s="131" t="inlineStr">
        <is>
          <t>5069-IB8S</t>
        </is>
      </c>
      <c r="O73" s="134" t="n"/>
      <c r="P73" s="127" t="n"/>
      <c r="Q73" s="127" t="n"/>
      <c r="R73" s="127" t="n"/>
      <c r="S73" s="127" t="n"/>
      <c r="T73" s="127" t="n"/>
      <c r="U73" s="127" t="n"/>
      <c r="V73" s="127" t="n"/>
      <c r="W73" s="127" t="n"/>
      <c r="X73" s="127" t="n"/>
      <c r="Y73" s="127" t="n"/>
      <c r="Z73" s="135" t="n"/>
      <c r="AA73" t="inlineStr">
        <is>
          <t>Not found in PDF</t>
        </is>
      </c>
      <c r="AC73" t="inlineStr">
        <is>
          <t>Low</t>
        </is>
      </c>
      <c r="AM73" t="inlineStr">
        <is>
          <t>4</t>
        </is>
      </c>
      <c r="AN73" t="inlineStr">
        <is>
          <t>Yes</t>
        </is>
      </c>
      <c r="AO73" t="inlineStr">
        <is>
          <t>mapped sheet id</t>
        </is>
      </c>
    </row>
    <row r="74">
      <c r="A74" s="203">
        <f>ROW()-2</f>
        <v/>
      </c>
      <c r="B74" s="128" t="inlineStr">
        <is>
          <t>RL7-CNV-109-ZSS-08</t>
        </is>
      </c>
      <c r="C74" s="314" t="inlineStr">
        <is>
          <t>RL7-CNV-109-ZSS-08</t>
        </is>
      </c>
      <c r="D74" s="262" t="inlineStr">
        <is>
          <t>BGZ08</t>
        </is>
      </c>
      <c r="E74" s="128" t="inlineStr">
        <is>
          <t>P003-JB01</t>
        </is>
      </c>
      <c r="F74" s="130" t="inlineStr">
        <is>
          <t>FROZEN BLOCK CRUSHER INCLINE AUGER INSPECTION DOOR SAFETY INPUT CH1</t>
        </is>
      </c>
      <c r="G74" s="131" t="inlineStr">
        <is>
          <t>DG7000</t>
        </is>
      </c>
      <c r="H74" s="128" t="inlineStr">
        <is>
          <t>PROC</t>
        </is>
      </c>
      <c r="I74" s="132" t="inlineStr">
        <is>
          <t>RL7-PBK-RIO1</t>
        </is>
      </c>
      <c r="J74" s="133" t="n">
        <v>1</v>
      </c>
      <c r="K74" s="128" t="n">
        <v>3</v>
      </c>
      <c r="L74" s="128" t="n">
        <v>6</v>
      </c>
      <c r="M74" s="132" t="inlineStr">
        <is>
          <t>24 VDC SI</t>
        </is>
      </c>
      <c r="N74" s="132" t="inlineStr">
        <is>
          <t>5069-IB8S</t>
        </is>
      </c>
      <c r="O74" s="134" t="n"/>
      <c r="P74" s="127" t="n"/>
      <c r="Q74" s="127" t="n"/>
      <c r="R74" s="127" t="n"/>
      <c r="S74" s="127" t="n"/>
      <c r="T74" s="127" t="n"/>
      <c r="U74" s="127" t="n"/>
      <c r="V74" s="127" t="n"/>
      <c r="W74" s="127" t="n"/>
      <c r="X74" s="127" t="n"/>
      <c r="Y74" s="127" t="n"/>
      <c r="Z74" s="135" t="n"/>
      <c r="AA74" t="inlineStr">
        <is>
          <t>Matched</t>
        </is>
      </c>
      <c r="AB74" s="315" t="n">
        <v>0.99</v>
      </c>
      <c r="AC74" t="inlineStr">
        <is>
          <t>High</t>
        </is>
      </c>
      <c r="AD74" t="n">
        <v>1</v>
      </c>
      <c r="AE74" t="inlineStr">
        <is>
          <t>DG7000</t>
        </is>
      </c>
      <c r="AF74" t="n">
        <v>4</v>
      </c>
      <c r="AG74" t="inlineStr">
        <is>
          <t>drawing</t>
        </is>
      </c>
      <c r="AH74" t="inlineStr">
        <is>
          <t>stacked:isa</t>
        </is>
      </c>
      <c r="AI74" t="inlineStr">
        <is>
          <t>drawing zone; process page; mapped sheet; excel sheet match</t>
        </is>
      </c>
      <c r="AJ74" t="inlineStr">
        <is>
          <t>native</t>
        </is>
      </c>
      <c r="AK74" t="inlineStr">
        <is>
          <t>native-only</t>
        </is>
      </c>
      <c r="AM74" t="inlineStr">
        <is>
          <t>4</t>
        </is>
      </c>
      <c r="AN74" t="inlineStr">
        <is>
          <t>Yes</t>
        </is>
      </c>
      <c r="AO74" t="inlineStr">
        <is>
          <t>mapped sheet id</t>
        </is>
      </c>
      <c r="AP74" t="inlineStr">
        <is>
          <t>p4:native:114, p4:native:115</t>
        </is>
      </c>
      <c r="AQ74" t="n">
        <v>2</v>
      </c>
    </row>
    <row r="75">
      <c r="A75" s="203">
        <f>ROW()-2</f>
        <v/>
      </c>
      <c r="B75" s="128" t="inlineStr">
        <is>
          <t>RL7-CNV-109-ZSS-08</t>
        </is>
      </c>
      <c r="C75" s="314" t="inlineStr">
        <is>
          <t>RL7-CNV-109-ZSS-08</t>
        </is>
      </c>
      <c r="D75" s="262" t="inlineStr">
        <is>
          <t>BGZ08</t>
        </is>
      </c>
      <c r="E75" s="128" t="inlineStr">
        <is>
          <t>P003-JB01</t>
        </is>
      </c>
      <c r="F75" s="130" t="inlineStr">
        <is>
          <t>FROZEN BLOCK CRUSHER INCLINE AUGER INSPECTION DOOR SAFETY INPUT CH2</t>
        </is>
      </c>
      <c r="G75" s="131" t="inlineStr">
        <is>
          <t>DG7000</t>
        </is>
      </c>
      <c r="H75" s="128" t="inlineStr">
        <is>
          <t>PROC</t>
        </is>
      </c>
      <c r="I75" s="132" t="inlineStr">
        <is>
          <t>RL7-PBK-RIO1</t>
        </is>
      </c>
      <c r="J75" s="133" t="n">
        <v>1</v>
      </c>
      <c r="K75" s="128" t="n">
        <v>3</v>
      </c>
      <c r="L75" s="128" t="n">
        <v>7</v>
      </c>
      <c r="M75" s="132" t="inlineStr">
        <is>
          <t>24 VDC SI</t>
        </is>
      </c>
      <c r="N75" s="132" t="inlineStr">
        <is>
          <t>5069-IB8S</t>
        </is>
      </c>
      <c r="O75" s="134" t="n"/>
      <c r="P75" s="127" t="n"/>
      <c r="Q75" s="127" t="n"/>
      <c r="R75" s="127" t="n"/>
      <c r="S75" s="127" t="n"/>
      <c r="T75" s="127" t="n"/>
      <c r="U75" s="127" t="n"/>
      <c r="V75" s="127" t="n"/>
      <c r="W75" s="127" t="n"/>
      <c r="X75" s="127" t="n"/>
      <c r="Y75" s="127" t="n"/>
      <c r="Z75" s="135" t="n"/>
      <c r="AA75" t="inlineStr">
        <is>
          <t>Matched</t>
        </is>
      </c>
      <c r="AB75" s="315" t="n">
        <v>0.99</v>
      </c>
      <c r="AC75" t="inlineStr">
        <is>
          <t>High</t>
        </is>
      </c>
      <c r="AD75" t="n">
        <v>1</v>
      </c>
      <c r="AE75" t="inlineStr">
        <is>
          <t>DG7000</t>
        </is>
      </c>
      <c r="AF75" t="n">
        <v>4</v>
      </c>
      <c r="AG75" t="inlineStr">
        <is>
          <t>drawing</t>
        </is>
      </c>
      <c r="AH75" t="inlineStr">
        <is>
          <t>stacked:isa</t>
        </is>
      </c>
      <c r="AI75" t="inlineStr">
        <is>
          <t>drawing zone; process page; mapped sheet; excel sheet match</t>
        </is>
      </c>
      <c r="AJ75" t="inlineStr">
        <is>
          <t>native</t>
        </is>
      </c>
      <c r="AK75" t="inlineStr">
        <is>
          <t>native-only</t>
        </is>
      </c>
      <c r="AM75" t="inlineStr">
        <is>
          <t>4</t>
        </is>
      </c>
      <c r="AN75" t="inlineStr">
        <is>
          <t>Yes</t>
        </is>
      </c>
      <c r="AO75" t="inlineStr">
        <is>
          <t>mapped sheet id</t>
        </is>
      </c>
      <c r="AP75" t="inlineStr">
        <is>
          <t>p4:native:114, p4:native:115</t>
        </is>
      </c>
      <c r="AQ75" t="n">
        <v>2</v>
      </c>
    </row>
    <row r="76">
      <c r="A76" s="203">
        <f>ROW()-2</f>
        <v/>
      </c>
      <c r="B76" s="128" t="inlineStr">
        <is>
          <t>RL7-CNV-109-ZSS-09</t>
        </is>
      </c>
      <c r="C76" s="314" t="inlineStr">
        <is>
          <t>RL7-CNV-109-PB-01</t>
        </is>
      </c>
      <c r="D76" s="262" t="n"/>
      <c r="E76" s="128" t="inlineStr">
        <is>
          <t>P003-JB01</t>
        </is>
      </c>
      <c r="F76" s="130" t="inlineStr">
        <is>
          <t>FROZEN BLOCK CRUSHER INCLINE AUGER E-STOP PB SAFETY INPUT CH1</t>
        </is>
      </c>
      <c r="G76" s="131" t="inlineStr">
        <is>
          <t>DG7000</t>
        </is>
      </c>
      <c r="H76" s="128" t="inlineStr">
        <is>
          <t>PROC</t>
        </is>
      </c>
      <c r="I76" s="132" t="inlineStr">
        <is>
          <t>RL7-PBK-RIO1</t>
        </is>
      </c>
      <c r="J76" s="133" t="n">
        <v>1</v>
      </c>
      <c r="K76" s="128" t="n">
        <v>4</v>
      </c>
      <c r="L76" s="128" t="n">
        <v>0</v>
      </c>
      <c r="M76" s="132" t="inlineStr">
        <is>
          <t>24 VDC SI</t>
        </is>
      </c>
      <c r="N76" s="132" t="inlineStr">
        <is>
          <t>5069-IB8S</t>
        </is>
      </c>
      <c r="O76" s="134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35" t="n"/>
      <c r="AA76" t="inlineStr">
        <is>
          <t>Matched</t>
        </is>
      </c>
      <c r="AB76" s="315" t="n">
        <v>0.99</v>
      </c>
      <c r="AC76" t="inlineStr">
        <is>
          <t>High</t>
        </is>
      </c>
      <c r="AD76" t="n">
        <v>1</v>
      </c>
      <c r="AE76" t="inlineStr">
        <is>
          <t>DG7000</t>
        </is>
      </c>
      <c r="AF76" t="n">
        <v>4</v>
      </c>
      <c r="AG76" t="inlineStr">
        <is>
          <t>drawing</t>
        </is>
      </c>
      <c r="AH76" t="inlineStr">
        <is>
          <t>stacked:isa</t>
        </is>
      </c>
      <c r="AI76" t="inlineStr">
        <is>
          <t>drawing zone; process page; mapped sheet; excel sheet match</t>
        </is>
      </c>
      <c r="AJ76" t="inlineStr">
        <is>
          <t>native</t>
        </is>
      </c>
      <c r="AK76" t="inlineStr">
        <is>
          <t>native-only</t>
        </is>
      </c>
      <c r="AM76" t="inlineStr">
        <is>
          <t>4</t>
        </is>
      </c>
      <c r="AN76" t="inlineStr">
        <is>
          <t>Yes</t>
        </is>
      </c>
      <c r="AO76" t="inlineStr">
        <is>
          <t>mapped sheet id</t>
        </is>
      </c>
      <c r="AP76" t="inlineStr">
        <is>
          <t>p4:native:107, p4:native:108</t>
        </is>
      </c>
      <c r="AQ76" t="n">
        <v>2</v>
      </c>
    </row>
    <row r="77">
      <c r="A77" s="203">
        <f>ROW()-2</f>
        <v/>
      </c>
      <c r="B77" s="128" t="inlineStr">
        <is>
          <t>RL7-CNV-109-ZSS-09</t>
        </is>
      </c>
      <c r="C77" s="314" t="inlineStr">
        <is>
          <t>RL7-CNV-109-PB-01</t>
        </is>
      </c>
      <c r="D77" s="262" t="n"/>
      <c r="E77" s="128" t="inlineStr">
        <is>
          <t>P003-JB01</t>
        </is>
      </c>
      <c r="F77" s="130" t="inlineStr">
        <is>
          <t>FROZEN BLOCK CRUSHER INCLINE AUGER E-STOP PB SAFETY INPUT CH2</t>
        </is>
      </c>
      <c r="G77" s="131" t="inlineStr">
        <is>
          <t>DG7000</t>
        </is>
      </c>
      <c r="H77" s="128" t="inlineStr">
        <is>
          <t>PROC</t>
        </is>
      </c>
      <c r="I77" s="132" t="inlineStr">
        <is>
          <t>RL7-PBK-RIO1</t>
        </is>
      </c>
      <c r="J77" s="133" t="n">
        <v>1</v>
      </c>
      <c r="K77" s="128" t="n">
        <v>4</v>
      </c>
      <c r="L77" s="128" t="n">
        <v>1</v>
      </c>
      <c r="M77" s="132" t="inlineStr">
        <is>
          <t>24 VDC SI</t>
        </is>
      </c>
      <c r="N77" s="132" t="inlineStr">
        <is>
          <t>5069-IB8S</t>
        </is>
      </c>
      <c r="O77" s="134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35" t="n"/>
      <c r="AA77" t="inlineStr">
        <is>
          <t>Matched</t>
        </is>
      </c>
      <c r="AB77" s="315" t="n">
        <v>0.99</v>
      </c>
      <c r="AC77" t="inlineStr">
        <is>
          <t>High</t>
        </is>
      </c>
      <c r="AD77" t="n">
        <v>1</v>
      </c>
      <c r="AE77" t="inlineStr">
        <is>
          <t>DG7000</t>
        </is>
      </c>
      <c r="AF77" t="n">
        <v>4</v>
      </c>
      <c r="AG77" t="inlineStr">
        <is>
          <t>drawing</t>
        </is>
      </c>
      <c r="AH77" t="inlineStr">
        <is>
          <t>stacked:isa</t>
        </is>
      </c>
      <c r="AI77" t="inlineStr">
        <is>
          <t>drawing zone; process page; mapped sheet; excel sheet match</t>
        </is>
      </c>
      <c r="AJ77" t="inlineStr">
        <is>
          <t>native</t>
        </is>
      </c>
      <c r="AK77" t="inlineStr">
        <is>
          <t>native-only</t>
        </is>
      </c>
      <c r="AM77" t="inlineStr">
        <is>
          <t>4</t>
        </is>
      </c>
      <c r="AN77" t="inlineStr">
        <is>
          <t>Yes</t>
        </is>
      </c>
      <c r="AO77" t="inlineStr">
        <is>
          <t>mapped sheet id</t>
        </is>
      </c>
      <c r="AP77" t="inlineStr">
        <is>
          <t>p4:native:107, p4:native:108</t>
        </is>
      </c>
      <c r="AQ77" t="n">
        <v>2</v>
      </c>
    </row>
    <row r="78">
      <c r="A78" s="203">
        <f>ROW()-2</f>
        <v/>
      </c>
      <c r="B78" s="128" t="inlineStr">
        <is>
          <t>RL7-GRR-103-PB-01</t>
        </is>
      </c>
      <c r="C78" s="314" t="inlineStr">
        <is>
          <t>RL7-GRR-103-PB-01</t>
        </is>
      </c>
      <c r="D78" s="262" t="n"/>
      <c r="E78" s="128" t="inlineStr">
        <is>
          <t>P003-JB01</t>
        </is>
      </c>
      <c r="F78" s="130" t="inlineStr">
        <is>
          <t>FROZEN BLOCK CRUSHER E-STOP PB SAFETY INPUT CH1</t>
        </is>
      </c>
      <c r="G78" s="131" t="inlineStr">
        <is>
          <t>DG7000</t>
        </is>
      </c>
      <c r="H78" s="128" t="inlineStr">
        <is>
          <t>PROC</t>
        </is>
      </c>
      <c r="I78" s="132" t="inlineStr">
        <is>
          <t>RL7-PBK-RIO1</t>
        </is>
      </c>
      <c r="J78" s="133" t="n">
        <v>1</v>
      </c>
      <c r="K78" s="128" t="n">
        <v>4</v>
      </c>
      <c r="L78" s="128" t="n">
        <v>6</v>
      </c>
      <c r="M78" s="132" t="inlineStr">
        <is>
          <t>24 VDC SI</t>
        </is>
      </c>
      <c r="N78" s="132" t="inlineStr">
        <is>
          <t>5069-IB8S</t>
        </is>
      </c>
      <c r="O78" s="134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35" t="n"/>
      <c r="AA78" t="inlineStr">
        <is>
          <t>Matched</t>
        </is>
      </c>
      <c r="AB78" s="315" t="n">
        <v>0.99</v>
      </c>
      <c r="AC78" t="inlineStr">
        <is>
          <t>High</t>
        </is>
      </c>
      <c r="AD78" t="n">
        <v>1</v>
      </c>
      <c r="AE78" t="inlineStr">
        <is>
          <t>DG7000</t>
        </is>
      </c>
      <c r="AF78" t="n">
        <v>4</v>
      </c>
      <c r="AG78" t="inlineStr">
        <is>
          <t>drawing</t>
        </is>
      </c>
      <c r="AH78" t="inlineStr">
        <is>
          <t>stacked:isa</t>
        </is>
      </c>
      <c r="AI78" t="inlineStr">
        <is>
          <t>drawing zone; process page; mapped sheet; excel sheet match</t>
        </is>
      </c>
      <c r="AJ78" t="inlineStr">
        <is>
          <t>native</t>
        </is>
      </c>
      <c r="AK78" t="inlineStr">
        <is>
          <t>native-only</t>
        </is>
      </c>
      <c r="AM78" t="inlineStr">
        <is>
          <t>4</t>
        </is>
      </c>
      <c r="AN78" t="inlineStr">
        <is>
          <t>Yes</t>
        </is>
      </c>
      <c r="AO78" t="inlineStr">
        <is>
          <t>mapped sheet id</t>
        </is>
      </c>
      <c r="AP78" t="inlineStr">
        <is>
          <t>p4:native:147, p4:native:148</t>
        </is>
      </c>
      <c r="AQ78" t="n">
        <v>2</v>
      </c>
    </row>
    <row r="79">
      <c r="A79" s="203">
        <f>ROW()-2</f>
        <v/>
      </c>
      <c r="B79" s="128" t="inlineStr">
        <is>
          <t>RL7-GRR-103-PB-01</t>
        </is>
      </c>
      <c r="C79" s="314" t="inlineStr">
        <is>
          <t>RL7-GRR-103-PB-01</t>
        </is>
      </c>
      <c r="D79" s="262" t="n"/>
      <c r="E79" s="128" t="inlineStr">
        <is>
          <t>P003-JB01</t>
        </is>
      </c>
      <c r="F79" s="130" t="inlineStr">
        <is>
          <t>FROZEN BLOCK CRUSHER E-STOP PB SAFETY INPUT CH2</t>
        </is>
      </c>
      <c r="G79" s="131" t="inlineStr">
        <is>
          <t>DG7000</t>
        </is>
      </c>
      <c r="H79" s="128" t="inlineStr">
        <is>
          <t>PROC</t>
        </is>
      </c>
      <c r="I79" s="132" t="inlineStr">
        <is>
          <t>RL7-PBK-RIO1</t>
        </is>
      </c>
      <c r="J79" s="133" t="n">
        <v>1</v>
      </c>
      <c r="K79" s="128" t="n">
        <v>4</v>
      </c>
      <c r="L79" s="128" t="n">
        <v>7</v>
      </c>
      <c r="M79" s="132" t="inlineStr">
        <is>
          <t>24 VDC SI</t>
        </is>
      </c>
      <c r="N79" s="132" t="inlineStr">
        <is>
          <t>5069-IB8S</t>
        </is>
      </c>
      <c r="O79" s="134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35" t="n"/>
      <c r="AA79" t="inlineStr">
        <is>
          <t>Matched</t>
        </is>
      </c>
      <c r="AB79" s="315" t="n">
        <v>0.99</v>
      </c>
      <c r="AC79" t="inlineStr">
        <is>
          <t>High</t>
        </is>
      </c>
      <c r="AD79" t="n">
        <v>1</v>
      </c>
      <c r="AE79" t="inlineStr">
        <is>
          <t>DG7000</t>
        </is>
      </c>
      <c r="AF79" t="n">
        <v>4</v>
      </c>
      <c r="AG79" t="inlineStr">
        <is>
          <t>drawing</t>
        </is>
      </c>
      <c r="AH79" t="inlineStr">
        <is>
          <t>stacked:isa</t>
        </is>
      </c>
      <c r="AI79" t="inlineStr">
        <is>
          <t>drawing zone; process page; mapped sheet; excel sheet match</t>
        </is>
      </c>
      <c r="AJ79" t="inlineStr">
        <is>
          <t>native</t>
        </is>
      </c>
      <c r="AK79" t="inlineStr">
        <is>
          <t>native-only</t>
        </is>
      </c>
      <c r="AM79" t="inlineStr">
        <is>
          <t>4</t>
        </is>
      </c>
      <c r="AN79" t="inlineStr">
        <is>
          <t>Yes</t>
        </is>
      </c>
      <c r="AO79" t="inlineStr">
        <is>
          <t>mapped sheet id</t>
        </is>
      </c>
      <c r="AP79" t="inlineStr">
        <is>
          <t>p4:native:147, p4:native:148</t>
        </is>
      </c>
      <c r="AQ79" t="n">
        <v>2</v>
      </c>
    </row>
    <row r="80">
      <c r="A80" s="203">
        <f>ROW()-2</f>
        <v/>
      </c>
      <c r="B80" s="128" t="inlineStr">
        <is>
          <t>RL7-WBU-101-YI-01</t>
        </is>
      </c>
      <c r="C80" s="314" t="inlineStr">
        <is>
          <t>RL7-GRR-103-PSL-01</t>
        </is>
      </c>
      <c r="D80" s="262" t="inlineStr">
        <is>
          <t>BPD01</t>
        </is>
      </c>
      <c r="E80" s="133" t="inlineStr">
        <is>
          <t>P002-JB04</t>
        </is>
      </c>
      <c r="F80" s="138" t="inlineStr">
        <is>
          <t>FROZEN BLOCK CRUSHER RINSE SYSTEM COMPRESSED AIR PRESSURE SWITCH LOW</t>
        </is>
      </c>
      <c r="G80" s="131" t="inlineStr">
        <is>
          <t>DG7000</t>
        </is>
      </c>
      <c r="H80" s="128" t="inlineStr">
        <is>
          <t>PROC</t>
        </is>
      </c>
      <c r="I80" s="132" t="inlineStr">
        <is>
          <t>RL7-PBK-RIO1</t>
        </is>
      </c>
      <c r="J80" s="133" t="n">
        <v>1</v>
      </c>
      <c r="K80" s="129" t="n">
        <v>6</v>
      </c>
      <c r="L80" s="129" t="n">
        <v>0</v>
      </c>
      <c r="M80" s="131" t="inlineStr">
        <is>
          <t>24 VDC DI</t>
        </is>
      </c>
      <c r="N80" s="129" t="inlineStr">
        <is>
          <t>5069-IB16</t>
        </is>
      </c>
      <c r="O80" s="139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40" t="n"/>
      <c r="AA80" t="inlineStr">
        <is>
          <t>Matched</t>
        </is>
      </c>
      <c r="AB80" s="315" t="n">
        <v>0.99</v>
      </c>
      <c r="AC80" t="inlineStr">
        <is>
          <t>High</t>
        </is>
      </c>
      <c r="AD80" t="n">
        <v>1</v>
      </c>
      <c r="AE80" t="inlineStr">
        <is>
          <t>DG7000</t>
        </is>
      </c>
      <c r="AF80" t="n">
        <v>4</v>
      </c>
      <c r="AG80" t="inlineStr">
        <is>
          <t>drawing</t>
        </is>
      </c>
      <c r="AH80" t="inlineStr">
        <is>
          <t>stacked:isa</t>
        </is>
      </c>
      <c r="AI80" t="inlineStr">
        <is>
          <t>drawing zone; process page; mapped sheet; excel sheet match</t>
        </is>
      </c>
      <c r="AJ80" t="inlineStr">
        <is>
          <t>native</t>
        </is>
      </c>
      <c r="AK80" t="inlineStr">
        <is>
          <t>native-only</t>
        </is>
      </c>
      <c r="AM80" t="inlineStr">
        <is>
          <t>4</t>
        </is>
      </c>
      <c r="AN80" t="inlineStr">
        <is>
          <t>Yes</t>
        </is>
      </c>
      <c r="AO80" t="inlineStr">
        <is>
          <t>mapped sheet id</t>
        </is>
      </c>
      <c r="AP80" t="inlineStr">
        <is>
          <t>p4:native:232, p4:native:233</t>
        </is>
      </c>
      <c r="AQ80" t="n">
        <v>2</v>
      </c>
    </row>
    <row r="81">
      <c r="A81" s="203">
        <f>ROW()-2</f>
        <v/>
      </c>
      <c r="B81" s="128" t="inlineStr">
        <is>
          <t>RL7-GRR-103-XV-00</t>
        </is>
      </c>
      <c r="C81" s="314" t="inlineStr">
        <is>
          <t>RL7-GRR-103-XV-00</t>
        </is>
      </c>
      <c r="D81" s="262" t="inlineStr">
        <is>
          <t>MB00</t>
        </is>
      </c>
      <c r="E81" s="128" t="inlineStr">
        <is>
          <t>P002-JB04</t>
        </is>
      </c>
      <c r="F81" s="138" t="inlineStr">
        <is>
          <t>FROZEN BLOCK CRUSHER RINSE SYSTEM ZONES 1 AND 2 VALVE ROTATION</t>
        </is>
      </c>
      <c r="G81" s="131" t="inlineStr">
        <is>
          <t>DG7000</t>
        </is>
      </c>
      <c r="H81" s="128" t="inlineStr">
        <is>
          <t>PROC</t>
        </is>
      </c>
      <c r="I81" s="132" t="inlineStr">
        <is>
          <t>RL7-PBK-RIO1</t>
        </is>
      </c>
      <c r="J81" s="133" t="n">
        <v>1</v>
      </c>
      <c r="K81" s="128" t="n">
        <v>8</v>
      </c>
      <c r="L81" s="128" t="n">
        <v>1</v>
      </c>
      <c r="M81" s="132" t="inlineStr">
        <is>
          <t>24 VDC DO</t>
        </is>
      </c>
      <c r="N81" s="128" t="inlineStr">
        <is>
          <t>5069-OB16</t>
        </is>
      </c>
      <c r="O81" s="139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40" t="n"/>
      <c r="AA81" t="inlineStr">
        <is>
          <t>Matched</t>
        </is>
      </c>
      <c r="AB81" s="315" t="n">
        <v>0.99</v>
      </c>
      <c r="AC81" t="inlineStr">
        <is>
          <t>High</t>
        </is>
      </c>
      <c r="AD81" t="n">
        <v>1</v>
      </c>
      <c r="AE81" t="inlineStr">
        <is>
          <t>DG7000</t>
        </is>
      </c>
      <c r="AF81" t="n">
        <v>4</v>
      </c>
      <c r="AG81" t="inlineStr">
        <is>
          <t>drawing</t>
        </is>
      </c>
      <c r="AH81" t="inlineStr">
        <is>
          <t>stacked:isa</t>
        </is>
      </c>
      <c r="AI81" t="inlineStr">
        <is>
          <t>drawing zone; process page; mapped sheet; excel sheet match</t>
        </is>
      </c>
      <c r="AJ81" t="inlineStr">
        <is>
          <t>native</t>
        </is>
      </c>
      <c r="AK81" t="inlineStr">
        <is>
          <t>native-only</t>
        </is>
      </c>
      <c r="AM81" t="inlineStr">
        <is>
          <t>4</t>
        </is>
      </c>
      <c r="AN81" t="inlineStr">
        <is>
          <t>Yes</t>
        </is>
      </c>
      <c r="AO81" t="inlineStr">
        <is>
          <t>mapped sheet id</t>
        </is>
      </c>
      <c r="AP81" t="inlineStr">
        <is>
          <t>p4:native:193, p4:native:194</t>
        </is>
      </c>
      <c r="AQ81" t="n">
        <v>2</v>
      </c>
    </row>
    <row r="82">
      <c r="A82" s="203">
        <f>ROW()-2</f>
        <v/>
      </c>
      <c r="B82" s="128" t="inlineStr">
        <is>
          <t>RL7-GRR-103-XV-01</t>
        </is>
      </c>
      <c r="C82" s="314" t="inlineStr">
        <is>
          <t>RL7-GRR-103-XV-01</t>
        </is>
      </c>
      <c r="D82" s="262" t="inlineStr">
        <is>
          <t>MB01</t>
        </is>
      </c>
      <c r="E82" s="128" t="inlineStr">
        <is>
          <t>P002-JB04</t>
        </is>
      </c>
      <c r="F82" s="138" t="inlineStr">
        <is>
          <t>FROZEN BLOCK CRUSHER RINSE SYSTEM ZONE 1 VALVE</t>
        </is>
      </c>
      <c r="G82" s="131" t="inlineStr">
        <is>
          <t>DG7000</t>
        </is>
      </c>
      <c r="H82" s="128" t="inlineStr">
        <is>
          <t>PROC</t>
        </is>
      </c>
      <c r="I82" s="132" t="inlineStr">
        <is>
          <t>RL7-PBK-RIO1</t>
        </is>
      </c>
      <c r="J82" s="133" t="n">
        <v>1</v>
      </c>
      <c r="K82" s="128" t="n">
        <v>8</v>
      </c>
      <c r="L82" s="128" t="n">
        <v>2</v>
      </c>
      <c r="M82" s="132" t="inlineStr">
        <is>
          <t>24 VDC DO</t>
        </is>
      </c>
      <c r="N82" s="128" t="inlineStr">
        <is>
          <t>5069-OB16</t>
        </is>
      </c>
      <c r="O82" s="139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40" t="n"/>
      <c r="AA82" t="inlineStr">
        <is>
          <t>Matched</t>
        </is>
      </c>
      <c r="AB82" s="315" t="n">
        <v>0.99</v>
      </c>
      <c r="AC82" t="inlineStr">
        <is>
          <t>High</t>
        </is>
      </c>
      <c r="AD82" t="n">
        <v>1</v>
      </c>
      <c r="AE82" t="inlineStr">
        <is>
          <t>DG7000</t>
        </is>
      </c>
      <c r="AF82" t="n">
        <v>4</v>
      </c>
      <c r="AG82" t="inlineStr">
        <is>
          <t>drawing</t>
        </is>
      </c>
      <c r="AH82" t="inlineStr">
        <is>
          <t>stacked:isa</t>
        </is>
      </c>
      <c r="AI82" t="inlineStr">
        <is>
          <t>drawing zone; process page; mapped sheet; excel sheet match</t>
        </is>
      </c>
      <c r="AJ82" t="inlineStr">
        <is>
          <t>native</t>
        </is>
      </c>
      <c r="AK82" t="inlineStr">
        <is>
          <t>native-only</t>
        </is>
      </c>
      <c r="AM82" t="inlineStr">
        <is>
          <t>4</t>
        </is>
      </c>
      <c r="AN82" t="inlineStr">
        <is>
          <t>Yes</t>
        </is>
      </c>
      <c r="AO82" t="inlineStr">
        <is>
          <t>mapped sheet id</t>
        </is>
      </c>
      <c r="AP82" t="inlineStr">
        <is>
          <t>p4:native:49, p4:native:50</t>
        </is>
      </c>
      <c r="AQ82" t="n">
        <v>2</v>
      </c>
    </row>
    <row r="83">
      <c r="A83" s="203">
        <f>ROW()-2</f>
        <v/>
      </c>
      <c r="B83" s="128" t="inlineStr">
        <is>
          <t>RL7-GRR-103-XV-02</t>
        </is>
      </c>
      <c r="C83" s="314" t="inlineStr">
        <is>
          <t>RL7-GRR-103-XV-02</t>
        </is>
      </c>
      <c r="D83" s="262" t="inlineStr">
        <is>
          <t>MB02</t>
        </is>
      </c>
      <c r="E83" s="128" t="inlineStr">
        <is>
          <t>P002-JB04</t>
        </is>
      </c>
      <c r="F83" s="138" t="inlineStr">
        <is>
          <t>FROZEN BLOCK CRUSHER RINSE SYSTEM ZONE 2 VALVE</t>
        </is>
      </c>
      <c r="G83" s="131" t="inlineStr">
        <is>
          <t>DG7000</t>
        </is>
      </c>
      <c r="H83" s="128" t="inlineStr">
        <is>
          <t>PROC</t>
        </is>
      </c>
      <c r="I83" s="132" t="inlineStr">
        <is>
          <t>RL7-PBK-RIO1</t>
        </is>
      </c>
      <c r="J83" s="133" t="n">
        <v>1</v>
      </c>
      <c r="K83" s="128" t="n">
        <v>8</v>
      </c>
      <c r="L83" s="128" t="n">
        <v>3</v>
      </c>
      <c r="M83" s="132" t="inlineStr">
        <is>
          <t>24 VDC DO</t>
        </is>
      </c>
      <c r="N83" s="128" t="inlineStr">
        <is>
          <t>5069-OB16</t>
        </is>
      </c>
      <c r="O83" s="139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40" t="n"/>
      <c r="AA83" t="inlineStr">
        <is>
          <t>Matched</t>
        </is>
      </c>
      <c r="AB83" s="315" t="n">
        <v>0.99</v>
      </c>
      <c r="AC83" t="inlineStr">
        <is>
          <t>High</t>
        </is>
      </c>
      <c r="AD83" t="n">
        <v>1</v>
      </c>
      <c r="AE83" t="inlineStr">
        <is>
          <t>DG7000</t>
        </is>
      </c>
      <c r="AF83" t="n">
        <v>4</v>
      </c>
      <c r="AG83" t="inlineStr">
        <is>
          <t>drawing</t>
        </is>
      </c>
      <c r="AH83" t="inlineStr">
        <is>
          <t>stacked:isa</t>
        </is>
      </c>
      <c r="AI83" t="inlineStr">
        <is>
          <t>drawing zone; process page; mapped sheet; excel sheet match</t>
        </is>
      </c>
      <c r="AJ83" t="inlineStr">
        <is>
          <t>native</t>
        </is>
      </c>
      <c r="AK83" t="inlineStr">
        <is>
          <t>native-only</t>
        </is>
      </c>
      <c r="AM83" t="inlineStr">
        <is>
          <t>4</t>
        </is>
      </c>
      <c r="AN83" t="inlineStr">
        <is>
          <t>Yes</t>
        </is>
      </c>
      <c r="AO83" t="inlineStr">
        <is>
          <t>mapped sheet id</t>
        </is>
      </c>
      <c r="AP83" t="inlineStr">
        <is>
          <t>p4:native:47, p4:native:48</t>
        </is>
      </c>
      <c r="AQ83" t="n">
        <v>2</v>
      </c>
    </row>
    <row r="84">
      <c r="A84" s="203">
        <f>ROW()-2</f>
        <v/>
      </c>
      <c r="B84" s="128" t="inlineStr">
        <is>
          <t>RL7-GRR-103-XV-03</t>
        </is>
      </c>
      <c r="C84" s="314" t="inlineStr">
        <is>
          <t>RL7-GRR-103-XV-03</t>
        </is>
      </c>
      <c r="D84" s="262" t="inlineStr">
        <is>
          <t>MB03</t>
        </is>
      </c>
      <c r="E84" s="128" t="inlineStr">
        <is>
          <t>P002-JB04</t>
        </is>
      </c>
      <c r="F84" s="138" t="inlineStr">
        <is>
          <t>FROZEN BLOCK CRUSHER RINSE SYSTEM ZONE 3 VALVE</t>
        </is>
      </c>
      <c r="G84" s="131" t="inlineStr">
        <is>
          <t>DG7000</t>
        </is>
      </c>
      <c r="H84" s="128" t="inlineStr">
        <is>
          <t>PROC</t>
        </is>
      </c>
      <c r="I84" s="132" t="inlineStr">
        <is>
          <t>RL7-PBK-RIO1</t>
        </is>
      </c>
      <c r="J84" s="133" t="n">
        <v>1</v>
      </c>
      <c r="K84" s="128" t="n">
        <v>8</v>
      </c>
      <c r="L84" s="128" t="n">
        <v>4</v>
      </c>
      <c r="M84" s="132" t="inlineStr">
        <is>
          <t>24 VDC DO</t>
        </is>
      </c>
      <c r="N84" s="128" t="inlineStr">
        <is>
          <t>5069-OB16</t>
        </is>
      </c>
      <c r="O84" s="139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40" t="n"/>
      <c r="AA84" t="inlineStr">
        <is>
          <t>Matched</t>
        </is>
      </c>
      <c r="AB84" s="315" t="n">
        <v>0.99</v>
      </c>
      <c r="AC84" t="inlineStr">
        <is>
          <t>High</t>
        </is>
      </c>
      <c r="AD84" t="n">
        <v>1</v>
      </c>
      <c r="AE84" t="inlineStr">
        <is>
          <t>DG7000</t>
        </is>
      </c>
      <c r="AF84" t="n">
        <v>4</v>
      </c>
      <c r="AG84" t="inlineStr">
        <is>
          <t>drawing</t>
        </is>
      </c>
      <c r="AH84" t="inlineStr">
        <is>
          <t>stacked:isa</t>
        </is>
      </c>
      <c r="AI84" t="inlineStr">
        <is>
          <t>drawing zone; process page; mapped sheet; excel sheet match</t>
        </is>
      </c>
      <c r="AJ84" t="inlineStr">
        <is>
          <t>native</t>
        </is>
      </c>
      <c r="AK84" t="inlineStr">
        <is>
          <t>native-only</t>
        </is>
      </c>
      <c r="AM84" t="inlineStr">
        <is>
          <t>4</t>
        </is>
      </c>
      <c r="AN84" t="inlineStr">
        <is>
          <t>Yes</t>
        </is>
      </c>
      <c r="AO84" t="inlineStr">
        <is>
          <t>mapped sheet id</t>
        </is>
      </c>
      <c r="AP84" t="inlineStr">
        <is>
          <t>p4:native:45, p4:native:46</t>
        </is>
      </c>
      <c r="AQ84" t="n">
        <v>2</v>
      </c>
    </row>
    <row r="85">
      <c r="A85" s="203">
        <f>ROW()-2</f>
        <v/>
      </c>
      <c r="B85" s="128" t="inlineStr">
        <is>
          <t>RL7-GRR-103-XV-04</t>
        </is>
      </c>
      <c r="C85" s="314" t="inlineStr">
        <is>
          <t>RL7-GRR-103-XV-04</t>
        </is>
      </c>
      <c r="D85" s="262" t="inlineStr">
        <is>
          <t>MB04</t>
        </is>
      </c>
      <c r="E85" s="128" t="inlineStr">
        <is>
          <t>P002-JB04</t>
        </is>
      </c>
      <c r="F85" s="138" t="inlineStr">
        <is>
          <t>FROZEN BLOCK CRUSHER RINSE SYSTEM ZONE 4 VALVE</t>
        </is>
      </c>
      <c r="G85" s="131" t="inlineStr">
        <is>
          <t>DG7000</t>
        </is>
      </c>
      <c r="H85" s="128" t="inlineStr">
        <is>
          <t>PROC</t>
        </is>
      </c>
      <c r="I85" s="132" t="inlineStr">
        <is>
          <t>RL7-PBK-RIO1</t>
        </is>
      </c>
      <c r="J85" s="133" t="n">
        <v>1</v>
      </c>
      <c r="K85" s="128" t="n">
        <v>8</v>
      </c>
      <c r="L85" s="128" t="n">
        <v>5</v>
      </c>
      <c r="M85" s="132" t="inlineStr">
        <is>
          <t>24 VDC DO</t>
        </is>
      </c>
      <c r="N85" s="128" t="inlineStr">
        <is>
          <t>5069-OB16</t>
        </is>
      </c>
      <c r="O85" s="139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40" t="n"/>
      <c r="AA85" t="inlineStr">
        <is>
          <t>Matched</t>
        </is>
      </c>
      <c r="AB85" s="315" t="n">
        <v>0.99</v>
      </c>
      <c r="AC85" t="inlineStr">
        <is>
          <t>High</t>
        </is>
      </c>
      <c r="AD85" t="n">
        <v>1</v>
      </c>
      <c r="AE85" t="inlineStr">
        <is>
          <t>DG7000</t>
        </is>
      </c>
      <c r="AF85" t="n">
        <v>4</v>
      </c>
      <c r="AG85" t="inlineStr">
        <is>
          <t>drawing</t>
        </is>
      </c>
      <c r="AH85" t="inlineStr">
        <is>
          <t>stacked:isa</t>
        </is>
      </c>
      <c r="AI85" t="inlineStr">
        <is>
          <t>drawing zone; process page; mapped sheet; excel sheet match</t>
        </is>
      </c>
      <c r="AJ85" t="inlineStr">
        <is>
          <t>native</t>
        </is>
      </c>
      <c r="AK85" t="inlineStr">
        <is>
          <t>native-only</t>
        </is>
      </c>
      <c r="AM85" t="inlineStr">
        <is>
          <t>4</t>
        </is>
      </c>
      <c r="AN85" t="inlineStr">
        <is>
          <t>Yes</t>
        </is>
      </c>
      <c r="AO85" t="inlineStr">
        <is>
          <t>mapped sheet id</t>
        </is>
      </c>
      <c r="AP85" t="inlineStr">
        <is>
          <t>p4:native:43, p4:native:44</t>
        </is>
      </c>
      <c r="AQ85" t="n">
        <v>2</v>
      </c>
    </row>
    <row r="86">
      <c r="A86" s="203">
        <f>ROW()-2</f>
        <v/>
      </c>
      <c r="B86" s="128" t="inlineStr">
        <is>
          <t>RL7-GRR-103-XV-05</t>
        </is>
      </c>
      <c r="C86" s="314" t="inlineStr">
        <is>
          <t>RL7-GRR-103-XV-05</t>
        </is>
      </c>
      <c r="D86" s="262" t="inlineStr">
        <is>
          <t>MB05</t>
        </is>
      </c>
      <c r="E86" s="128" t="inlineStr">
        <is>
          <t>P002-JB04</t>
        </is>
      </c>
      <c r="F86" s="138" t="inlineStr">
        <is>
          <t>FROZEN BLOCK CRUSHER RINSE SYSTEM ZONE 5 VALVE</t>
        </is>
      </c>
      <c r="G86" s="131" t="inlineStr">
        <is>
          <t>DG7000</t>
        </is>
      </c>
      <c r="H86" s="128" t="inlineStr">
        <is>
          <t>PROC</t>
        </is>
      </c>
      <c r="I86" s="132" t="inlineStr">
        <is>
          <t>RL7-PBK-RIO1</t>
        </is>
      </c>
      <c r="J86" s="133" t="n">
        <v>1</v>
      </c>
      <c r="K86" s="128" t="n">
        <v>8</v>
      </c>
      <c r="L86" s="128" t="n">
        <v>6</v>
      </c>
      <c r="M86" s="132" t="inlineStr">
        <is>
          <t>24 VDC DO</t>
        </is>
      </c>
      <c r="N86" s="128" t="inlineStr">
        <is>
          <t>5069-OB16</t>
        </is>
      </c>
      <c r="O86" s="139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40" t="n"/>
      <c r="AA86" t="inlineStr">
        <is>
          <t>Matched</t>
        </is>
      </c>
      <c r="AB86" s="315" t="n">
        <v>0.99</v>
      </c>
      <c r="AC86" t="inlineStr">
        <is>
          <t>High</t>
        </is>
      </c>
      <c r="AD86" t="n">
        <v>1</v>
      </c>
      <c r="AE86" t="inlineStr">
        <is>
          <t>DG7000</t>
        </is>
      </c>
      <c r="AF86" t="n">
        <v>4</v>
      </c>
      <c r="AG86" t="inlineStr">
        <is>
          <t>drawing</t>
        </is>
      </c>
      <c r="AH86" t="inlineStr">
        <is>
          <t>stacked:isa</t>
        </is>
      </c>
      <c r="AI86" t="inlineStr">
        <is>
          <t>drawing zone; process page; mapped sheet; excel sheet match</t>
        </is>
      </c>
      <c r="AJ86" t="inlineStr">
        <is>
          <t>native</t>
        </is>
      </c>
      <c r="AK86" t="inlineStr">
        <is>
          <t>native-only</t>
        </is>
      </c>
      <c r="AM86" t="inlineStr">
        <is>
          <t>4</t>
        </is>
      </c>
      <c r="AN86" t="inlineStr">
        <is>
          <t>Yes</t>
        </is>
      </c>
      <c r="AO86" t="inlineStr">
        <is>
          <t>mapped sheet id</t>
        </is>
      </c>
      <c r="AP86" t="inlineStr">
        <is>
          <t>p4:native:41, p4:native:42</t>
        </is>
      </c>
      <c r="AQ86" t="n">
        <v>2</v>
      </c>
    </row>
    <row r="87">
      <c r="A87" s="203">
        <f>ROW()-2</f>
        <v/>
      </c>
      <c r="B87" s="128" t="inlineStr">
        <is>
          <t>RL7-GRR-103-XV-06</t>
        </is>
      </c>
      <c r="C87" s="314" t="inlineStr">
        <is>
          <t>RL7-GRR-103-XV-06</t>
        </is>
      </c>
      <c r="D87" s="262" t="inlineStr">
        <is>
          <t>MB06</t>
        </is>
      </c>
      <c r="E87" s="128" t="inlineStr">
        <is>
          <t>P002-JB04</t>
        </is>
      </c>
      <c r="F87" s="138" t="inlineStr">
        <is>
          <t>FROZEN BLOCK CRUSHER RINSE SYSTEM ZONE 6 VALVE</t>
        </is>
      </c>
      <c r="G87" s="131" t="inlineStr">
        <is>
          <t>DG7000</t>
        </is>
      </c>
      <c r="H87" s="128" t="inlineStr">
        <is>
          <t>PROC</t>
        </is>
      </c>
      <c r="I87" s="132" t="inlineStr">
        <is>
          <t>RL7-PBK-RIO1</t>
        </is>
      </c>
      <c r="J87" s="133" t="n">
        <v>1</v>
      </c>
      <c r="K87" s="128" t="n">
        <v>8</v>
      </c>
      <c r="L87" s="128" t="n">
        <v>7</v>
      </c>
      <c r="M87" s="132" t="inlineStr">
        <is>
          <t>24 VDC DO</t>
        </is>
      </c>
      <c r="N87" s="128" t="inlineStr">
        <is>
          <t>5069-OB16</t>
        </is>
      </c>
      <c r="O87" s="139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40" t="n"/>
      <c r="AA87" t="inlineStr">
        <is>
          <t>Matched</t>
        </is>
      </c>
      <c r="AB87" s="315" t="n">
        <v>0.99</v>
      </c>
      <c r="AC87" t="inlineStr">
        <is>
          <t>High</t>
        </is>
      </c>
      <c r="AD87" t="n">
        <v>1</v>
      </c>
      <c r="AE87" t="inlineStr">
        <is>
          <t>DG7000</t>
        </is>
      </c>
      <c r="AF87" t="n">
        <v>4</v>
      </c>
      <c r="AG87" t="inlineStr">
        <is>
          <t>drawing</t>
        </is>
      </c>
      <c r="AH87" t="inlineStr">
        <is>
          <t>stacked:isa</t>
        </is>
      </c>
      <c r="AI87" t="inlineStr">
        <is>
          <t>drawing zone; process page; mapped sheet; excel sheet match</t>
        </is>
      </c>
      <c r="AJ87" t="inlineStr">
        <is>
          <t>native</t>
        </is>
      </c>
      <c r="AK87" t="inlineStr">
        <is>
          <t>native-only</t>
        </is>
      </c>
      <c r="AM87" t="inlineStr">
        <is>
          <t>4</t>
        </is>
      </c>
      <c r="AN87" t="inlineStr">
        <is>
          <t>Yes</t>
        </is>
      </c>
      <c r="AO87" t="inlineStr">
        <is>
          <t>mapped sheet id</t>
        </is>
      </c>
      <c r="AP87" t="inlineStr">
        <is>
          <t>p4:native:39, p4:native:40</t>
        </is>
      </c>
      <c r="AQ87" t="n">
        <v>2</v>
      </c>
    </row>
    <row r="88">
      <c r="A88" s="203">
        <f>ROW()-2</f>
        <v/>
      </c>
      <c r="B88" s="128" t="inlineStr">
        <is>
          <t>RL7-GRR-103-PBL-01</t>
        </is>
      </c>
      <c r="C88" s="313" t="inlineStr">
        <is>
          <t>RL7-GRR-103-PBL-01</t>
        </is>
      </c>
      <c r="D88" s="262" t="n"/>
      <c r="E88" s="128" t="inlineStr">
        <is>
          <t>P002-JB01</t>
        </is>
      </c>
      <c r="F88" s="138" t="inlineStr">
        <is>
          <t>FROZEN BLOCK CRUSHER E-STOP PUSHBUTTON PILOT LIGHT</t>
        </is>
      </c>
      <c r="G88" s="131" t="inlineStr">
        <is>
          <t>DG7000</t>
        </is>
      </c>
      <c r="H88" s="128" t="inlineStr">
        <is>
          <t>PROC</t>
        </is>
      </c>
      <c r="I88" s="132" t="inlineStr">
        <is>
          <t>RL7-PBK-RIO1</t>
        </is>
      </c>
      <c r="J88" s="133" t="n">
        <v>1</v>
      </c>
      <c r="K88" s="128" t="n">
        <v>8</v>
      </c>
      <c r="L88" s="128" t="n">
        <v>11</v>
      </c>
      <c r="M88" s="132" t="inlineStr">
        <is>
          <t>24 VDC DO</t>
        </is>
      </c>
      <c r="N88" s="128" t="inlineStr">
        <is>
          <t>5069-OB16</t>
        </is>
      </c>
      <c r="O88" s="139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40" t="n"/>
      <c r="AA88" t="inlineStr">
        <is>
          <t>Not found in PDF</t>
        </is>
      </c>
      <c r="AC88" t="inlineStr">
        <is>
          <t>Low</t>
        </is>
      </c>
      <c r="AM88" t="inlineStr">
        <is>
          <t>4</t>
        </is>
      </c>
      <c r="AN88" t="inlineStr">
        <is>
          <t>Yes</t>
        </is>
      </c>
      <c r="AO88" t="inlineStr">
        <is>
          <t>mapped sheet id</t>
        </is>
      </c>
    </row>
    <row r="89">
      <c r="A89" s="203">
        <f>ROW()-2</f>
        <v/>
      </c>
      <c r="B89" s="128" t="inlineStr">
        <is>
          <t>RL7-CNV-109-PBL-01</t>
        </is>
      </c>
      <c r="C89" s="313" t="inlineStr">
        <is>
          <t>RL7-CNV-109-PBL-01</t>
        </is>
      </c>
      <c r="D89" s="262" t="n"/>
      <c r="E89" s="128" t="inlineStr">
        <is>
          <t>P003-JB01</t>
        </is>
      </c>
      <c r="F89" s="138" t="inlineStr">
        <is>
          <t>FROZEN BLOCK CRUSHER INCLINE AUGER E-STOP PILOT LIGHT</t>
        </is>
      </c>
      <c r="G89" s="131" t="inlineStr">
        <is>
          <t>DG7000</t>
        </is>
      </c>
      <c r="H89" s="128" t="inlineStr">
        <is>
          <t>PROC</t>
        </is>
      </c>
      <c r="I89" s="132" t="inlineStr">
        <is>
          <t>RL7-PBK-RIO1</t>
        </is>
      </c>
      <c r="J89" s="133" t="n">
        <v>1</v>
      </c>
      <c r="K89" s="128" t="n">
        <v>8</v>
      </c>
      <c r="L89" s="128" t="n">
        <v>15</v>
      </c>
      <c r="M89" s="132" t="inlineStr">
        <is>
          <t>24 VDC DO</t>
        </is>
      </c>
      <c r="N89" s="128" t="inlineStr">
        <is>
          <t>5069-OB16</t>
        </is>
      </c>
      <c r="O89" s="139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40" t="n"/>
      <c r="AA89" t="inlineStr">
        <is>
          <t>Not found in PDF</t>
        </is>
      </c>
      <c r="AC89" t="inlineStr">
        <is>
          <t>Low</t>
        </is>
      </c>
      <c r="AM89" t="inlineStr">
        <is>
          <t>4</t>
        </is>
      </c>
      <c r="AN89" t="inlineStr">
        <is>
          <t>Yes</t>
        </is>
      </c>
      <c r="AO89" t="inlineStr">
        <is>
          <t>mapped sheet id</t>
        </is>
      </c>
    </row>
    <row r="90">
      <c r="A90" s="203">
        <f>ROW()-2</f>
        <v/>
      </c>
      <c r="B90" s="128" t="inlineStr">
        <is>
          <t>RL7-CNV-109-XV-01</t>
        </is>
      </c>
      <c r="C90" s="314" t="inlineStr">
        <is>
          <t>RL7-CNV-109-XV-01</t>
        </is>
      </c>
      <c r="D90" s="262" t="inlineStr">
        <is>
          <t>MB07</t>
        </is>
      </c>
      <c r="E90" s="128" t="inlineStr">
        <is>
          <t>P002-JB04</t>
        </is>
      </c>
      <c r="F90" s="138" t="inlineStr">
        <is>
          <t>FROZEN BLOCK CRUSHER INCLINE AUGER DRAIN VALVE</t>
        </is>
      </c>
      <c r="G90" s="131" t="inlineStr">
        <is>
          <t>DG7000</t>
        </is>
      </c>
      <c r="H90" s="128" t="inlineStr">
        <is>
          <t>PROC</t>
        </is>
      </c>
      <c r="I90" s="132" t="inlineStr">
        <is>
          <t>RL7-PBK-RIO1</t>
        </is>
      </c>
      <c r="J90" s="133" t="n">
        <v>1</v>
      </c>
      <c r="K90" s="128" t="n">
        <v>9</v>
      </c>
      <c r="L90" s="128" t="n">
        <v>1</v>
      </c>
      <c r="M90" s="132" t="inlineStr">
        <is>
          <t>24 VDC DO</t>
        </is>
      </c>
      <c r="N90" s="128" t="inlineStr">
        <is>
          <t>5069-OB16</t>
        </is>
      </c>
      <c r="O90" s="139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40" t="n"/>
      <c r="AA90" t="inlineStr">
        <is>
          <t>Matched - multiple PDF occurrences</t>
        </is>
      </c>
      <c r="AB90" s="315" t="n">
        <v>0.95</v>
      </c>
      <c r="AC90" t="inlineStr">
        <is>
          <t>High</t>
        </is>
      </c>
      <c r="AD90" t="n">
        <v>2</v>
      </c>
      <c r="AE90" t="inlineStr">
        <is>
          <t>DG7000</t>
        </is>
      </c>
      <c r="AF90" t="n">
        <v>4</v>
      </c>
      <c r="AG90" t="inlineStr">
        <is>
          <t>drawing</t>
        </is>
      </c>
      <c r="AH90" t="inlineStr">
        <is>
          <t>stacked:isa</t>
        </is>
      </c>
      <c r="AI90" t="inlineStr">
        <is>
          <t>drawing zone; process page; mapped sheet; repeated x2; excel sheet match; ambiguous x2</t>
        </is>
      </c>
      <c r="AJ90" t="inlineStr">
        <is>
          <t>native</t>
        </is>
      </c>
      <c r="AK90" t="inlineStr">
        <is>
          <t>native-only</t>
        </is>
      </c>
      <c r="AM90" t="inlineStr">
        <is>
          <t>4</t>
        </is>
      </c>
      <c r="AN90" t="inlineStr">
        <is>
          <t>Yes</t>
        </is>
      </c>
      <c r="AO90" t="inlineStr">
        <is>
          <t>mapped sheet id</t>
        </is>
      </c>
      <c r="AP90" t="inlineStr">
        <is>
          <t>p4:native:110, p4:native:111</t>
        </is>
      </c>
      <c r="AQ90" t="n">
        <v>2</v>
      </c>
    </row>
    <row r="91">
      <c r="A91" s="203">
        <f>ROW()-1</f>
        <v/>
      </c>
      <c r="B91" s="128" t="inlineStr">
        <is>
          <t>RL7-GRR-101-ZSS-04</t>
        </is>
      </c>
      <c r="C91" s="313" t="inlineStr">
        <is>
          <t>RL7-GRR-101-ZSS-04</t>
        </is>
      </c>
      <c r="D91" s="262" t="inlineStr">
        <is>
          <t>PRS2206021</t>
        </is>
      </c>
      <c r="E91" s="128" t="inlineStr">
        <is>
          <t>JIC22B</t>
        </is>
      </c>
      <c r="F91" s="138" t="inlineStr">
        <is>
          <t xml:space="preserve">GRINDER ACCESS DOOR SAFETY INPUT CH1 </t>
        </is>
      </c>
      <c r="G91" s="131" t="inlineStr">
        <is>
          <t>DG7000</t>
        </is>
      </c>
      <c r="H91" s="128" t="inlineStr">
        <is>
          <t>PROC</t>
        </is>
      </c>
      <c r="I91" s="142" t="inlineStr">
        <is>
          <t>RL7-IPA2-RIO1</t>
        </is>
      </c>
      <c r="J91" s="133" t="n">
        <v>7</v>
      </c>
      <c r="K91" s="129" t="n">
        <v>1</v>
      </c>
      <c r="L91" s="129" t="n">
        <v>0</v>
      </c>
      <c r="M91" s="129" t="inlineStr">
        <is>
          <t>24 VDC SI</t>
        </is>
      </c>
      <c r="N91" s="129" t="inlineStr">
        <is>
          <t>5069-IB8S</t>
        </is>
      </c>
      <c r="O91" s="139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40" t="n"/>
      <c r="AA91" t="inlineStr">
        <is>
          <t>Not found in PDF</t>
        </is>
      </c>
      <c r="AC91" t="inlineStr">
        <is>
          <t>Low</t>
        </is>
      </c>
      <c r="AM91" t="inlineStr">
        <is>
          <t>4</t>
        </is>
      </c>
      <c r="AN91" t="inlineStr">
        <is>
          <t>Yes</t>
        </is>
      </c>
      <c r="AO91" t="inlineStr">
        <is>
          <t>mapped sheet id</t>
        </is>
      </c>
    </row>
    <row r="92">
      <c r="A92" s="203">
        <f>ROW()-1</f>
        <v/>
      </c>
      <c r="B92" s="128" t="inlineStr">
        <is>
          <t>RL7-GRR-101-ZSS-04</t>
        </is>
      </c>
      <c r="C92" s="313" t="inlineStr">
        <is>
          <t>RL7-GRR-101-ZSS-04</t>
        </is>
      </c>
      <c r="D92" s="262" t="inlineStr">
        <is>
          <t>PRS2206021</t>
        </is>
      </c>
      <c r="E92" s="128" t="inlineStr">
        <is>
          <t>JIC22B</t>
        </is>
      </c>
      <c r="F92" s="138" t="inlineStr">
        <is>
          <t xml:space="preserve">GRINDER ACCESS DOOR SAFETY INPUT CH2 </t>
        </is>
      </c>
      <c r="G92" s="131" t="inlineStr">
        <is>
          <t>DG7000</t>
        </is>
      </c>
      <c r="H92" s="128" t="inlineStr">
        <is>
          <t>PROC</t>
        </is>
      </c>
      <c r="I92" s="142" t="inlineStr">
        <is>
          <t>RL7-IPA2-RIO1</t>
        </is>
      </c>
      <c r="J92" s="133" t="n">
        <v>7</v>
      </c>
      <c r="K92" s="129" t="n">
        <v>1</v>
      </c>
      <c r="L92" s="129" t="n">
        <v>1</v>
      </c>
      <c r="M92" s="129" t="inlineStr">
        <is>
          <t>24 VDC SI</t>
        </is>
      </c>
      <c r="N92" s="129" t="inlineStr">
        <is>
          <t>5069-IB8S</t>
        </is>
      </c>
      <c r="O92" s="139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40" t="n"/>
      <c r="AA92" t="inlineStr">
        <is>
          <t>Not found in PDF</t>
        </is>
      </c>
      <c r="AC92" t="inlineStr">
        <is>
          <t>Low</t>
        </is>
      </c>
      <c r="AM92" t="inlineStr">
        <is>
          <t>4</t>
        </is>
      </c>
      <c r="AN92" t="inlineStr">
        <is>
          <t>Yes</t>
        </is>
      </c>
      <c r="AO92" t="inlineStr">
        <is>
          <t>mapped sheet id</t>
        </is>
      </c>
    </row>
    <row r="93">
      <c r="A93" s="203">
        <f>ROW()-1</f>
        <v/>
      </c>
      <c r="B93" s="128" t="inlineStr">
        <is>
          <t>RL7-GRR-101-ZSS-01</t>
        </is>
      </c>
      <c r="C93" s="313" t="inlineStr">
        <is>
          <t>RL7-GRR-101-ZSS-01</t>
        </is>
      </c>
      <c r="D93" s="262" t="inlineStr">
        <is>
          <t>PRS2206061</t>
        </is>
      </c>
      <c r="E93" s="128" t="inlineStr">
        <is>
          <t>JIC22B</t>
        </is>
      </c>
      <c r="F93" s="138" t="inlineStr">
        <is>
          <t xml:space="preserve">GRINDER HOPPER SAFETY INPUT CH1  </t>
        </is>
      </c>
      <c r="G93" s="131" t="inlineStr">
        <is>
          <t>DG7000</t>
        </is>
      </c>
      <c r="H93" s="128" t="inlineStr">
        <is>
          <t>PROC</t>
        </is>
      </c>
      <c r="I93" s="142" t="inlineStr">
        <is>
          <t>RL7-IPA2-RIO1</t>
        </is>
      </c>
      <c r="J93" s="133" t="n">
        <v>7</v>
      </c>
      <c r="K93" s="129" t="n">
        <v>1</v>
      </c>
      <c r="L93" s="129" t="n">
        <v>2</v>
      </c>
      <c r="M93" s="129" t="inlineStr">
        <is>
          <t>24 VDC SI</t>
        </is>
      </c>
      <c r="N93" s="129" t="inlineStr">
        <is>
          <t>5069-IB8S</t>
        </is>
      </c>
      <c r="O93" s="139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40" t="n"/>
      <c r="AA93" t="inlineStr">
        <is>
          <t>Not found in PDF</t>
        </is>
      </c>
      <c r="AC93" t="inlineStr">
        <is>
          <t>Low</t>
        </is>
      </c>
      <c r="AM93" t="inlineStr">
        <is>
          <t>4</t>
        </is>
      </c>
      <c r="AN93" t="inlineStr">
        <is>
          <t>Yes</t>
        </is>
      </c>
      <c r="AO93" t="inlineStr">
        <is>
          <t>mapped sheet id</t>
        </is>
      </c>
    </row>
    <row r="94">
      <c r="A94" s="203">
        <f>ROW()-1</f>
        <v/>
      </c>
      <c r="B94" s="128" t="inlineStr">
        <is>
          <t>RL7-GRR-101-ZSS-01</t>
        </is>
      </c>
      <c r="C94" s="313" t="inlineStr">
        <is>
          <t>RL7-GRR-101-ZSS-01</t>
        </is>
      </c>
      <c r="D94" s="262" t="inlineStr">
        <is>
          <t>PRS2206061</t>
        </is>
      </c>
      <c r="E94" s="128" t="inlineStr">
        <is>
          <t>JIC22B</t>
        </is>
      </c>
      <c r="F94" s="138" t="inlineStr">
        <is>
          <t xml:space="preserve">GRINDER HOPPER SAFETY INPUT CH2  </t>
        </is>
      </c>
      <c r="G94" s="131" t="inlineStr">
        <is>
          <t>DG7000</t>
        </is>
      </c>
      <c r="H94" s="128" t="inlineStr">
        <is>
          <t>PROC</t>
        </is>
      </c>
      <c r="I94" s="142" t="inlineStr">
        <is>
          <t>RL7-IPA2-RIO1</t>
        </is>
      </c>
      <c r="J94" s="133" t="n">
        <v>7</v>
      </c>
      <c r="K94" s="129" t="n">
        <v>1</v>
      </c>
      <c r="L94" s="129" t="n">
        <v>3</v>
      </c>
      <c r="M94" s="129" t="inlineStr">
        <is>
          <t>24 VDC SI</t>
        </is>
      </c>
      <c r="N94" s="129" t="inlineStr">
        <is>
          <t>5069-IB8S</t>
        </is>
      </c>
      <c r="O94" s="139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40" t="n"/>
      <c r="AA94" t="inlineStr">
        <is>
          <t>Not found in PDF</t>
        </is>
      </c>
      <c r="AC94" t="inlineStr">
        <is>
          <t>Low</t>
        </is>
      </c>
      <c r="AM94" t="inlineStr">
        <is>
          <t>4</t>
        </is>
      </c>
      <c r="AN94" t="inlineStr">
        <is>
          <t>Yes</t>
        </is>
      </c>
      <c r="AO94" t="inlineStr">
        <is>
          <t>mapped sheet id</t>
        </is>
      </c>
    </row>
    <row r="95">
      <c r="A95" s="203">
        <f>ROW()-1</f>
        <v/>
      </c>
      <c r="B95" s="128" t="inlineStr">
        <is>
          <t>RL7-GRR-101-ZSS-02</t>
        </is>
      </c>
      <c r="C95" s="313" t="inlineStr">
        <is>
          <t>RL7-GRR-101-ZSS-02</t>
        </is>
      </c>
      <c r="D95" s="262" t="inlineStr">
        <is>
          <t>PRS2206101</t>
        </is>
      </c>
      <c r="E95" s="128" t="inlineStr">
        <is>
          <t>JIC22B</t>
        </is>
      </c>
      <c r="F95" s="138" t="inlineStr">
        <is>
          <t>GRINDER PLATE GUARD SAFETY INPUT CH1</t>
        </is>
      </c>
      <c r="G95" s="131" t="inlineStr">
        <is>
          <t>DG7000</t>
        </is>
      </c>
      <c r="H95" s="128" t="inlineStr">
        <is>
          <t>PROC</t>
        </is>
      </c>
      <c r="I95" s="142" t="inlineStr">
        <is>
          <t>RL7-IPA2-RIO1</t>
        </is>
      </c>
      <c r="J95" s="133" t="n">
        <v>7</v>
      </c>
      <c r="K95" s="129" t="n">
        <v>1</v>
      </c>
      <c r="L95" s="129" t="n">
        <v>4</v>
      </c>
      <c r="M95" s="129" t="inlineStr">
        <is>
          <t>24 VDC SI</t>
        </is>
      </c>
      <c r="N95" s="129" t="inlineStr">
        <is>
          <t>5069-IB8S</t>
        </is>
      </c>
      <c r="O95" s="139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40" t="n"/>
      <c r="AA95" t="inlineStr">
        <is>
          <t>Not found in PDF</t>
        </is>
      </c>
      <c r="AC95" t="inlineStr">
        <is>
          <t>Low</t>
        </is>
      </c>
      <c r="AM95" t="inlineStr">
        <is>
          <t>4</t>
        </is>
      </c>
      <c r="AN95" t="inlineStr">
        <is>
          <t>Yes</t>
        </is>
      </c>
      <c r="AO95" t="inlineStr">
        <is>
          <t>mapped sheet id</t>
        </is>
      </c>
    </row>
    <row r="96">
      <c r="A96" s="203">
        <f>ROW()-1</f>
        <v/>
      </c>
      <c r="B96" s="128" t="inlineStr">
        <is>
          <t>RL7-GRR-101-ZSS-02</t>
        </is>
      </c>
      <c r="C96" s="313" t="inlineStr">
        <is>
          <t>RL7-GRR-101-ZSS-02</t>
        </is>
      </c>
      <c r="D96" s="262" t="inlineStr">
        <is>
          <t>PRS2206101</t>
        </is>
      </c>
      <c r="E96" s="128" t="inlineStr">
        <is>
          <t>JIC22B</t>
        </is>
      </c>
      <c r="F96" s="138" t="inlineStr">
        <is>
          <t>GRINDER PLATE GUARD SAFETY INPUT CH2</t>
        </is>
      </c>
      <c r="G96" s="131" t="inlineStr">
        <is>
          <t>DG7000</t>
        </is>
      </c>
      <c r="H96" s="128" t="inlineStr">
        <is>
          <t>PROC</t>
        </is>
      </c>
      <c r="I96" s="142" t="inlineStr">
        <is>
          <t>RL7-IPA2-RIO1</t>
        </is>
      </c>
      <c r="J96" s="133" t="n">
        <v>7</v>
      </c>
      <c r="K96" s="129" t="n">
        <v>1</v>
      </c>
      <c r="L96" s="129" t="n">
        <v>5</v>
      </c>
      <c r="M96" s="129" t="inlineStr">
        <is>
          <t>24 VDC SI</t>
        </is>
      </c>
      <c r="N96" s="129" t="inlineStr">
        <is>
          <t>5069-IB8S</t>
        </is>
      </c>
      <c r="O96" s="139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40" t="n"/>
      <c r="AA96" t="inlineStr">
        <is>
          <t>Not found in PDF</t>
        </is>
      </c>
      <c r="AC96" t="inlineStr">
        <is>
          <t>Low</t>
        </is>
      </c>
      <c r="AM96" t="inlineStr">
        <is>
          <t>4</t>
        </is>
      </c>
      <c r="AN96" t="inlineStr">
        <is>
          <t>Yes</t>
        </is>
      </c>
      <c r="AO96" t="inlineStr">
        <is>
          <t>mapped sheet id</t>
        </is>
      </c>
    </row>
    <row r="97">
      <c r="A97" s="203">
        <f>ROW()-1</f>
        <v/>
      </c>
      <c r="B97" s="128" t="inlineStr">
        <is>
          <t>RL7-GRR-101-ZSS-03</t>
        </is>
      </c>
      <c r="C97" s="313" t="inlineStr">
        <is>
          <t>RL7-GRR-101-ZSS-03</t>
        </is>
      </c>
      <c r="D97" s="262" t="inlineStr">
        <is>
          <t>PRS2206161</t>
        </is>
      </c>
      <c r="E97" s="128" t="inlineStr">
        <is>
          <t>JIC22B</t>
        </is>
      </c>
      <c r="F97" s="138" t="inlineStr">
        <is>
          <t>GRINDER DISCHARGE BELT CONVEYOR IN PLACE SAFETY INPUT CH1</t>
        </is>
      </c>
      <c r="G97" s="131" t="inlineStr">
        <is>
          <t>DG7000</t>
        </is>
      </c>
      <c r="H97" s="128" t="inlineStr">
        <is>
          <t>PROC</t>
        </is>
      </c>
      <c r="I97" s="142" t="inlineStr">
        <is>
          <t>RL7-IPA2-RIO1</t>
        </is>
      </c>
      <c r="J97" s="133" t="n">
        <v>7</v>
      </c>
      <c r="K97" s="129" t="n">
        <v>1</v>
      </c>
      <c r="L97" s="129" t="n">
        <v>6</v>
      </c>
      <c r="M97" s="129" t="inlineStr">
        <is>
          <t>24 VDC SI</t>
        </is>
      </c>
      <c r="N97" s="129" t="inlineStr">
        <is>
          <t>5069-IB8S</t>
        </is>
      </c>
      <c r="O97" s="139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40" t="n"/>
      <c r="AA97" t="inlineStr">
        <is>
          <t>Not found in PDF</t>
        </is>
      </c>
      <c r="AC97" t="inlineStr">
        <is>
          <t>Low</t>
        </is>
      </c>
      <c r="AM97" t="inlineStr">
        <is>
          <t>4</t>
        </is>
      </c>
      <c r="AN97" t="inlineStr">
        <is>
          <t>Yes</t>
        </is>
      </c>
      <c r="AO97" t="inlineStr">
        <is>
          <t>mapped sheet id</t>
        </is>
      </c>
    </row>
    <row r="98">
      <c r="A98" s="203">
        <f>ROW()-1</f>
        <v/>
      </c>
      <c r="B98" s="128" t="inlineStr">
        <is>
          <t>RL7-GRR-101-ZSS-03</t>
        </is>
      </c>
      <c r="C98" s="313" t="inlineStr">
        <is>
          <t>RL7-GRR-101-ZSS-03</t>
        </is>
      </c>
      <c r="D98" s="262" t="inlineStr">
        <is>
          <t>PRS2206161</t>
        </is>
      </c>
      <c r="E98" s="128" t="inlineStr">
        <is>
          <t>JIC22B</t>
        </is>
      </c>
      <c r="F98" s="138" t="inlineStr">
        <is>
          <t>GRINDER DISCHARGE BELT CONVEYOR IN PLACE SAFETY INPUT CH1</t>
        </is>
      </c>
      <c r="G98" s="131" t="inlineStr">
        <is>
          <t>DG7000</t>
        </is>
      </c>
      <c r="H98" s="128" t="inlineStr">
        <is>
          <t>PROC</t>
        </is>
      </c>
      <c r="I98" s="142" t="inlineStr">
        <is>
          <t>RL7-IPA2-RIO1</t>
        </is>
      </c>
      <c r="J98" s="133" t="n">
        <v>7</v>
      </c>
      <c r="K98" s="129" t="n">
        <v>1</v>
      </c>
      <c r="L98" s="129" t="n">
        <v>7</v>
      </c>
      <c r="M98" s="129" t="inlineStr">
        <is>
          <t>24 VDC SI</t>
        </is>
      </c>
      <c r="N98" s="129" t="inlineStr">
        <is>
          <t>5069-IB8S</t>
        </is>
      </c>
      <c r="O98" s="139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40" t="n"/>
      <c r="AA98" t="inlineStr">
        <is>
          <t>Not found in PDF</t>
        </is>
      </c>
      <c r="AC98" t="inlineStr">
        <is>
          <t>Low</t>
        </is>
      </c>
      <c r="AM98" t="inlineStr">
        <is>
          <t>4</t>
        </is>
      </c>
      <c r="AN98" t="inlineStr">
        <is>
          <t>Yes</t>
        </is>
      </c>
      <c r="AO98" t="inlineStr">
        <is>
          <t>mapped sheet id</t>
        </is>
      </c>
    </row>
    <row r="99">
      <c r="A99" s="203">
        <f>ROW()-1</f>
        <v/>
      </c>
      <c r="B99" s="128" t="inlineStr">
        <is>
          <t>RL7-GRR-101-PB-01</t>
        </is>
      </c>
      <c r="C99" s="313" t="inlineStr">
        <is>
          <t>RL7-GRR-101-PB-01</t>
        </is>
      </c>
      <c r="D99" s="262" t="n"/>
      <c r="E99" s="128" t="n"/>
      <c r="F99" s="138" t="inlineStr">
        <is>
          <t>GRINDER PLATFORM E-STOP PUSHBUTTON SAFETY INPUT CH1</t>
        </is>
      </c>
      <c r="G99" s="131" t="inlineStr">
        <is>
          <t>DG7000</t>
        </is>
      </c>
      <c r="H99" s="128" t="inlineStr">
        <is>
          <t>PROC</t>
        </is>
      </c>
      <c r="I99" s="142" t="inlineStr">
        <is>
          <t>RL7-IPA2-RIO1</t>
        </is>
      </c>
      <c r="J99" s="133" t="n">
        <v>7</v>
      </c>
      <c r="K99" s="129" t="n">
        <v>2</v>
      </c>
      <c r="L99" s="129" t="n">
        <v>0</v>
      </c>
      <c r="M99" s="129" t="inlineStr">
        <is>
          <t>24 VDC SI</t>
        </is>
      </c>
      <c r="N99" s="129" t="inlineStr">
        <is>
          <t>5069-IB8S</t>
        </is>
      </c>
      <c r="O99" s="139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45" t="n"/>
      <c r="AA99" t="inlineStr">
        <is>
          <t>Not found in PDF</t>
        </is>
      </c>
      <c r="AC99" t="inlineStr">
        <is>
          <t>Low</t>
        </is>
      </c>
      <c r="AM99" t="inlineStr">
        <is>
          <t>4</t>
        </is>
      </c>
      <c r="AN99" t="inlineStr">
        <is>
          <t>Yes</t>
        </is>
      </c>
      <c r="AO99" t="inlineStr">
        <is>
          <t>mapped sheet id</t>
        </is>
      </c>
    </row>
    <row r="100">
      <c r="A100" s="203">
        <f>ROW()-1</f>
        <v/>
      </c>
      <c r="B100" s="128" t="inlineStr">
        <is>
          <t>RL7-GRR-101-PB-01</t>
        </is>
      </c>
      <c r="C100" s="313" t="inlineStr">
        <is>
          <t>RL7-GRR-101-PB-01</t>
        </is>
      </c>
      <c r="D100" s="262" t="n"/>
      <c r="E100" s="128" t="n"/>
      <c r="F100" s="138" t="inlineStr">
        <is>
          <t>GRINDER PLATFORM E-STOP PUSHBUTTON SAFETY INPUT CH2</t>
        </is>
      </c>
      <c r="G100" s="131" t="inlineStr">
        <is>
          <t>DG7000</t>
        </is>
      </c>
      <c r="H100" s="128" t="inlineStr">
        <is>
          <t>PROC</t>
        </is>
      </c>
      <c r="I100" s="142" t="inlineStr">
        <is>
          <t>RL7-IPA2-RIO1</t>
        </is>
      </c>
      <c r="J100" s="133" t="n">
        <v>7</v>
      </c>
      <c r="K100" s="129" t="n">
        <v>2</v>
      </c>
      <c r="L100" s="129" t="n">
        <v>1</v>
      </c>
      <c r="M100" s="129" t="inlineStr">
        <is>
          <t>24 VDC SI</t>
        </is>
      </c>
      <c r="N100" s="129" t="inlineStr">
        <is>
          <t>5069-IB8S</t>
        </is>
      </c>
      <c r="O100" s="139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45" t="n"/>
      <c r="AA100" t="inlineStr">
        <is>
          <t>Not found in PDF</t>
        </is>
      </c>
      <c r="AC100" t="inlineStr">
        <is>
          <t>Low</t>
        </is>
      </c>
      <c r="AM100" t="inlineStr">
        <is>
          <t>4</t>
        </is>
      </c>
      <c r="AN100" t="inlineStr">
        <is>
          <t>Yes</t>
        </is>
      </c>
      <c r="AO100" t="inlineStr">
        <is>
          <t>mapped sheet id</t>
        </is>
      </c>
    </row>
    <row r="101">
      <c r="A101" s="203">
        <f>ROW()-2</f>
        <v/>
      </c>
      <c r="B101" s="128" t="n"/>
      <c r="C101" s="314" t="inlineStr">
        <is>
          <t>RL7-CNV-111-ZSO-01</t>
        </is>
      </c>
      <c r="D101" s="264" t="inlineStr">
        <is>
          <t>PRS1505111</t>
        </is>
      </c>
      <c r="E101" s="133" t="n"/>
      <c r="F101" s="141" t="inlineStr">
        <is>
          <t>SURGE BIN 1 DIVERTER GATE EXTENDED</t>
        </is>
      </c>
      <c r="G101" s="142" t="inlineStr">
        <is>
          <t>DG7001</t>
        </is>
      </c>
      <c r="H101" s="133" t="inlineStr">
        <is>
          <t>PROC</t>
        </is>
      </c>
      <c r="I101" s="132" t="inlineStr">
        <is>
          <t>RL7-BINS-RIO1</t>
        </is>
      </c>
      <c r="J101" s="133" t="n">
        <v>3</v>
      </c>
      <c r="K101" s="129" t="n">
        <v>3</v>
      </c>
      <c r="L101" s="129" t="n">
        <v>0</v>
      </c>
      <c r="M101" s="131" t="inlineStr">
        <is>
          <t>24 VDC DI</t>
        </is>
      </c>
      <c r="N101" s="131" t="inlineStr">
        <is>
          <t>5069-IB8S</t>
        </is>
      </c>
      <c r="O101" s="134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35" t="n"/>
      <c r="AA101" t="inlineStr">
        <is>
          <t>Matched</t>
        </is>
      </c>
      <c r="AB101" s="315" t="n">
        <v>0.99</v>
      </c>
      <c r="AC101" t="inlineStr">
        <is>
          <t>High</t>
        </is>
      </c>
      <c r="AD101" t="n">
        <v>1</v>
      </c>
      <c r="AE101" t="inlineStr">
        <is>
          <t>DG7001</t>
        </is>
      </c>
      <c r="AF101" t="n">
        <v>5</v>
      </c>
      <c r="AG101" t="inlineStr">
        <is>
          <t>drawing</t>
        </is>
      </c>
      <c r="AH101" t="inlineStr">
        <is>
          <t>stacked:isa</t>
        </is>
      </c>
      <c r="AI101" t="inlineStr">
        <is>
          <t>drawing zone; process page; mapped sheet; excel sheet match</t>
        </is>
      </c>
      <c r="AJ101" t="inlineStr">
        <is>
          <t>native</t>
        </is>
      </c>
      <c r="AK101" t="inlineStr">
        <is>
          <t>native-only</t>
        </is>
      </c>
      <c r="AM101" t="inlineStr">
        <is>
          <t>5, 6</t>
        </is>
      </c>
      <c r="AN101" t="inlineStr">
        <is>
          <t>Yes</t>
        </is>
      </c>
      <c r="AO101" t="inlineStr">
        <is>
          <t>duplicate sheet id</t>
        </is>
      </c>
      <c r="AP101" t="inlineStr">
        <is>
          <t>p5:native:8, p5:native:9</t>
        </is>
      </c>
      <c r="AQ101" t="n">
        <v>2</v>
      </c>
    </row>
    <row r="102">
      <c r="A102" s="203">
        <f>ROW()-2</f>
        <v/>
      </c>
      <c r="B102" s="128" t="n"/>
      <c r="C102" s="314" t="inlineStr">
        <is>
          <t>RL7-CNV-111-ZSC-01</t>
        </is>
      </c>
      <c r="D102" s="264" t="inlineStr">
        <is>
          <t>PRS1505131</t>
        </is>
      </c>
      <c r="E102" s="133" t="n"/>
      <c r="F102" s="141" t="inlineStr">
        <is>
          <t>SURGE BIN 1 DIVERTER GATE RETRACTED</t>
        </is>
      </c>
      <c r="G102" s="142" t="inlineStr">
        <is>
          <t>DG7001</t>
        </is>
      </c>
      <c r="H102" s="133" t="inlineStr">
        <is>
          <t>PROC</t>
        </is>
      </c>
      <c r="I102" s="132" t="inlineStr">
        <is>
          <t>RL7-BINS-RIO1</t>
        </is>
      </c>
      <c r="J102" s="133" t="n">
        <v>3</v>
      </c>
      <c r="K102" s="129" t="n">
        <v>3</v>
      </c>
      <c r="L102" s="129" t="n">
        <v>1</v>
      </c>
      <c r="M102" s="131" t="inlineStr">
        <is>
          <t>24 VDC DI</t>
        </is>
      </c>
      <c r="N102" s="131" t="inlineStr">
        <is>
          <t>5069-IB8S</t>
        </is>
      </c>
      <c r="O102" s="134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35" t="n"/>
      <c r="AA102" t="inlineStr">
        <is>
          <t>Matched</t>
        </is>
      </c>
      <c r="AB102" s="315" t="n">
        <v>0.99</v>
      </c>
      <c r="AC102" t="inlineStr">
        <is>
          <t>High</t>
        </is>
      </c>
      <c r="AD102" t="n">
        <v>1</v>
      </c>
      <c r="AE102" t="inlineStr">
        <is>
          <t>DG7001</t>
        </is>
      </c>
      <c r="AF102" t="n">
        <v>5</v>
      </c>
      <c r="AG102" t="inlineStr">
        <is>
          <t>drawing</t>
        </is>
      </c>
      <c r="AH102" t="inlineStr">
        <is>
          <t>stacked:isa</t>
        </is>
      </c>
      <c r="AI102" t="inlineStr">
        <is>
          <t>drawing zone; process page; mapped sheet; excel sheet match</t>
        </is>
      </c>
      <c r="AJ102" t="inlineStr">
        <is>
          <t>native</t>
        </is>
      </c>
      <c r="AK102" t="inlineStr">
        <is>
          <t>native-only</t>
        </is>
      </c>
      <c r="AM102" t="inlineStr">
        <is>
          <t>5, 6</t>
        </is>
      </c>
      <c r="AN102" t="inlineStr">
        <is>
          <t>Yes</t>
        </is>
      </c>
      <c r="AO102" t="inlineStr">
        <is>
          <t>duplicate sheet id</t>
        </is>
      </c>
      <c r="AP102" t="inlineStr">
        <is>
          <t>p5:native:6, p5:native:7</t>
        </is>
      </c>
      <c r="AQ102" t="n">
        <v>2</v>
      </c>
    </row>
    <row r="103">
      <c r="A103" s="203">
        <f>ROW()-2</f>
        <v/>
      </c>
      <c r="B103" s="128" t="n"/>
      <c r="C103" s="314" t="inlineStr">
        <is>
          <t>RL7-CNV-111-ZSO-02</t>
        </is>
      </c>
      <c r="D103" s="264" t="inlineStr">
        <is>
          <t>PRS1505151</t>
        </is>
      </c>
      <c r="E103" s="133" t="n"/>
      <c r="F103" s="141" t="inlineStr">
        <is>
          <t>SURGE BIN 2 DIVERTER GATE EXTENDED</t>
        </is>
      </c>
      <c r="G103" s="142" t="inlineStr">
        <is>
          <t>DG7001</t>
        </is>
      </c>
      <c r="H103" s="133" t="inlineStr">
        <is>
          <t>PROC</t>
        </is>
      </c>
      <c r="I103" s="132" t="inlineStr">
        <is>
          <t>RL7-BINS-RIO1</t>
        </is>
      </c>
      <c r="J103" s="133" t="n">
        <v>3</v>
      </c>
      <c r="K103" s="129" t="n">
        <v>3</v>
      </c>
      <c r="L103" s="129" t="n">
        <v>2</v>
      </c>
      <c r="M103" s="131" t="inlineStr">
        <is>
          <t>24 VDC DI</t>
        </is>
      </c>
      <c r="N103" s="131" t="inlineStr">
        <is>
          <t>5069-IB8S</t>
        </is>
      </c>
      <c r="O103" s="134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35" t="n"/>
      <c r="AA103" t="inlineStr">
        <is>
          <t>Matched</t>
        </is>
      </c>
      <c r="AB103" s="315" t="n">
        <v>0.99</v>
      </c>
      <c r="AC103" t="inlineStr">
        <is>
          <t>High</t>
        </is>
      </c>
      <c r="AD103" t="n">
        <v>1</v>
      </c>
      <c r="AE103" t="inlineStr">
        <is>
          <t>DG7001</t>
        </is>
      </c>
      <c r="AF103" t="n">
        <v>5</v>
      </c>
      <c r="AG103" t="inlineStr">
        <is>
          <t>drawing</t>
        </is>
      </c>
      <c r="AH103" t="inlineStr">
        <is>
          <t>stacked:isa</t>
        </is>
      </c>
      <c r="AI103" t="inlineStr">
        <is>
          <t>drawing zone; process page; mapped sheet; excel sheet match</t>
        </is>
      </c>
      <c r="AJ103" t="inlineStr">
        <is>
          <t>native</t>
        </is>
      </c>
      <c r="AK103" t="inlineStr">
        <is>
          <t>native-only</t>
        </is>
      </c>
      <c r="AM103" t="inlineStr">
        <is>
          <t>5, 6</t>
        </is>
      </c>
      <c r="AN103" t="inlineStr">
        <is>
          <t>Yes</t>
        </is>
      </c>
      <c r="AO103" t="inlineStr">
        <is>
          <t>duplicate sheet id</t>
        </is>
      </c>
      <c r="AP103" t="inlineStr">
        <is>
          <t>p5:native:14, p5:native:15</t>
        </is>
      </c>
      <c r="AQ103" t="n">
        <v>2</v>
      </c>
    </row>
    <row r="104">
      <c r="A104" s="203">
        <f>ROW()-2</f>
        <v/>
      </c>
      <c r="B104" s="128" t="n"/>
      <c r="C104" s="314" t="inlineStr">
        <is>
          <t>RL7-CNV-111-ZSC-02</t>
        </is>
      </c>
      <c r="D104" s="264" t="inlineStr">
        <is>
          <t>PRS1505171</t>
        </is>
      </c>
      <c r="E104" s="133" t="n"/>
      <c r="F104" s="141" t="inlineStr">
        <is>
          <t>SURGE BIN 2 DIVERTER GATE RETRACTED</t>
        </is>
      </c>
      <c r="G104" s="142" t="inlineStr">
        <is>
          <t>DG7001</t>
        </is>
      </c>
      <c r="H104" s="133" t="inlineStr">
        <is>
          <t>PROC</t>
        </is>
      </c>
      <c r="I104" s="132" t="inlineStr">
        <is>
          <t>RL7-BINS-RIO1</t>
        </is>
      </c>
      <c r="J104" s="133" t="n">
        <v>3</v>
      </c>
      <c r="K104" s="129" t="n">
        <v>3</v>
      </c>
      <c r="L104" s="129" t="n">
        <v>3</v>
      </c>
      <c r="M104" s="131" t="inlineStr">
        <is>
          <t>24 VDC DI</t>
        </is>
      </c>
      <c r="N104" s="131" t="inlineStr">
        <is>
          <t>5069-IB8S</t>
        </is>
      </c>
      <c r="O104" s="134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35" t="n"/>
      <c r="AA104" t="inlineStr">
        <is>
          <t>Matched</t>
        </is>
      </c>
      <c r="AB104" s="315" t="n">
        <v>0.99</v>
      </c>
      <c r="AC104" t="inlineStr">
        <is>
          <t>High</t>
        </is>
      </c>
      <c r="AD104" t="n">
        <v>1</v>
      </c>
      <c r="AE104" t="inlineStr">
        <is>
          <t>DG7001</t>
        </is>
      </c>
      <c r="AF104" t="n">
        <v>5</v>
      </c>
      <c r="AG104" t="inlineStr">
        <is>
          <t>drawing</t>
        </is>
      </c>
      <c r="AH104" t="inlineStr">
        <is>
          <t>stacked:isa</t>
        </is>
      </c>
      <c r="AI104" t="inlineStr">
        <is>
          <t>drawing zone; process page; mapped sheet; excel sheet match</t>
        </is>
      </c>
      <c r="AJ104" t="inlineStr">
        <is>
          <t>native</t>
        </is>
      </c>
      <c r="AK104" t="inlineStr">
        <is>
          <t>native-only</t>
        </is>
      </c>
      <c r="AM104" t="inlineStr">
        <is>
          <t>5, 6</t>
        </is>
      </c>
      <c r="AN104" t="inlineStr">
        <is>
          <t>Yes</t>
        </is>
      </c>
      <c r="AO104" t="inlineStr">
        <is>
          <t>duplicate sheet id</t>
        </is>
      </c>
      <c r="AP104" t="inlineStr">
        <is>
          <t>p5:native:12, p5:native:13</t>
        </is>
      </c>
      <c r="AQ104" t="n">
        <v>2</v>
      </c>
    </row>
    <row r="105">
      <c r="A105" s="203">
        <f>ROW()-2</f>
        <v/>
      </c>
      <c r="B105" s="128" t="n"/>
      <c r="C105" s="314" t="inlineStr">
        <is>
          <t>RL7-CNV-111-ZSO-03</t>
        </is>
      </c>
      <c r="D105" s="264" t="inlineStr">
        <is>
          <t>PRS1505191</t>
        </is>
      </c>
      <c r="E105" s="133" t="n"/>
      <c r="F105" s="141" t="inlineStr">
        <is>
          <t>SURGE BIN 3 DIVERTER GATE EXTENDED</t>
        </is>
      </c>
      <c r="G105" s="142" t="inlineStr">
        <is>
          <t>DG7001</t>
        </is>
      </c>
      <c r="H105" s="133" t="inlineStr">
        <is>
          <t>PROC</t>
        </is>
      </c>
      <c r="I105" s="132" t="inlineStr">
        <is>
          <t>RL7-BINS-RIO1</t>
        </is>
      </c>
      <c r="J105" s="133" t="n">
        <v>3</v>
      </c>
      <c r="K105" s="129" t="n">
        <v>3</v>
      </c>
      <c r="L105" s="129" t="n">
        <v>4</v>
      </c>
      <c r="M105" s="131" t="inlineStr">
        <is>
          <t>24 VDC DI</t>
        </is>
      </c>
      <c r="N105" s="131" t="inlineStr">
        <is>
          <t>5069-IB8S</t>
        </is>
      </c>
      <c r="O105" s="134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35" t="n"/>
      <c r="AA105" t="inlineStr">
        <is>
          <t>Matched</t>
        </is>
      </c>
      <c r="AB105" s="315" t="n">
        <v>0.99</v>
      </c>
      <c r="AC105" t="inlineStr">
        <is>
          <t>High</t>
        </is>
      </c>
      <c r="AD105" t="n">
        <v>1</v>
      </c>
      <c r="AE105" t="inlineStr">
        <is>
          <t>DG7001</t>
        </is>
      </c>
      <c r="AF105" t="n">
        <v>5</v>
      </c>
      <c r="AG105" t="inlineStr">
        <is>
          <t>drawing</t>
        </is>
      </c>
      <c r="AH105" t="inlineStr">
        <is>
          <t>stacked:isa</t>
        </is>
      </c>
      <c r="AI105" t="inlineStr">
        <is>
          <t>drawing zone; process page; mapped sheet; excel sheet match</t>
        </is>
      </c>
      <c r="AJ105" t="inlineStr">
        <is>
          <t>native</t>
        </is>
      </c>
      <c r="AK105" t="inlineStr">
        <is>
          <t>native-only</t>
        </is>
      </c>
      <c r="AM105" t="inlineStr">
        <is>
          <t>5, 6</t>
        </is>
      </c>
      <c r="AN105" t="inlineStr">
        <is>
          <t>Yes</t>
        </is>
      </c>
      <c r="AO105" t="inlineStr">
        <is>
          <t>duplicate sheet id</t>
        </is>
      </c>
      <c r="AP105" t="inlineStr">
        <is>
          <t>p5:native:18, p5:native:19</t>
        </is>
      </c>
      <c r="AQ105" t="n">
        <v>2</v>
      </c>
    </row>
    <row r="106">
      <c r="A106" s="203">
        <f>ROW()-2</f>
        <v/>
      </c>
      <c r="B106" s="128" t="n"/>
      <c r="C106" s="314" t="inlineStr">
        <is>
          <t>RL7-CNV-111-ZSC-03</t>
        </is>
      </c>
      <c r="D106" s="264" t="inlineStr">
        <is>
          <t>PRS1505211</t>
        </is>
      </c>
      <c r="E106" s="133" t="n"/>
      <c r="F106" s="141" t="inlineStr">
        <is>
          <t>SURGE BIN 3 DIVERTER GATE RETRACTED</t>
        </is>
      </c>
      <c r="G106" s="142" t="inlineStr">
        <is>
          <t>DG7001</t>
        </is>
      </c>
      <c r="H106" s="133" t="inlineStr">
        <is>
          <t>PROC</t>
        </is>
      </c>
      <c r="I106" s="132" t="inlineStr">
        <is>
          <t>RL7-BINS-RIO1</t>
        </is>
      </c>
      <c r="J106" s="133" t="n">
        <v>3</v>
      </c>
      <c r="K106" s="129" t="n">
        <v>3</v>
      </c>
      <c r="L106" s="129" t="n">
        <v>5</v>
      </c>
      <c r="M106" s="131" t="inlineStr">
        <is>
          <t>24 VDC DI</t>
        </is>
      </c>
      <c r="N106" s="131" t="inlineStr">
        <is>
          <t>5069-IB8S</t>
        </is>
      </c>
      <c r="O106" s="134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35" t="n"/>
      <c r="AA106" t="inlineStr">
        <is>
          <t>Matched</t>
        </is>
      </c>
      <c r="AB106" s="315" t="n">
        <v>0.99</v>
      </c>
      <c r="AC106" t="inlineStr">
        <is>
          <t>High</t>
        </is>
      </c>
      <c r="AD106" t="n">
        <v>1</v>
      </c>
      <c r="AE106" t="inlineStr">
        <is>
          <t>DG7001</t>
        </is>
      </c>
      <c r="AF106" t="n">
        <v>5</v>
      </c>
      <c r="AG106" t="inlineStr">
        <is>
          <t>drawing</t>
        </is>
      </c>
      <c r="AH106" t="inlineStr">
        <is>
          <t>stacked:isa</t>
        </is>
      </c>
      <c r="AI106" t="inlineStr">
        <is>
          <t>drawing zone; process page; mapped sheet; excel sheet match</t>
        </is>
      </c>
      <c r="AJ106" t="inlineStr">
        <is>
          <t>native</t>
        </is>
      </c>
      <c r="AK106" t="inlineStr">
        <is>
          <t>native-only</t>
        </is>
      </c>
      <c r="AM106" t="inlineStr">
        <is>
          <t>5, 6</t>
        </is>
      </c>
      <c r="AN106" t="inlineStr">
        <is>
          <t>Yes</t>
        </is>
      </c>
      <c r="AO106" t="inlineStr">
        <is>
          <t>duplicate sheet id</t>
        </is>
      </c>
      <c r="AP106" t="inlineStr">
        <is>
          <t>p5:native:16, p5:native:17</t>
        </is>
      </c>
      <c r="AQ106" t="n">
        <v>2</v>
      </c>
    </row>
    <row r="107">
      <c r="A107" s="203">
        <f>ROW()-2</f>
        <v/>
      </c>
      <c r="B107" s="128" t="n"/>
      <c r="C107" s="314" t="inlineStr">
        <is>
          <t>RL7-CNV-111-ZSO-04</t>
        </is>
      </c>
      <c r="D107" s="264" t="inlineStr">
        <is>
          <t>PRS1505131</t>
        </is>
      </c>
      <c r="E107" s="133" t="n"/>
      <c r="F107" s="141" t="inlineStr">
        <is>
          <t>SURGE BIN 4 DIVERTER GATE EXTENDED</t>
        </is>
      </c>
      <c r="G107" s="142" t="inlineStr">
        <is>
          <t>DG7001</t>
        </is>
      </c>
      <c r="H107" s="133" t="inlineStr">
        <is>
          <t>PROC</t>
        </is>
      </c>
      <c r="I107" s="132" t="inlineStr">
        <is>
          <t>RL7-BINS-RIO1</t>
        </is>
      </c>
      <c r="J107" s="133" t="n">
        <v>3</v>
      </c>
      <c r="K107" s="129" t="n">
        <v>3</v>
      </c>
      <c r="L107" s="129" t="n">
        <v>6</v>
      </c>
      <c r="M107" s="131" t="inlineStr">
        <is>
          <t>24 VDC DI</t>
        </is>
      </c>
      <c r="N107" s="131" t="inlineStr">
        <is>
          <t>5069-IB8S</t>
        </is>
      </c>
      <c r="O107" s="134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35" t="n"/>
      <c r="AA107" t="inlineStr">
        <is>
          <t>Matched</t>
        </is>
      </c>
      <c r="AB107" s="315" t="n">
        <v>0.99</v>
      </c>
      <c r="AC107" t="inlineStr">
        <is>
          <t>High</t>
        </is>
      </c>
      <c r="AD107" t="n">
        <v>1</v>
      </c>
      <c r="AE107" t="inlineStr">
        <is>
          <t>DG7001</t>
        </is>
      </c>
      <c r="AF107" t="n">
        <v>5</v>
      </c>
      <c r="AG107" t="inlineStr">
        <is>
          <t>drawing</t>
        </is>
      </c>
      <c r="AH107" t="inlineStr">
        <is>
          <t>stacked:isa</t>
        </is>
      </c>
      <c r="AI107" t="inlineStr">
        <is>
          <t>drawing zone; process page; mapped sheet; excel sheet match</t>
        </is>
      </c>
      <c r="AJ107" t="inlineStr">
        <is>
          <t>native</t>
        </is>
      </c>
      <c r="AK107" t="inlineStr">
        <is>
          <t>native-only</t>
        </is>
      </c>
      <c r="AM107" t="inlineStr">
        <is>
          <t>5, 6</t>
        </is>
      </c>
      <c r="AN107" t="inlineStr">
        <is>
          <t>Yes</t>
        </is>
      </c>
      <c r="AO107" t="inlineStr">
        <is>
          <t>duplicate sheet id</t>
        </is>
      </c>
      <c r="AP107" t="inlineStr">
        <is>
          <t>p5:native:22, p5:native:23</t>
        </is>
      </c>
      <c r="AQ107" t="n">
        <v>2</v>
      </c>
    </row>
    <row r="108">
      <c r="A108" s="203">
        <f>ROW()-2</f>
        <v/>
      </c>
      <c r="B108" s="128" t="n"/>
      <c r="C108" s="314" t="inlineStr">
        <is>
          <t>RL7-CNV-111-ZSC-04</t>
        </is>
      </c>
      <c r="D108" s="264" t="inlineStr">
        <is>
          <t>PRS1505151</t>
        </is>
      </c>
      <c r="E108" s="133" t="n"/>
      <c r="F108" s="141" t="inlineStr">
        <is>
          <t>SURGE BIN 4 DIVERTER GATE RETRACTED</t>
        </is>
      </c>
      <c r="G108" s="142" t="inlineStr">
        <is>
          <t>DG7001</t>
        </is>
      </c>
      <c r="H108" s="133" t="inlineStr">
        <is>
          <t>PROC</t>
        </is>
      </c>
      <c r="I108" s="132" t="inlineStr">
        <is>
          <t>RL7-BINS-RIO1</t>
        </is>
      </c>
      <c r="J108" s="133" t="n">
        <v>3</v>
      </c>
      <c r="K108" s="129" t="n">
        <v>3</v>
      </c>
      <c r="L108" s="129" t="n">
        <v>7</v>
      </c>
      <c r="M108" s="131" t="inlineStr">
        <is>
          <t>24 VDC DI</t>
        </is>
      </c>
      <c r="N108" s="131" t="inlineStr">
        <is>
          <t>5069-IB8S</t>
        </is>
      </c>
      <c r="O108" s="134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35" t="n"/>
      <c r="AA108" t="inlineStr">
        <is>
          <t>Matched</t>
        </is>
      </c>
      <c r="AB108" s="315" t="n">
        <v>0.99</v>
      </c>
      <c r="AC108" t="inlineStr">
        <is>
          <t>High</t>
        </is>
      </c>
      <c r="AD108" t="n">
        <v>1</v>
      </c>
      <c r="AE108" t="inlineStr">
        <is>
          <t>DG7001</t>
        </is>
      </c>
      <c r="AF108" t="n">
        <v>5</v>
      </c>
      <c r="AG108" t="inlineStr">
        <is>
          <t>drawing</t>
        </is>
      </c>
      <c r="AH108" t="inlineStr">
        <is>
          <t>stacked:isa</t>
        </is>
      </c>
      <c r="AI108" t="inlineStr">
        <is>
          <t>drawing zone; process page; mapped sheet; excel sheet match</t>
        </is>
      </c>
      <c r="AJ108" t="inlineStr">
        <is>
          <t>native</t>
        </is>
      </c>
      <c r="AK108" t="inlineStr">
        <is>
          <t>native-only</t>
        </is>
      </c>
      <c r="AM108" t="inlineStr">
        <is>
          <t>5, 6</t>
        </is>
      </c>
      <c r="AN108" t="inlineStr">
        <is>
          <t>Yes</t>
        </is>
      </c>
      <c r="AO108" t="inlineStr">
        <is>
          <t>duplicate sheet id</t>
        </is>
      </c>
      <c r="AP108" t="inlineStr">
        <is>
          <t>p5:native:20, p5:native:21</t>
        </is>
      </c>
      <c r="AQ108" t="n">
        <v>2</v>
      </c>
    </row>
    <row r="109">
      <c r="A109" s="203">
        <f>ROW()-2</f>
        <v/>
      </c>
      <c r="B109" s="128" t="n"/>
      <c r="C109" s="313" t="inlineStr">
        <is>
          <t>RL7-CNV-111-PSL-01</t>
        </is>
      </c>
      <c r="D109" s="264" t="inlineStr">
        <is>
          <t>PRG1505011</t>
        </is>
      </c>
      <c r="E109" s="128" t="n"/>
      <c r="F109" s="141" t="inlineStr">
        <is>
          <t>SURGE BIN DIVERTERS LOW PNEUMATIC PRESSURE</t>
        </is>
      </c>
      <c r="G109" s="142" t="inlineStr">
        <is>
          <t>DG7001</t>
        </is>
      </c>
      <c r="H109" s="133" t="inlineStr">
        <is>
          <t>PROC</t>
        </is>
      </c>
      <c r="I109" s="132" t="inlineStr">
        <is>
          <t>RL7-BINS-RIO1</t>
        </is>
      </c>
      <c r="J109" s="133" t="n">
        <v>3</v>
      </c>
      <c r="K109" s="129" t="n">
        <v>3</v>
      </c>
      <c r="L109" s="129" t="n">
        <v>8</v>
      </c>
      <c r="M109" s="131" t="inlineStr">
        <is>
          <t>24 VDC DI</t>
        </is>
      </c>
      <c r="N109" s="131" t="inlineStr">
        <is>
          <t>5069-IB8S</t>
        </is>
      </c>
      <c r="O109" s="134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35" t="n"/>
      <c r="AA109" t="inlineStr">
        <is>
          <t>Matched - same-page inference</t>
        </is>
      </c>
      <c r="AB109" s="315" t="n">
        <v>0.77</v>
      </c>
      <c r="AC109" t="inlineStr">
        <is>
          <t>Medium</t>
        </is>
      </c>
      <c r="AD109" t="n">
        <v>1</v>
      </c>
      <c r="AE109" t="inlineStr">
        <is>
          <t>DG7001</t>
        </is>
      </c>
      <c r="AF109" t="n">
        <v>5</v>
      </c>
      <c r="AG109" t="inlineStr">
        <is>
          <t>drawing</t>
        </is>
      </c>
      <c r="AH109" t="inlineStr">
        <is>
          <t>samepage:root+comp</t>
        </is>
      </c>
      <c r="AI109" t="inlineStr">
        <is>
          <t>same-page inference: root and component detected separately on the same PDF page; pairing synthesized.; excel sheet match</t>
        </is>
      </c>
      <c r="AJ109" t="inlineStr">
        <is>
          <t>native</t>
        </is>
      </c>
      <c r="AK109" t="inlineStr">
        <is>
          <t>native-only</t>
        </is>
      </c>
      <c r="AM109" t="inlineStr">
        <is>
          <t>5, 6</t>
        </is>
      </c>
      <c r="AN109" t="inlineStr">
        <is>
          <t>Yes</t>
        </is>
      </c>
      <c r="AO109" t="inlineStr">
        <is>
          <t>duplicate sheet id</t>
        </is>
      </c>
      <c r="AP109" t="inlineStr">
        <is>
          <t>p5:native:187, p5:native:188</t>
        </is>
      </c>
      <c r="AQ109" t="n">
        <v>2</v>
      </c>
    </row>
    <row r="110">
      <c r="A110" s="203">
        <f>ROW()-2</f>
        <v/>
      </c>
      <c r="B110" s="128" t="n"/>
      <c r="C110" s="314" t="inlineStr">
        <is>
          <t>RL7-CNV-110-PSL-01</t>
        </is>
      </c>
      <c r="D110" s="262" t="inlineStr">
        <is>
          <t>PRG1405011</t>
        </is>
      </c>
      <c r="E110" s="128" t="n"/>
      <c r="F110" s="141" t="inlineStr">
        <is>
          <t>METAL DETECTOR CONVEYOR PULL NOSE PNUEMATIC PRESSURE SWITCH</t>
        </is>
      </c>
      <c r="G110" s="142" t="inlineStr">
        <is>
          <t>DG7001</t>
        </is>
      </c>
      <c r="H110" s="133" t="inlineStr">
        <is>
          <t>PROC</t>
        </is>
      </c>
      <c r="I110" s="132" t="inlineStr">
        <is>
          <t>RL7-BINS-RIO1</t>
        </is>
      </c>
      <c r="J110" s="133" t="n">
        <v>3</v>
      </c>
      <c r="K110" s="129" t="n">
        <v>3</v>
      </c>
      <c r="L110" s="129" t="n">
        <v>9</v>
      </c>
      <c r="M110" s="131" t="inlineStr">
        <is>
          <t>24 VDC DI</t>
        </is>
      </c>
      <c r="N110" s="131" t="inlineStr">
        <is>
          <t>5069-IB8S</t>
        </is>
      </c>
      <c r="O110" s="134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35" t="n"/>
      <c r="AA110" t="inlineStr">
        <is>
          <t>Matched</t>
        </is>
      </c>
      <c r="AB110" s="315" t="n">
        <v>0.99</v>
      </c>
      <c r="AC110" t="inlineStr">
        <is>
          <t>High</t>
        </is>
      </c>
      <c r="AD110" t="n">
        <v>1</v>
      </c>
      <c r="AE110" t="inlineStr">
        <is>
          <t>DG7001</t>
        </is>
      </c>
      <c r="AF110" t="n">
        <v>5</v>
      </c>
      <c r="AG110" t="inlineStr">
        <is>
          <t>drawing</t>
        </is>
      </c>
      <c r="AH110" t="inlineStr">
        <is>
          <t>stacked:isa</t>
        </is>
      </c>
      <c r="AI110" t="inlineStr">
        <is>
          <t>drawing zone; process page; mapped sheet; excel sheet match</t>
        </is>
      </c>
      <c r="AJ110" t="inlineStr">
        <is>
          <t>native</t>
        </is>
      </c>
      <c r="AK110" t="inlineStr">
        <is>
          <t>native-only</t>
        </is>
      </c>
      <c r="AM110" t="inlineStr">
        <is>
          <t>5, 6</t>
        </is>
      </c>
      <c r="AN110" t="inlineStr">
        <is>
          <t>Yes</t>
        </is>
      </c>
      <c r="AO110" t="inlineStr">
        <is>
          <t>duplicate sheet id</t>
        </is>
      </c>
      <c r="AP110" t="inlineStr">
        <is>
          <t>p5:native:187, p5:native:188</t>
        </is>
      </c>
      <c r="AQ110" t="n">
        <v>2</v>
      </c>
    </row>
    <row r="111">
      <c r="A111" s="203">
        <f>ROW()-2</f>
        <v/>
      </c>
      <c r="B111" s="128" t="n"/>
      <c r="C111" s="314" t="inlineStr">
        <is>
          <t>RL7-CNV-111-XY-01A</t>
        </is>
      </c>
      <c r="D111" s="264" t="inlineStr">
        <is>
          <t>SOL1505031</t>
        </is>
      </c>
      <c r="E111" s="133" t="n"/>
      <c r="F111" s="141" t="inlineStr">
        <is>
          <t>DIVERTER GATE 1  SOLENOID EXTEND</t>
        </is>
      </c>
      <c r="G111" s="142" t="inlineStr">
        <is>
          <t>DG7001</t>
        </is>
      </c>
      <c r="H111" s="133" t="inlineStr">
        <is>
          <t>PROC</t>
        </is>
      </c>
      <c r="I111" s="132" t="inlineStr">
        <is>
          <t>RL7-BINS-RIO1</t>
        </is>
      </c>
      <c r="J111" s="133" t="n">
        <v>3</v>
      </c>
      <c r="K111" s="129" t="n">
        <v>4</v>
      </c>
      <c r="L111" s="129" t="n">
        <v>0</v>
      </c>
      <c r="M111" s="131" t="inlineStr">
        <is>
          <t>24 VDC DO</t>
        </is>
      </c>
      <c r="N111" s="129" t="inlineStr">
        <is>
          <t>5069-ARM</t>
        </is>
      </c>
      <c r="O111" s="139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40" t="n"/>
      <c r="AA111" t="inlineStr">
        <is>
          <t>Matched</t>
        </is>
      </c>
      <c r="AB111" s="315" t="n">
        <v>0.99</v>
      </c>
      <c r="AC111" t="inlineStr">
        <is>
          <t>High</t>
        </is>
      </c>
      <c r="AD111" t="n">
        <v>1</v>
      </c>
      <c r="AE111" t="inlineStr">
        <is>
          <t>DG7001</t>
        </is>
      </c>
      <c r="AF111" t="n">
        <v>5</v>
      </c>
      <c r="AG111" t="inlineStr">
        <is>
          <t>drawing</t>
        </is>
      </c>
      <c r="AH111" t="inlineStr">
        <is>
          <t>stacked:isa</t>
        </is>
      </c>
      <c r="AI111" t="inlineStr">
        <is>
          <t>drawing zone; process page; mapped sheet; excel sheet match</t>
        </is>
      </c>
      <c r="AJ111" t="inlineStr">
        <is>
          <t>native</t>
        </is>
      </c>
      <c r="AK111" t="inlineStr">
        <is>
          <t>native-only</t>
        </is>
      </c>
      <c r="AM111" t="inlineStr">
        <is>
          <t>5, 6</t>
        </is>
      </c>
      <c r="AN111" t="inlineStr">
        <is>
          <t>Yes</t>
        </is>
      </c>
      <c r="AO111" t="inlineStr">
        <is>
          <t>duplicate sheet id</t>
        </is>
      </c>
      <c r="AP111" t="inlineStr">
        <is>
          <t>p5:native:125, p5:native:126</t>
        </is>
      </c>
      <c r="AQ111" t="n">
        <v>2</v>
      </c>
    </row>
    <row r="112">
      <c r="A112" s="203">
        <f>ROW()-2</f>
        <v/>
      </c>
      <c r="B112" s="128" t="n"/>
      <c r="C112" s="314" t="inlineStr">
        <is>
          <t>RL7-CNV-111-XY-01B</t>
        </is>
      </c>
      <c r="D112" s="264" t="inlineStr">
        <is>
          <t>SOL1505031</t>
        </is>
      </c>
      <c r="E112" s="133" t="n"/>
      <c r="F112" s="141" t="inlineStr">
        <is>
          <t>DIVERTER GATE 1  SOLENOID RETRACT</t>
        </is>
      </c>
      <c r="G112" s="142" t="inlineStr">
        <is>
          <t>DG7001</t>
        </is>
      </c>
      <c r="H112" s="133" t="inlineStr">
        <is>
          <t>PROC</t>
        </is>
      </c>
      <c r="I112" s="132" t="inlineStr">
        <is>
          <t>RL7-BINS-RIO1</t>
        </is>
      </c>
      <c r="J112" s="133" t="n">
        <v>3</v>
      </c>
      <c r="K112" s="129" t="n">
        <v>4</v>
      </c>
      <c r="L112" s="129" t="n">
        <v>1</v>
      </c>
      <c r="M112" s="131" t="inlineStr">
        <is>
          <t>24 VDC DO</t>
        </is>
      </c>
      <c r="N112" s="129" t="inlineStr">
        <is>
          <t>5069-IB16</t>
        </is>
      </c>
      <c r="O112" s="139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40" t="n"/>
      <c r="AA112" t="inlineStr">
        <is>
          <t>Matched</t>
        </is>
      </c>
      <c r="AB112" s="315" t="n">
        <v>0.99</v>
      </c>
      <c r="AC112" t="inlineStr">
        <is>
          <t>High</t>
        </is>
      </c>
      <c r="AD112" t="n">
        <v>1</v>
      </c>
      <c r="AE112" t="inlineStr">
        <is>
          <t>DG7001</t>
        </is>
      </c>
      <c r="AF112" t="n">
        <v>5</v>
      </c>
      <c r="AG112" t="inlineStr">
        <is>
          <t>drawing</t>
        </is>
      </c>
      <c r="AH112" t="inlineStr">
        <is>
          <t>stacked:isa</t>
        </is>
      </c>
      <c r="AI112" t="inlineStr">
        <is>
          <t>drawing zone; process page; mapped sheet; excel sheet match</t>
        </is>
      </c>
      <c r="AJ112" t="inlineStr">
        <is>
          <t>native</t>
        </is>
      </c>
      <c r="AK112" t="inlineStr">
        <is>
          <t>native-only</t>
        </is>
      </c>
      <c r="AM112" t="inlineStr">
        <is>
          <t>5, 6</t>
        </is>
      </c>
      <c r="AN112" t="inlineStr">
        <is>
          <t>Yes</t>
        </is>
      </c>
      <c r="AO112" t="inlineStr">
        <is>
          <t>duplicate sheet id</t>
        </is>
      </c>
      <c r="AP112" t="inlineStr">
        <is>
          <t>p5:native:127, p5:native:128</t>
        </is>
      </c>
      <c r="AQ112" t="n">
        <v>2</v>
      </c>
    </row>
    <row r="113">
      <c r="A113" s="203">
        <f>ROW()-2</f>
        <v/>
      </c>
      <c r="B113" s="128" t="n"/>
      <c r="C113" s="314" t="inlineStr">
        <is>
          <t>RL7-CNV-111-XY-02A</t>
        </is>
      </c>
      <c r="D113" s="264" t="inlineStr">
        <is>
          <t>SOL1505061</t>
        </is>
      </c>
      <c r="E113" s="133" t="n"/>
      <c r="F113" s="141" t="inlineStr">
        <is>
          <t>DIVERTER GATE 2 SOLENOID EXTEND</t>
        </is>
      </c>
      <c r="G113" s="142" t="inlineStr">
        <is>
          <t>DG7001</t>
        </is>
      </c>
      <c r="H113" s="133" t="inlineStr">
        <is>
          <t>PROC</t>
        </is>
      </c>
      <c r="I113" s="132" t="inlineStr">
        <is>
          <t>RL7-BINS-RIO1</t>
        </is>
      </c>
      <c r="J113" s="133" t="n">
        <v>3</v>
      </c>
      <c r="K113" s="129" t="n">
        <v>4</v>
      </c>
      <c r="L113" s="129" t="n">
        <v>2</v>
      </c>
      <c r="M113" s="131" t="inlineStr">
        <is>
          <t>24 VDC DO</t>
        </is>
      </c>
      <c r="N113" s="129" t="inlineStr">
        <is>
          <t>5069-IB16</t>
        </is>
      </c>
      <c r="O113" s="139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40" t="n"/>
      <c r="AA113" t="inlineStr">
        <is>
          <t>Matched</t>
        </is>
      </c>
      <c r="AB113" s="315" t="n">
        <v>0.99</v>
      </c>
      <c r="AC113" t="inlineStr">
        <is>
          <t>High</t>
        </is>
      </c>
      <c r="AD113" t="n">
        <v>1</v>
      </c>
      <c r="AE113" t="inlineStr">
        <is>
          <t>DG7001</t>
        </is>
      </c>
      <c r="AF113" t="n">
        <v>5</v>
      </c>
      <c r="AG113" t="inlineStr">
        <is>
          <t>drawing</t>
        </is>
      </c>
      <c r="AH113" t="inlineStr">
        <is>
          <t>stacked:isa</t>
        </is>
      </c>
      <c r="AI113" t="inlineStr">
        <is>
          <t>drawing zone; process page; mapped sheet; excel sheet match</t>
        </is>
      </c>
      <c r="AJ113" t="inlineStr">
        <is>
          <t>native</t>
        </is>
      </c>
      <c r="AK113" t="inlineStr">
        <is>
          <t>native-only</t>
        </is>
      </c>
      <c r="AM113" t="inlineStr">
        <is>
          <t>5, 6</t>
        </is>
      </c>
      <c r="AN113" t="inlineStr">
        <is>
          <t>Yes</t>
        </is>
      </c>
      <c r="AO113" t="inlineStr">
        <is>
          <t>duplicate sheet id</t>
        </is>
      </c>
      <c r="AP113" t="inlineStr">
        <is>
          <t>p5:native:131, p5:native:132</t>
        </is>
      </c>
      <c r="AQ113" t="n">
        <v>2</v>
      </c>
    </row>
    <row r="114">
      <c r="A114" s="203">
        <f>ROW()-2</f>
        <v/>
      </c>
      <c r="B114" s="128" t="n"/>
      <c r="C114" s="314" t="inlineStr">
        <is>
          <t>RL7-CNV-111-XY-02B</t>
        </is>
      </c>
      <c r="D114" s="264" t="inlineStr">
        <is>
          <t>SOL1505061</t>
        </is>
      </c>
      <c r="E114" s="133" t="n"/>
      <c r="F114" s="141" t="inlineStr">
        <is>
          <t>DIVERTER GATE 2 SOLENOID RETRACT</t>
        </is>
      </c>
      <c r="G114" s="142" t="inlineStr">
        <is>
          <t>DG7001</t>
        </is>
      </c>
      <c r="H114" s="133" t="inlineStr">
        <is>
          <t>PROC</t>
        </is>
      </c>
      <c r="I114" s="132" t="inlineStr">
        <is>
          <t>RL7-BINS-RIO1</t>
        </is>
      </c>
      <c r="J114" s="133" t="n">
        <v>3</v>
      </c>
      <c r="K114" s="129" t="n">
        <v>4</v>
      </c>
      <c r="L114" s="129" t="n">
        <v>3</v>
      </c>
      <c r="M114" s="131" t="inlineStr">
        <is>
          <t>24 VDC DO</t>
        </is>
      </c>
      <c r="N114" s="129" t="inlineStr">
        <is>
          <t>5069-IB16</t>
        </is>
      </c>
      <c r="O114" s="139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40" t="n"/>
      <c r="AA114" t="inlineStr">
        <is>
          <t>Matched</t>
        </is>
      </c>
      <c r="AB114" s="315" t="n">
        <v>0.99</v>
      </c>
      <c r="AC114" t="inlineStr">
        <is>
          <t>High</t>
        </is>
      </c>
      <c r="AD114" t="n">
        <v>1</v>
      </c>
      <c r="AE114" t="inlineStr">
        <is>
          <t>DG7001</t>
        </is>
      </c>
      <c r="AF114" t="n">
        <v>5</v>
      </c>
      <c r="AG114" t="inlineStr">
        <is>
          <t>drawing</t>
        </is>
      </c>
      <c r="AH114" t="inlineStr">
        <is>
          <t>stacked:isa</t>
        </is>
      </c>
      <c r="AI114" t="inlineStr">
        <is>
          <t>drawing zone; process page; mapped sheet; excel sheet match</t>
        </is>
      </c>
      <c r="AJ114" t="inlineStr">
        <is>
          <t>native</t>
        </is>
      </c>
      <c r="AK114" t="inlineStr">
        <is>
          <t>native-only</t>
        </is>
      </c>
      <c r="AM114" t="inlineStr">
        <is>
          <t>5, 6</t>
        </is>
      </c>
      <c r="AN114" t="inlineStr">
        <is>
          <t>Yes</t>
        </is>
      </c>
      <c r="AO114" t="inlineStr">
        <is>
          <t>duplicate sheet id</t>
        </is>
      </c>
      <c r="AP114" t="inlineStr">
        <is>
          <t>p5:native:133, p5:native:134</t>
        </is>
      </c>
      <c r="AQ114" t="n">
        <v>2</v>
      </c>
    </row>
    <row r="115">
      <c r="A115" s="203">
        <f>ROW()-2</f>
        <v/>
      </c>
      <c r="B115" s="128" t="n"/>
      <c r="C115" s="314" t="inlineStr">
        <is>
          <t>RL7-CNV-111-XY-03A</t>
        </is>
      </c>
      <c r="D115" s="264" t="inlineStr">
        <is>
          <t>SOL1505081</t>
        </is>
      </c>
      <c r="E115" s="133" t="n"/>
      <c r="F115" s="141" t="inlineStr">
        <is>
          <t>DIVERTER GATE 3 SOLENOID EXTEND</t>
        </is>
      </c>
      <c r="G115" s="142" t="inlineStr">
        <is>
          <t>DG7001</t>
        </is>
      </c>
      <c r="H115" s="133" t="inlineStr">
        <is>
          <t>PROC</t>
        </is>
      </c>
      <c r="I115" s="132" t="inlineStr">
        <is>
          <t>RL7-BINS-RIO1</t>
        </is>
      </c>
      <c r="J115" s="133" t="n">
        <v>3</v>
      </c>
      <c r="K115" s="129" t="n">
        <v>4</v>
      </c>
      <c r="L115" s="129" t="n">
        <v>4</v>
      </c>
      <c r="M115" s="131" t="inlineStr">
        <is>
          <t>24 VDC DO</t>
        </is>
      </c>
      <c r="N115" s="129" t="inlineStr">
        <is>
          <t>5069-IB16</t>
        </is>
      </c>
      <c r="O115" s="139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40" t="n"/>
      <c r="AA115" t="inlineStr">
        <is>
          <t>Matched</t>
        </is>
      </c>
      <c r="AB115" s="315" t="n">
        <v>0.99</v>
      </c>
      <c r="AC115" t="inlineStr">
        <is>
          <t>High</t>
        </is>
      </c>
      <c r="AD115" t="n">
        <v>1</v>
      </c>
      <c r="AE115" t="inlineStr">
        <is>
          <t>DG7001</t>
        </is>
      </c>
      <c r="AF115" t="n">
        <v>5</v>
      </c>
      <c r="AG115" t="inlineStr">
        <is>
          <t>drawing</t>
        </is>
      </c>
      <c r="AH115" t="inlineStr">
        <is>
          <t>stacked:isa</t>
        </is>
      </c>
      <c r="AI115" t="inlineStr">
        <is>
          <t>drawing zone; process page; mapped sheet; excel sheet match</t>
        </is>
      </c>
      <c r="AJ115" t="inlineStr">
        <is>
          <t>native</t>
        </is>
      </c>
      <c r="AK115" t="inlineStr">
        <is>
          <t>native-only</t>
        </is>
      </c>
      <c r="AM115" t="inlineStr">
        <is>
          <t>5, 6</t>
        </is>
      </c>
      <c r="AN115" t="inlineStr">
        <is>
          <t>Yes</t>
        </is>
      </c>
      <c r="AO115" t="inlineStr">
        <is>
          <t>duplicate sheet id</t>
        </is>
      </c>
      <c r="AP115" t="inlineStr">
        <is>
          <t>p5:native:135, p5:native:136</t>
        </is>
      </c>
      <c r="AQ115" t="n">
        <v>2</v>
      </c>
    </row>
    <row r="116">
      <c r="A116" s="203">
        <f>ROW()-2</f>
        <v/>
      </c>
      <c r="B116" s="128" t="n"/>
      <c r="C116" s="314" t="inlineStr">
        <is>
          <t>RL7-CNV-111-XY-03B</t>
        </is>
      </c>
      <c r="D116" s="264" t="inlineStr">
        <is>
          <t>SOL1505081</t>
        </is>
      </c>
      <c r="E116" s="133" t="n"/>
      <c r="F116" s="141" t="inlineStr">
        <is>
          <t>DIVERTER GATE 3 SOLENOID RETRACT</t>
        </is>
      </c>
      <c r="G116" s="142" t="inlineStr">
        <is>
          <t>DG7001</t>
        </is>
      </c>
      <c r="H116" s="133" t="inlineStr">
        <is>
          <t>PROC</t>
        </is>
      </c>
      <c r="I116" s="132" t="inlineStr">
        <is>
          <t>RL7-BINS-RIO1</t>
        </is>
      </c>
      <c r="J116" s="133" t="n">
        <v>3</v>
      </c>
      <c r="K116" s="129" t="n">
        <v>4</v>
      </c>
      <c r="L116" s="129" t="n">
        <v>5</v>
      </c>
      <c r="M116" s="131" t="inlineStr">
        <is>
          <t>24 VDC DO</t>
        </is>
      </c>
      <c r="N116" s="129" t="inlineStr">
        <is>
          <t>5069-IB16</t>
        </is>
      </c>
      <c r="O116" s="139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40" t="n"/>
      <c r="AA116" t="inlineStr">
        <is>
          <t>Matched</t>
        </is>
      </c>
      <c r="AB116" s="315" t="n">
        <v>0.99</v>
      </c>
      <c r="AC116" t="inlineStr">
        <is>
          <t>High</t>
        </is>
      </c>
      <c r="AD116" t="n">
        <v>1</v>
      </c>
      <c r="AE116" t="inlineStr">
        <is>
          <t>DG7001</t>
        </is>
      </c>
      <c r="AF116" t="n">
        <v>5</v>
      </c>
      <c r="AG116" t="inlineStr">
        <is>
          <t>drawing</t>
        </is>
      </c>
      <c r="AH116" t="inlineStr">
        <is>
          <t>stacked:isa</t>
        </is>
      </c>
      <c r="AI116" t="inlineStr">
        <is>
          <t>drawing zone; process page; mapped sheet; excel sheet match</t>
        </is>
      </c>
      <c r="AJ116" t="inlineStr">
        <is>
          <t>native</t>
        </is>
      </c>
      <c r="AK116" t="inlineStr">
        <is>
          <t>native-only</t>
        </is>
      </c>
      <c r="AM116" t="inlineStr">
        <is>
          <t>5, 6</t>
        </is>
      </c>
      <c r="AN116" t="inlineStr">
        <is>
          <t>Yes</t>
        </is>
      </c>
      <c r="AO116" t="inlineStr">
        <is>
          <t>duplicate sheet id</t>
        </is>
      </c>
      <c r="AP116" t="inlineStr">
        <is>
          <t>p5:native:137, p5:native:138</t>
        </is>
      </c>
      <c r="AQ116" t="n">
        <v>2</v>
      </c>
    </row>
    <row r="117">
      <c r="A117" s="203">
        <f>ROW()-2</f>
        <v/>
      </c>
      <c r="B117" s="128" t="n"/>
      <c r="C117" s="314" t="inlineStr">
        <is>
          <t>RL7-CNV-111-XY-04A</t>
        </is>
      </c>
      <c r="D117" s="264" t="inlineStr">
        <is>
          <t>SOL1505101</t>
        </is>
      </c>
      <c r="E117" s="133" t="n"/>
      <c r="F117" s="141" t="inlineStr">
        <is>
          <t>DIVERTER GATE 4 SOLENOID EXTEND</t>
        </is>
      </c>
      <c r="G117" s="142" t="inlineStr">
        <is>
          <t>DG7001</t>
        </is>
      </c>
      <c r="H117" s="133" t="inlineStr">
        <is>
          <t>PROC</t>
        </is>
      </c>
      <c r="I117" s="132" t="inlineStr">
        <is>
          <t>RL7-BINS-RIO1</t>
        </is>
      </c>
      <c r="J117" s="133" t="n">
        <v>3</v>
      </c>
      <c r="K117" s="129" t="n">
        <v>4</v>
      </c>
      <c r="L117" s="129" t="n">
        <v>6</v>
      </c>
      <c r="M117" s="131" t="inlineStr">
        <is>
          <t>24 VDC DO</t>
        </is>
      </c>
      <c r="N117" s="129" t="inlineStr">
        <is>
          <t>5069-IB16</t>
        </is>
      </c>
      <c r="O117" s="139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40" t="n"/>
      <c r="AA117" t="inlineStr">
        <is>
          <t>Matched</t>
        </is>
      </c>
      <c r="AB117" s="315" t="n">
        <v>0.99</v>
      </c>
      <c r="AC117" t="inlineStr">
        <is>
          <t>High</t>
        </is>
      </c>
      <c r="AD117" t="n">
        <v>1</v>
      </c>
      <c r="AE117" t="inlineStr">
        <is>
          <t>DG7001</t>
        </is>
      </c>
      <c r="AF117" t="n">
        <v>5</v>
      </c>
      <c r="AG117" t="inlineStr">
        <is>
          <t>drawing</t>
        </is>
      </c>
      <c r="AH117" t="inlineStr">
        <is>
          <t>stacked:isa</t>
        </is>
      </c>
      <c r="AI117" t="inlineStr">
        <is>
          <t>drawing zone; process page; mapped sheet; excel sheet match</t>
        </is>
      </c>
      <c r="AJ117" t="inlineStr">
        <is>
          <t>native</t>
        </is>
      </c>
      <c r="AK117" t="inlineStr">
        <is>
          <t>native-only</t>
        </is>
      </c>
      <c r="AM117" t="inlineStr">
        <is>
          <t>5, 6</t>
        </is>
      </c>
      <c r="AN117" t="inlineStr">
        <is>
          <t>Yes</t>
        </is>
      </c>
      <c r="AO117" t="inlineStr">
        <is>
          <t>duplicate sheet id</t>
        </is>
      </c>
      <c r="AP117" t="inlineStr">
        <is>
          <t>p5:native:139, p5:native:140</t>
        </is>
      </c>
      <c r="AQ117" t="n">
        <v>2</v>
      </c>
    </row>
    <row r="118">
      <c r="A118" s="203">
        <f>ROW()-2</f>
        <v/>
      </c>
      <c r="B118" s="128" t="n"/>
      <c r="C118" s="314" t="inlineStr">
        <is>
          <t>RL7-CNV-111-XY-04B</t>
        </is>
      </c>
      <c r="D118" s="264" t="inlineStr">
        <is>
          <t>SOL1505101</t>
        </is>
      </c>
      <c r="E118" s="133" t="n"/>
      <c r="F118" s="141" t="inlineStr">
        <is>
          <t>DIVERTER GATE 4 SOLENOID RETRACT</t>
        </is>
      </c>
      <c r="G118" s="142" t="inlineStr">
        <is>
          <t>DG7001</t>
        </is>
      </c>
      <c r="H118" s="133" t="inlineStr">
        <is>
          <t>PROC</t>
        </is>
      </c>
      <c r="I118" s="132" t="inlineStr">
        <is>
          <t>RL7-BINS-RIO1</t>
        </is>
      </c>
      <c r="J118" s="133" t="n">
        <v>3</v>
      </c>
      <c r="K118" s="129" t="n">
        <v>4</v>
      </c>
      <c r="L118" s="129" t="n">
        <v>7</v>
      </c>
      <c r="M118" s="131" t="inlineStr">
        <is>
          <t>24 VDC DO</t>
        </is>
      </c>
      <c r="N118" s="129" t="inlineStr">
        <is>
          <t>5069-IB16</t>
        </is>
      </c>
      <c r="O118" s="139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40" t="n"/>
      <c r="AA118" t="inlineStr">
        <is>
          <t>Matched</t>
        </is>
      </c>
      <c r="AB118" s="315" t="n">
        <v>0.99</v>
      </c>
      <c r="AC118" t="inlineStr">
        <is>
          <t>High</t>
        </is>
      </c>
      <c r="AD118" t="n">
        <v>1</v>
      </c>
      <c r="AE118" t="inlineStr">
        <is>
          <t>DG7001</t>
        </is>
      </c>
      <c r="AF118" t="n">
        <v>5</v>
      </c>
      <c r="AG118" t="inlineStr">
        <is>
          <t>drawing</t>
        </is>
      </c>
      <c r="AH118" t="inlineStr">
        <is>
          <t>stacked:isa</t>
        </is>
      </c>
      <c r="AI118" t="inlineStr">
        <is>
          <t>drawing zone; process page; mapped sheet; excel sheet match</t>
        </is>
      </c>
      <c r="AJ118" t="inlineStr">
        <is>
          <t>native</t>
        </is>
      </c>
      <c r="AK118" t="inlineStr">
        <is>
          <t>native-only</t>
        </is>
      </c>
      <c r="AM118" t="inlineStr">
        <is>
          <t>5, 6</t>
        </is>
      </c>
      <c r="AN118" t="inlineStr">
        <is>
          <t>Yes</t>
        </is>
      </c>
      <c r="AO118" t="inlineStr">
        <is>
          <t>duplicate sheet id</t>
        </is>
      </c>
      <c r="AP118" t="inlineStr">
        <is>
          <t>p5:native:141, p5:native:142</t>
        </is>
      </c>
      <c r="AQ118" t="n">
        <v>2</v>
      </c>
    </row>
    <row r="119">
      <c r="A119" s="203">
        <f>ROW()-2</f>
        <v/>
      </c>
      <c r="B119" s="128" t="n"/>
      <c r="C119" s="316" t="inlineStr">
        <is>
          <t>RL7-CNV-110-XY-01A</t>
        </is>
      </c>
      <c r="D119" s="264" t="inlineStr">
        <is>
          <t>SOL1405031</t>
        </is>
      </c>
      <c r="E119" s="133" t="n"/>
      <c r="F119" s="141" t="inlineStr">
        <is>
          <t>METAL DETECTOR CONVEYOR PULL NOSE EXTEND</t>
        </is>
      </c>
      <c r="G119" s="142" t="inlineStr">
        <is>
          <t>DG7001</t>
        </is>
      </c>
      <c r="H119" s="133" t="inlineStr">
        <is>
          <t>PROC</t>
        </is>
      </c>
      <c r="I119" s="132" t="inlineStr">
        <is>
          <t>RL7-BINS-RIO1</t>
        </is>
      </c>
      <c r="J119" s="133" t="n">
        <v>3</v>
      </c>
      <c r="K119" s="129" t="n">
        <v>4</v>
      </c>
      <c r="L119" s="129" t="n">
        <v>8</v>
      </c>
      <c r="M119" s="131" t="inlineStr">
        <is>
          <t>24 VDC DO</t>
        </is>
      </c>
      <c r="N119" s="129" t="inlineStr">
        <is>
          <t>5069-ARM</t>
        </is>
      </c>
      <c r="O119" s="139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40" t="n"/>
      <c r="AA119" t="inlineStr">
        <is>
          <t>Matched</t>
        </is>
      </c>
      <c r="AB119" s="315" t="n">
        <v>0.99</v>
      </c>
      <c r="AC119" t="inlineStr">
        <is>
          <t>High</t>
        </is>
      </c>
      <c r="AD119" t="n">
        <v>1</v>
      </c>
      <c r="AE119" t="inlineStr">
        <is>
          <t>DG7001</t>
        </is>
      </c>
      <c r="AF119" t="n">
        <v>5</v>
      </c>
      <c r="AG119" t="inlineStr">
        <is>
          <t>drawing</t>
        </is>
      </c>
      <c r="AH119" t="inlineStr">
        <is>
          <t>stacked:isa</t>
        </is>
      </c>
      <c r="AI119" t="inlineStr">
        <is>
          <t>drawing zone; process page; mapped sheet; excel sheet match</t>
        </is>
      </c>
      <c r="AJ119" t="inlineStr">
        <is>
          <t>native</t>
        </is>
      </c>
      <c r="AK119" t="inlineStr">
        <is>
          <t>native-only</t>
        </is>
      </c>
      <c r="AM119" t="inlineStr">
        <is>
          <t>5, 6</t>
        </is>
      </c>
      <c r="AN119" t="inlineStr">
        <is>
          <t>Yes</t>
        </is>
      </c>
      <c r="AO119" t="inlineStr">
        <is>
          <t>duplicate sheet id</t>
        </is>
      </c>
      <c r="AP119" t="inlineStr">
        <is>
          <t>p5:native:119, p5:native:120</t>
        </is>
      </c>
      <c r="AQ119" t="n">
        <v>2</v>
      </c>
    </row>
    <row r="120">
      <c r="A120" s="259">
        <f>ROW()-2</f>
        <v/>
      </c>
      <c r="B120" s="128" t="n"/>
      <c r="C120" s="316" t="inlineStr">
        <is>
          <t>RL7-CNV-110-XY-01B</t>
        </is>
      </c>
      <c r="D120" s="264" t="inlineStr">
        <is>
          <t>SOL1405031</t>
        </is>
      </c>
      <c r="E120" s="133" t="n"/>
      <c r="F120" s="141" t="inlineStr">
        <is>
          <t>METAL DETECTOR CONVEYOR PULL NOSE RETRACT</t>
        </is>
      </c>
      <c r="G120" s="142" t="inlineStr">
        <is>
          <t>DG7001</t>
        </is>
      </c>
      <c r="H120" s="133" t="inlineStr">
        <is>
          <t>PROC</t>
        </is>
      </c>
      <c r="I120" s="132" t="inlineStr">
        <is>
          <t>RL7-BINS-RIO1</t>
        </is>
      </c>
      <c r="J120" s="133" t="n">
        <v>3</v>
      </c>
      <c r="K120" s="129" t="n">
        <v>4</v>
      </c>
      <c r="L120" s="129" t="n">
        <v>9</v>
      </c>
      <c r="M120" s="131" t="inlineStr">
        <is>
          <t>24 VDC DO</t>
        </is>
      </c>
      <c r="N120" s="129" t="inlineStr">
        <is>
          <t>5069-IB16</t>
        </is>
      </c>
      <c r="O120" s="139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40" t="n"/>
      <c r="AA120" t="inlineStr">
        <is>
          <t>Matched</t>
        </is>
      </c>
      <c r="AB120" s="315" t="n">
        <v>0.99</v>
      </c>
      <c r="AC120" t="inlineStr">
        <is>
          <t>High</t>
        </is>
      </c>
      <c r="AD120" t="n">
        <v>1</v>
      </c>
      <c r="AE120" t="inlineStr">
        <is>
          <t>DG7001</t>
        </is>
      </c>
      <c r="AF120" t="n">
        <v>5</v>
      </c>
      <c r="AG120" t="inlineStr">
        <is>
          <t>drawing</t>
        </is>
      </c>
      <c r="AH120" t="inlineStr">
        <is>
          <t>stacked:isa</t>
        </is>
      </c>
      <c r="AI120" t="inlineStr">
        <is>
          <t>drawing zone; process page; mapped sheet; excel sheet match</t>
        </is>
      </c>
      <c r="AJ120" t="inlineStr">
        <is>
          <t>native</t>
        </is>
      </c>
      <c r="AK120" t="inlineStr">
        <is>
          <t>native-only</t>
        </is>
      </c>
      <c r="AM120" t="inlineStr">
        <is>
          <t>5, 6</t>
        </is>
      </c>
      <c r="AN120" t="inlineStr">
        <is>
          <t>Yes</t>
        </is>
      </c>
      <c r="AO120" t="inlineStr">
        <is>
          <t>duplicate sheet id</t>
        </is>
      </c>
      <c r="AP120" t="inlineStr">
        <is>
          <t>p5:native:121, p5:native:122</t>
        </is>
      </c>
      <c r="AQ120" t="n">
        <v>2</v>
      </c>
    </row>
    <row r="121">
      <c r="A121" s="203">
        <f>ROW()-2</f>
        <v/>
      </c>
      <c r="B121" s="128" t="n"/>
      <c r="C121" s="317" t="inlineStr">
        <is>
          <t>RL7-CNV-111-XV-05</t>
        </is>
      </c>
      <c r="D121" s="264" t="n"/>
      <c r="E121" s="133" t="n"/>
      <c r="F121" s="141" t="inlineStr">
        <is>
          <t>SURGE BIN SUPPLY CONVEYOR SANITATION VALVE OPEN SOLENOID</t>
        </is>
      </c>
      <c r="G121" s="142" t="inlineStr">
        <is>
          <t>DG7001</t>
        </is>
      </c>
      <c r="H121" s="133" t="inlineStr">
        <is>
          <t>PROC</t>
        </is>
      </c>
      <c r="I121" s="132" t="inlineStr">
        <is>
          <t>RL7-BINS-RIO1</t>
        </is>
      </c>
      <c r="J121" s="133" t="n">
        <v>3</v>
      </c>
      <c r="K121" s="129" t="n">
        <v>4</v>
      </c>
      <c r="L121" s="129" t="n">
        <v>10</v>
      </c>
      <c r="M121" s="131" t="inlineStr">
        <is>
          <t>24 VDC DO</t>
        </is>
      </c>
      <c r="N121" s="129" t="inlineStr">
        <is>
          <t>5069-IB16</t>
        </is>
      </c>
      <c r="O121" s="139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40" t="n"/>
      <c r="AA121" t="inlineStr">
        <is>
          <t>Not found in PDF</t>
        </is>
      </c>
      <c r="AC121" t="inlineStr">
        <is>
          <t>Low</t>
        </is>
      </c>
      <c r="AM121" t="inlineStr">
        <is>
          <t>5, 6</t>
        </is>
      </c>
      <c r="AN121" t="inlineStr">
        <is>
          <t>Yes</t>
        </is>
      </c>
      <c r="AO121" t="inlineStr">
        <is>
          <t>duplicate sheet id</t>
        </is>
      </c>
    </row>
    <row r="122">
      <c r="A122" s="259">
        <f>ROW()-2</f>
        <v/>
      </c>
      <c r="B122" s="128" t="n"/>
      <c r="C122" s="316" t="inlineStr">
        <is>
          <t>RL7-CNV-110-XY-02</t>
        </is>
      </c>
      <c r="D122" s="264" t="n"/>
      <c r="E122" s="133" t="n"/>
      <c r="F122" s="141" t="inlineStr">
        <is>
          <t>METAL DETECTOR CONVEYOR SANITATION VALVE OPEN SOLNOID</t>
        </is>
      </c>
      <c r="G122" s="142" t="inlineStr">
        <is>
          <t>DG7001</t>
        </is>
      </c>
      <c r="H122" s="133" t="inlineStr">
        <is>
          <t>PROC</t>
        </is>
      </c>
      <c r="I122" s="132" t="inlineStr">
        <is>
          <t>RL7-BINS-RIO1</t>
        </is>
      </c>
      <c r="J122" s="133" t="n">
        <v>3</v>
      </c>
      <c r="K122" s="129" t="n">
        <v>4</v>
      </c>
      <c r="L122" s="129" t="n">
        <v>11</v>
      </c>
      <c r="M122" s="131" t="inlineStr">
        <is>
          <t>24 VDC DO</t>
        </is>
      </c>
      <c r="N122" s="129" t="inlineStr">
        <is>
          <t>5069-IB16</t>
        </is>
      </c>
      <c r="O122" s="139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40" t="n"/>
      <c r="AA122" t="inlineStr">
        <is>
          <t>Matched</t>
        </is>
      </c>
      <c r="AB122" s="315" t="n">
        <v>0.99</v>
      </c>
      <c r="AC122" t="inlineStr">
        <is>
          <t>High</t>
        </is>
      </c>
      <c r="AD122" t="n">
        <v>1</v>
      </c>
      <c r="AE122" t="inlineStr">
        <is>
          <t>DG7001</t>
        </is>
      </c>
      <c r="AF122" t="n">
        <v>5</v>
      </c>
      <c r="AG122" t="inlineStr">
        <is>
          <t>drawing</t>
        </is>
      </c>
      <c r="AH122" t="inlineStr">
        <is>
          <t>stacked:isa</t>
        </is>
      </c>
      <c r="AI122" t="inlineStr">
        <is>
          <t>drawing zone; process page; mapped sheet; excel sheet match</t>
        </is>
      </c>
      <c r="AJ122" t="inlineStr">
        <is>
          <t>native</t>
        </is>
      </c>
      <c r="AK122" t="inlineStr">
        <is>
          <t>native-only</t>
        </is>
      </c>
      <c r="AM122" t="inlineStr">
        <is>
          <t>5, 6</t>
        </is>
      </c>
      <c r="AN122" t="inlineStr">
        <is>
          <t>Yes</t>
        </is>
      </c>
      <c r="AO122" t="inlineStr">
        <is>
          <t>duplicate sheet id</t>
        </is>
      </c>
      <c r="AP122" t="inlineStr">
        <is>
          <t>p5:native:98, p5:native:99</t>
        </is>
      </c>
      <c r="AQ122" t="n">
        <v>2</v>
      </c>
    </row>
    <row r="123">
      <c r="A123" s="203">
        <f>ROW()-2</f>
        <v/>
      </c>
      <c r="B123" s="128" t="inlineStr">
        <is>
          <t>RL7-BIN-101-ZSS-01</t>
        </is>
      </c>
      <c r="C123" s="313" t="inlineStr">
        <is>
          <t>RL7-BIN-101-ZSS-01</t>
        </is>
      </c>
      <c r="D123" s="263" t="inlineStr">
        <is>
          <t>PRS1605021</t>
        </is>
      </c>
      <c r="E123" s="128" t="n"/>
      <c r="F123" s="130" t="inlineStr">
        <is>
          <t xml:space="preserve">SURGE BIN 1 DISCHARGE TROUGH COVER SAFETY INPUT CH1 </t>
        </is>
      </c>
      <c r="G123" s="131" t="inlineStr">
        <is>
          <t>DG7002</t>
        </is>
      </c>
      <c r="H123" s="128" t="inlineStr">
        <is>
          <t>PROC</t>
        </is>
      </c>
      <c r="I123" s="132" t="inlineStr">
        <is>
          <t>RL7-BINA-RIO1</t>
        </is>
      </c>
      <c r="J123" s="133" t="n">
        <v>4</v>
      </c>
      <c r="K123" s="129" t="n">
        <v>1</v>
      </c>
      <c r="L123" s="129" t="n">
        <v>0</v>
      </c>
      <c r="M123" s="131" t="inlineStr">
        <is>
          <t>24 VDC SI</t>
        </is>
      </c>
      <c r="N123" s="131" t="inlineStr">
        <is>
          <t>5069-IB8S</t>
        </is>
      </c>
      <c r="O123" s="134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35" t="n"/>
      <c r="AA123" t="inlineStr">
        <is>
          <t>No mapped PDF sheet</t>
        </is>
      </c>
      <c r="AC123" t="inlineStr">
        <is>
          <t>Low</t>
        </is>
      </c>
      <c r="AN123" t="inlineStr">
        <is>
          <t>Yes</t>
        </is>
      </c>
      <c r="AO123" t="inlineStr">
        <is>
          <t>sheet value not mapped to PDF</t>
        </is>
      </c>
    </row>
    <row r="124">
      <c r="A124" s="203">
        <f>ROW()-2</f>
        <v/>
      </c>
      <c r="B124" s="128" t="inlineStr">
        <is>
          <t>RL7-BIN-101-ZSS-01</t>
        </is>
      </c>
      <c r="C124" s="313" t="inlineStr">
        <is>
          <t>RL7-BIN-101-ZSS-01</t>
        </is>
      </c>
      <c r="D124" s="263" t="inlineStr">
        <is>
          <t>PRS1605021</t>
        </is>
      </c>
      <c r="E124" s="128" t="n"/>
      <c r="F124" s="130" t="inlineStr">
        <is>
          <t xml:space="preserve">SURGE BIN 1 DISCHARGE TROUGH COVER SAFETY INPUT CH2 </t>
        </is>
      </c>
      <c r="G124" s="131" t="inlineStr">
        <is>
          <t>DG7002</t>
        </is>
      </c>
      <c r="H124" s="128" t="inlineStr">
        <is>
          <t>PROC</t>
        </is>
      </c>
      <c r="I124" s="132" t="inlineStr">
        <is>
          <t>RL7-BINA-RIO1</t>
        </is>
      </c>
      <c r="J124" s="133" t="n">
        <v>4</v>
      </c>
      <c r="K124" s="129" t="n">
        <v>1</v>
      </c>
      <c r="L124" s="129" t="n">
        <v>1</v>
      </c>
      <c r="M124" s="131" t="inlineStr">
        <is>
          <t>24 VDC SI</t>
        </is>
      </c>
      <c r="N124" s="131" t="inlineStr">
        <is>
          <t>5069-IB8S</t>
        </is>
      </c>
      <c r="O124" s="134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35" t="n"/>
      <c r="AA124" t="inlineStr">
        <is>
          <t>No mapped PDF sheet</t>
        </is>
      </c>
      <c r="AC124" t="inlineStr">
        <is>
          <t>Low</t>
        </is>
      </c>
      <c r="AN124" t="inlineStr">
        <is>
          <t>Yes</t>
        </is>
      </c>
      <c r="AO124" t="inlineStr">
        <is>
          <t>sheet value not mapped to PDF</t>
        </is>
      </c>
    </row>
    <row r="125" customFormat="1" s="136">
      <c r="A125" s="203">
        <f>ROW()-2</f>
        <v/>
      </c>
      <c r="B125" s="128" t="inlineStr">
        <is>
          <t>RL7-BIN-101-ZSS-02</t>
        </is>
      </c>
      <c r="C125" s="313" t="inlineStr">
        <is>
          <t>RL7-BIN-101-ZSS-02</t>
        </is>
      </c>
      <c r="D125" s="263" t="inlineStr">
        <is>
          <t>PRS1605061</t>
        </is>
      </c>
      <c r="E125" s="128" t="n"/>
      <c r="F125" s="138" t="inlineStr">
        <is>
          <t xml:space="preserve">SURGE BIN 1 DISCHARGE SANITATION DOOR SAFETY INPUT CH1 </t>
        </is>
      </c>
      <c r="G125" s="131" t="inlineStr">
        <is>
          <t>DG7002</t>
        </is>
      </c>
      <c r="H125" s="128" t="inlineStr">
        <is>
          <t>PROC</t>
        </is>
      </c>
      <c r="I125" s="132" t="inlineStr">
        <is>
          <t>RL7-BINA-RIO1</t>
        </is>
      </c>
      <c r="J125" s="133" t="n">
        <v>4</v>
      </c>
      <c r="K125" s="129" t="n">
        <v>1</v>
      </c>
      <c r="L125" s="129" t="n">
        <v>2</v>
      </c>
      <c r="M125" s="131" t="inlineStr">
        <is>
          <t>24 VDC SI</t>
        </is>
      </c>
      <c r="N125" s="131" t="inlineStr">
        <is>
          <t>5069-IB8S</t>
        </is>
      </c>
      <c r="O125" s="134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35" t="n"/>
      <c r="AA125" t="inlineStr">
        <is>
          <t>No mapped PDF sheet</t>
        </is>
      </c>
      <c r="AC125" t="inlineStr">
        <is>
          <t>Low</t>
        </is>
      </c>
      <c r="AN125" t="inlineStr">
        <is>
          <t>Yes</t>
        </is>
      </c>
      <c r="AO125" t="inlineStr">
        <is>
          <t>sheet value not mapped to PDF</t>
        </is>
      </c>
    </row>
    <row r="126">
      <c r="A126" s="203">
        <f>ROW()-2</f>
        <v/>
      </c>
      <c r="B126" s="128" t="inlineStr">
        <is>
          <t>RL7-BIN-101-ZSS-02</t>
        </is>
      </c>
      <c r="C126" s="313" t="inlineStr">
        <is>
          <t>RL7-BIN-101-ZSS-02</t>
        </is>
      </c>
      <c r="D126" s="263" t="inlineStr">
        <is>
          <t>PRS1605061</t>
        </is>
      </c>
      <c r="E126" s="128" t="n"/>
      <c r="F126" s="138" t="inlineStr">
        <is>
          <t xml:space="preserve">SURGE BIN 1 DISCHARGE SANITATION DOOR SAFETY INPUT CH2 </t>
        </is>
      </c>
      <c r="G126" s="131" t="inlineStr">
        <is>
          <t>DG7002</t>
        </is>
      </c>
      <c r="H126" s="128" t="inlineStr">
        <is>
          <t>PROC</t>
        </is>
      </c>
      <c r="I126" s="132" t="inlineStr">
        <is>
          <t>RL7-BINA-RIO1</t>
        </is>
      </c>
      <c r="J126" s="133" t="n">
        <v>4</v>
      </c>
      <c r="K126" s="129" t="n">
        <v>1</v>
      </c>
      <c r="L126" s="129" t="n">
        <v>3</v>
      </c>
      <c r="M126" s="131" t="inlineStr">
        <is>
          <t>24 VDC SI</t>
        </is>
      </c>
      <c r="N126" s="131" t="inlineStr">
        <is>
          <t>5069-IB8S</t>
        </is>
      </c>
      <c r="O126" s="134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35" t="n"/>
      <c r="AA126" t="inlineStr">
        <is>
          <t>No mapped PDF sheet</t>
        </is>
      </c>
      <c r="AC126" t="inlineStr">
        <is>
          <t>Low</t>
        </is>
      </c>
      <c r="AN126" t="inlineStr">
        <is>
          <t>Yes</t>
        </is>
      </c>
      <c r="AO126" t="inlineStr">
        <is>
          <t>sheet value not mapped to PDF</t>
        </is>
      </c>
    </row>
    <row r="127">
      <c r="A127" s="203">
        <f>ROW()-2</f>
        <v/>
      </c>
      <c r="B127" s="128" t="inlineStr">
        <is>
          <t>RL7-BIN-102-ZSS-01</t>
        </is>
      </c>
      <c r="C127" s="313" t="inlineStr">
        <is>
          <t>RL7-BIN-102-ZSS-01</t>
        </is>
      </c>
      <c r="D127" s="263" t="inlineStr">
        <is>
          <t>PRS1705021</t>
        </is>
      </c>
      <c r="E127" s="128" t="n"/>
      <c r="F127" s="130" t="inlineStr">
        <is>
          <t xml:space="preserve">SURGE BIN 2 DISCHARGE TROUGH COVER SAFETY INPUT CH1 </t>
        </is>
      </c>
      <c r="G127" s="131" t="inlineStr">
        <is>
          <t>DG7002</t>
        </is>
      </c>
      <c r="H127" s="128" t="inlineStr">
        <is>
          <t>PROC</t>
        </is>
      </c>
      <c r="I127" s="132" t="inlineStr">
        <is>
          <t>RL7-BINA-RIO1</t>
        </is>
      </c>
      <c r="J127" s="133" t="n">
        <v>4</v>
      </c>
      <c r="K127" s="129" t="n">
        <v>1</v>
      </c>
      <c r="L127" s="129" t="n">
        <v>4</v>
      </c>
      <c r="M127" s="131" t="inlineStr">
        <is>
          <t>24 VDC SI</t>
        </is>
      </c>
      <c r="N127" s="131" t="inlineStr">
        <is>
          <t>5069-IB8S</t>
        </is>
      </c>
      <c r="O127" s="134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35" t="n"/>
      <c r="AA127" t="inlineStr">
        <is>
          <t>No mapped PDF sheet</t>
        </is>
      </c>
      <c r="AC127" t="inlineStr">
        <is>
          <t>Low</t>
        </is>
      </c>
      <c r="AN127" t="inlineStr">
        <is>
          <t>Yes</t>
        </is>
      </c>
      <c r="AO127" t="inlineStr">
        <is>
          <t>sheet value not mapped to PDF</t>
        </is>
      </c>
    </row>
    <row r="128">
      <c r="A128" s="203">
        <f>ROW()-2</f>
        <v/>
      </c>
      <c r="B128" s="128" t="inlineStr">
        <is>
          <t>RL7-BIN-102-ZSS-01</t>
        </is>
      </c>
      <c r="C128" s="313" t="inlineStr">
        <is>
          <t>RL7-BIN-102-ZSS-01</t>
        </is>
      </c>
      <c r="D128" s="263" t="inlineStr">
        <is>
          <t>PRS1705021</t>
        </is>
      </c>
      <c r="E128" s="128" t="n"/>
      <c r="F128" s="130" t="inlineStr">
        <is>
          <t xml:space="preserve">SURGE BIN 2 DISCHARGE TROUGH COVER SAFETY INPUT CH2 </t>
        </is>
      </c>
      <c r="G128" s="131" t="inlineStr">
        <is>
          <t>DG7002</t>
        </is>
      </c>
      <c r="H128" s="128" t="inlineStr">
        <is>
          <t>PROC</t>
        </is>
      </c>
      <c r="I128" s="132" t="inlineStr">
        <is>
          <t>RL7-BINA-RIO1</t>
        </is>
      </c>
      <c r="J128" s="133" t="n">
        <v>4</v>
      </c>
      <c r="K128" s="129" t="n">
        <v>1</v>
      </c>
      <c r="L128" s="129" t="n">
        <v>5</v>
      </c>
      <c r="M128" s="131" t="inlineStr">
        <is>
          <t>24 VDC SI</t>
        </is>
      </c>
      <c r="N128" s="131" t="inlineStr">
        <is>
          <t>5069-IB8S</t>
        </is>
      </c>
      <c r="O128" s="134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35" t="n"/>
      <c r="AA128" t="inlineStr">
        <is>
          <t>No mapped PDF sheet</t>
        </is>
      </c>
      <c r="AC128" t="inlineStr">
        <is>
          <t>Low</t>
        </is>
      </c>
      <c r="AN128" t="inlineStr">
        <is>
          <t>Yes</t>
        </is>
      </c>
      <c r="AO128" t="inlineStr">
        <is>
          <t>sheet value not mapped to PDF</t>
        </is>
      </c>
    </row>
    <row r="129">
      <c r="A129" s="203">
        <f>ROW()-2</f>
        <v/>
      </c>
      <c r="B129" s="128" t="inlineStr">
        <is>
          <t>RL7-BIN-102-ZSS-02</t>
        </is>
      </c>
      <c r="C129" s="313" t="inlineStr">
        <is>
          <t>RL7-BIN-102-ZSS-02</t>
        </is>
      </c>
      <c r="D129" s="263" t="inlineStr">
        <is>
          <t>PRS1705061</t>
        </is>
      </c>
      <c r="E129" s="128" t="n"/>
      <c r="F129" s="138" t="inlineStr">
        <is>
          <t xml:space="preserve">SURGE BIN 2 DISCHARGE SANITATION DOOR SAFETY INPUT CH1 </t>
        </is>
      </c>
      <c r="G129" s="131" t="inlineStr">
        <is>
          <t>DG7002</t>
        </is>
      </c>
      <c r="H129" s="128" t="inlineStr">
        <is>
          <t>PROC</t>
        </is>
      </c>
      <c r="I129" s="132" t="inlineStr">
        <is>
          <t>RL7-BINA-RIO1</t>
        </is>
      </c>
      <c r="J129" s="133" t="n">
        <v>4</v>
      </c>
      <c r="K129" s="129" t="n">
        <v>1</v>
      </c>
      <c r="L129" s="129" t="n">
        <v>6</v>
      </c>
      <c r="M129" s="131" t="inlineStr">
        <is>
          <t>24 VDC SI</t>
        </is>
      </c>
      <c r="N129" s="131" t="inlineStr">
        <is>
          <t>5069-IB8S</t>
        </is>
      </c>
      <c r="O129" s="134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35" t="n"/>
      <c r="AA129" t="inlineStr">
        <is>
          <t>No mapped PDF sheet</t>
        </is>
      </c>
      <c r="AC129" t="inlineStr">
        <is>
          <t>Low</t>
        </is>
      </c>
      <c r="AN129" t="inlineStr">
        <is>
          <t>Yes</t>
        </is>
      </c>
      <c r="AO129" t="inlineStr">
        <is>
          <t>sheet value not mapped to PDF</t>
        </is>
      </c>
    </row>
    <row r="130">
      <c r="A130" s="203">
        <f>ROW()-2</f>
        <v/>
      </c>
      <c r="B130" s="128" t="inlineStr">
        <is>
          <t>RL7-BIN-102-ZSS-02</t>
        </is>
      </c>
      <c r="C130" s="313" t="inlineStr">
        <is>
          <t>RL7-BIN-102-ZSS-02</t>
        </is>
      </c>
      <c r="D130" s="263" t="inlineStr">
        <is>
          <t>PRS1705061</t>
        </is>
      </c>
      <c r="E130" s="128" t="n"/>
      <c r="F130" s="138" t="inlineStr">
        <is>
          <t>SURGE BIN 2 DISCHARGE SANITATION DOOR SAFETY INPUT CH2</t>
        </is>
      </c>
      <c r="G130" s="131" t="inlineStr">
        <is>
          <t>DG7002</t>
        </is>
      </c>
      <c r="H130" s="128" t="inlineStr">
        <is>
          <t>PROC</t>
        </is>
      </c>
      <c r="I130" s="132" t="inlineStr">
        <is>
          <t>RL7-BINA-RIO1</t>
        </is>
      </c>
      <c r="J130" s="133" t="n">
        <v>4</v>
      </c>
      <c r="K130" s="129" t="n">
        <v>1</v>
      </c>
      <c r="L130" s="129" t="n">
        <v>7</v>
      </c>
      <c r="M130" s="131" t="inlineStr">
        <is>
          <t>24 VDC SI</t>
        </is>
      </c>
      <c r="N130" s="131" t="inlineStr">
        <is>
          <t>5069-IB8S</t>
        </is>
      </c>
      <c r="O130" s="134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35" t="n"/>
      <c r="AA130" t="inlineStr">
        <is>
          <t>No mapped PDF sheet</t>
        </is>
      </c>
      <c r="AC130" t="inlineStr">
        <is>
          <t>Low</t>
        </is>
      </c>
      <c r="AN130" t="inlineStr">
        <is>
          <t>Yes</t>
        </is>
      </c>
      <c r="AO130" t="inlineStr">
        <is>
          <t>sheet value not mapped to PDF</t>
        </is>
      </c>
    </row>
    <row r="131">
      <c r="A131" s="203">
        <f>ROW()-2</f>
        <v/>
      </c>
      <c r="B131" s="128" t="inlineStr">
        <is>
          <t>RL7-BIN-101-ZSS-03</t>
        </is>
      </c>
      <c r="C131" s="313" t="inlineStr">
        <is>
          <t>RL7-BIN-101-ZSS-03</t>
        </is>
      </c>
      <c r="D131" s="263" t="inlineStr">
        <is>
          <t>PRS1605161</t>
        </is>
      </c>
      <c r="E131" s="128" t="n"/>
      <c r="F131" s="138" t="inlineStr">
        <is>
          <t>SURGE BIN 1 SANITATION ACCESS GATE SAFETY INPUT CH1</t>
        </is>
      </c>
      <c r="G131" s="131" t="inlineStr">
        <is>
          <t>DG7002</t>
        </is>
      </c>
      <c r="H131" s="128" t="inlineStr">
        <is>
          <t>PROC</t>
        </is>
      </c>
      <c r="I131" s="132" t="inlineStr">
        <is>
          <t>RL7-BINA-RIO1</t>
        </is>
      </c>
      <c r="J131" s="133" t="n">
        <v>4</v>
      </c>
      <c r="K131" s="129" t="n">
        <v>2</v>
      </c>
      <c r="L131" s="129" t="n">
        <v>0</v>
      </c>
      <c r="M131" s="131" t="inlineStr">
        <is>
          <t>24 VDC SI</t>
        </is>
      </c>
      <c r="N131" s="131" t="inlineStr">
        <is>
          <t>5069-IB8S</t>
        </is>
      </c>
      <c r="O131" s="134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35" t="n"/>
      <c r="AA131" t="inlineStr">
        <is>
          <t>No mapped PDF sheet</t>
        </is>
      </c>
      <c r="AC131" t="inlineStr">
        <is>
          <t>Low</t>
        </is>
      </c>
      <c r="AN131" t="inlineStr">
        <is>
          <t>Yes</t>
        </is>
      </c>
      <c r="AO131" t="inlineStr">
        <is>
          <t>sheet value not mapped to PDF</t>
        </is>
      </c>
    </row>
    <row r="132">
      <c r="A132" s="203">
        <f>ROW()-2</f>
        <v/>
      </c>
      <c r="B132" s="128" t="inlineStr">
        <is>
          <t>RL7-BIN-101-ZSS-03</t>
        </is>
      </c>
      <c r="C132" s="313" t="inlineStr">
        <is>
          <t>RL7-BIN-101-ZSS-03</t>
        </is>
      </c>
      <c r="D132" s="263" t="inlineStr">
        <is>
          <t>PRS1605161</t>
        </is>
      </c>
      <c r="E132" s="128" t="n"/>
      <c r="F132" s="138" t="inlineStr">
        <is>
          <t>SURGE BIN 1 SANITATION ACCESS GATE SAFETY INPUT CH2</t>
        </is>
      </c>
      <c r="G132" s="131" t="inlineStr">
        <is>
          <t>DG7002</t>
        </is>
      </c>
      <c r="H132" s="128" t="inlineStr">
        <is>
          <t>PROC</t>
        </is>
      </c>
      <c r="I132" s="132" t="inlineStr">
        <is>
          <t>RL7-BINA-RIO1</t>
        </is>
      </c>
      <c r="J132" s="133" t="n">
        <v>4</v>
      </c>
      <c r="K132" s="129" t="n">
        <v>2</v>
      </c>
      <c r="L132" s="129" t="n">
        <v>1</v>
      </c>
      <c r="M132" s="131" t="inlineStr">
        <is>
          <t>24 VDC SI</t>
        </is>
      </c>
      <c r="N132" s="131" t="inlineStr">
        <is>
          <t>5069-IB8S</t>
        </is>
      </c>
      <c r="O132" s="134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35" t="n"/>
      <c r="AA132" t="inlineStr">
        <is>
          <t>No mapped PDF sheet</t>
        </is>
      </c>
      <c r="AC132" t="inlineStr">
        <is>
          <t>Low</t>
        </is>
      </c>
      <c r="AN132" t="inlineStr">
        <is>
          <t>Yes</t>
        </is>
      </c>
      <c r="AO132" t="inlineStr">
        <is>
          <t>sheet value not mapped to PDF</t>
        </is>
      </c>
    </row>
    <row r="133">
      <c r="A133" s="203">
        <f>ROW()-2</f>
        <v/>
      </c>
      <c r="B133" s="128" t="inlineStr">
        <is>
          <t>RL7-BIN-101-PB-01</t>
        </is>
      </c>
      <c r="C133" s="313" t="inlineStr">
        <is>
          <t>RL7-BIN-102-ZSS-03</t>
        </is>
      </c>
      <c r="D133" s="264" t="inlineStr">
        <is>
          <t>PRS1605201</t>
        </is>
      </c>
      <c r="E133" s="128" t="n"/>
      <c r="F133" s="138" t="inlineStr">
        <is>
          <t>SURGE BIN 2 SANITATION ACCESS GATE SAFETY INPUT CH1</t>
        </is>
      </c>
      <c r="G133" s="131" t="inlineStr">
        <is>
          <t>DG7002</t>
        </is>
      </c>
      <c r="H133" s="128" t="inlineStr">
        <is>
          <t>PROC</t>
        </is>
      </c>
      <c r="I133" s="132" t="inlineStr">
        <is>
          <t>RL7-BINA-RIO1</t>
        </is>
      </c>
      <c r="J133" s="133" t="n">
        <v>4</v>
      </c>
      <c r="K133" s="129" t="n">
        <v>2</v>
      </c>
      <c r="L133" s="129" t="n">
        <v>2</v>
      </c>
      <c r="M133" s="131" t="inlineStr">
        <is>
          <t>24 VDC SI</t>
        </is>
      </c>
      <c r="N133" s="131" t="inlineStr">
        <is>
          <t>5069-IB8S</t>
        </is>
      </c>
      <c r="O133" s="134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35" t="n"/>
      <c r="AA133" t="inlineStr">
        <is>
          <t>No mapped PDF sheet</t>
        </is>
      </c>
      <c r="AC133" t="inlineStr">
        <is>
          <t>Low</t>
        </is>
      </c>
      <c r="AN133" t="inlineStr">
        <is>
          <t>Yes</t>
        </is>
      </c>
      <c r="AO133" t="inlineStr">
        <is>
          <t>sheet value not mapped to PDF</t>
        </is>
      </c>
    </row>
    <row r="134">
      <c r="A134" s="203">
        <f>ROW()-2</f>
        <v/>
      </c>
      <c r="B134" s="128" t="inlineStr">
        <is>
          <t>RL7-BIN-101-PB-01</t>
        </is>
      </c>
      <c r="C134" s="313" t="inlineStr">
        <is>
          <t>RL7-BIN-102-ZSS-03</t>
        </is>
      </c>
      <c r="D134" s="264" t="inlineStr">
        <is>
          <t>PRS1605201</t>
        </is>
      </c>
      <c r="E134" s="128" t="n"/>
      <c r="F134" s="138" t="inlineStr">
        <is>
          <t>SURGE BIN 2 SANITATION ACCESS GATE SAFETY INPUT CH2</t>
        </is>
      </c>
      <c r="G134" s="131" t="inlineStr">
        <is>
          <t>DG7002</t>
        </is>
      </c>
      <c r="H134" s="128" t="inlineStr">
        <is>
          <t>PROC</t>
        </is>
      </c>
      <c r="I134" s="132" t="inlineStr">
        <is>
          <t>RL7-BINA-RIO1</t>
        </is>
      </c>
      <c r="J134" s="133" t="n">
        <v>4</v>
      </c>
      <c r="K134" s="129" t="n">
        <v>2</v>
      </c>
      <c r="L134" s="129" t="n">
        <v>3</v>
      </c>
      <c r="M134" s="131" t="inlineStr">
        <is>
          <t>24 VDC SI</t>
        </is>
      </c>
      <c r="N134" s="131" t="inlineStr">
        <is>
          <t>5069-IB8S</t>
        </is>
      </c>
      <c r="O134" s="134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35" t="n"/>
      <c r="AA134" t="inlineStr">
        <is>
          <t>No mapped PDF sheet</t>
        </is>
      </c>
      <c r="AC134" t="inlineStr">
        <is>
          <t>Low</t>
        </is>
      </c>
      <c r="AN134" t="inlineStr">
        <is>
          <t>Yes</t>
        </is>
      </c>
      <c r="AO134" t="inlineStr">
        <is>
          <t>sheet value not mapped to PDF</t>
        </is>
      </c>
    </row>
    <row r="135">
      <c r="A135" s="203">
        <f>ROW()-2</f>
        <v/>
      </c>
      <c r="B135" s="128" t="n"/>
      <c r="C135" s="313" t="inlineStr">
        <is>
          <t>RL7-BIN-101-PB-01</t>
        </is>
      </c>
      <c r="D135" s="263" t="n"/>
      <c r="E135" s="128" t="n"/>
      <c r="F135" s="138" t="inlineStr">
        <is>
          <t>SURGE BINS NORTH E-STOP PUSHBUTTON SAFETY INPUT CH1</t>
        </is>
      </c>
      <c r="G135" s="131" t="inlineStr">
        <is>
          <t>DG7002</t>
        </is>
      </c>
      <c r="H135" s="128" t="inlineStr">
        <is>
          <t>PROC</t>
        </is>
      </c>
      <c r="I135" s="132" t="inlineStr">
        <is>
          <t>RL7-BINA-RIO1</t>
        </is>
      </c>
      <c r="J135" s="133" t="n">
        <v>4</v>
      </c>
      <c r="K135" s="129" t="n">
        <v>2</v>
      </c>
      <c r="L135" s="129" t="n">
        <v>4</v>
      </c>
      <c r="M135" s="131" t="inlineStr">
        <is>
          <t>24 VDC SI</t>
        </is>
      </c>
      <c r="N135" s="131" t="inlineStr">
        <is>
          <t>5069-IB8S</t>
        </is>
      </c>
      <c r="O135" s="134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35" t="n"/>
      <c r="AA135" t="inlineStr">
        <is>
          <t>No mapped PDF sheet</t>
        </is>
      </c>
      <c r="AC135" t="inlineStr">
        <is>
          <t>Low</t>
        </is>
      </c>
      <c r="AN135" t="inlineStr">
        <is>
          <t>Yes</t>
        </is>
      </c>
      <c r="AO135" t="inlineStr">
        <is>
          <t>sheet value not mapped to PDF</t>
        </is>
      </c>
    </row>
    <row r="136">
      <c r="A136" s="203">
        <f>ROW()-2</f>
        <v/>
      </c>
      <c r="B136" s="128" t="n"/>
      <c r="C136" s="313" t="inlineStr">
        <is>
          <t>RL7-BIN-101-PB-01</t>
        </is>
      </c>
      <c r="D136" s="263" t="n"/>
      <c r="E136" s="128" t="n"/>
      <c r="F136" s="138" t="inlineStr">
        <is>
          <t>SURGE BINS NORTH E-STOP PUSHBUTTON SAFETY INPUT CH2</t>
        </is>
      </c>
      <c r="G136" s="131" t="inlineStr">
        <is>
          <t>DG7002</t>
        </is>
      </c>
      <c r="H136" s="128" t="inlineStr">
        <is>
          <t>PROC</t>
        </is>
      </c>
      <c r="I136" s="132" t="inlineStr">
        <is>
          <t>RL7-BINA-RIO1</t>
        </is>
      </c>
      <c r="J136" s="133" t="n">
        <v>4</v>
      </c>
      <c r="K136" s="129" t="n">
        <v>2</v>
      </c>
      <c r="L136" s="129" t="n">
        <v>5</v>
      </c>
      <c r="M136" s="131" t="inlineStr">
        <is>
          <t>24 VDC SI</t>
        </is>
      </c>
      <c r="N136" s="131" t="inlineStr">
        <is>
          <t>5069-IB8S</t>
        </is>
      </c>
      <c r="O136" s="134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35" t="n"/>
      <c r="AA136" t="inlineStr">
        <is>
          <t>No mapped PDF sheet</t>
        </is>
      </c>
      <c r="AC136" t="inlineStr">
        <is>
          <t>Low</t>
        </is>
      </c>
      <c r="AN136" t="inlineStr">
        <is>
          <t>Yes</t>
        </is>
      </c>
      <c r="AO136" t="inlineStr">
        <is>
          <t>sheet value not mapped to PDF</t>
        </is>
      </c>
    </row>
    <row r="137">
      <c r="A137" s="203">
        <f>ROW()-2</f>
        <v/>
      </c>
      <c r="B137" s="128" t="inlineStr">
        <is>
          <t>RL7-CNV-111-PSL-01</t>
        </is>
      </c>
      <c r="C137" s="313" t="inlineStr">
        <is>
          <t>RL7-BIN-101-PBL-01</t>
        </is>
      </c>
      <c r="D137" s="262" t="n"/>
      <c r="E137" s="128" t="n"/>
      <c r="F137" s="141" t="inlineStr">
        <is>
          <t>SURGE BINS NORTH E-STOP PUSHBUTTON PILOT LIGHT</t>
        </is>
      </c>
      <c r="G137" s="142" t="inlineStr">
        <is>
          <t>DG7002</t>
        </is>
      </c>
      <c r="H137" s="128" t="inlineStr">
        <is>
          <t>PROC</t>
        </is>
      </c>
      <c r="I137" s="132" t="inlineStr">
        <is>
          <t>RL7-BINA-RIO1</t>
        </is>
      </c>
      <c r="J137" s="133" t="n">
        <v>4</v>
      </c>
      <c r="K137" s="129" t="n">
        <v>6</v>
      </c>
      <c r="L137" s="129" t="n">
        <v>0</v>
      </c>
      <c r="M137" s="131" t="inlineStr">
        <is>
          <t>24 VDC DO</t>
        </is>
      </c>
      <c r="N137" s="129" t="inlineStr">
        <is>
          <t>5069-IB16</t>
        </is>
      </c>
      <c r="O137" s="139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40" t="n"/>
      <c r="AA137" t="inlineStr">
        <is>
          <t>No mapped PDF sheet</t>
        </is>
      </c>
      <c r="AC137" t="inlineStr">
        <is>
          <t>Low</t>
        </is>
      </c>
      <c r="AN137" t="inlineStr">
        <is>
          <t>Yes</t>
        </is>
      </c>
      <c r="AO137" t="inlineStr">
        <is>
          <t>sheet value not mapped to PDF</t>
        </is>
      </c>
    </row>
    <row r="138">
      <c r="A138" s="203">
        <f>ROW()-2</f>
        <v/>
      </c>
      <c r="B138" s="128" t="inlineStr">
        <is>
          <t>RL7-CNV-110-ZSO-01</t>
        </is>
      </c>
      <c r="C138" s="313" t="inlineStr">
        <is>
          <t>RL7-BIN-101-XY-01</t>
        </is>
      </c>
      <c r="D138" s="264" t="n"/>
      <c r="E138" s="133" t="n"/>
      <c r="F138" s="141" t="inlineStr">
        <is>
          <t>SURGE BIN 1 SANITATION VALVE OPEN SOLENOID</t>
        </is>
      </c>
      <c r="G138" s="142" t="inlineStr">
        <is>
          <t>DG7002</t>
        </is>
      </c>
      <c r="H138" s="128" t="inlineStr">
        <is>
          <t>PROC</t>
        </is>
      </c>
      <c r="I138" s="132" t="inlineStr">
        <is>
          <t>RL7-BINA-RIO1</t>
        </is>
      </c>
      <c r="J138" s="133" t="n">
        <v>4</v>
      </c>
      <c r="K138" s="129" t="n">
        <v>6</v>
      </c>
      <c r="L138" s="129" t="n">
        <v>1</v>
      </c>
      <c r="M138" s="131" t="inlineStr">
        <is>
          <t>24 VDC DO</t>
        </is>
      </c>
      <c r="N138" s="129" t="inlineStr">
        <is>
          <t>5069-IB16</t>
        </is>
      </c>
      <c r="O138" s="139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40" t="n"/>
      <c r="AA138" t="inlineStr">
        <is>
          <t>No mapped PDF sheet</t>
        </is>
      </c>
      <c r="AC138" t="inlineStr">
        <is>
          <t>Low</t>
        </is>
      </c>
      <c r="AN138" t="inlineStr">
        <is>
          <t>Yes</t>
        </is>
      </c>
      <c r="AO138" t="inlineStr">
        <is>
          <t>sheet value not mapped to PDF</t>
        </is>
      </c>
    </row>
    <row r="139">
      <c r="A139" s="203">
        <f>ROW()-2</f>
        <v/>
      </c>
      <c r="B139" s="128" t="inlineStr">
        <is>
          <t>RL7-CNV-110-ZSC-01</t>
        </is>
      </c>
      <c r="C139" s="313" t="inlineStr">
        <is>
          <t>RL7-BIN-102-XY-01</t>
        </is>
      </c>
      <c r="D139" s="264" t="n"/>
      <c r="E139" s="133" t="n"/>
      <c r="F139" s="141" t="inlineStr">
        <is>
          <t>SURGE BIN 2 SANITATION VALVE OPEN SOLENOID</t>
        </is>
      </c>
      <c r="G139" s="142" t="inlineStr">
        <is>
          <t>DG7002</t>
        </is>
      </c>
      <c r="H139" s="128" t="inlineStr">
        <is>
          <t>PROC</t>
        </is>
      </c>
      <c r="I139" s="132" t="inlineStr">
        <is>
          <t>RL7-BINA-RIO1</t>
        </is>
      </c>
      <c r="J139" s="133" t="n">
        <v>4</v>
      </c>
      <c r="K139" s="129" t="n">
        <v>6</v>
      </c>
      <c r="L139" s="129" t="n">
        <v>2</v>
      </c>
      <c r="M139" s="131" t="inlineStr">
        <is>
          <t>24 VDC DO</t>
        </is>
      </c>
      <c r="N139" s="129" t="inlineStr">
        <is>
          <t>5069-IB16</t>
        </is>
      </c>
      <c r="O139" s="139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40" t="n"/>
      <c r="AA139" t="inlineStr">
        <is>
          <t>No mapped PDF sheet</t>
        </is>
      </c>
      <c r="AC139" t="inlineStr">
        <is>
          <t>Low</t>
        </is>
      </c>
      <c r="AN139" t="inlineStr">
        <is>
          <t>Yes</t>
        </is>
      </c>
      <c r="AO139" t="inlineStr">
        <is>
          <t>sheet value not mapped to PDF</t>
        </is>
      </c>
    </row>
    <row r="140">
      <c r="A140" s="203">
        <f>ROW()-2</f>
        <v/>
      </c>
      <c r="B140" s="128" t="inlineStr">
        <is>
          <t>RL7-CNV-110-PSL-01</t>
        </is>
      </c>
      <c r="C140" s="313" t="inlineStr">
        <is>
          <t>RL7-BIN-102-AH-02</t>
        </is>
      </c>
      <c r="D140" s="277" t="n"/>
      <c r="E140" s="142" t="n"/>
      <c r="F140" s="141" t="inlineStr">
        <is>
          <t>SURGE BIN 2 ALARM HORN</t>
        </is>
      </c>
      <c r="G140" s="142" t="inlineStr">
        <is>
          <t>DG7002</t>
        </is>
      </c>
      <c r="H140" s="128" t="inlineStr">
        <is>
          <t>PROC</t>
        </is>
      </c>
      <c r="I140" s="132" t="inlineStr">
        <is>
          <t>RL7-BINA-RIO1</t>
        </is>
      </c>
      <c r="J140" s="133" t="n">
        <v>4</v>
      </c>
      <c r="K140" s="129" t="n">
        <v>6</v>
      </c>
      <c r="L140" s="129" t="n">
        <v>3</v>
      </c>
      <c r="M140" s="131" t="inlineStr">
        <is>
          <t>24 VDC DO</t>
        </is>
      </c>
      <c r="N140" s="129" t="inlineStr">
        <is>
          <t>5069-IB16</t>
        </is>
      </c>
      <c r="O140" s="139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40" t="n"/>
      <c r="AA140" t="inlineStr">
        <is>
          <t>No mapped PDF sheet</t>
        </is>
      </c>
      <c r="AC140" t="inlineStr">
        <is>
          <t>Low</t>
        </is>
      </c>
      <c r="AN140" t="inlineStr">
        <is>
          <t>Yes</t>
        </is>
      </c>
      <c r="AO140" t="inlineStr">
        <is>
          <t>sheet value not mapped to PDF</t>
        </is>
      </c>
    </row>
    <row r="141">
      <c r="A141" s="203">
        <f>ROW()-2</f>
        <v/>
      </c>
      <c r="B141" s="128" t="inlineStr">
        <is>
          <t>RL7-CNV-110-ZSO-02</t>
        </is>
      </c>
      <c r="C141" s="313" t="inlineStr">
        <is>
          <t>RL7-BIN-102-PL-01R</t>
        </is>
      </c>
      <c r="D141" s="277" t="n"/>
      <c r="E141" s="142" t="n"/>
      <c r="F141" s="141" t="inlineStr">
        <is>
          <t>SURGE BIN 2 RED PILOT LIGHT</t>
        </is>
      </c>
      <c r="G141" s="142" t="inlineStr">
        <is>
          <t>DG7002</t>
        </is>
      </c>
      <c r="H141" s="128" t="inlineStr">
        <is>
          <t>PROC</t>
        </is>
      </c>
      <c r="I141" s="132" t="inlineStr">
        <is>
          <t>RL7-BINA-RIO1</t>
        </is>
      </c>
      <c r="J141" s="133" t="n">
        <v>4</v>
      </c>
      <c r="K141" s="129" t="n">
        <v>6</v>
      </c>
      <c r="L141" s="129" t="n">
        <v>4</v>
      </c>
      <c r="M141" s="131" t="inlineStr">
        <is>
          <t>24 VDC DO</t>
        </is>
      </c>
      <c r="N141" s="129" t="inlineStr">
        <is>
          <t>5069-IB16</t>
        </is>
      </c>
      <c r="O141" s="139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40" t="n"/>
      <c r="AA141" t="inlineStr">
        <is>
          <t>No mapped PDF sheet</t>
        </is>
      </c>
      <c r="AC141" t="inlineStr">
        <is>
          <t>Low</t>
        </is>
      </c>
      <c r="AN141" t="inlineStr">
        <is>
          <t>Yes</t>
        </is>
      </c>
      <c r="AO141" t="inlineStr">
        <is>
          <t>sheet value not mapped to PDF</t>
        </is>
      </c>
    </row>
    <row r="142">
      <c r="A142" s="203">
        <f>ROW()-2</f>
        <v/>
      </c>
      <c r="B142" s="128" t="inlineStr">
        <is>
          <t>RL7-CNV-110-ZSC-02</t>
        </is>
      </c>
      <c r="C142" s="313" t="inlineStr">
        <is>
          <t>RL7-BIN-102-PL-01Y</t>
        </is>
      </c>
      <c r="D142" s="277" t="n"/>
      <c r="E142" s="142" t="n"/>
      <c r="F142" s="141" t="inlineStr">
        <is>
          <t>SURGE BIN 2 YELLOW PILOT LIGHT</t>
        </is>
      </c>
      <c r="G142" s="142" t="inlineStr">
        <is>
          <t>DG7002</t>
        </is>
      </c>
      <c r="H142" s="128" t="inlineStr">
        <is>
          <t>PROC</t>
        </is>
      </c>
      <c r="I142" s="132" t="inlineStr">
        <is>
          <t>RL7-BINA-RIO1</t>
        </is>
      </c>
      <c r="J142" s="133" t="n">
        <v>4</v>
      </c>
      <c r="K142" s="129" t="n">
        <v>6</v>
      </c>
      <c r="L142" s="129" t="n">
        <v>5</v>
      </c>
      <c r="M142" s="131" t="inlineStr">
        <is>
          <t>24 VDC DO</t>
        </is>
      </c>
      <c r="N142" s="129" t="inlineStr">
        <is>
          <t>5069-IB16</t>
        </is>
      </c>
      <c r="O142" s="139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40" t="n"/>
      <c r="AA142" t="inlineStr">
        <is>
          <t>No mapped PDF sheet</t>
        </is>
      </c>
      <c r="AC142" t="inlineStr">
        <is>
          <t>Low</t>
        </is>
      </c>
      <c r="AN142" t="inlineStr">
        <is>
          <t>Yes</t>
        </is>
      </c>
      <c r="AO142" t="inlineStr">
        <is>
          <t>sheet value not mapped to PDF</t>
        </is>
      </c>
    </row>
    <row r="143">
      <c r="A143" s="203">
        <f>ROW()-2</f>
        <v/>
      </c>
      <c r="B143" s="128" t="inlineStr">
        <is>
          <t>RL7-CNV-111-ZSO-05</t>
        </is>
      </c>
      <c r="C143" s="313" t="inlineStr">
        <is>
          <t>RL7-BIN-102-PL-01G</t>
        </is>
      </c>
      <c r="D143" s="277" t="n"/>
      <c r="E143" s="142" t="n"/>
      <c r="F143" s="141" t="inlineStr">
        <is>
          <t>SURGE BIN 2 GREEN PILOT LIGHT</t>
        </is>
      </c>
      <c r="G143" s="142" t="inlineStr">
        <is>
          <t>DG7002</t>
        </is>
      </c>
      <c r="H143" s="128" t="inlineStr">
        <is>
          <t>PROC</t>
        </is>
      </c>
      <c r="I143" s="132" t="inlineStr">
        <is>
          <t>RL7-BINA-RIO1</t>
        </is>
      </c>
      <c r="J143" s="133" t="n">
        <v>4</v>
      </c>
      <c r="K143" s="129" t="n">
        <v>6</v>
      </c>
      <c r="L143" s="129" t="n">
        <v>6</v>
      </c>
      <c r="M143" s="131" t="inlineStr">
        <is>
          <t>24 VDC DO</t>
        </is>
      </c>
      <c r="N143" s="129" t="inlineStr">
        <is>
          <t>5069-IB16</t>
        </is>
      </c>
      <c r="O143" s="139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40" t="n"/>
      <c r="AA143" t="inlineStr">
        <is>
          <t>No mapped PDF sheet</t>
        </is>
      </c>
      <c r="AC143" t="inlineStr">
        <is>
          <t>Low</t>
        </is>
      </c>
      <c r="AN143" t="inlineStr">
        <is>
          <t>Yes</t>
        </is>
      </c>
      <c r="AO143" t="inlineStr">
        <is>
          <t>sheet value not mapped to PDF</t>
        </is>
      </c>
    </row>
    <row r="144">
      <c r="A144" s="203">
        <f>ROW()-2</f>
        <v/>
      </c>
      <c r="B144" s="128" t="inlineStr">
        <is>
          <t>RL7-BIN-103-ZSS-01</t>
        </is>
      </c>
      <c r="C144" s="313" t="inlineStr">
        <is>
          <t>RL7-BIN-103-ZSS-01</t>
        </is>
      </c>
      <c r="D144" s="262" t="inlineStr">
        <is>
          <t>PRS1805021</t>
        </is>
      </c>
      <c r="E144" s="128" t="inlineStr">
        <is>
          <t>JIC19B</t>
        </is>
      </c>
      <c r="F144" s="138" t="inlineStr">
        <is>
          <t xml:space="preserve">SURGE BIN 3 DISCHARGE TROUGH COVER SAFETY INPUT CH1 </t>
        </is>
      </c>
      <c r="G144" s="131" t="inlineStr">
        <is>
          <t>DG7002</t>
        </is>
      </c>
      <c r="H144" s="128" t="inlineStr">
        <is>
          <t>PROC</t>
        </is>
      </c>
      <c r="I144" s="132" t="inlineStr">
        <is>
          <t>RL7-BINB-RIO1</t>
        </is>
      </c>
      <c r="J144" s="133" t="n">
        <v>5</v>
      </c>
      <c r="K144" s="129" t="n">
        <v>1</v>
      </c>
      <c r="L144" s="129" t="n">
        <v>0</v>
      </c>
      <c r="M144" s="129" t="inlineStr">
        <is>
          <t>24 VDC SI</t>
        </is>
      </c>
      <c r="N144" s="129" t="inlineStr">
        <is>
          <t>5069-IB8S</t>
        </is>
      </c>
      <c r="O144" s="139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40" t="n"/>
      <c r="AA144" t="inlineStr">
        <is>
          <t>No mapped PDF sheet</t>
        </is>
      </c>
      <c r="AC144" t="inlineStr">
        <is>
          <t>Low</t>
        </is>
      </c>
      <c r="AN144" t="inlineStr">
        <is>
          <t>Yes</t>
        </is>
      </c>
      <c r="AO144" t="inlineStr">
        <is>
          <t>sheet value not mapped to PDF</t>
        </is>
      </c>
    </row>
    <row r="145">
      <c r="A145" s="203">
        <f>ROW()-2</f>
        <v/>
      </c>
      <c r="B145" s="128" t="inlineStr">
        <is>
          <t>RL7-BIN-103-ZSS-01</t>
        </is>
      </c>
      <c r="C145" s="313" t="inlineStr">
        <is>
          <t>RL7-BIN-103-ZSS-01</t>
        </is>
      </c>
      <c r="D145" s="262" t="inlineStr">
        <is>
          <t>PRS1805021</t>
        </is>
      </c>
      <c r="E145" s="128" t="inlineStr">
        <is>
          <t>JIC19B</t>
        </is>
      </c>
      <c r="F145" s="138" t="inlineStr">
        <is>
          <t>SURGE BIN 3 DISCHARGE TROUGH COVER SAFETY INPUT CH2</t>
        </is>
      </c>
      <c r="G145" s="131" t="inlineStr">
        <is>
          <t>DG7002</t>
        </is>
      </c>
      <c r="H145" s="128" t="inlineStr">
        <is>
          <t>PROC</t>
        </is>
      </c>
      <c r="I145" s="132" t="inlineStr">
        <is>
          <t>RL7-BINB-RIO1</t>
        </is>
      </c>
      <c r="J145" s="133" t="n">
        <v>5</v>
      </c>
      <c r="K145" s="129" t="n">
        <v>1</v>
      </c>
      <c r="L145" s="129" t="n">
        <v>1</v>
      </c>
      <c r="M145" s="129" t="inlineStr">
        <is>
          <t>24 VDC SI</t>
        </is>
      </c>
      <c r="N145" s="129" t="inlineStr">
        <is>
          <t>5069-IB8S</t>
        </is>
      </c>
      <c r="O145" s="139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40" t="n"/>
      <c r="AA145" t="inlineStr">
        <is>
          <t>No mapped PDF sheet</t>
        </is>
      </c>
      <c r="AC145" t="inlineStr">
        <is>
          <t>Low</t>
        </is>
      </c>
      <c r="AN145" t="inlineStr">
        <is>
          <t>Yes</t>
        </is>
      </c>
      <c r="AO145" t="inlineStr">
        <is>
          <t>sheet value not mapped to PDF</t>
        </is>
      </c>
    </row>
    <row r="146">
      <c r="A146" s="203">
        <f>ROW()-2</f>
        <v/>
      </c>
      <c r="B146" s="128" t="inlineStr">
        <is>
          <t>RL7-BIN-103-ZSS-02</t>
        </is>
      </c>
      <c r="C146" s="313" t="inlineStr">
        <is>
          <t>RL7-BIN-103-ZSS-02</t>
        </is>
      </c>
      <c r="D146" s="262" t="inlineStr">
        <is>
          <t>PRS1805061</t>
        </is>
      </c>
      <c r="E146" s="128" t="inlineStr">
        <is>
          <t>JIC19B</t>
        </is>
      </c>
      <c r="F146" s="138" t="inlineStr">
        <is>
          <t xml:space="preserve">SURGE BIN 3 DISCHARGE SANITATION DOOR SAFETY INPUT CH1 </t>
        </is>
      </c>
      <c r="G146" s="131" t="inlineStr">
        <is>
          <t>DG7002</t>
        </is>
      </c>
      <c r="H146" s="128" t="inlineStr">
        <is>
          <t>PROC</t>
        </is>
      </c>
      <c r="I146" s="132" t="inlineStr">
        <is>
          <t>RL7-BINB-RIO1</t>
        </is>
      </c>
      <c r="J146" s="133" t="n">
        <v>5</v>
      </c>
      <c r="K146" s="129" t="n">
        <v>1</v>
      </c>
      <c r="L146" s="129" t="n">
        <v>2</v>
      </c>
      <c r="M146" s="129" t="inlineStr">
        <is>
          <t>24 VDC SI</t>
        </is>
      </c>
      <c r="N146" s="129" t="inlineStr">
        <is>
          <t>5069-IB8S</t>
        </is>
      </c>
      <c r="O146" s="139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40" t="n"/>
      <c r="AA146" t="inlineStr">
        <is>
          <t>No mapped PDF sheet</t>
        </is>
      </c>
      <c r="AC146" t="inlineStr">
        <is>
          <t>Low</t>
        </is>
      </c>
      <c r="AN146" t="inlineStr">
        <is>
          <t>Yes</t>
        </is>
      </c>
      <c r="AO146" t="inlineStr">
        <is>
          <t>sheet value not mapped to PDF</t>
        </is>
      </c>
    </row>
    <row r="147">
      <c r="A147" s="203">
        <f>ROW()-2</f>
        <v/>
      </c>
      <c r="B147" s="128" t="inlineStr">
        <is>
          <t>RL7-BIN-103-ZSS-02</t>
        </is>
      </c>
      <c r="C147" s="313" t="inlineStr">
        <is>
          <t>RL7-BIN-103-ZSS-02</t>
        </is>
      </c>
      <c r="D147" s="262" t="inlineStr">
        <is>
          <t>PRS1805061</t>
        </is>
      </c>
      <c r="E147" s="128" t="inlineStr">
        <is>
          <t>JIC19B</t>
        </is>
      </c>
      <c r="F147" s="138" t="inlineStr">
        <is>
          <t>SURGE BIN 3 DISCHARGE SANITATION DOOR SAFETY INPUT CH2</t>
        </is>
      </c>
      <c r="G147" s="131" t="inlineStr">
        <is>
          <t>DG7002</t>
        </is>
      </c>
      <c r="H147" s="128" t="inlineStr">
        <is>
          <t>PROC</t>
        </is>
      </c>
      <c r="I147" s="132" t="inlineStr">
        <is>
          <t>RL7-BINB-RIO1</t>
        </is>
      </c>
      <c r="J147" s="133" t="n">
        <v>5</v>
      </c>
      <c r="K147" s="129" t="n">
        <v>1</v>
      </c>
      <c r="L147" s="129" t="n">
        <v>3</v>
      </c>
      <c r="M147" s="129" t="inlineStr">
        <is>
          <t>24 VDC SI</t>
        </is>
      </c>
      <c r="N147" s="129" t="inlineStr">
        <is>
          <t>5069-IB8S</t>
        </is>
      </c>
      <c r="O147" s="139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40" t="n"/>
      <c r="AA147" t="inlineStr">
        <is>
          <t>No mapped PDF sheet</t>
        </is>
      </c>
      <c r="AC147" t="inlineStr">
        <is>
          <t>Low</t>
        </is>
      </c>
      <c r="AN147" t="inlineStr">
        <is>
          <t>Yes</t>
        </is>
      </c>
      <c r="AO147" t="inlineStr">
        <is>
          <t>sheet value not mapped to PDF</t>
        </is>
      </c>
    </row>
    <row r="148">
      <c r="A148" s="203">
        <f>ROW()-2</f>
        <v/>
      </c>
      <c r="B148" s="128" t="inlineStr">
        <is>
          <t>RL7-BIN-104-ZSS-01</t>
        </is>
      </c>
      <c r="C148" s="313" t="inlineStr">
        <is>
          <t>RL7-BIN-104-ZSS-01</t>
        </is>
      </c>
      <c r="D148" s="262" t="inlineStr">
        <is>
          <t>PRS1905021</t>
        </is>
      </c>
      <c r="E148" s="128" t="inlineStr">
        <is>
          <t>JIC19B</t>
        </is>
      </c>
      <c r="F148" s="138" t="inlineStr">
        <is>
          <t xml:space="preserve">SURGE BIN 4 DISCHARGE TROUGH COVER SAFETY INPUT CH1 </t>
        </is>
      </c>
      <c r="G148" s="131" t="inlineStr">
        <is>
          <t>DG7002</t>
        </is>
      </c>
      <c r="H148" s="128" t="inlineStr">
        <is>
          <t>PROC</t>
        </is>
      </c>
      <c r="I148" s="132" t="inlineStr">
        <is>
          <t>RL7-BINB-RIO1</t>
        </is>
      </c>
      <c r="J148" s="133" t="n">
        <v>5</v>
      </c>
      <c r="K148" s="129" t="n">
        <v>1</v>
      </c>
      <c r="L148" s="129" t="n">
        <v>4</v>
      </c>
      <c r="M148" s="129" t="inlineStr">
        <is>
          <t>24 VDC SI</t>
        </is>
      </c>
      <c r="N148" s="129" t="inlineStr">
        <is>
          <t>5069-IB8S</t>
        </is>
      </c>
      <c r="O148" s="139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40" t="n"/>
      <c r="AA148" t="inlineStr">
        <is>
          <t>No mapped PDF sheet</t>
        </is>
      </c>
      <c r="AC148" t="inlineStr">
        <is>
          <t>Low</t>
        </is>
      </c>
      <c r="AN148" t="inlineStr">
        <is>
          <t>Yes</t>
        </is>
      </c>
      <c r="AO148" t="inlineStr">
        <is>
          <t>sheet value not mapped to PDF</t>
        </is>
      </c>
    </row>
    <row r="149">
      <c r="A149" s="203">
        <f>ROW()-2</f>
        <v/>
      </c>
      <c r="B149" s="128" t="inlineStr">
        <is>
          <t>RL7-BIN-104-ZSS-01</t>
        </is>
      </c>
      <c r="C149" s="313" t="inlineStr">
        <is>
          <t>RL7-BIN-104-ZSS-01</t>
        </is>
      </c>
      <c r="D149" s="262" t="inlineStr">
        <is>
          <t>PRS1905021</t>
        </is>
      </c>
      <c r="E149" s="128" t="inlineStr">
        <is>
          <t>JIC19B</t>
        </is>
      </c>
      <c r="F149" s="138" t="inlineStr">
        <is>
          <t>SURGE BIN 4 DISCHARGE TROUGH COVER SAFETY INPUT CH2</t>
        </is>
      </c>
      <c r="G149" s="131" t="inlineStr">
        <is>
          <t>DG7002</t>
        </is>
      </c>
      <c r="H149" s="128" t="inlineStr">
        <is>
          <t>PROC</t>
        </is>
      </c>
      <c r="I149" s="132" t="inlineStr">
        <is>
          <t>RL7-BINB-RIO1</t>
        </is>
      </c>
      <c r="J149" s="133" t="n">
        <v>5</v>
      </c>
      <c r="K149" s="129" t="n">
        <v>1</v>
      </c>
      <c r="L149" s="129" t="n">
        <v>5</v>
      </c>
      <c r="M149" s="129" t="inlineStr">
        <is>
          <t>24 VDC SI</t>
        </is>
      </c>
      <c r="N149" s="129" t="inlineStr">
        <is>
          <t>5069-IB8S</t>
        </is>
      </c>
      <c r="O149" s="139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40" t="n"/>
      <c r="AA149" t="inlineStr">
        <is>
          <t>No mapped PDF sheet</t>
        </is>
      </c>
      <c r="AC149" t="inlineStr">
        <is>
          <t>Low</t>
        </is>
      </c>
      <c r="AN149" t="inlineStr">
        <is>
          <t>Yes</t>
        </is>
      </c>
      <c r="AO149" t="inlineStr">
        <is>
          <t>sheet value not mapped to PDF</t>
        </is>
      </c>
    </row>
    <row r="150">
      <c r="A150" s="203">
        <f>ROW()-2</f>
        <v/>
      </c>
      <c r="B150" s="128" t="inlineStr">
        <is>
          <t>RL7-BIN-104-ZSS-02</t>
        </is>
      </c>
      <c r="C150" s="313" t="inlineStr">
        <is>
          <t>RL7-BIN-104-ZSS-02</t>
        </is>
      </c>
      <c r="D150" s="262" t="inlineStr">
        <is>
          <t>PRS1905061</t>
        </is>
      </c>
      <c r="E150" s="128" t="inlineStr">
        <is>
          <t>JIC19B</t>
        </is>
      </c>
      <c r="F150" s="138" t="inlineStr">
        <is>
          <t xml:space="preserve">SURGE BIN 4 DISCHARGE SANITATION DOOR SAFETY INPUT CH1 </t>
        </is>
      </c>
      <c r="G150" s="131" t="inlineStr">
        <is>
          <t>DG7002</t>
        </is>
      </c>
      <c r="H150" s="128" t="inlineStr">
        <is>
          <t>PROC</t>
        </is>
      </c>
      <c r="I150" s="132" t="inlineStr">
        <is>
          <t>RL7-BINB-RIO1</t>
        </is>
      </c>
      <c r="J150" s="133" t="n">
        <v>5</v>
      </c>
      <c r="K150" s="129" t="n">
        <v>1</v>
      </c>
      <c r="L150" s="129" t="n">
        <v>6</v>
      </c>
      <c r="M150" s="129" t="inlineStr">
        <is>
          <t>24 VDC SI</t>
        </is>
      </c>
      <c r="N150" s="129" t="inlineStr">
        <is>
          <t>5069-IB8S</t>
        </is>
      </c>
      <c r="O150" s="139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40" t="n"/>
      <c r="AA150" t="inlineStr">
        <is>
          <t>No mapped PDF sheet</t>
        </is>
      </c>
      <c r="AC150" t="inlineStr">
        <is>
          <t>Low</t>
        </is>
      </c>
      <c r="AN150" t="inlineStr">
        <is>
          <t>Yes</t>
        </is>
      </c>
      <c r="AO150" t="inlineStr">
        <is>
          <t>sheet value not mapped to PDF</t>
        </is>
      </c>
    </row>
    <row r="151">
      <c r="A151" s="203">
        <f>ROW()-2</f>
        <v/>
      </c>
      <c r="B151" s="128" t="inlineStr">
        <is>
          <t>RL7-BIN-104-ZSS-02</t>
        </is>
      </c>
      <c r="C151" s="313" t="inlineStr">
        <is>
          <t>RL7-BIN-104-ZSS-02</t>
        </is>
      </c>
      <c r="D151" s="262" t="inlineStr">
        <is>
          <t>PRS1905061</t>
        </is>
      </c>
      <c r="E151" s="128" t="inlineStr">
        <is>
          <t>JIC19B</t>
        </is>
      </c>
      <c r="F151" s="138" t="inlineStr">
        <is>
          <t>SURGE BIN 4 DISCHARGE SANITATION DOOR SAFETY INPUT CH2</t>
        </is>
      </c>
      <c r="G151" s="131" t="inlineStr">
        <is>
          <t>DG7002</t>
        </is>
      </c>
      <c r="H151" s="128" t="inlineStr">
        <is>
          <t>PROC</t>
        </is>
      </c>
      <c r="I151" s="132" t="inlineStr">
        <is>
          <t>RL7-BINB-RIO1</t>
        </is>
      </c>
      <c r="J151" s="133" t="n">
        <v>5</v>
      </c>
      <c r="K151" s="129" t="n">
        <v>1</v>
      </c>
      <c r="L151" s="129" t="n">
        <v>7</v>
      </c>
      <c r="M151" s="129" t="inlineStr">
        <is>
          <t>24 VDC SI</t>
        </is>
      </c>
      <c r="N151" s="129" t="inlineStr">
        <is>
          <t>5069-IB8S</t>
        </is>
      </c>
      <c r="O151" s="139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40" t="n"/>
      <c r="AA151" t="inlineStr">
        <is>
          <t>No mapped PDF sheet</t>
        </is>
      </c>
      <c r="AC151" t="inlineStr">
        <is>
          <t>Low</t>
        </is>
      </c>
      <c r="AN151" t="inlineStr">
        <is>
          <t>Yes</t>
        </is>
      </c>
      <c r="AO151" t="inlineStr">
        <is>
          <t>sheet value not mapped to PDF</t>
        </is>
      </c>
    </row>
    <row r="152">
      <c r="A152" s="203">
        <f>ROW()-2</f>
        <v/>
      </c>
      <c r="B152" s="128" t="inlineStr">
        <is>
          <t>RL7-BIN-103-ZSS-03</t>
        </is>
      </c>
      <c r="C152" s="313" t="inlineStr">
        <is>
          <t>RL7-BIN-103-ZSS-03</t>
        </is>
      </c>
      <c r="D152" s="262" t="inlineStr">
        <is>
          <t>PRS1905161</t>
        </is>
      </c>
      <c r="E152" s="128" t="inlineStr">
        <is>
          <t>JIC19B</t>
        </is>
      </c>
      <c r="F152" s="138" t="inlineStr">
        <is>
          <t xml:space="preserve">SURGE BIN 3 SANITATION ACCESS GATE SAFETY INPUT CH1 </t>
        </is>
      </c>
      <c r="G152" s="131" t="inlineStr">
        <is>
          <t>DG7002</t>
        </is>
      </c>
      <c r="H152" s="128" t="inlineStr">
        <is>
          <t>PROC</t>
        </is>
      </c>
      <c r="I152" s="132" t="inlineStr">
        <is>
          <t>RL7-BINB-RIO1</t>
        </is>
      </c>
      <c r="J152" s="133" t="n">
        <v>5</v>
      </c>
      <c r="K152" s="129" t="n">
        <v>2</v>
      </c>
      <c r="L152" s="129" t="n">
        <v>0</v>
      </c>
      <c r="M152" s="129" t="inlineStr">
        <is>
          <t>24 VDC SI</t>
        </is>
      </c>
      <c r="N152" s="129" t="inlineStr">
        <is>
          <t>5069-IB8S</t>
        </is>
      </c>
      <c r="O152" s="139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40" t="n"/>
      <c r="AA152" t="inlineStr">
        <is>
          <t>No mapped PDF sheet</t>
        </is>
      </c>
      <c r="AC152" t="inlineStr">
        <is>
          <t>Low</t>
        </is>
      </c>
      <c r="AN152" t="inlineStr">
        <is>
          <t>Yes</t>
        </is>
      </c>
      <c r="AO152" t="inlineStr">
        <is>
          <t>sheet value not mapped to PDF</t>
        </is>
      </c>
    </row>
    <row r="153">
      <c r="A153" s="203">
        <f>ROW()-2</f>
        <v/>
      </c>
      <c r="B153" s="128" t="inlineStr">
        <is>
          <t>RL7-BIN-103-ZSS-03</t>
        </is>
      </c>
      <c r="C153" s="313" t="inlineStr">
        <is>
          <t>RL7-BIN-103-ZSS-03</t>
        </is>
      </c>
      <c r="D153" s="262" t="inlineStr">
        <is>
          <t>PRS1905161</t>
        </is>
      </c>
      <c r="E153" s="128" t="inlineStr">
        <is>
          <t>JIC19B</t>
        </is>
      </c>
      <c r="F153" s="138" t="inlineStr">
        <is>
          <t>SURGE BIN 3 SANITATION ACCESS GATE SAFETY INPUT CH2</t>
        </is>
      </c>
      <c r="G153" s="131" t="inlineStr">
        <is>
          <t>DG7002</t>
        </is>
      </c>
      <c r="H153" s="128" t="inlineStr">
        <is>
          <t>PROC</t>
        </is>
      </c>
      <c r="I153" s="132" t="inlineStr">
        <is>
          <t>RL7-BINB-RIO1</t>
        </is>
      </c>
      <c r="J153" s="133" t="n">
        <v>5</v>
      </c>
      <c r="K153" s="129" t="n">
        <v>2</v>
      </c>
      <c r="L153" s="129" t="n">
        <v>1</v>
      </c>
      <c r="M153" s="129" t="inlineStr">
        <is>
          <t>24 VDC SI</t>
        </is>
      </c>
      <c r="N153" s="129" t="inlineStr">
        <is>
          <t>5069-IB8S</t>
        </is>
      </c>
      <c r="O153" s="139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40" t="n"/>
      <c r="AA153" t="inlineStr">
        <is>
          <t>No mapped PDF sheet</t>
        </is>
      </c>
      <c r="AC153" t="inlineStr">
        <is>
          <t>Low</t>
        </is>
      </c>
      <c r="AN153" t="inlineStr">
        <is>
          <t>Yes</t>
        </is>
      </c>
      <c r="AO153" t="inlineStr">
        <is>
          <t>sheet value not mapped to PDF</t>
        </is>
      </c>
    </row>
    <row r="154">
      <c r="A154" s="203">
        <f>ROW()-2</f>
        <v/>
      </c>
      <c r="B154" s="128" t="inlineStr">
        <is>
          <t>RL7-BIN-104-PB-01</t>
        </is>
      </c>
      <c r="C154" s="313" t="inlineStr">
        <is>
          <t>RL7-BIN-104-ZSS-03</t>
        </is>
      </c>
      <c r="D154" s="264" t="inlineStr">
        <is>
          <t>PRS1905201</t>
        </is>
      </c>
      <c r="E154" s="133" t="inlineStr">
        <is>
          <t>JIC19B</t>
        </is>
      </c>
      <c r="F154" s="141" t="inlineStr">
        <is>
          <t xml:space="preserve">SURGE BIN 4 SANITATION ACCESS GATE SAFETY INPUT CH1 </t>
        </is>
      </c>
      <c r="G154" s="142" t="inlineStr">
        <is>
          <t>DG7002</t>
        </is>
      </c>
      <c r="H154" s="133" t="inlineStr">
        <is>
          <t>PROC</t>
        </is>
      </c>
      <c r="I154" s="132" t="inlineStr">
        <is>
          <t>RL7-BINB-RIO1</t>
        </is>
      </c>
      <c r="J154" s="133" t="n">
        <v>5</v>
      </c>
      <c r="K154" s="129" t="n">
        <v>2</v>
      </c>
      <c r="L154" s="129" t="n">
        <v>2</v>
      </c>
      <c r="M154" s="129" t="inlineStr">
        <is>
          <t>24 VDC SI</t>
        </is>
      </c>
      <c r="N154" s="129" t="inlineStr">
        <is>
          <t>5069-IB8S</t>
        </is>
      </c>
      <c r="O154" s="139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43" t="n"/>
      <c r="AA154" t="inlineStr">
        <is>
          <t>No mapped PDF sheet</t>
        </is>
      </c>
      <c r="AC154" t="inlineStr">
        <is>
          <t>Low</t>
        </is>
      </c>
      <c r="AN154" t="inlineStr">
        <is>
          <t>Yes</t>
        </is>
      </c>
      <c r="AO154" t="inlineStr">
        <is>
          <t>sheet value not mapped to PDF</t>
        </is>
      </c>
    </row>
    <row r="155">
      <c r="A155" s="203">
        <f>ROW()-2</f>
        <v/>
      </c>
      <c r="B155" s="128" t="inlineStr">
        <is>
          <t>RL7-BIN-104-PB-01</t>
        </is>
      </c>
      <c r="C155" s="313" t="inlineStr">
        <is>
          <t>RL7-BIN-104-ZSS-03</t>
        </is>
      </c>
      <c r="D155" s="264" t="inlineStr">
        <is>
          <t>PRS1905201</t>
        </is>
      </c>
      <c r="E155" s="133" t="inlineStr">
        <is>
          <t>JIC19B</t>
        </is>
      </c>
      <c r="F155" s="141" t="inlineStr">
        <is>
          <t>SURGE BIN 4 SANITATION ACCESS GATE SAFETY INPUT CH2</t>
        </is>
      </c>
      <c r="G155" s="142" t="inlineStr">
        <is>
          <t>DG7002</t>
        </is>
      </c>
      <c r="H155" s="133" t="inlineStr">
        <is>
          <t>PROC</t>
        </is>
      </c>
      <c r="I155" s="132" t="inlineStr">
        <is>
          <t>RL7-BINB-RIO1</t>
        </is>
      </c>
      <c r="J155" s="133" t="n">
        <v>5</v>
      </c>
      <c r="K155" s="129" t="n">
        <v>2</v>
      </c>
      <c r="L155" s="129" t="n">
        <v>3</v>
      </c>
      <c r="M155" s="129" t="inlineStr">
        <is>
          <t>24 VDC SI</t>
        </is>
      </c>
      <c r="N155" s="129" t="inlineStr">
        <is>
          <t>5069-IB8S</t>
        </is>
      </c>
      <c r="O155" s="139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43" t="n"/>
      <c r="AA155" t="inlineStr">
        <is>
          <t>No mapped PDF sheet</t>
        </is>
      </c>
      <c r="AC155" t="inlineStr">
        <is>
          <t>Low</t>
        </is>
      </c>
      <c r="AN155" t="inlineStr">
        <is>
          <t>Yes</t>
        </is>
      </c>
      <c r="AO155" t="inlineStr">
        <is>
          <t>sheet value not mapped to PDF</t>
        </is>
      </c>
    </row>
    <row r="156">
      <c r="A156" s="203">
        <f>ROW()-2</f>
        <v/>
      </c>
      <c r="B156" s="128" t="inlineStr">
        <is>
          <t>RL7-CNV-114-ZSS-05</t>
        </is>
      </c>
      <c r="C156" s="313" t="inlineStr">
        <is>
          <t>RL7-CNV-112-PB-01</t>
        </is>
      </c>
      <c r="D156" s="264" t="n"/>
      <c r="E156" s="133" t="n"/>
      <c r="F156" s="141" t="inlineStr">
        <is>
          <t>SURGE BIN TAKEAWAY CONVEYOR E-STOP PUSHBUTTON SAFETY INPUT CH1</t>
        </is>
      </c>
      <c r="G156" s="142" t="inlineStr">
        <is>
          <t>DG7002</t>
        </is>
      </c>
      <c r="H156" s="133" t="inlineStr">
        <is>
          <t>PROC</t>
        </is>
      </c>
      <c r="I156" s="132" t="inlineStr">
        <is>
          <t>RL7-BINB-RIO1</t>
        </is>
      </c>
      <c r="J156" s="133" t="n">
        <v>5</v>
      </c>
      <c r="K156" s="129" t="n">
        <v>2</v>
      </c>
      <c r="L156" s="129" t="n">
        <v>4</v>
      </c>
      <c r="M156" s="129" t="inlineStr">
        <is>
          <t>24 VDC SI</t>
        </is>
      </c>
      <c r="N156" s="129" t="inlineStr">
        <is>
          <t>5069-IB8S</t>
        </is>
      </c>
      <c r="O156" s="139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40" t="n"/>
      <c r="AA156" t="inlineStr">
        <is>
          <t>No mapped PDF sheet</t>
        </is>
      </c>
      <c r="AC156" t="inlineStr">
        <is>
          <t>Low</t>
        </is>
      </c>
      <c r="AN156" t="inlineStr">
        <is>
          <t>Yes</t>
        </is>
      </c>
      <c r="AO156" t="inlineStr">
        <is>
          <t>sheet value not mapped to PDF</t>
        </is>
      </c>
    </row>
    <row r="157">
      <c r="A157" s="203">
        <f>ROW()-2</f>
        <v/>
      </c>
      <c r="B157" s="128" t="inlineStr">
        <is>
          <t>RL7-CNV-114-ZSS-05</t>
        </is>
      </c>
      <c r="C157" s="313" t="inlineStr">
        <is>
          <t>RL7-CNV-112-PB-01</t>
        </is>
      </c>
      <c r="D157" s="264" t="n"/>
      <c r="E157" s="133" t="n"/>
      <c r="F157" s="141" t="inlineStr">
        <is>
          <t>SURGE BIN TAKEAWAY CONVEYOR E-STOP PUSHBUTTON SAFETY INPUT CH2</t>
        </is>
      </c>
      <c r="G157" s="142" t="inlineStr">
        <is>
          <t>DG7002</t>
        </is>
      </c>
      <c r="H157" s="133" t="inlineStr">
        <is>
          <t>PROC</t>
        </is>
      </c>
      <c r="I157" s="132" t="inlineStr">
        <is>
          <t>RL7-BINB-RIO1</t>
        </is>
      </c>
      <c r="J157" s="133" t="n">
        <v>5</v>
      </c>
      <c r="K157" s="129" t="n">
        <v>2</v>
      </c>
      <c r="L157" s="129" t="n">
        <v>5</v>
      </c>
      <c r="M157" s="129" t="inlineStr">
        <is>
          <t>24 VDC SI</t>
        </is>
      </c>
      <c r="N157" s="129" t="inlineStr">
        <is>
          <t>5069-IB8S</t>
        </is>
      </c>
      <c r="O157" s="139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40" t="n"/>
      <c r="AA157" t="inlineStr">
        <is>
          <t>No mapped PDF sheet</t>
        </is>
      </c>
      <c r="AC157" t="inlineStr">
        <is>
          <t>Low</t>
        </is>
      </c>
      <c r="AN157" t="inlineStr">
        <is>
          <t>Yes</t>
        </is>
      </c>
      <c r="AO157" t="inlineStr">
        <is>
          <t>sheet value not mapped to PDF</t>
        </is>
      </c>
    </row>
    <row r="158">
      <c r="A158" s="203">
        <f>ROW()-2</f>
        <v/>
      </c>
      <c r="B158" s="128" t="inlineStr">
        <is>
          <t>RL7-BIN-104-ZSS-03</t>
        </is>
      </c>
      <c r="C158" s="313" t="inlineStr">
        <is>
          <t>RL7-BIN-104-PB-01</t>
        </is>
      </c>
      <c r="D158" s="264" t="n"/>
      <c r="E158" s="133" t="n"/>
      <c r="F158" s="141" t="inlineStr">
        <is>
          <t>SURGE BIN SOUTH E-STOP PUSHBUTTON SAFETY INPUT CH1</t>
        </is>
      </c>
      <c r="G158" s="142" t="inlineStr">
        <is>
          <t>DG7002</t>
        </is>
      </c>
      <c r="H158" s="133" t="inlineStr">
        <is>
          <t>PROC</t>
        </is>
      </c>
      <c r="I158" s="132" t="inlineStr">
        <is>
          <t>RL7-BINB-RIO1</t>
        </is>
      </c>
      <c r="J158" s="133" t="n">
        <v>5</v>
      </c>
      <c r="K158" s="129" t="n">
        <v>2</v>
      </c>
      <c r="L158" s="129" t="n">
        <v>6</v>
      </c>
      <c r="M158" s="129" t="inlineStr">
        <is>
          <t>24 VDC SI</t>
        </is>
      </c>
      <c r="N158" s="129" t="inlineStr">
        <is>
          <t>5069-IB8S</t>
        </is>
      </c>
      <c r="O158" s="139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40" t="n"/>
      <c r="AA158" t="inlineStr">
        <is>
          <t>No mapped PDF sheet</t>
        </is>
      </c>
      <c r="AC158" t="inlineStr">
        <is>
          <t>Low</t>
        </is>
      </c>
      <c r="AN158" t="inlineStr">
        <is>
          <t>Yes</t>
        </is>
      </c>
      <c r="AO158" t="inlineStr">
        <is>
          <t>sheet value not mapped to PDF</t>
        </is>
      </c>
    </row>
    <row r="159">
      <c r="A159" s="203">
        <f>ROW()-2</f>
        <v/>
      </c>
      <c r="B159" s="128" t="inlineStr">
        <is>
          <t>RL7-BIN-104-ZSS-03</t>
        </is>
      </c>
      <c r="C159" s="313" t="inlineStr">
        <is>
          <t>RL7-BIN-104-PB-01</t>
        </is>
      </c>
      <c r="D159" s="264" t="n"/>
      <c r="E159" s="133" t="n"/>
      <c r="F159" s="141" t="inlineStr">
        <is>
          <t>SURGE BIN SOUTH E-STOP PUSHBUTTON SAFETY INPUT CH2</t>
        </is>
      </c>
      <c r="G159" s="142" t="inlineStr">
        <is>
          <t>DG7002</t>
        </is>
      </c>
      <c r="H159" s="133" t="inlineStr">
        <is>
          <t>PROC</t>
        </is>
      </c>
      <c r="I159" s="132" t="inlineStr">
        <is>
          <t>RL7-BINB-RIO1</t>
        </is>
      </c>
      <c r="J159" s="133" t="n">
        <v>5</v>
      </c>
      <c r="K159" s="129" t="n">
        <v>2</v>
      </c>
      <c r="L159" s="129" t="n">
        <v>7</v>
      </c>
      <c r="M159" s="129" t="inlineStr">
        <is>
          <t>24 VDC SI</t>
        </is>
      </c>
      <c r="N159" s="129" t="inlineStr">
        <is>
          <t>5069-IB8S</t>
        </is>
      </c>
      <c r="O159" s="139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40" t="n"/>
      <c r="AA159" t="inlineStr">
        <is>
          <t>No mapped PDF sheet</t>
        </is>
      </c>
      <c r="AC159" t="inlineStr">
        <is>
          <t>Low</t>
        </is>
      </c>
      <c r="AN159" t="inlineStr">
        <is>
          <t>Yes</t>
        </is>
      </c>
      <c r="AO159" t="inlineStr">
        <is>
          <t>sheet value not mapped to PDF</t>
        </is>
      </c>
    </row>
    <row r="160">
      <c r="A160" s="203">
        <f>ROW()-2</f>
        <v/>
      </c>
      <c r="B160" s="128" t="inlineStr">
        <is>
          <t>RL7-CNV-114-ZSC-06</t>
        </is>
      </c>
      <c r="C160" s="313" t="inlineStr">
        <is>
          <t>RL7-BIN-104-PBL-01</t>
        </is>
      </c>
      <c r="D160" s="264" t="n"/>
      <c r="E160" s="133" t="n"/>
      <c r="F160" s="141" t="inlineStr">
        <is>
          <t>SURGE BIN SOUTH E-STOP PUSHBUTTON PILOT LIGHT</t>
        </is>
      </c>
      <c r="G160" s="142" t="inlineStr">
        <is>
          <t>DG7002</t>
        </is>
      </c>
      <c r="H160" s="133" t="inlineStr">
        <is>
          <t>PROC</t>
        </is>
      </c>
      <c r="I160" s="132" t="inlineStr">
        <is>
          <t>RL7-BINB-RIO1</t>
        </is>
      </c>
      <c r="J160" s="133" t="n">
        <v>5</v>
      </c>
      <c r="K160" s="129" t="n">
        <v>6</v>
      </c>
      <c r="L160" s="129" t="n">
        <v>0</v>
      </c>
      <c r="M160" s="129" t="inlineStr">
        <is>
          <t>24 VDC DO</t>
        </is>
      </c>
      <c r="N160" s="129" t="inlineStr">
        <is>
          <t>5069-IB16</t>
        </is>
      </c>
      <c r="O160" s="139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40" t="n"/>
      <c r="AA160" t="inlineStr">
        <is>
          <t>No mapped PDF sheet</t>
        </is>
      </c>
      <c r="AC160" t="inlineStr">
        <is>
          <t>Low</t>
        </is>
      </c>
      <c r="AN160" t="inlineStr">
        <is>
          <t>Yes</t>
        </is>
      </c>
      <c r="AO160" t="inlineStr">
        <is>
          <t>sheet value not mapped to PDF</t>
        </is>
      </c>
    </row>
    <row r="161">
      <c r="A161" s="203">
        <f>ROW()-2</f>
        <v/>
      </c>
      <c r="B161" s="128" t="inlineStr">
        <is>
          <t>RL7-CNV-114-ZSC-05</t>
        </is>
      </c>
      <c r="C161" s="313" t="inlineStr">
        <is>
          <t>RL7-CNV-112-PBL-01</t>
        </is>
      </c>
      <c r="D161" s="264" t="n"/>
      <c r="E161" s="133" t="n"/>
      <c r="F161" s="141" t="inlineStr">
        <is>
          <t>SURGE BIN TAKEAWAY CONVEYOR E-STOP PUSHBUTTON PILOT LIGHT</t>
        </is>
      </c>
      <c r="G161" s="142" t="inlineStr">
        <is>
          <t>DG7002</t>
        </is>
      </c>
      <c r="H161" s="133" t="inlineStr">
        <is>
          <t>PROC</t>
        </is>
      </c>
      <c r="I161" s="132" t="inlineStr">
        <is>
          <t>RL7-BINB-RIO1</t>
        </is>
      </c>
      <c r="J161" s="133" t="n">
        <v>5</v>
      </c>
      <c r="K161" s="129" t="n">
        <v>6</v>
      </c>
      <c r="L161" s="129" t="n">
        <v>1</v>
      </c>
      <c r="M161" s="129" t="inlineStr">
        <is>
          <t>24 VDC DO</t>
        </is>
      </c>
      <c r="N161" s="129" t="inlineStr">
        <is>
          <t>5069-IB16</t>
        </is>
      </c>
      <c r="O161" s="139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40" t="n"/>
      <c r="AA161" t="inlineStr">
        <is>
          <t>No mapped PDF sheet</t>
        </is>
      </c>
      <c r="AC161" t="inlineStr">
        <is>
          <t>Low</t>
        </is>
      </c>
      <c r="AN161" t="inlineStr">
        <is>
          <t>Yes</t>
        </is>
      </c>
      <c r="AO161" t="inlineStr">
        <is>
          <t>sheet value not mapped to PDF</t>
        </is>
      </c>
    </row>
    <row r="162">
      <c r="A162" s="203">
        <f>ROW()-2</f>
        <v/>
      </c>
      <c r="B162" s="128" t="inlineStr">
        <is>
          <t>RL7-CNV-114-ZSC-01</t>
        </is>
      </c>
      <c r="C162" s="313" t="inlineStr">
        <is>
          <t>RL7-CNV-112-XY-01</t>
        </is>
      </c>
      <c r="D162" s="264" t="n"/>
      <c r="E162" s="133" t="n"/>
      <c r="F162" s="141" t="inlineStr">
        <is>
          <t>SURGE BIN TAKEAWAY CONVEYOR SANITATION VALVE OPEN SOLENOID</t>
        </is>
      </c>
      <c r="G162" s="142" t="inlineStr">
        <is>
          <t>DG7002</t>
        </is>
      </c>
      <c r="H162" s="133" t="inlineStr">
        <is>
          <t>PROC</t>
        </is>
      </c>
      <c r="I162" s="132" t="inlineStr">
        <is>
          <t>RL7-BINB-RIO1</t>
        </is>
      </c>
      <c r="J162" s="133" t="n">
        <v>5</v>
      </c>
      <c r="K162" s="129" t="n">
        <v>6</v>
      </c>
      <c r="L162" s="129" t="n">
        <v>2</v>
      </c>
      <c r="M162" s="129" t="inlineStr">
        <is>
          <t>24 VDC DO</t>
        </is>
      </c>
      <c r="N162" s="129" t="inlineStr">
        <is>
          <t>5069-IB16</t>
        </is>
      </c>
      <c r="O162" s="139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40" t="n"/>
      <c r="AA162" t="inlineStr">
        <is>
          <t>No mapped PDF sheet</t>
        </is>
      </c>
      <c r="AC162" t="inlineStr">
        <is>
          <t>Low</t>
        </is>
      </c>
      <c r="AN162" t="inlineStr">
        <is>
          <t>Yes</t>
        </is>
      </c>
      <c r="AO162" t="inlineStr">
        <is>
          <t>sheet value not mapped to PDF</t>
        </is>
      </c>
    </row>
    <row r="163">
      <c r="A163" s="203">
        <f>ROW()-2</f>
        <v/>
      </c>
      <c r="B163" s="128" t="inlineStr">
        <is>
          <t>RL7-CNV-114-ZSC-02</t>
        </is>
      </c>
      <c r="C163" s="313" t="inlineStr">
        <is>
          <t>RL7-BIN-103-XY-01</t>
        </is>
      </c>
      <c r="D163" s="264" t="n"/>
      <c r="E163" s="133" t="n"/>
      <c r="F163" s="141" t="inlineStr">
        <is>
          <t>SURGE BIN 3 SANITATION VALVE OPEN SOLENOID</t>
        </is>
      </c>
      <c r="G163" s="142" t="inlineStr">
        <is>
          <t>DG7002</t>
        </is>
      </c>
      <c r="H163" s="133" t="inlineStr">
        <is>
          <t>PROC</t>
        </is>
      </c>
      <c r="I163" s="132" t="inlineStr">
        <is>
          <t>RL7-BINB-RIO1</t>
        </is>
      </c>
      <c r="J163" s="133" t="n">
        <v>5</v>
      </c>
      <c r="K163" s="129" t="n">
        <v>6</v>
      </c>
      <c r="L163" s="129" t="n">
        <v>3</v>
      </c>
      <c r="M163" s="129" t="inlineStr">
        <is>
          <t>24 VDC DO</t>
        </is>
      </c>
      <c r="N163" s="129" t="inlineStr">
        <is>
          <t>5069-IB16</t>
        </is>
      </c>
      <c r="O163" s="139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40" t="n"/>
      <c r="AA163" t="inlineStr">
        <is>
          <t>No mapped PDF sheet</t>
        </is>
      </c>
      <c r="AC163" t="inlineStr">
        <is>
          <t>Low</t>
        </is>
      </c>
      <c r="AN163" t="inlineStr">
        <is>
          <t>Yes</t>
        </is>
      </c>
      <c r="AO163" t="inlineStr">
        <is>
          <t>sheet value not mapped to PDF</t>
        </is>
      </c>
    </row>
    <row r="164">
      <c r="A164" s="203">
        <f>ROW()-2</f>
        <v/>
      </c>
      <c r="B164" s="128" t="inlineStr">
        <is>
          <t>RL7-CNV-114-ZSC-04</t>
        </is>
      </c>
      <c r="C164" s="313" t="inlineStr">
        <is>
          <t>RL7-BIN-104-XY-01</t>
        </is>
      </c>
      <c r="D164" s="264" t="n"/>
      <c r="E164" s="133" t="n"/>
      <c r="F164" s="141" t="inlineStr">
        <is>
          <t>SURGE BIN 4 SANITATION VALVE OPEN SOLENOID</t>
        </is>
      </c>
      <c r="G164" s="142" t="inlineStr">
        <is>
          <t>DG7002</t>
        </is>
      </c>
      <c r="H164" s="133" t="inlineStr">
        <is>
          <t>PROC</t>
        </is>
      </c>
      <c r="I164" s="132" t="inlineStr">
        <is>
          <t>RL7-BINB-RIO1</t>
        </is>
      </c>
      <c r="J164" s="133" t="n">
        <v>5</v>
      </c>
      <c r="K164" s="129" t="n">
        <v>6</v>
      </c>
      <c r="L164" s="129" t="n">
        <v>4</v>
      </c>
      <c r="M164" s="129" t="inlineStr">
        <is>
          <t>24 VDC DO</t>
        </is>
      </c>
      <c r="N164" s="129" t="inlineStr">
        <is>
          <t>5069-IB16</t>
        </is>
      </c>
      <c r="O164" s="139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40" t="n"/>
      <c r="AA164" t="inlineStr">
        <is>
          <t>No mapped PDF sheet</t>
        </is>
      </c>
      <c r="AC164" t="inlineStr">
        <is>
          <t>Low</t>
        </is>
      </c>
      <c r="AN164" t="inlineStr">
        <is>
          <t>Yes</t>
        </is>
      </c>
      <c r="AO164" t="inlineStr">
        <is>
          <t>sheet value not mapped to PDF</t>
        </is>
      </c>
    </row>
    <row r="165">
      <c r="A165" s="203">
        <f>ROW()-2</f>
        <v/>
      </c>
      <c r="B165" s="128" t="inlineStr">
        <is>
          <t>RL7-CNV-114-ZSC-03</t>
        </is>
      </c>
      <c r="C165" s="313" t="inlineStr">
        <is>
          <t>RL7-BIN-104-AH-01</t>
        </is>
      </c>
      <c r="D165" s="264" t="n"/>
      <c r="E165" s="133" t="n"/>
      <c r="F165" s="141" t="inlineStr">
        <is>
          <t>SURGE BIN 4 ALARM HORN</t>
        </is>
      </c>
      <c r="G165" s="142" t="inlineStr">
        <is>
          <t>DG7002</t>
        </is>
      </c>
      <c r="H165" s="133" t="inlineStr">
        <is>
          <t>PROC</t>
        </is>
      </c>
      <c r="I165" s="132" t="inlineStr">
        <is>
          <t>RL7-BINB-RIO1</t>
        </is>
      </c>
      <c r="J165" s="133" t="n">
        <v>5</v>
      </c>
      <c r="K165" s="129" t="n">
        <v>6</v>
      </c>
      <c r="L165" s="129" t="n">
        <v>5</v>
      </c>
      <c r="M165" s="129" t="inlineStr">
        <is>
          <t>24 VDC DO</t>
        </is>
      </c>
      <c r="N165" s="129" t="inlineStr">
        <is>
          <t>5069-IB16</t>
        </is>
      </c>
      <c r="O165" s="139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40" t="n"/>
      <c r="AA165" t="inlineStr">
        <is>
          <t>No mapped PDF sheet</t>
        </is>
      </c>
      <c r="AC165" t="inlineStr">
        <is>
          <t>Low</t>
        </is>
      </c>
      <c r="AN165" t="inlineStr">
        <is>
          <t>Yes</t>
        </is>
      </c>
      <c r="AO165" t="inlineStr">
        <is>
          <t>sheet value not mapped to PDF</t>
        </is>
      </c>
    </row>
    <row r="166">
      <c r="A166" s="203">
        <f>ROW()-2</f>
        <v/>
      </c>
      <c r="B166" s="128" t="inlineStr">
        <is>
          <t>RL7-BIN-103-ZSO-01</t>
        </is>
      </c>
      <c r="C166" s="313" t="inlineStr">
        <is>
          <t>RL7-BIN-104-PL-01R</t>
        </is>
      </c>
      <c r="D166" s="264" t="n"/>
      <c r="E166" s="133" t="n"/>
      <c r="F166" s="141" t="inlineStr">
        <is>
          <t>SURGE BIN 4 RED PILOT LIGHT</t>
        </is>
      </c>
      <c r="G166" s="142" t="inlineStr">
        <is>
          <t>DG7002</t>
        </is>
      </c>
      <c r="H166" s="133" t="inlineStr">
        <is>
          <t>PROC</t>
        </is>
      </c>
      <c r="I166" s="132" t="inlineStr">
        <is>
          <t>RL7-BINB-RIO1</t>
        </is>
      </c>
      <c r="J166" s="133" t="n">
        <v>5</v>
      </c>
      <c r="K166" s="129" t="n">
        <v>6</v>
      </c>
      <c r="L166" s="129" t="n">
        <v>6</v>
      </c>
      <c r="M166" s="129" t="inlineStr">
        <is>
          <t>24 VDC DO</t>
        </is>
      </c>
      <c r="N166" s="129" t="inlineStr">
        <is>
          <t>5069-IB16</t>
        </is>
      </c>
      <c r="O166" s="139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40" t="n"/>
      <c r="AA166" t="inlineStr">
        <is>
          <t>No mapped PDF sheet</t>
        </is>
      </c>
      <c r="AC166" t="inlineStr">
        <is>
          <t>Low</t>
        </is>
      </c>
      <c r="AN166" t="inlineStr">
        <is>
          <t>Yes</t>
        </is>
      </c>
      <c r="AO166" t="inlineStr">
        <is>
          <t>sheet value not mapped to PDF</t>
        </is>
      </c>
    </row>
    <row r="167">
      <c r="A167" s="203">
        <f>ROW()-2</f>
        <v/>
      </c>
      <c r="B167" s="128" t="inlineStr">
        <is>
          <t>RL7-BIN-103-ZSC-01</t>
        </is>
      </c>
      <c r="C167" s="313" t="inlineStr">
        <is>
          <t>RL7-BIN-104-PL-01Y</t>
        </is>
      </c>
      <c r="D167" s="264" t="n"/>
      <c r="E167" s="133" t="n"/>
      <c r="F167" s="141" t="inlineStr">
        <is>
          <t>SURGE BIN 4 YELLOW PILOT LIGHT</t>
        </is>
      </c>
      <c r="G167" s="142" t="inlineStr">
        <is>
          <t>DG7002</t>
        </is>
      </c>
      <c r="H167" s="133" t="inlineStr">
        <is>
          <t>PROC</t>
        </is>
      </c>
      <c r="I167" s="132" t="inlineStr">
        <is>
          <t>RL7-BINB-RIO1</t>
        </is>
      </c>
      <c r="J167" s="133" t="n">
        <v>5</v>
      </c>
      <c r="K167" s="129" t="n">
        <v>6</v>
      </c>
      <c r="L167" s="129" t="n">
        <v>7</v>
      </c>
      <c r="M167" s="129" t="inlineStr">
        <is>
          <t>24 VDC DO</t>
        </is>
      </c>
      <c r="N167" s="129" t="inlineStr">
        <is>
          <t>5069-IB16</t>
        </is>
      </c>
      <c r="O167" s="139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40" t="n"/>
      <c r="AA167" t="inlineStr">
        <is>
          <t>No mapped PDF sheet</t>
        </is>
      </c>
      <c r="AC167" t="inlineStr">
        <is>
          <t>Low</t>
        </is>
      </c>
      <c r="AN167" t="inlineStr">
        <is>
          <t>Yes</t>
        </is>
      </c>
      <c r="AO167" t="inlineStr">
        <is>
          <t>sheet value not mapped to PDF</t>
        </is>
      </c>
    </row>
    <row r="168">
      <c r="A168" s="203">
        <f>ROW()-2</f>
        <v/>
      </c>
      <c r="B168" s="128" t="n"/>
      <c r="C168" s="313" t="inlineStr">
        <is>
          <t>RL7-BIN-104-PL-01G</t>
        </is>
      </c>
      <c r="D168" s="264" t="n"/>
      <c r="E168" s="133" t="n"/>
      <c r="F168" s="141" t="inlineStr">
        <is>
          <t>SURGE BIN 4 GREEN PILOT LIGHT</t>
        </is>
      </c>
      <c r="G168" s="142" t="inlineStr">
        <is>
          <t>DG7002</t>
        </is>
      </c>
      <c r="H168" s="133" t="inlineStr">
        <is>
          <t>PROC</t>
        </is>
      </c>
      <c r="I168" s="132" t="inlineStr">
        <is>
          <t>RL7-BINB-RIO1</t>
        </is>
      </c>
      <c r="J168" s="133" t="n">
        <v>5</v>
      </c>
      <c r="K168" s="129" t="n">
        <v>6</v>
      </c>
      <c r="L168" s="129" t="n">
        <v>8</v>
      </c>
      <c r="M168" s="129" t="inlineStr">
        <is>
          <t>24 VDC DO</t>
        </is>
      </c>
      <c r="N168" s="129" t="inlineStr">
        <is>
          <t>5069-IB16</t>
        </is>
      </c>
      <c r="O168" s="139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40" t="n"/>
      <c r="AA168" t="inlineStr">
        <is>
          <t>No mapped PDF sheet</t>
        </is>
      </c>
      <c r="AC168" t="inlineStr">
        <is>
          <t>Low</t>
        </is>
      </c>
      <c r="AN168" t="inlineStr">
        <is>
          <t>Yes</t>
        </is>
      </c>
      <c r="AO168" t="inlineStr">
        <is>
          <t>sheet value not mapped to PDF</t>
        </is>
      </c>
    </row>
    <row r="169">
      <c r="A169" s="203">
        <f>ROW()-1</f>
        <v/>
      </c>
      <c r="B169" s="128" t="inlineStr">
        <is>
          <t>RL7-BIN-103-ZSS-01</t>
        </is>
      </c>
      <c r="C169" s="314" t="inlineStr">
        <is>
          <t>RL7-CNV-114-ZSS-04</t>
        </is>
      </c>
      <c r="D169" s="264" t="inlineStr">
        <is>
          <t>PRS2106021</t>
        </is>
      </c>
      <c r="E169" s="133" t="inlineStr">
        <is>
          <t>JIC21B</t>
        </is>
      </c>
      <c r="F169" s="141" t="inlineStr">
        <is>
          <t>INCLINE PIVOT AUGER 1 TROUGH COVER 1 SAFETY INPUT CH1</t>
        </is>
      </c>
      <c r="G169" s="142" t="inlineStr">
        <is>
          <t>DG7003</t>
        </is>
      </c>
      <c r="H169" s="133" t="inlineStr">
        <is>
          <t>PROC</t>
        </is>
      </c>
      <c r="I169" s="132" t="inlineStr">
        <is>
          <t>RL7-IPA1-RIO1</t>
        </is>
      </c>
      <c r="J169" s="133" t="n">
        <v>6</v>
      </c>
      <c r="K169" s="129" t="n">
        <v>1</v>
      </c>
      <c r="L169" s="129" t="n">
        <v>0</v>
      </c>
      <c r="M169" s="129" t="inlineStr">
        <is>
          <t>24 VDC SI</t>
        </is>
      </c>
      <c r="N169" s="129" t="inlineStr">
        <is>
          <t>5069-IB8S</t>
        </is>
      </c>
      <c r="O169" s="139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40" t="n"/>
      <c r="AA169" t="inlineStr">
        <is>
          <t>Matched</t>
        </is>
      </c>
      <c r="AB169" s="315" t="n">
        <v>0.99</v>
      </c>
      <c r="AC169" t="inlineStr">
        <is>
          <t>High</t>
        </is>
      </c>
      <c r="AD169" t="n">
        <v>1</v>
      </c>
      <c r="AE169" t="inlineStr">
        <is>
          <t>DG7003</t>
        </is>
      </c>
      <c r="AF169" t="n">
        <v>7</v>
      </c>
      <c r="AG169" t="inlineStr">
        <is>
          <t>drawing</t>
        </is>
      </c>
      <c r="AH169" t="inlineStr">
        <is>
          <t>stacked:isa</t>
        </is>
      </c>
      <c r="AI169" t="inlineStr">
        <is>
          <t>drawing zone; process page; mapped sheet; excel sheet match</t>
        </is>
      </c>
      <c r="AJ169" t="inlineStr">
        <is>
          <t>native</t>
        </is>
      </c>
      <c r="AK169" t="inlineStr">
        <is>
          <t>native-only</t>
        </is>
      </c>
      <c r="AM169" t="inlineStr">
        <is>
          <t>7</t>
        </is>
      </c>
      <c r="AN169" t="inlineStr">
        <is>
          <t>Yes</t>
        </is>
      </c>
      <c r="AO169" t="inlineStr">
        <is>
          <t>mapped sheet id</t>
        </is>
      </c>
      <c r="AP169" t="inlineStr">
        <is>
          <t>p7:native:7, p7:native:8</t>
        </is>
      </c>
      <c r="AQ169" t="n">
        <v>2</v>
      </c>
    </row>
    <row r="170">
      <c r="A170" s="203">
        <f>ROW()-1</f>
        <v/>
      </c>
      <c r="B170" s="128" t="inlineStr">
        <is>
          <t>RL7-BIN-103-ZSS-01</t>
        </is>
      </c>
      <c r="C170" s="314" t="inlineStr">
        <is>
          <t>RL7-CNV-114-ZSS-04</t>
        </is>
      </c>
      <c r="D170" s="264" t="inlineStr">
        <is>
          <t>PRS2106021</t>
        </is>
      </c>
      <c r="E170" s="133" t="inlineStr">
        <is>
          <t>JIC21B</t>
        </is>
      </c>
      <c r="F170" s="141" t="inlineStr">
        <is>
          <t>INCLINE PIVOT AUGER 1 TROUGH COVER 1 SAFETY INPUT CH2</t>
        </is>
      </c>
      <c r="G170" s="142" t="inlineStr">
        <is>
          <t>DG7003</t>
        </is>
      </c>
      <c r="H170" s="133" t="inlineStr">
        <is>
          <t>PROC</t>
        </is>
      </c>
      <c r="I170" s="132" t="inlineStr">
        <is>
          <t>RL7-IPA1-RIO1</t>
        </is>
      </c>
      <c r="J170" s="133" t="n">
        <v>6</v>
      </c>
      <c r="K170" s="129" t="n">
        <v>1</v>
      </c>
      <c r="L170" s="129" t="n">
        <v>1</v>
      </c>
      <c r="M170" s="129" t="inlineStr">
        <is>
          <t>24 VDC SI</t>
        </is>
      </c>
      <c r="N170" s="129" t="inlineStr">
        <is>
          <t>5069-IB8S</t>
        </is>
      </c>
      <c r="O170" s="139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40" t="n"/>
      <c r="AA170" t="inlineStr">
        <is>
          <t>Matched</t>
        </is>
      </c>
      <c r="AB170" s="315" t="n">
        <v>0.99</v>
      </c>
      <c r="AC170" t="inlineStr">
        <is>
          <t>High</t>
        </is>
      </c>
      <c r="AD170" t="n">
        <v>1</v>
      </c>
      <c r="AE170" t="inlineStr">
        <is>
          <t>DG7003</t>
        </is>
      </c>
      <c r="AF170" t="n">
        <v>7</v>
      </c>
      <c r="AG170" t="inlineStr">
        <is>
          <t>drawing</t>
        </is>
      </c>
      <c r="AH170" t="inlineStr">
        <is>
          <t>stacked:isa</t>
        </is>
      </c>
      <c r="AI170" t="inlineStr">
        <is>
          <t>drawing zone; process page; mapped sheet; excel sheet match</t>
        </is>
      </c>
      <c r="AJ170" t="inlineStr">
        <is>
          <t>native</t>
        </is>
      </c>
      <c r="AK170" t="inlineStr">
        <is>
          <t>native-only</t>
        </is>
      </c>
      <c r="AM170" t="inlineStr">
        <is>
          <t>7</t>
        </is>
      </c>
      <c r="AN170" t="inlineStr">
        <is>
          <t>Yes</t>
        </is>
      </c>
      <c r="AO170" t="inlineStr">
        <is>
          <t>mapped sheet id</t>
        </is>
      </c>
      <c r="AP170" t="inlineStr">
        <is>
          <t>p7:native:7, p7:native:8</t>
        </is>
      </c>
      <c r="AQ170" t="n">
        <v>2</v>
      </c>
    </row>
    <row r="171">
      <c r="A171" s="203">
        <f>ROW()-1</f>
        <v/>
      </c>
      <c r="B171" s="128" t="inlineStr">
        <is>
          <t>RL7-BIN-103-ZSS-02</t>
        </is>
      </c>
      <c r="C171" s="314" t="inlineStr">
        <is>
          <t>RL7-CNV-114-ZSS-01</t>
        </is>
      </c>
      <c r="D171" s="264" t="inlineStr">
        <is>
          <t>PRS2106101</t>
        </is>
      </c>
      <c r="E171" s="133" t="inlineStr">
        <is>
          <t>JIC21B</t>
        </is>
      </c>
      <c r="F171" s="141" t="inlineStr">
        <is>
          <t>INCLINE PIVOT AUGER 1 MAIN GUARD 1 SAFETY INPUT CH1</t>
        </is>
      </c>
      <c r="G171" s="142" t="inlineStr">
        <is>
          <t>DG7003</t>
        </is>
      </c>
      <c r="H171" s="133" t="inlineStr">
        <is>
          <t>PROC</t>
        </is>
      </c>
      <c r="I171" s="132" t="inlineStr">
        <is>
          <t>RL7-IPA1-RIO1</t>
        </is>
      </c>
      <c r="J171" s="133" t="n">
        <v>6</v>
      </c>
      <c r="K171" s="129" t="n">
        <v>1</v>
      </c>
      <c r="L171" s="129" t="n">
        <v>2</v>
      </c>
      <c r="M171" s="129" t="inlineStr">
        <is>
          <t>24 VDC SI</t>
        </is>
      </c>
      <c r="N171" s="129" t="inlineStr">
        <is>
          <t>5069-IB8S</t>
        </is>
      </c>
      <c r="O171" s="139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40" t="n"/>
      <c r="AA171" t="inlineStr">
        <is>
          <t>Matched</t>
        </is>
      </c>
      <c r="AB171" s="315" t="n">
        <v>0.99</v>
      </c>
      <c r="AC171" t="inlineStr">
        <is>
          <t>High</t>
        </is>
      </c>
      <c r="AD171" t="n">
        <v>1</v>
      </c>
      <c r="AE171" t="inlineStr">
        <is>
          <t>DG7003</t>
        </is>
      </c>
      <c r="AF171" t="n">
        <v>7</v>
      </c>
      <c r="AG171" t="inlineStr">
        <is>
          <t>drawing</t>
        </is>
      </c>
      <c r="AH171" t="inlineStr">
        <is>
          <t>stacked:isa</t>
        </is>
      </c>
      <c r="AI171" t="inlineStr">
        <is>
          <t>drawing zone; process page; mapped sheet; excel sheet match</t>
        </is>
      </c>
      <c r="AJ171" t="inlineStr">
        <is>
          <t>native</t>
        </is>
      </c>
      <c r="AK171" t="inlineStr">
        <is>
          <t>native-only</t>
        </is>
      </c>
      <c r="AM171" t="inlineStr">
        <is>
          <t>7</t>
        </is>
      </c>
      <c r="AN171" t="inlineStr">
        <is>
          <t>Yes</t>
        </is>
      </c>
      <c r="AO171" t="inlineStr">
        <is>
          <t>mapped sheet id</t>
        </is>
      </c>
      <c r="AP171" t="inlineStr">
        <is>
          <t>p7:native:11, p7:native:12</t>
        </is>
      </c>
      <c r="AQ171" t="n">
        <v>2</v>
      </c>
    </row>
    <row r="172">
      <c r="A172" s="203">
        <f>ROW()-1</f>
        <v/>
      </c>
      <c r="B172" s="128" t="inlineStr">
        <is>
          <t>RL7-BIN-103-ZSS-02</t>
        </is>
      </c>
      <c r="C172" s="314" t="inlineStr">
        <is>
          <t>RL7-CNV-114-ZSS-01</t>
        </is>
      </c>
      <c r="D172" s="264" t="inlineStr">
        <is>
          <t>PRS2106101</t>
        </is>
      </c>
      <c r="E172" s="133" t="inlineStr">
        <is>
          <t>JIC21B</t>
        </is>
      </c>
      <c r="F172" s="141" t="inlineStr">
        <is>
          <t>INCLINE PIVOT AUGER 1 MAIN GUARD 1 SAFETY INPUT CH2</t>
        </is>
      </c>
      <c r="G172" s="142" t="inlineStr">
        <is>
          <t>DG7003</t>
        </is>
      </c>
      <c r="H172" s="133" t="inlineStr">
        <is>
          <t>PROC</t>
        </is>
      </c>
      <c r="I172" s="132" t="inlineStr">
        <is>
          <t>RL7-IPA1-RIO1</t>
        </is>
      </c>
      <c r="J172" s="133" t="n">
        <v>6</v>
      </c>
      <c r="K172" s="129" t="n">
        <v>1</v>
      </c>
      <c r="L172" s="129" t="n">
        <v>3</v>
      </c>
      <c r="M172" s="129" t="inlineStr">
        <is>
          <t>24 VDC SI</t>
        </is>
      </c>
      <c r="N172" s="129" t="inlineStr">
        <is>
          <t>5069-IB8S</t>
        </is>
      </c>
      <c r="O172" s="139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40" t="n"/>
      <c r="AA172" t="inlineStr">
        <is>
          <t>Matched</t>
        </is>
      </c>
      <c r="AB172" s="315" t="n">
        <v>0.99</v>
      </c>
      <c r="AC172" t="inlineStr">
        <is>
          <t>High</t>
        </is>
      </c>
      <c r="AD172" t="n">
        <v>1</v>
      </c>
      <c r="AE172" t="inlineStr">
        <is>
          <t>DG7003</t>
        </is>
      </c>
      <c r="AF172" t="n">
        <v>7</v>
      </c>
      <c r="AG172" t="inlineStr">
        <is>
          <t>drawing</t>
        </is>
      </c>
      <c r="AH172" t="inlineStr">
        <is>
          <t>stacked:isa</t>
        </is>
      </c>
      <c r="AI172" t="inlineStr">
        <is>
          <t>drawing zone; process page; mapped sheet; excel sheet match</t>
        </is>
      </c>
      <c r="AJ172" t="inlineStr">
        <is>
          <t>native</t>
        </is>
      </c>
      <c r="AK172" t="inlineStr">
        <is>
          <t>native-only</t>
        </is>
      </c>
      <c r="AM172" t="inlineStr">
        <is>
          <t>7</t>
        </is>
      </c>
      <c r="AN172" t="inlineStr">
        <is>
          <t>Yes</t>
        </is>
      </c>
      <c r="AO172" t="inlineStr">
        <is>
          <t>mapped sheet id</t>
        </is>
      </c>
      <c r="AP172" t="inlineStr">
        <is>
          <t>p7:native:11, p7:native:12</t>
        </is>
      </c>
      <c r="AQ172" t="n">
        <v>2</v>
      </c>
    </row>
    <row r="173">
      <c r="A173" s="203">
        <f>ROW()-1</f>
        <v/>
      </c>
      <c r="B173" s="128" t="inlineStr">
        <is>
          <t>RL7-BIN-104-ZSS-01</t>
        </is>
      </c>
      <c r="C173" s="314" t="inlineStr">
        <is>
          <t>RL7-CNV-114-ZSS-02</t>
        </is>
      </c>
      <c r="D173" s="264" t="inlineStr">
        <is>
          <t>PRS2106161</t>
        </is>
      </c>
      <c r="E173" s="133" t="inlineStr">
        <is>
          <t>JIC21B</t>
        </is>
      </c>
      <c r="F173" s="141" t="inlineStr">
        <is>
          <t>INCLINE PIVOT AUGER 1 MAIN GUARD 2 SAFETY INPUT CH1</t>
        </is>
      </c>
      <c r="G173" s="142" t="inlineStr">
        <is>
          <t>DG7003</t>
        </is>
      </c>
      <c r="H173" s="133" t="inlineStr">
        <is>
          <t>PROC</t>
        </is>
      </c>
      <c r="I173" s="132" t="inlineStr">
        <is>
          <t>RL7-IPA1-RIO1</t>
        </is>
      </c>
      <c r="J173" s="133" t="n">
        <v>6</v>
      </c>
      <c r="K173" s="129" t="n">
        <v>1</v>
      </c>
      <c r="L173" s="129" t="n">
        <v>4</v>
      </c>
      <c r="M173" s="129" t="inlineStr">
        <is>
          <t>24 VDC SI</t>
        </is>
      </c>
      <c r="N173" s="129" t="inlineStr">
        <is>
          <t>5069-IB8S</t>
        </is>
      </c>
      <c r="O173" s="139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40" t="n"/>
      <c r="AA173" t="inlineStr">
        <is>
          <t>Matched</t>
        </is>
      </c>
      <c r="AB173" s="315" t="n">
        <v>0.99</v>
      </c>
      <c r="AC173" t="inlineStr">
        <is>
          <t>High</t>
        </is>
      </c>
      <c r="AD173" t="n">
        <v>1</v>
      </c>
      <c r="AE173" t="inlineStr">
        <is>
          <t>DG7003</t>
        </is>
      </c>
      <c r="AF173" t="n">
        <v>7</v>
      </c>
      <c r="AG173" t="inlineStr">
        <is>
          <t>drawing</t>
        </is>
      </c>
      <c r="AH173" t="inlineStr">
        <is>
          <t>stacked:isa</t>
        </is>
      </c>
      <c r="AI173" t="inlineStr">
        <is>
          <t>drawing zone; process page; mapped sheet; excel sheet match</t>
        </is>
      </c>
      <c r="AJ173" t="inlineStr">
        <is>
          <t>native</t>
        </is>
      </c>
      <c r="AK173" t="inlineStr">
        <is>
          <t>native-only</t>
        </is>
      </c>
      <c r="AM173" t="inlineStr">
        <is>
          <t>7</t>
        </is>
      </c>
      <c r="AN173" t="inlineStr">
        <is>
          <t>Yes</t>
        </is>
      </c>
      <c r="AO173" t="inlineStr">
        <is>
          <t>mapped sheet id</t>
        </is>
      </c>
      <c r="AP173" t="inlineStr">
        <is>
          <t>p7:native:13, p7:native:14</t>
        </is>
      </c>
      <c r="AQ173" t="n">
        <v>2</v>
      </c>
    </row>
    <row r="174">
      <c r="A174" s="203">
        <f>ROW()-1</f>
        <v/>
      </c>
      <c r="B174" s="128" t="inlineStr">
        <is>
          <t>RL7-BIN-104-ZSS-01</t>
        </is>
      </c>
      <c r="C174" s="314" t="inlineStr">
        <is>
          <t>RL7-CNV-114-ZSS-02</t>
        </is>
      </c>
      <c r="D174" s="264" t="inlineStr">
        <is>
          <t>PRS2106161</t>
        </is>
      </c>
      <c r="E174" s="133" t="inlineStr">
        <is>
          <t>JIC21B</t>
        </is>
      </c>
      <c r="F174" s="141" t="inlineStr">
        <is>
          <t>INCLINE PIVOT AUGER 1 MAIN GUARD 2 SAFETY INPUT CH2</t>
        </is>
      </c>
      <c r="G174" s="142" t="inlineStr">
        <is>
          <t>DG7003</t>
        </is>
      </c>
      <c r="H174" s="133" t="inlineStr">
        <is>
          <t>PROC</t>
        </is>
      </c>
      <c r="I174" s="132" t="inlineStr">
        <is>
          <t>RL7-IPA1-RIO1</t>
        </is>
      </c>
      <c r="J174" s="133" t="n">
        <v>6</v>
      </c>
      <c r="K174" s="129" t="n">
        <v>1</v>
      </c>
      <c r="L174" s="129" t="n">
        <v>5</v>
      </c>
      <c r="M174" s="129" t="inlineStr">
        <is>
          <t>24 VDC SI</t>
        </is>
      </c>
      <c r="N174" s="129" t="inlineStr">
        <is>
          <t>5069-IB8S</t>
        </is>
      </c>
      <c r="O174" s="139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40" t="n"/>
      <c r="AA174" t="inlineStr">
        <is>
          <t>Matched</t>
        </is>
      </c>
      <c r="AB174" s="315" t="n">
        <v>0.99</v>
      </c>
      <c r="AC174" t="inlineStr">
        <is>
          <t>High</t>
        </is>
      </c>
      <c r="AD174" t="n">
        <v>1</v>
      </c>
      <c r="AE174" t="inlineStr">
        <is>
          <t>DG7003</t>
        </is>
      </c>
      <c r="AF174" t="n">
        <v>7</v>
      </c>
      <c r="AG174" t="inlineStr">
        <is>
          <t>drawing</t>
        </is>
      </c>
      <c r="AH174" t="inlineStr">
        <is>
          <t>stacked:isa</t>
        </is>
      </c>
      <c r="AI174" t="inlineStr">
        <is>
          <t>drawing zone; process page; mapped sheet; excel sheet match</t>
        </is>
      </c>
      <c r="AJ174" t="inlineStr">
        <is>
          <t>native</t>
        </is>
      </c>
      <c r="AK174" t="inlineStr">
        <is>
          <t>native-only</t>
        </is>
      </c>
      <c r="AM174" t="inlineStr">
        <is>
          <t>7</t>
        </is>
      </c>
      <c r="AN174" t="inlineStr">
        <is>
          <t>Yes</t>
        </is>
      </c>
      <c r="AO174" t="inlineStr">
        <is>
          <t>mapped sheet id</t>
        </is>
      </c>
      <c r="AP174" t="inlineStr">
        <is>
          <t>p7:native:13, p7:native:14</t>
        </is>
      </c>
      <c r="AQ174" t="n">
        <v>2</v>
      </c>
    </row>
    <row r="175">
      <c r="A175" s="203">
        <f>ROW()-1</f>
        <v/>
      </c>
      <c r="B175" s="128" t="inlineStr">
        <is>
          <t>RL7-BIN-104-ZSS-02</t>
        </is>
      </c>
      <c r="C175" s="314" t="inlineStr">
        <is>
          <t>RL7-CNV-114-ZSS-03</t>
        </is>
      </c>
      <c r="D175" s="264" t="inlineStr">
        <is>
          <t>PRS2106201</t>
        </is>
      </c>
      <c r="E175" s="133" t="inlineStr">
        <is>
          <t>JIC21B</t>
        </is>
      </c>
      <c r="F175" s="141" t="inlineStr">
        <is>
          <t>INCLINE PIVOT AUGER 1 HOPPER SANITATION GUARD SAFETY INPUT CH1</t>
        </is>
      </c>
      <c r="G175" s="142" t="inlineStr">
        <is>
          <t>DG7003</t>
        </is>
      </c>
      <c r="H175" s="133" t="inlineStr">
        <is>
          <t>PROC</t>
        </is>
      </c>
      <c r="I175" s="132" t="inlineStr">
        <is>
          <t>RL7-IPA1-RIO1</t>
        </is>
      </c>
      <c r="J175" s="133" t="n">
        <v>6</v>
      </c>
      <c r="K175" s="129" t="n">
        <v>1</v>
      </c>
      <c r="L175" s="129" t="n">
        <v>6</v>
      </c>
      <c r="M175" s="129" t="inlineStr">
        <is>
          <t>24 VDC SI</t>
        </is>
      </c>
      <c r="N175" s="129" t="inlineStr">
        <is>
          <t>5069-IB8S</t>
        </is>
      </c>
      <c r="O175" s="139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40" t="n"/>
      <c r="AA175" t="inlineStr">
        <is>
          <t>Matched</t>
        </is>
      </c>
      <c r="AB175" s="315" t="n">
        <v>0.99</v>
      </c>
      <c r="AC175" t="inlineStr">
        <is>
          <t>High</t>
        </is>
      </c>
      <c r="AD175" t="n">
        <v>1</v>
      </c>
      <c r="AE175" t="inlineStr">
        <is>
          <t>DG7003</t>
        </is>
      </c>
      <c r="AF175" t="n">
        <v>7</v>
      </c>
      <c r="AG175" t="inlineStr">
        <is>
          <t>drawing</t>
        </is>
      </c>
      <c r="AH175" t="inlineStr">
        <is>
          <t>stacked:isa</t>
        </is>
      </c>
      <c r="AI175" t="inlineStr">
        <is>
          <t>drawing zone; process page; mapped sheet; excel sheet match</t>
        </is>
      </c>
      <c r="AJ175" t="inlineStr">
        <is>
          <t>native</t>
        </is>
      </c>
      <c r="AK175" t="inlineStr">
        <is>
          <t>native-only</t>
        </is>
      </c>
      <c r="AM175" t="inlineStr">
        <is>
          <t>7</t>
        </is>
      </c>
      <c r="AN175" t="inlineStr">
        <is>
          <t>Yes</t>
        </is>
      </c>
      <c r="AO175" t="inlineStr">
        <is>
          <t>mapped sheet id</t>
        </is>
      </c>
      <c r="AP175" t="inlineStr">
        <is>
          <t>p7:native:41, p7:native:42</t>
        </is>
      </c>
      <c r="AQ175" t="n">
        <v>2</v>
      </c>
    </row>
    <row r="176">
      <c r="A176" s="203">
        <f>ROW()-1</f>
        <v/>
      </c>
      <c r="B176" s="128" t="inlineStr">
        <is>
          <t>RL7-BIN-104-ZSS-02</t>
        </is>
      </c>
      <c r="C176" s="314" t="inlineStr">
        <is>
          <t>RL7-CNV-114-ZSS-03</t>
        </is>
      </c>
      <c r="D176" s="264" t="inlineStr">
        <is>
          <t>PRS2106201</t>
        </is>
      </c>
      <c r="E176" s="133" t="inlineStr">
        <is>
          <t>JIC21B</t>
        </is>
      </c>
      <c r="F176" s="141" t="inlineStr">
        <is>
          <t>INCLINE PIVOT AUGER 1 HOPPER SANITATION GUARD SAFETY INPUT CH2</t>
        </is>
      </c>
      <c r="G176" s="142" t="inlineStr">
        <is>
          <t>DG7003</t>
        </is>
      </c>
      <c r="H176" s="133" t="inlineStr">
        <is>
          <t>PROC</t>
        </is>
      </c>
      <c r="I176" s="132" t="inlineStr">
        <is>
          <t>RL7-IPA1-RIO1</t>
        </is>
      </c>
      <c r="J176" s="133" t="n">
        <v>6</v>
      </c>
      <c r="K176" s="129" t="n">
        <v>1</v>
      </c>
      <c r="L176" s="129" t="n">
        <v>7</v>
      </c>
      <c r="M176" s="129" t="inlineStr">
        <is>
          <t>24 VDC SI</t>
        </is>
      </c>
      <c r="N176" s="129" t="inlineStr">
        <is>
          <t>5069-IB8S</t>
        </is>
      </c>
      <c r="O176" s="139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40" t="n"/>
      <c r="AA176" t="inlineStr">
        <is>
          <t>Matched</t>
        </is>
      </c>
      <c r="AB176" s="315" t="n">
        <v>0.99</v>
      </c>
      <c r="AC176" t="inlineStr">
        <is>
          <t>High</t>
        </is>
      </c>
      <c r="AD176" t="n">
        <v>1</v>
      </c>
      <c r="AE176" t="inlineStr">
        <is>
          <t>DG7003</t>
        </is>
      </c>
      <c r="AF176" t="n">
        <v>7</v>
      </c>
      <c r="AG176" t="inlineStr">
        <is>
          <t>drawing</t>
        </is>
      </c>
      <c r="AH176" t="inlineStr">
        <is>
          <t>stacked:isa</t>
        </is>
      </c>
      <c r="AI176" t="inlineStr">
        <is>
          <t>drawing zone; process page; mapped sheet; excel sheet match</t>
        </is>
      </c>
      <c r="AJ176" t="inlineStr">
        <is>
          <t>native</t>
        </is>
      </c>
      <c r="AK176" t="inlineStr">
        <is>
          <t>native-only</t>
        </is>
      </c>
      <c r="AM176" t="inlineStr">
        <is>
          <t>7</t>
        </is>
      </c>
      <c r="AN176" t="inlineStr">
        <is>
          <t>Yes</t>
        </is>
      </c>
      <c r="AO176" t="inlineStr">
        <is>
          <t>mapped sheet id</t>
        </is>
      </c>
      <c r="AP176" t="inlineStr">
        <is>
          <t>p7:native:41, p7:native:42</t>
        </is>
      </c>
      <c r="AQ176" t="n">
        <v>2</v>
      </c>
    </row>
    <row r="177">
      <c r="A177" s="203">
        <f>ROW()-1</f>
        <v/>
      </c>
      <c r="B177" s="128" t="inlineStr">
        <is>
          <t>RL7-BIN-103-ZSS-03</t>
        </is>
      </c>
      <c r="C177" s="314" t="inlineStr">
        <is>
          <t>RL7-CNV-114-ZSS-05</t>
        </is>
      </c>
      <c r="D177" s="264" t="inlineStr">
        <is>
          <t>PRS2106061</t>
        </is>
      </c>
      <c r="E177" s="133" t="inlineStr">
        <is>
          <t>JIC21B</t>
        </is>
      </c>
      <c r="F177" s="141" t="inlineStr">
        <is>
          <t>INCLINE PIVOT AUGER 1 TROUGH COVER 2 SAFETY INPUT CH1</t>
        </is>
      </c>
      <c r="G177" s="142" t="inlineStr">
        <is>
          <t>DG7003</t>
        </is>
      </c>
      <c r="H177" s="133" t="inlineStr">
        <is>
          <t>PROC</t>
        </is>
      </c>
      <c r="I177" s="132" t="inlineStr">
        <is>
          <t>RL7-IPA1-RIO1</t>
        </is>
      </c>
      <c r="J177" s="133" t="n">
        <v>6</v>
      </c>
      <c r="K177" s="129" t="n">
        <v>2</v>
      </c>
      <c r="L177" s="129" t="n">
        <v>0</v>
      </c>
      <c r="M177" s="129" t="inlineStr">
        <is>
          <t>24 VDC SI</t>
        </is>
      </c>
      <c r="N177" s="129" t="inlineStr">
        <is>
          <t>5069-IB8S</t>
        </is>
      </c>
      <c r="O177" s="139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40" t="n"/>
      <c r="AA177" t="inlineStr">
        <is>
          <t>Matched</t>
        </is>
      </c>
      <c r="AB177" s="315" t="n">
        <v>0.99</v>
      </c>
      <c r="AC177" t="inlineStr">
        <is>
          <t>High</t>
        </is>
      </c>
      <c r="AD177" t="n">
        <v>1</v>
      </c>
      <c r="AE177" t="inlineStr">
        <is>
          <t>DG7003</t>
        </is>
      </c>
      <c r="AF177" t="n">
        <v>7</v>
      </c>
      <c r="AG177" t="inlineStr">
        <is>
          <t>drawing</t>
        </is>
      </c>
      <c r="AH177" t="inlineStr">
        <is>
          <t>stacked:isa</t>
        </is>
      </c>
      <c r="AI177" t="inlineStr">
        <is>
          <t>drawing zone; process page; mapped sheet; excel sheet match</t>
        </is>
      </c>
      <c r="AJ177" t="inlineStr">
        <is>
          <t>native</t>
        </is>
      </c>
      <c r="AK177" t="inlineStr">
        <is>
          <t>native-only</t>
        </is>
      </c>
      <c r="AM177" t="inlineStr">
        <is>
          <t>7</t>
        </is>
      </c>
      <c r="AN177" t="inlineStr">
        <is>
          <t>Yes</t>
        </is>
      </c>
      <c r="AO177" t="inlineStr">
        <is>
          <t>mapped sheet id</t>
        </is>
      </c>
      <c r="AP177" t="inlineStr">
        <is>
          <t>p7:native:9, p7:native:10</t>
        </is>
      </c>
      <c r="AQ177" t="n">
        <v>2</v>
      </c>
    </row>
    <row r="178">
      <c r="A178" s="203">
        <f>ROW()-1</f>
        <v/>
      </c>
      <c r="B178" s="128" t="inlineStr">
        <is>
          <t>RL7-BIN-103-ZSS-03</t>
        </is>
      </c>
      <c r="C178" s="314" t="inlineStr">
        <is>
          <t>RL7-CNV-114-ZSS-05</t>
        </is>
      </c>
      <c r="D178" s="264" t="inlineStr">
        <is>
          <t>PRS2106061</t>
        </is>
      </c>
      <c r="E178" s="133" t="inlineStr">
        <is>
          <t>JIC21B</t>
        </is>
      </c>
      <c r="F178" s="141" t="inlineStr">
        <is>
          <t>INCLINE PIVOT AUGER 1 TROUGH COVER 2 SAFETY INPUT CH2</t>
        </is>
      </c>
      <c r="G178" s="142" t="inlineStr">
        <is>
          <t>DG7003</t>
        </is>
      </c>
      <c r="H178" s="133" t="inlineStr">
        <is>
          <t>PROC</t>
        </is>
      </c>
      <c r="I178" s="132" t="inlineStr">
        <is>
          <t>RL7-IPA1-RIO1</t>
        </is>
      </c>
      <c r="J178" s="133" t="n">
        <v>6</v>
      </c>
      <c r="K178" s="129" t="n">
        <v>2</v>
      </c>
      <c r="L178" s="129" t="n">
        <v>1</v>
      </c>
      <c r="M178" s="129" t="inlineStr">
        <is>
          <t>24 VDC SI</t>
        </is>
      </c>
      <c r="N178" s="129" t="inlineStr">
        <is>
          <t>5069-IB8S</t>
        </is>
      </c>
      <c r="O178" s="139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40" t="n"/>
      <c r="AA178" t="inlineStr">
        <is>
          <t>Matched</t>
        </is>
      </c>
      <c r="AB178" s="315" t="n">
        <v>0.99</v>
      </c>
      <c r="AC178" t="inlineStr">
        <is>
          <t>High</t>
        </is>
      </c>
      <c r="AD178" t="n">
        <v>1</v>
      </c>
      <c r="AE178" t="inlineStr">
        <is>
          <t>DG7003</t>
        </is>
      </c>
      <c r="AF178" t="n">
        <v>7</v>
      </c>
      <c r="AG178" t="inlineStr">
        <is>
          <t>drawing</t>
        </is>
      </c>
      <c r="AH178" t="inlineStr">
        <is>
          <t>stacked:isa</t>
        </is>
      </c>
      <c r="AI178" t="inlineStr">
        <is>
          <t>drawing zone; process page; mapped sheet; excel sheet match</t>
        </is>
      </c>
      <c r="AJ178" t="inlineStr">
        <is>
          <t>native</t>
        </is>
      </c>
      <c r="AK178" t="inlineStr">
        <is>
          <t>native-only</t>
        </is>
      </c>
      <c r="AM178" t="inlineStr">
        <is>
          <t>7</t>
        </is>
      </c>
      <c r="AN178" t="inlineStr">
        <is>
          <t>Yes</t>
        </is>
      </c>
      <c r="AO178" t="inlineStr">
        <is>
          <t>mapped sheet id</t>
        </is>
      </c>
      <c r="AP178" t="inlineStr">
        <is>
          <t>p7:native:9, p7:native:10</t>
        </is>
      </c>
      <c r="AQ178" t="n">
        <v>2</v>
      </c>
    </row>
    <row r="179">
      <c r="A179" s="203">
        <f>ROW()-1</f>
        <v/>
      </c>
      <c r="B179" s="128" t="inlineStr">
        <is>
          <t>RL7-BIN-104-PB-01</t>
        </is>
      </c>
      <c r="C179" s="314" t="inlineStr">
        <is>
          <t>RL7-CNV-113-ZSS-01</t>
        </is>
      </c>
      <c r="D179" s="264" t="inlineStr">
        <is>
          <t>PRS2106241</t>
        </is>
      </c>
      <c r="E179" s="133" t="n"/>
      <c r="F179" s="141" t="inlineStr">
        <is>
          <t xml:space="preserve">INCLINE BELT CONVEYOR CHUTE IN PLACE SAFETY INPUT CH1 </t>
        </is>
      </c>
      <c r="G179" s="142" t="inlineStr">
        <is>
          <t>DG7003</t>
        </is>
      </c>
      <c r="H179" s="133" t="inlineStr">
        <is>
          <t>PROC</t>
        </is>
      </c>
      <c r="I179" s="132" t="inlineStr">
        <is>
          <t>RL7-IPA1-RIO1</t>
        </is>
      </c>
      <c r="J179" s="133" t="n">
        <v>6</v>
      </c>
      <c r="K179" s="129" t="n">
        <v>2</v>
      </c>
      <c r="L179" s="129" t="n">
        <v>2</v>
      </c>
      <c r="M179" s="129" t="inlineStr">
        <is>
          <t>24 VDC SI</t>
        </is>
      </c>
      <c r="N179" s="129" t="inlineStr">
        <is>
          <t>5069-IB8S</t>
        </is>
      </c>
      <c r="O179" s="139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43" t="n"/>
      <c r="AA179" t="inlineStr">
        <is>
          <t>Matched</t>
        </is>
      </c>
      <c r="AB179" s="315" t="n">
        <v>0.99</v>
      </c>
      <c r="AC179" t="inlineStr">
        <is>
          <t>High</t>
        </is>
      </c>
      <c r="AD179" t="n">
        <v>1</v>
      </c>
      <c r="AE179" t="inlineStr">
        <is>
          <t>DG7003</t>
        </is>
      </c>
      <c r="AF179" t="n">
        <v>7</v>
      </c>
      <c r="AG179" t="inlineStr">
        <is>
          <t>drawing</t>
        </is>
      </c>
      <c r="AH179" t="inlineStr">
        <is>
          <t>stacked:isa</t>
        </is>
      </c>
      <c r="AI179" t="inlineStr">
        <is>
          <t>drawing zone; process page; mapped sheet; excel sheet match</t>
        </is>
      </c>
      <c r="AJ179" t="inlineStr">
        <is>
          <t>native</t>
        </is>
      </c>
      <c r="AK179" t="inlineStr">
        <is>
          <t>native-only</t>
        </is>
      </c>
      <c r="AM179" t="inlineStr">
        <is>
          <t>7</t>
        </is>
      </c>
      <c r="AN179" t="inlineStr">
        <is>
          <t>Yes</t>
        </is>
      </c>
      <c r="AO179" t="inlineStr">
        <is>
          <t>mapped sheet id</t>
        </is>
      </c>
      <c r="AP179" t="inlineStr">
        <is>
          <t>p7:native:92, p7:native:93</t>
        </is>
      </c>
      <c r="AQ179" t="n">
        <v>2</v>
      </c>
    </row>
    <row r="180">
      <c r="A180" s="203">
        <f>ROW()-1</f>
        <v/>
      </c>
      <c r="B180" s="128" t="inlineStr">
        <is>
          <t>RL7-BIN-104-PB-01</t>
        </is>
      </c>
      <c r="C180" s="314" t="inlineStr">
        <is>
          <t>RL7-CNV-113-ZSS-01</t>
        </is>
      </c>
      <c r="D180" s="264" t="inlineStr">
        <is>
          <t>PRS2106241</t>
        </is>
      </c>
      <c r="E180" s="133" t="n"/>
      <c r="F180" s="141" t="inlineStr">
        <is>
          <t>INCLINE BELT CONVEYOR CHUTE IN PLACE SAFETY INPUT CH2</t>
        </is>
      </c>
      <c r="G180" s="142" t="inlineStr">
        <is>
          <t>DG7003</t>
        </is>
      </c>
      <c r="H180" s="133" t="inlineStr">
        <is>
          <t>PROC</t>
        </is>
      </c>
      <c r="I180" s="132" t="inlineStr">
        <is>
          <t>RL7-IPA1-RIO1</t>
        </is>
      </c>
      <c r="J180" s="133" t="n">
        <v>6</v>
      </c>
      <c r="K180" s="129" t="n">
        <v>2</v>
      </c>
      <c r="L180" s="129" t="n">
        <v>3</v>
      </c>
      <c r="M180" s="129" t="inlineStr">
        <is>
          <t>24 VDC SI</t>
        </is>
      </c>
      <c r="N180" s="129" t="inlineStr">
        <is>
          <t>5069-IB8S</t>
        </is>
      </c>
      <c r="O180" s="139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43" t="n"/>
      <c r="AA180" t="inlineStr">
        <is>
          <t>Matched</t>
        </is>
      </c>
      <c r="AB180" s="315" t="n">
        <v>0.99</v>
      </c>
      <c r="AC180" t="inlineStr">
        <is>
          <t>High</t>
        </is>
      </c>
      <c r="AD180" t="n">
        <v>1</v>
      </c>
      <c r="AE180" t="inlineStr">
        <is>
          <t>DG7003</t>
        </is>
      </c>
      <c r="AF180" t="n">
        <v>7</v>
      </c>
      <c r="AG180" t="inlineStr">
        <is>
          <t>drawing</t>
        </is>
      </c>
      <c r="AH180" t="inlineStr">
        <is>
          <t>stacked:isa</t>
        </is>
      </c>
      <c r="AI180" t="inlineStr">
        <is>
          <t>drawing zone; process page; mapped sheet; excel sheet match</t>
        </is>
      </c>
      <c r="AJ180" t="inlineStr">
        <is>
          <t>native</t>
        </is>
      </c>
      <c r="AK180" t="inlineStr">
        <is>
          <t>native-only</t>
        </is>
      </c>
      <c r="AM180" t="inlineStr">
        <is>
          <t>7</t>
        </is>
      </c>
      <c r="AN180" t="inlineStr">
        <is>
          <t>Yes</t>
        </is>
      </c>
      <c r="AO180" t="inlineStr">
        <is>
          <t>mapped sheet id</t>
        </is>
      </c>
      <c r="AP180" t="inlineStr">
        <is>
          <t>p7:native:92, p7:native:93</t>
        </is>
      </c>
      <c r="AQ180" t="n">
        <v>2</v>
      </c>
    </row>
    <row r="181">
      <c r="A181" s="203">
        <f>ROW()-1</f>
        <v/>
      </c>
      <c r="B181" s="128" t="n"/>
      <c r="C181" s="314" t="inlineStr">
        <is>
          <t>RL7-CNV-114-ZSC-06</t>
        </is>
      </c>
      <c r="D181" s="264" t="inlineStr">
        <is>
          <t>PRS2107231</t>
        </is>
      </c>
      <c r="E181" s="133" t="inlineStr">
        <is>
          <t>JIC21B</t>
        </is>
      </c>
      <c r="F181" s="141" t="inlineStr">
        <is>
          <t xml:space="preserve">INCLINE PIVOT AUGER 1 PUMP COVER IS ON  </t>
        </is>
      </c>
      <c r="G181" s="142" t="inlineStr">
        <is>
          <t>DG7003</t>
        </is>
      </c>
      <c r="H181" s="133" t="inlineStr">
        <is>
          <t>PROC</t>
        </is>
      </c>
      <c r="I181" s="132" t="inlineStr">
        <is>
          <t>RL7-IPA1-RIO1</t>
        </is>
      </c>
      <c r="J181" s="133" t="n">
        <v>6</v>
      </c>
      <c r="K181" s="129" t="n">
        <v>4</v>
      </c>
      <c r="L181" s="129" t="n">
        <v>0</v>
      </c>
      <c r="M181" s="129" t="inlineStr">
        <is>
          <t>24 VDC DI</t>
        </is>
      </c>
      <c r="N181" s="129" t="inlineStr">
        <is>
          <t>5069-IB8S</t>
        </is>
      </c>
      <c r="O181" s="139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40" t="n"/>
      <c r="AA181" t="inlineStr">
        <is>
          <t>Matched</t>
        </is>
      </c>
      <c r="AB181" s="315" t="n">
        <v>0.99</v>
      </c>
      <c r="AC181" t="inlineStr">
        <is>
          <t>High</t>
        </is>
      </c>
      <c r="AD181" t="n">
        <v>1</v>
      </c>
      <c r="AE181" t="inlineStr">
        <is>
          <t>DG7003</t>
        </is>
      </c>
      <c r="AF181" t="n">
        <v>7</v>
      </c>
      <c r="AG181" t="inlineStr">
        <is>
          <t>drawing</t>
        </is>
      </c>
      <c r="AH181" t="inlineStr">
        <is>
          <t>stacked:isa</t>
        </is>
      </c>
      <c r="AI181" t="inlineStr">
        <is>
          <t>drawing zone; process page; mapped sheet; excel sheet match</t>
        </is>
      </c>
      <c r="AJ181" t="inlineStr">
        <is>
          <t>native</t>
        </is>
      </c>
      <c r="AK181" t="inlineStr">
        <is>
          <t>native-only</t>
        </is>
      </c>
      <c r="AM181" t="inlineStr">
        <is>
          <t>7</t>
        </is>
      </c>
      <c r="AN181" t="inlineStr">
        <is>
          <t>Yes</t>
        </is>
      </c>
      <c r="AO181" t="inlineStr">
        <is>
          <t>mapped sheet id</t>
        </is>
      </c>
      <c r="AP181" t="inlineStr">
        <is>
          <t>p7:native:26, p7:native:27</t>
        </is>
      </c>
      <c r="AQ181" t="n">
        <v>2</v>
      </c>
    </row>
    <row r="182">
      <c r="A182" s="203">
        <f>ROW()-1</f>
        <v/>
      </c>
      <c r="B182" s="128" t="n"/>
      <c r="C182" s="314" t="inlineStr">
        <is>
          <t>RL7-CNV-114-ZSC-05</t>
        </is>
      </c>
      <c r="D182" s="264" t="inlineStr">
        <is>
          <t>PRS2107251</t>
        </is>
      </c>
      <c r="E182" s="133" t="inlineStr">
        <is>
          <t>JIC21B</t>
        </is>
      </c>
      <c r="F182" s="141" t="inlineStr">
        <is>
          <t xml:space="preserve">INCLINE PIVOT AUGER 1 IN DOWN POSITION  </t>
        </is>
      </c>
      <c r="G182" s="142" t="inlineStr">
        <is>
          <t>DG7003</t>
        </is>
      </c>
      <c r="H182" s="133" t="inlineStr">
        <is>
          <t>PROC</t>
        </is>
      </c>
      <c r="I182" s="132" t="inlineStr">
        <is>
          <t>RL7-IPA1-RIO1</t>
        </is>
      </c>
      <c r="J182" s="133" t="n">
        <v>6</v>
      </c>
      <c r="K182" s="129" t="n">
        <v>4</v>
      </c>
      <c r="L182" s="129" t="n">
        <v>1</v>
      </c>
      <c r="M182" s="129" t="inlineStr">
        <is>
          <t>24 VDC DI</t>
        </is>
      </c>
      <c r="N182" s="129" t="inlineStr">
        <is>
          <t>5069-IB8S</t>
        </is>
      </c>
      <c r="O182" s="139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40" t="n"/>
      <c r="AA182" t="inlineStr">
        <is>
          <t>Matched</t>
        </is>
      </c>
      <c r="AB182" s="315" t="n">
        <v>0.99</v>
      </c>
      <c r="AC182" t="inlineStr">
        <is>
          <t>High</t>
        </is>
      </c>
      <c r="AD182" t="n">
        <v>1</v>
      </c>
      <c r="AE182" t="inlineStr">
        <is>
          <t>DG7003</t>
        </is>
      </c>
      <c r="AF182" t="n">
        <v>7</v>
      </c>
      <c r="AG182" t="inlineStr">
        <is>
          <t>drawing</t>
        </is>
      </c>
      <c r="AH182" t="inlineStr">
        <is>
          <t>stacked:isa</t>
        </is>
      </c>
      <c r="AI182" t="inlineStr">
        <is>
          <t>drawing zone; process page; mapped sheet; excel sheet match</t>
        </is>
      </c>
      <c r="AJ182" t="inlineStr">
        <is>
          <t>native</t>
        </is>
      </c>
      <c r="AK182" t="inlineStr">
        <is>
          <t>native-only</t>
        </is>
      </c>
      <c r="AM182" t="inlineStr">
        <is>
          <t>7</t>
        </is>
      </c>
      <c r="AN182" t="inlineStr">
        <is>
          <t>Yes</t>
        </is>
      </c>
      <c r="AO182" t="inlineStr">
        <is>
          <t>mapped sheet id</t>
        </is>
      </c>
      <c r="AP182" t="inlineStr">
        <is>
          <t>p7:native:38, p7:native:39</t>
        </is>
      </c>
      <c r="AQ182" t="n">
        <v>2</v>
      </c>
    </row>
    <row r="183">
      <c r="A183" s="203">
        <f>ROW()-1</f>
        <v/>
      </c>
      <c r="B183" s="128" t="inlineStr">
        <is>
          <t>RL7-CNV-113-ZSS-01</t>
        </is>
      </c>
      <c r="C183" s="314" t="inlineStr">
        <is>
          <t>RL7-CNV-114-ZSC-01</t>
        </is>
      </c>
      <c r="D183" s="264" t="inlineStr">
        <is>
          <t>PRS2107211</t>
        </is>
      </c>
      <c r="E183" s="133" t="inlineStr">
        <is>
          <t>JIC21B</t>
        </is>
      </c>
      <c r="F183" s="141" t="inlineStr">
        <is>
          <t xml:space="preserve">INCLINE PIVOT AUGER 1 IN UP POSITION  </t>
        </is>
      </c>
      <c r="G183" s="142" t="inlineStr">
        <is>
          <t>DG7003</t>
        </is>
      </c>
      <c r="H183" s="133" t="inlineStr">
        <is>
          <t>PROC</t>
        </is>
      </c>
      <c r="I183" s="132" t="inlineStr">
        <is>
          <t>RL7-IPA1-RIO1</t>
        </is>
      </c>
      <c r="J183" s="133" t="n">
        <v>6</v>
      </c>
      <c r="K183" s="129" t="n">
        <v>4</v>
      </c>
      <c r="L183" s="129" t="n">
        <v>2</v>
      </c>
      <c r="M183" s="129" t="inlineStr">
        <is>
          <t>24 VDC DI</t>
        </is>
      </c>
      <c r="N183" s="129" t="inlineStr">
        <is>
          <t>5069-IB8S</t>
        </is>
      </c>
      <c r="O183" s="139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40" t="n"/>
      <c r="AA183" t="inlineStr">
        <is>
          <t>Matched</t>
        </is>
      </c>
      <c r="AB183" s="315" t="n">
        <v>0.99</v>
      </c>
      <c r="AC183" t="inlineStr">
        <is>
          <t>High</t>
        </is>
      </c>
      <c r="AD183" t="n">
        <v>1</v>
      </c>
      <c r="AE183" t="inlineStr">
        <is>
          <t>DG7003</t>
        </is>
      </c>
      <c r="AF183" t="n">
        <v>7</v>
      </c>
      <c r="AG183" t="inlineStr">
        <is>
          <t>drawing</t>
        </is>
      </c>
      <c r="AH183" t="inlineStr">
        <is>
          <t>stacked:isa</t>
        </is>
      </c>
      <c r="AI183" t="inlineStr">
        <is>
          <t>drawing zone; process page; mapped sheet; excel sheet match</t>
        </is>
      </c>
      <c r="AJ183" t="inlineStr">
        <is>
          <t>native</t>
        </is>
      </c>
      <c r="AK183" t="inlineStr">
        <is>
          <t>native-only</t>
        </is>
      </c>
      <c r="AM183" t="inlineStr">
        <is>
          <t>7</t>
        </is>
      </c>
      <c r="AN183" t="inlineStr">
        <is>
          <t>Yes</t>
        </is>
      </c>
      <c r="AO183" t="inlineStr">
        <is>
          <t>mapped sheet id</t>
        </is>
      </c>
      <c r="AP183" t="inlineStr">
        <is>
          <t>p7:native:24, p7:native:25</t>
        </is>
      </c>
      <c r="AQ183" t="n">
        <v>2</v>
      </c>
    </row>
    <row r="184">
      <c r="A184" s="203">
        <f>ROW()-1</f>
        <v/>
      </c>
      <c r="B184" s="128" t="inlineStr">
        <is>
          <t>RL7-CNV-113-ZSS-01</t>
        </is>
      </c>
      <c r="C184" s="314" t="inlineStr">
        <is>
          <t>RL7-CNV-114-ZSC-02</t>
        </is>
      </c>
      <c r="D184" s="264" t="inlineStr">
        <is>
          <t>PRS2107151</t>
        </is>
      </c>
      <c r="E184" s="133" t="inlineStr">
        <is>
          <t>JIC21B</t>
        </is>
      </c>
      <c r="F184" s="141" t="inlineStr">
        <is>
          <t xml:space="preserve">INCLINE PIVOT AUGER 1 IN GRINDER RUN POSITION </t>
        </is>
      </c>
      <c r="G184" s="142" t="inlineStr">
        <is>
          <t>DG7003</t>
        </is>
      </c>
      <c r="H184" s="133" t="inlineStr">
        <is>
          <t>PROC</t>
        </is>
      </c>
      <c r="I184" s="132" t="inlineStr">
        <is>
          <t>RL7-IPA1-RIO1</t>
        </is>
      </c>
      <c r="J184" s="133" t="n">
        <v>6</v>
      </c>
      <c r="K184" s="129" t="n">
        <v>4</v>
      </c>
      <c r="L184" s="129" t="n">
        <v>3</v>
      </c>
      <c r="M184" s="129" t="inlineStr">
        <is>
          <t>24 VDC DI</t>
        </is>
      </c>
      <c r="N184" s="129" t="inlineStr">
        <is>
          <t>5069-IB8S</t>
        </is>
      </c>
      <c r="O184" s="139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40" t="n"/>
      <c r="AA184" t="inlineStr">
        <is>
          <t>Matched</t>
        </is>
      </c>
      <c r="AB184" s="315" t="n">
        <v>0.99</v>
      </c>
      <c r="AC184" t="inlineStr">
        <is>
          <t>High</t>
        </is>
      </c>
      <c r="AD184" t="n">
        <v>1</v>
      </c>
      <c r="AE184" t="inlineStr">
        <is>
          <t>DG7003</t>
        </is>
      </c>
      <c r="AF184" t="n">
        <v>7</v>
      </c>
      <c r="AG184" t="inlineStr">
        <is>
          <t>drawing</t>
        </is>
      </c>
      <c r="AH184" t="inlineStr">
        <is>
          <t>stacked:isa</t>
        </is>
      </c>
      <c r="AI184" t="inlineStr">
        <is>
          <t>drawing zone; process page; mapped sheet; excel sheet match</t>
        </is>
      </c>
      <c r="AJ184" t="inlineStr">
        <is>
          <t>native</t>
        </is>
      </c>
      <c r="AK184" t="inlineStr">
        <is>
          <t>native-only</t>
        </is>
      </c>
      <c r="AM184" t="inlineStr">
        <is>
          <t>7</t>
        </is>
      </c>
      <c r="AN184" t="inlineStr">
        <is>
          <t>Yes</t>
        </is>
      </c>
      <c r="AO184" t="inlineStr">
        <is>
          <t>mapped sheet id</t>
        </is>
      </c>
      <c r="AP184" t="inlineStr">
        <is>
          <t>p7:native:15, p7:native:16</t>
        </is>
      </c>
      <c r="AQ184" t="n">
        <v>2</v>
      </c>
    </row>
    <row r="185">
      <c r="A185" s="203">
        <f>ROW()-1</f>
        <v/>
      </c>
      <c r="B185" s="128" t="inlineStr">
        <is>
          <t>RL7-CNV-112-PB-01</t>
        </is>
      </c>
      <c r="C185" s="314" t="inlineStr">
        <is>
          <t>RL7-CNV-114-ZSC-04</t>
        </is>
      </c>
      <c r="D185" s="264" t="inlineStr">
        <is>
          <t>PRS2107171</t>
        </is>
      </c>
      <c r="E185" s="133" t="inlineStr">
        <is>
          <t>JIC21B</t>
        </is>
      </c>
      <c r="F185" s="141" t="inlineStr">
        <is>
          <t xml:space="preserve">INCLINE PIVOT AUGER 1 IN GRINDER BYPASS POSITION </t>
        </is>
      </c>
      <c r="G185" s="142" t="inlineStr">
        <is>
          <t>DG7003</t>
        </is>
      </c>
      <c r="H185" s="133" t="inlineStr">
        <is>
          <t>PROC</t>
        </is>
      </c>
      <c r="I185" s="132" t="inlineStr">
        <is>
          <t>RL7-IPA1-RIO1</t>
        </is>
      </c>
      <c r="J185" s="133" t="n">
        <v>6</v>
      </c>
      <c r="K185" s="129" t="n">
        <v>4</v>
      </c>
      <c r="L185" s="129" t="n">
        <v>4</v>
      </c>
      <c r="M185" s="129" t="inlineStr">
        <is>
          <t>24 VDC DI</t>
        </is>
      </c>
      <c r="N185" s="129" t="inlineStr">
        <is>
          <t>5069-IB8S</t>
        </is>
      </c>
      <c r="O185" s="139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40" t="n"/>
      <c r="AA185" t="inlineStr">
        <is>
          <t>Matched</t>
        </is>
      </c>
      <c r="AB185" s="315" t="n">
        <v>0.99</v>
      </c>
      <c r="AC185" t="inlineStr">
        <is>
          <t>High</t>
        </is>
      </c>
      <c r="AD185" t="n">
        <v>1</v>
      </c>
      <c r="AE185" t="inlineStr">
        <is>
          <t>DG7003</t>
        </is>
      </c>
      <c r="AF185" t="n">
        <v>7</v>
      </c>
      <c r="AG185" t="inlineStr">
        <is>
          <t>drawing</t>
        </is>
      </c>
      <c r="AH185" t="inlineStr">
        <is>
          <t>stacked:isa</t>
        </is>
      </c>
      <c r="AI185" t="inlineStr">
        <is>
          <t>drawing zone; process page; mapped sheet; excel sheet match</t>
        </is>
      </c>
      <c r="AJ185" t="inlineStr">
        <is>
          <t>native</t>
        </is>
      </c>
      <c r="AK185" t="inlineStr">
        <is>
          <t>native-only</t>
        </is>
      </c>
      <c r="AM185" t="inlineStr">
        <is>
          <t>7</t>
        </is>
      </c>
      <c r="AN185" t="inlineStr">
        <is>
          <t>Yes</t>
        </is>
      </c>
      <c r="AO185" t="inlineStr">
        <is>
          <t>mapped sheet id</t>
        </is>
      </c>
      <c r="AP185" t="inlineStr">
        <is>
          <t>p7:native:19, p7:native:20</t>
        </is>
      </c>
      <c r="AQ185" t="n">
        <v>2</v>
      </c>
    </row>
    <row r="186">
      <c r="A186" s="203">
        <f>ROW()-1</f>
        <v/>
      </c>
      <c r="B186" s="128" t="inlineStr">
        <is>
          <t>RL7-CNV-112-PB-01</t>
        </is>
      </c>
      <c r="C186" s="314" t="inlineStr">
        <is>
          <t>RL7-CNV-114-ZSC-03</t>
        </is>
      </c>
      <c r="D186" s="264" t="inlineStr">
        <is>
          <t>PRS2107191</t>
        </is>
      </c>
      <c r="E186" s="133" t="inlineStr">
        <is>
          <t>JIC21B</t>
        </is>
      </c>
      <c r="F186" s="141" t="inlineStr">
        <is>
          <t xml:space="preserve">INCLINE PIVOT AUGER 1 IN SANITATION POSITION </t>
        </is>
      </c>
      <c r="G186" s="142" t="inlineStr">
        <is>
          <t>DG7003</t>
        </is>
      </c>
      <c r="H186" s="133" t="inlineStr">
        <is>
          <t>PROC</t>
        </is>
      </c>
      <c r="I186" s="132" t="inlineStr">
        <is>
          <t>RL7-IPA1-RIO1</t>
        </is>
      </c>
      <c r="J186" s="133" t="n">
        <v>6</v>
      </c>
      <c r="K186" s="129" t="n">
        <v>4</v>
      </c>
      <c r="L186" s="129" t="n">
        <v>5</v>
      </c>
      <c r="M186" s="129" t="inlineStr">
        <is>
          <t>24 VDC DI</t>
        </is>
      </c>
      <c r="N186" s="129" t="inlineStr">
        <is>
          <t>5069-IB8S</t>
        </is>
      </c>
      <c r="O186" s="139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40" t="n"/>
      <c r="AA186" t="inlineStr">
        <is>
          <t>Matched</t>
        </is>
      </c>
      <c r="AB186" s="315" t="n">
        <v>0.99</v>
      </c>
      <c r="AC186" t="inlineStr">
        <is>
          <t>High</t>
        </is>
      </c>
      <c r="AD186" t="n">
        <v>1</v>
      </c>
      <c r="AE186" t="inlineStr">
        <is>
          <t>DG7003</t>
        </is>
      </c>
      <c r="AF186" t="n">
        <v>7</v>
      </c>
      <c r="AG186" t="inlineStr">
        <is>
          <t>drawing</t>
        </is>
      </c>
      <c r="AH186" t="inlineStr">
        <is>
          <t>stacked:isa</t>
        </is>
      </c>
      <c r="AI186" t="inlineStr">
        <is>
          <t>drawing zone; process page; mapped sheet; excel sheet match</t>
        </is>
      </c>
      <c r="AJ186" t="inlineStr">
        <is>
          <t>native</t>
        </is>
      </c>
      <c r="AK186" t="inlineStr">
        <is>
          <t>native-only</t>
        </is>
      </c>
      <c r="AM186" t="inlineStr">
        <is>
          <t>7</t>
        </is>
      </c>
      <c r="AN186" t="inlineStr">
        <is>
          <t>Yes</t>
        </is>
      </c>
      <c r="AO186" t="inlineStr">
        <is>
          <t>mapped sheet id</t>
        </is>
      </c>
      <c r="AP186" t="inlineStr">
        <is>
          <t>p7:native:17, p7:native:18</t>
        </is>
      </c>
      <c r="AQ186" t="n">
        <v>2</v>
      </c>
    </row>
    <row r="187">
      <c r="A187" s="203">
        <f>ROW()-1</f>
        <v/>
      </c>
      <c r="B187" s="128" t="inlineStr">
        <is>
          <t>RL7-CNV-114-ZSC-06</t>
        </is>
      </c>
      <c r="C187" s="314" t="inlineStr">
        <is>
          <t>RL7-CNV-114-XY-101</t>
        </is>
      </c>
      <c r="D187" s="264" t="inlineStr">
        <is>
          <t>SOL2107121</t>
        </is>
      </c>
      <c r="E187" s="133" t="inlineStr">
        <is>
          <t>JIC21B</t>
        </is>
      </c>
      <c r="F187" s="141" t="inlineStr">
        <is>
          <t>PIVOT INCLINE SCREW CONVEYOR 1 RAISE CONVEYOR SOLENOID</t>
        </is>
      </c>
      <c r="G187" s="142" t="inlineStr">
        <is>
          <t>DG7003</t>
        </is>
      </c>
      <c r="H187" s="133" t="inlineStr">
        <is>
          <t>PROC</t>
        </is>
      </c>
      <c r="I187" s="132" t="inlineStr">
        <is>
          <t>RL7-IPA1-RIO1</t>
        </is>
      </c>
      <c r="J187" s="133" t="n">
        <v>6</v>
      </c>
      <c r="K187" s="129" t="n">
        <v>6</v>
      </c>
      <c r="L187" s="129" t="n">
        <v>0</v>
      </c>
      <c r="M187" s="129" t="inlineStr">
        <is>
          <t>24 VDC DO</t>
        </is>
      </c>
      <c r="N187" s="129" t="inlineStr">
        <is>
          <t>5069-IB16</t>
        </is>
      </c>
      <c r="O187" s="139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40" t="n"/>
      <c r="AA187" t="inlineStr">
        <is>
          <t>Matched</t>
        </is>
      </c>
      <c r="AB187" s="315" t="n">
        <v>0.99</v>
      </c>
      <c r="AC187" t="inlineStr">
        <is>
          <t>High</t>
        </is>
      </c>
      <c r="AD187" t="n">
        <v>1</v>
      </c>
      <c r="AE187" t="inlineStr">
        <is>
          <t>DG7003</t>
        </is>
      </c>
      <c r="AF187" t="n">
        <v>7</v>
      </c>
      <c r="AG187" t="inlineStr">
        <is>
          <t>drawing</t>
        </is>
      </c>
      <c r="AH187" t="inlineStr">
        <is>
          <t>stacked:isa</t>
        </is>
      </c>
      <c r="AI187" t="inlineStr">
        <is>
          <t>drawing zone; process page; mapped sheet; excel sheet match</t>
        </is>
      </c>
      <c r="AJ187" t="inlineStr">
        <is>
          <t>native</t>
        </is>
      </c>
      <c r="AK187" t="inlineStr">
        <is>
          <t>native-only</t>
        </is>
      </c>
      <c r="AM187" t="inlineStr">
        <is>
          <t>7</t>
        </is>
      </c>
      <c r="AN187" t="inlineStr">
        <is>
          <t>Yes</t>
        </is>
      </c>
      <c r="AO187" t="inlineStr">
        <is>
          <t>mapped sheet id</t>
        </is>
      </c>
      <c r="AP187" t="inlineStr">
        <is>
          <t>p7:native:74, p7:native:75</t>
        </is>
      </c>
      <c r="AQ187" t="n">
        <v>2</v>
      </c>
    </row>
    <row r="188">
      <c r="A188" s="203">
        <f>ROW()-1</f>
        <v/>
      </c>
      <c r="B188" s="128" t="inlineStr">
        <is>
          <t>RL7-CNV-114-ZSC-05</t>
        </is>
      </c>
      <c r="C188" s="314" t="inlineStr">
        <is>
          <t>RL7-CNV-114-XY-102</t>
        </is>
      </c>
      <c r="D188" s="264" t="inlineStr">
        <is>
          <t>SOL2107141</t>
        </is>
      </c>
      <c r="E188" s="133" t="inlineStr">
        <is>
          <t>JIC21B</t>
        </is>
      </c>
      <c r="F188" s="141" t="inlineStr">
        <is>
          <t>PIVOT INCLINE SCREW CONVEYOR 1 LOWER CONVEYOR SOLENOID</t>
        </is>
      </c>
      <c r="G188" s="142" t="inlineStr">
        <is>
          <t>DG7003</t>
        </is>
      </c>
      <c r="H188" s="133" t="inlineStr">
        <is>
          <t>PROC</t>
        </is>
      </c>
      <c r="I188" s="132" t="inlineStr">
        <is>
          <t>RL7-IPA1-RIO1</t>
        </is>
      </c>
      <c r="J188" s="133" t="n">
        <v>6</v>
      </c>
      <c r="K188" s="129" t="n">
        <v>6</v>
      </c>
      <c r="L188" s="129" t="n">
        <v>1</v>
      </c>
      <c r="M188" s="129" t="inlineStr">
        <is>
          <t>24 VDC DO</t>
        </is>
      </c>
      <c r="N188" s="129" t="inlineStr">
        <is>
          <t>5069-IB16</t>
        </is>
      </c>
      <c r="O188" s="139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40" t="n"/>
      <c r="AA188" t="inlineStr">
        <is>
          <t>Matched</t>
        </is>
      </c>
      <c r="AB188" s="315" t="n">
        <v>0.99</v>
      </c>
      <c r="AC188" t="inlineStr">
        <is>
          <t>High</t>
        </is>
      </c>
      <c r="AD188" t="n">
        <v>1</v>
      </c>
      <c r="AE188" t="inlineStr">
        <is>
          <t>DG7003</t>
        </is>
      </c>
      <c r="AF188" t="n">
        <v>7</v>
      </c>
      <c r="AG188" t="inlineStr">
        <is>
          <t>drawing</t>
        </is>
      </c>
      <c r="AH188" t="inlineStr">
        <is>
          <t>stacked:isa</t>
        </is>
      </c>
      <c r="AI188" t="inlineStr">
        <is>
          <t>drawing zone; process page; mapped sheet; excel sheet match</t>
        </is>
      </c>
      <c r="AJ188" t="inlineStr">
        <is>
          <t>native</t>
        </is>
      </c>
      <c r="AK188" t="inlineStr">
        <is>
          <t>native-only</t>
        </is>
      </c>
      <c r="AM188" t="inlineStr">
        <is>
          <t>7</t>
        </is>
      </c>
      <c r="AN188" t="inlineStr">
        <is>
          <t>Yes</t>
        </is>
      </c>
      <c r="AO188" t="inlineStr">
        <is>
          <t>mapped sheet id</t>
        </is>
      </c>
      <c r="AP188" t="inlineStr">
        <is>
          <t>p7:native:76, p7:native:77</t>
        </is>
      </c>
      <c r="AQ188" t="n">
        <v>2</v>
      </c>
    </row>
    <row r="189">
      <c r="A189" s="203">
        <f>ROW()-1</f>
        <v/>
      </c>
      <c r="B189" s="128" t="inlineStr">
        <is>
          <t>RL7-CNV-114-ZSC-01</t>
        </is>
      </c>
      <c r="C189" s="314" t="inlineStr">
        <is>
          <t>RL7-CNV-113-XY-01</t>
        </is>
      </c>
      <c r="D189" s="264" t="n"/>
      <c r="E189" s="133" t="n"/>
      <c r="F189" s="141" t="inlineStr">
        <is>
          <t>INCLINE BELT CONVEYOR 1 SANITATION VALVE OPEN SOLENOID</t>
        </is>
      </c>
      <c r="G189" s="142" t="inlineStr">
        <is>
          <t>DG7003</t>
        </is>
      </c>
      <c r="H189" s="133" t="inlineStr">
        <is>
          <t>PROC</t>
        </is>
      </c>
      <c r="I189" s="132" t="inlineStr">
        <is>
          <t>RL7-IPA1-RIO1</t>
        </is>
      </c>
      <c r="J189" s="133" t="n">
        <v>6</v>
      </c>
      <c r="K189" s="129" t="n">
        <v>6</v>
      </c>
      <c r="L189" s="129" t="n">
        <v>2</v>
      </c>
      <c r="M189" s="129" t="inlineStr">
        <is>
          <t>24 VDC DO</t>
        </is>
      </c>
      <c r="N189" s="129" t="inlineStr">
        <is>
          <t>5069-IB16</t>
        </is>
      </c>
      <c r="O189" s="139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40" t="n"/>
      <c r="AA189" t="inlineStr">
        <is>
          <t>Matched</t>
        </is>
      </c>
      <c r="AB189" s="315" t="n">
        <v>0.99</v>
      </c>
      <c r="AC189" t="inlineStr">
        <is>
          <t>High</t>
        </is>
      </c>
      <c r="AD189" t="n">
        <v>1</v>
      </c>
      <c r="AE189" t="inlineStr">
        <is>
          <t>DG7003</t>
        </is>
      </c>
      <c r="AF189" t="n">
        <v>7</v>
      </c>
      <c r="AG189" t="inlineStr">
        <is>
          <t>drawing</t>
        </is>
      </c>
      <c r="AH189" t="inlineStr">
        <is>
          <t>stacked:isa</t>
        </is>
      </c>
      <c r="AI189" t="inlineStr">
        <is>
          <t>drawing zone; process page; mapped sheet; excel sheet match</t>
        </is>
      </c>
      <c r="AJ189" t="inlineStr">
        <is>
          <t>native</t>
        </is>
      </c>
      <c r="AK189" t="inlineStr">
        <is>
          <t>native-only</t>
        </is>
      </c>
      <c r="AM189" t="inlineStr">
        <is>
          <t>7</t>
        </is>
      </c>
      <c r="AN189" t="inlineStr">
        <is>
          <t>Yes</t>
        </is>
      </c>
      <c r="AO189" t="inlineStr">
        <is>
          <t>mapped sheet id</t>
        </is>
      </c>
      <c r="AP189" t="inlineStr">
        <is>
          <t>p7:native:96, p7:native:97</t>
        </is>
      </c>
      <c r="AQ189" t="n">
        <v>2</v>
      </c>
    </row>
    <row r="190">
      <c r="A190" s="203">
        <f>ROW()-1</f>
        <v/>
      </c>
      <c r="B190" s="128" t="inlineStr">
        <is>
          <t>RL7-CNV-114-ZSC-02</t>
        </is>
      </c>
      <c r="C190" s="314" t="inlineStr">
        <is>
          <t>RL7-CNV-114-XY-08</t>
        </is>
      </c>
      <c r="D190" s="264" t="n"/>
      <c r="E190" s="133" t="n"/>
      <c r="F190" s="141" t="inlineStr">
        <is>
          <t>INCLINE PIVOT AUGER 1 SANITATION VALVE OPEN SOLENOID</t>
        </is>
      </c>
      <c r="G190" s="142" t="inlineStr">
        <is>
          <t>DG7003</t>
        </is>
      </c>
      <c r="H190" s="133" t="inlineStr">
        <is>
          <t>PROC</t>
        </is>
      </c>
      <c r="I190" s="132" t="inlineStr">
        <is>
          <t>RL7-IPA1-RIO1</t>
        </is>
      </c>
      <c r="J190" s="133" t="n">
        <v>6</v>
      </c>
      <c r="K190" s="129" t="n">
        <v>6</v>
      </c>
      <c r="L190" s="129" t="n">
        <v>3</v>
      </c>
      <c r="M190" s="129" t="inlineStr">
        <is>
          <t>24 VDC DO</t>
        </is>
      </c>
      <c r="N190" s="129" t="inlineStr">
        <is>
          <t>5069-IB16</t>
        </is>
      </c>
      <c r="O190" s="139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40" t="n"/>
      <c r="AA190" t="inlineStr">
        <is>
          <t>Matched</t>
        </is>
      </c>
      <c r="AB190" s="315" t="n">
        <v>0.99</v>
      </c>
      <c r="AC190" t="inlineStr">
        <is>
          <t>High</t>
        </is>
      </c>
      <c r="AD190" t="n">
        <v>1</v>
      </c>
      <c r="AE190" t="inlineStr">
        <is>
          <t>DG7003</t>
        </is>
      </c>
      <c r="AF190" t="n">
        <v>7</v>
      </c>
      <c r="AG190" t="inlineStr">
        <is>
          <t>drawing</t>
        </is>
      </c>
      <c r="AH190" t="inlineStr">
        <is>
          <t>stacked:isa</t>
        </is>
      </c>
      <c r="AI190" t="inlineStr">
        <is>
          <t>drawing zone; process page; mapped sheet; excel sheet match</t>
        </is>
      </c>
      <c r="AJ190" t="inlineStr">
        <is>
          <t>native</t>
        </is>
      </c>
      <c r="AK190" t="inlineStr">
        <is>
          <t>native-only</t>
        </is>
      </c>
      <c r="AM190" t="inlineStr">
        <is>
          <t>7</t>
        </is>
      </c>
      <c r="AN190" t="inlineStr">
        <is>
          <t>Yes</t>
        </is>
      </c>
      <c r="AO190" t="inlineStr">
        <is>
          <t>mapped sheet id</t>
        </is>
      </c>
      <c r="AP190" t="inlineStr">
        <is>
          <t>p7:native:54, p7:native:55</t>
        </is>
      </c>
      <c r="AQ190" t="n">
        <v>2</v>
      </c>
    </row>
    <row r="191">
      <c r="A191" s="203">
        <f>ROW()-1</f>
        <v/>
      </c>
      <c r="B191" s="128" t="n"/>
      <c r="C191" s="313" t="inlineStr">
        <is>
          <t>RL7-CNV-114.M2</t>
        </is>
      </c>
      <c r="D191" s="264" t="n"/>
      <c r="E191" s="133" t="n"/>
      <c r="F191" s="141" t="inlineStr">
        <is>
          <t>INCLINE PIVOT AUGER 1 HYDRAULIC PUMP ENABLE</t>
        </is>
      </c>
      <c r="G191" s="142" t="inlineStr">
        <is>
          <t>DG7003</t>
        </is>
      </c>
      <c r="H191" s="133" t="inlineStr">
        <is>
          <t>MCC</t>
        </is>
      </c>
      <c r="I191" s="131" t="inlineStr">
        <is>
          <t>RL7-INTSL-RIO1</t>
        </is>
      </c>
      <c r="J191" s="133" t="n">
        <v>18</v>
      </c>
      <c r="K191" s="129" t="n">
        <v>14</v>
      </c>
      <c r="L191" s="129" t="n">
        <v>5</v>
      </c>
      <c r="M191" s="129" t="inlineStr">
        <is>
          <t>24 VDC DO</t>
        </is>
      </c>
      <c r="N191" s="129" t="inlineStr">
        <is>
          <t>5069-OB16</t>
        </is>
      </c>
      <c r="O191" s="146" t="n"/>
      <c r="P191" s="146" t="n"/>
      <c r="Q191" s="146" t="n"/>
      <c r="R191" s="146" t="n"/>
      <c r="S191" s="146" t="n"/>
      <c r="T191" s="146" t="n"/>
      <c r="U191" s="146" t="n"/>
      <c r="V191" s="146" t="n"/>
      <c r="W191" s="146" t="n"/>
      <c r="X191" s="146" t="n"/>
      <c r="Y191" s="146" t="n"/>
      <c r="Z191" s="143" t="n"/>
      <c r="AA191" t="inlineStr">
        <is>
          <t>Skipped - unrecognized tag</t>
        </is>
      </c>
      <c r="AC191" t="inlineStr">
        <is>
          <t>Low</t>
        </is>
      </c>
      <c r="AM191" t="inlineStr">
        <is>
          <t>7</t>
        </is>
      </c>
      <c r="AN191" t="inlineStr">
        <is>
          <t>Yes</t>
        </is>
      </c>
      <c r="AO191" t="inlineStr">
        <is>
          <t>unrecognized tag</t>
        </is>
      </c>
    </row>
    <row r="192">
      <c r="A192" s="203">
        <f>ROW()-1</f>
        <v/>
      </c>
      <c r="B192" s="128" t="inlineStr">
        <is>
          <t>RL7-CNV-115-ZSS-01</t>
        </is>
      </c>
      <c r="C192" s="314" t="inlineStr">
        <is>
          <t>RL7-CNV-115-ZSS-01</t>
        </is>
      </c>
      <c r="D192" s="262" t="inlineStr">
        <is>
          <t>PRS2305021</t>
        </is>
      </c>
      <c r="E192" s="128" t="inlineStr">
        <is>
          <t>JIC22B, JIC23B</t>
        </is>
      </c>
      <c r="F192" s="138" t="inlineStr">
        <is>
          <t>INCLINE BELT CONVEYOR 2 CHUTE IN PLACE SAFETY INPUT CH1</t>
        </is>
      </c>
      <c r="G192" s="131" t="inlineStr">
        <is>
          <t>DG7004</t>
        </is>
      </c>
      <c r="H192" s="128" t="inlineStr">
        <is>
          <t>PROC</t>
        </is>
      </c>
      <c r="I192" s="142" t="inlineStr">
        <is>
          <t>RL7-IPA2-RIO1</t>
        </is>
      </c>
      <c r="J192" s="133" t="n">
        <v>7</v>
      </c>
      <c r="K192" s="133" t="n">
        <v>2</v>
      </c>
      <c r="L192" s="128" t="n">
        <v>2</v>
      </c>
      <c r="M192" s="128" t="inlineStr">
        <is>
          <t>24 VDC SI</t>
        </is>
      </c>
      <c r="N192" s="128" t="inlineStr">
        <is>
          <t>5069-IB8S</t>
        </is>
      </c>
      <c r="O192" s="139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40" t="n"/>
      <c r="AA192" t="inlineStr">
        <is>
          <t>Matched</t>
        </is>
      </c>
      <c r="AB192" s="315" t="n">
        <v>0.99</v>
      </c>
      <c r="AC192" t="inlineStr">
        <is>
          <t>High</t>
        </is>
      </c>
      <c r="AD192" t="n">
        <v>1</v>
      </c>
      <c r="AE192" t="inlineStr">
        <is>
          <t>DG7004</t>
        </is>
      </c>
      <c r="AF192" t="n">
        <v>8</v>
      </c>
      <c r="AG192" t="inlineStr">
        <is>
          <t>drawing</t>
        </is>
      </c>
      <c r="AH192" t="inlineStr">
        <is>
          <t>stacked:isa</t>
        </is>
      </c>
      <c r="AI192" t="inlineStr">
        <is>
          <t>drawing zone; process page; mapped sheet; excel sheet match</t>
        </is>
      </c>
      <c r="AJ192" t="inlineStr">
        <is>
          <t>native</t>
        </is>
      </c>
      <c r="AK192" t="inlineStr">
        <is>
          <t>native-only</t>
        </is>
      </c>
      <c r="AM192" t="inlineStr">
        <is>
          <t>8</t>
        </is>
      </c>
      <c r="AN192" t="inlineStr">
        <is>
          <t>Yes</t>
        </is>
      </c>
      <c r="AO192" t="inlineStr">
        <is>
          <t>mapped sheet id</t>
        </is>
      </c>
      <c r="AP192" t="inlineStr">
        <is>
          <t>p8:native:22, p8:native:23</t>
        </is>
      </c>
      <c r="AQ192" t="n">
        <v>2</v>
      </c>
    </row>
    <row r="193">
      <c r="A193" s="203">
        <f>ROW()-1</f>
        <v/>
      </c>
      <c r="B193" s="128" t="inlineStr">
        <is>
          <t>RL7-CNV-115-ZSS-01</t>
        </is>
      </c>
      <c r="C193" s="314" t="inlineStr">
        <is>
          <t>RL7-CNV-115-ZSS-01</t>
        </is>
      </c>
      <c r="D193" s="262" t="inlineStr">
        <is>
          <t>PRS2305021</t>
        </is>
      </c>
      <c r="E193" s="128" t="inlineStr">
        <is>
          <t>JIC22B, JIC23B</t>
        </is>
      </c>
      <c r="F193" s="138" t="inlineStr">
        <is>
          <t>INCLINE BELT CONVEYOR 2 CHUTE IN PLACE SAFETY INPUT CH1</t>
        </is>
      </c>
      <c r="G193" s="131" t="inlineStr">
        <is>
          <t>DG7004</t>
        </is>
      </c>
      <c r="H193" s="128" t="inlineStr">
        <is>
          <t>PROC</t>
        </is>
      </c>
      <c r="I193" s="142" t="inlineStr">
        <is>
          <t>RL7-IPA2-RIO1</t>
        </is>
      </c>
      <c r="J193" s="133" t="n">
        <v>7</v>
      </c>
      <c r="K193" s="133" t="n">
        <v>2</v>
      </c>
      <c r="L193" s="128" t="n">
        <v>3</v>
      </c>
      <c r="M193" s="128" t="inlineStr">
        <is>
          <t>24 VDC SI</t>
        </is>
      </c>
      <c r="N193" s="128" t="inlineStr">
        <is>
          <t>5069-IB8S</t>
        </is>
      </c>
      <c r="O193" s="139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40" t="n"/>
      <c r="AA193" t="inlineStr">
        <is>
          <t>Matched</t>
        </is>
      </c>
      <c r="AB193" s="315" t="n">
        <v>0.99</v>
      </c>
      <c r="AC193" t="inlineStr">
        <is>
          <t>High</t>
        </is>
      </c>
      <c r="AD193" t="n">
        <v>1</v>
      </c>
      <c r="AE193" t="inlineStr">
        <is>
          <t>DG7004</t>
        </is>
      </c>
      <c r="AF193" t="n">
        <v>8</v>
      </c>
      <c r="AG193" t="inlineStr">
        <is>
          <t>drawing</t>
        </is>
      </c>
      <c r="AH193" t="inlineStr">
        <is>
          <t>stacked:isa</t>
        </is>
      </c>
      <c r="AI193" t="inlineStr">
        <is>
          <t>drawing zone; process page; mapped sheet; excel sheet match</t>
        </is>
      </c>
      <c r="AJ193" t="inlineStr">
        <is>
          <t>native</t>
        </is>
      </c>
      <c r="AK193" t="inlineStr">
        <is>
          <t>native-only</t>
        </is>
      </c>
      <c r="AM193" t="inlineStr">
        <is>
          <t>8</t>
        </is>
      </c>
      <c r="AN193" t="inlineStr">
        <is>
          <t>Yes</t>
        </is>
      </c>
      <c r="AO193" t="inlineStr">
        <is>
          <t>mapped sheet id</t>
        </is>
      </c>
      <c r="AP193" t="inlineStr">
        <is>
          <t>p8:native:22, p8:native:23</t>
        </is>
      </c>
      <c r="AQ193" t="n">
        <v>2</v>
      </c>
    </row>
    <row r="194">
      <c r="A194" s="203">
        <f>ROW()-1</f>
        <v/>
      </c>
      <c r="B194" s="128" t="inlineStr">
        <is>
          <t>RL7-CNV-115-PB-01</t>
        </is>
      </c>
      <c r="C194" s="314" t="inlineStr">
        <is>
          <t>RL7-CNV-115-PB-01</t>
        </is>
      </c>
      <c r="D194" s="262" t="n"/>
      <c r="E194" s="128" t="n"/>
      <c r="F194" s="138" t="inlineStr">
        <is>
          <t>INCLINE BELT CONVEYOR (TO PIVOT AUGER 2) E-STOP PUSHBUTTON SAFETY INPUT CH1</t>
        </is>
      </c>
      <c r="G194" s="131" t="inlineStr">
        <is>
          <t>DG7004</t>
        </is>
      </c>
      <c r="H194" s="128" t="inlineStr">
        <is>
          <t>PROC</t>
        </is>
      </c>
      <c r="I194" s="142" t="inlineStr">
        <is>
          <t>RL7-IPA2-RIO1</t>
        </is>
      </c>
      <c r="J194" s="133" t="n">
        <v>7</v>
      </c>
      <c r="K194" s="133" t="n">
        <v>2</v>
      </c>
      <c r="L194" s="133" t="n">
        <v>4</v>
      </c>
      <c r="M194" s="128" t="inlineStr">
        <is>
          <t>24 VDC SI</t>
        </is>
      </c>
      <c r="N194" s="128" t="inlineStr">
        <is>
          <t>5069-IB8S</t>
        </is>
      </c>
      <c r="O194" s="139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40" t="n"/>
      <c r="AA194" t="inlineStr">
        <is>
          <t>Matched</t>
        </is>
      </c>
      <c r="AB194" s="315" t="n">
        <v>0.99</v>
      </c>
      <c r="AC194" t="inlineStr">
        <is>
          <t>High</t>
        </is>
      </c>
      <c r="AD194" t="n">
        <v>1</v>
      </c>
      <c r="AE194" t="inlineStr">
        <is>
          <t>DG7004</t>
        </is>
      </c>
      <c r="AF194" t="n">
        <v>8</v>
      </c>
      <c r="AG194" t="inlineStr">
        <is>
          <t>drawing</t>
        </is>
      </c>
      <c r="AH194" t="inlineStr">
        <is>
          <t>stacked:isa</t>
        </is>
      </c>
      <c r="AI194" t="inlineStr">
        <is>
          <t>drawing zone; process page; mapped sheet; excel sheet match</t>
        </is>
      </c>
      <c r="AJ194" t="inlineStr">
        <is>
          <t>native</t>
        </is>
      </c>
      <c r="AK194" t="inlineStr">
        <is>
          <t>native-only</t>
        </is>
      </c>
      <c r="AM194" t="inlineStr">
        <is>
          <t>8</t>
        </is>
      </c>
      <c r="AN194" t="inlineStr">
        <is>
          <t>Yes</t>
        </is>
      </c>
      <c r="AO194" t="inlineStr">
        <is>
          <t>mapped sheet id</t>
        </is>
      </c>
      <c r="AP194" t="inlineStr">
        <is>
          <t>p8:native:49, p8:native:50</t>
        </is>
      </c>
      <c r="AQ194" t="n">
        <v>2</v>
      </c>
    </row>
    <row r="195">
      <c r="A195" s="203">
        <f>ROW()-1</f>
        <v/>
      </c>
      <c r="B195" s="128" t="inlineStr">
        <is>
          <t>RL7-CNV-115-PB-01</t>
        </is>
      </c>
      <c r="C195" s="314" t="inlineStr">
        <is>
          <t>RL7-CNV-115-PB-01</t>
        </is>
      </c>
      <c r="D195" s="262" t="n"/>
      <c r="E195" s="128" t="n"/>
      <c r="F195" s="138" t="inlineStr">
        <is>
          <t>INCLINE BELT CONVEYOR (TO PIVOT AUGER 2) E-STOP PUSHBUTTON SAFETY INPUT CH2</t>
        </is>
      </c>
      <c r="G195" s="131" t="inlineStr">
        <is>
          <t>DG7004</t>
        </is>
      </c>
      <c r="H195" s="128" t="inlineStr">
        <is>
          <t>PROC</t>
        </is>
      </c>
      <c r="I195" s="142" t="inlineStr">
        <is>
          <t>RL7-IPA2-RIO1</t>
        </is>
      </c>
      <c r="J195" s="133" t="n">
        <v>7</v>
      </c>
      <c r="K195" s="133" t="n">
        <v>2</v>
      </c>
      <c r="L195" s="133" t="n">
        <v>5</v>
      </c>
      <c r="M195" s="128" t="inlineStr">
        <is>
          <t>24 VDC SI</t>
        </is>
      </c>
      <c r="N195" s="128" t="inlineStr">
        <is>
          <t>5069-IB8S</t>
        </is>
      </c>
      <c r="O195" s="139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40" t="n"/>
      <c r="AA195" t="inlineStr">
        <is>
          <t>Matched</t>
        </is>
      </c>
      <c r="AB195" s="315" t="n">
        <v>0.99</v>
      </c>
      <c r="AC195" t="inlineStr">
        <is>
          <t>High</t>
        </is>
      </c>
      <c r="AD195" t="n">
        <v>1</v>
      </c>
      <c r="AE195" t="inlineStr">
        <is>
          <t>DG7004</t>
        </is>
      </c>
      <c r="AF195" t="n">
        <v>8</v>
      </c>
      <c r="AG195" t="inlineStr">
        <is>
          <t>drawing</t>
        </is>
      </c>
      <c r="AH195" t="inlineStr">
        <is>
          <t>stacked:isa</t>
        </is>
      </c>
      <c r="AI195" t="inlineStr">
        <is>
          <t>drawing zone; process page; mapped sheet; excel sheet match</t>
        </is>
      </c>
      <c r="AJ195" t="inlineStr">
        <is>
          <t>native</t>
        </is>
      </c>
      <c r="AK195" t="inlineStr">
        <is>
          <t>native-only</t>
        </is>
      </c>
      <c r="AM195" t="inlineStr">
        <is>
          <t>8</t>
        </is>
      </c>
      <c r="AN195" t="inlineStr">
        <is>
          <t>Yes</t>
        </is>
      </c>
      <c r="AO195" t="inlineStr">
        <is>
          <t>mapped sheet id</t>
        </is>
      </c>
      <c r="AP195" t="inlineStr">
        <is>
          <t>p8:native:49, p8:native:50</t>
        </is>
      </c>
      <c r="AQ195" t="n">
        <v>2</v>
      </c>
    </row>
    <row r="196">
      <c r="A196" s="203">
        <f>ROW()-1</f>
        <v/>
      </c>
      <c r="B196" s="128" t="inlineStr">
        <is>
          <t>RL7-CNV-106-ZSS-04</t>
        </is>
      </c>
      <c r="C196" s="314" t="inlineStr">
        <is>
          <t>RL7-CNV-106-ZSS-04</t>
        </is>
      </c>
      <c r="D196" s="262" t="inlineStr">
        <is>
          <t>PRS2406021</t>
        </is>
      </c>
      <c r="E196" s="128" t="inlineStr">
        <is>
          <t>JIC1B</t>
        </is>
      </c>
      <c r="F196" s="138" t="inlineStr">
        <is>
          <t>INCLINE PIVOT AUGER 2 TROUGH COVER 1 SAFETY INPUT CH1</t>
        </is>
      </c>
      <c r="G196" s="131" t="inlineStr">
        <is>
          <t>DG7004</t>
        </is>
      </c>
      <c r="H196" s="128" t="inlineStr">
        <is>
          <t>PROC</t>
        </is>
      </c>
      <c r="I196" s="142" t="inlineStr">
        <is>
          <t>RL7-IPA2-RIO1</t>
        </is>
      </c>
      <c r="J196" s="133" t="n">
        <v>7</v>
      </c>
      <c r="K196" s="133" t="n">
        <v>3</v>
      </c>
      <c r="L196" s="128" t="n">
        <v>0</v>
      </c>
      <c r="M196" s="128" t="inlineStr">
        <is>
          <t>24 VDC SI</t>
        </is>
      </c>
      <c r="N196" s="128" t="inlineStr">
        <is>
          <t>5069-IB8S</t>
        </is>
      </c>
      <c r="O196" s="139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40" t="n"/>
      <c r="AA196" t="inlineStr">
        <is>
          <t>Matched</t>
        </is>
      </c>
      <c r="AB196" s="315" t="n">
        <v>0.99</v>
      </c>
      <c r="AC196" t="inlineStr">
        <is>
          <t>High</t>
        </is>
      </c>
      <c r="AD196" t="n">
        <v>1</v>
      </c>
      <c r="AE196" t="inlineStr">
        <is>
          <t>DG7004</t>
        </is>
      </c>
      <c r="AF196" t="n">
        <v>8</v>
      </c>
      <c r="AG196" t="inlineStr">
        <is>
          <t>drawing</t>
        </is>
      </c>
      <c r="AH196" t="inlineStr">
        <is>
          <t>stacked:isa</t>
        </is>
      </c>
      <c r="AI196" t="inlineStr">
        <is>
          <t>drawing zone; process page; mapped sheet; excel sheet match</t>
        </is>
      </c>
      <c r="AJ196" t="inlineStr">
        <is>
          <t>native</t>
        </is>
      </c>
      <c r="AK196" t="inlineStr">
        <is>
          <t>native-only</t>
        </is>
      </c>
      <c r="AM196" t="inlineStr">
        <is>
          <t>8</t>
        </is>
      </c>
      <c r="AN196" t="inlineStr">
        <is>
          <t>Yes</t>
        </is>
      </c>
      <c r="AO196" t="inlineStr">
        <is>
          <t>mapped sheet id</t>
        </is>
      </c>
      <c r="AP196" t="inlineStr">
        <is>
          <t>p8:native:62, p8:native:63</t>
        </is>
      </c>
      <c r="AQ196" t="n">
        <v>2</v>
      </c>
    </row>
    <row r="197">
      <c r="A197" s="203">
        <f>ROW()-1</f>
        <v/>
      </c>
      <c r="B197" s="128" t="inlineStr">
        <is>
          <t>RL7-CNV-106-ZSS-04</t>
        </is>
      </c>
      <c r="C197" s="314" t="inlineStr">
        <is>
          <t>RL7-CNV-106-ZSS-04</t>
        </is>
      </c>
      <c r="D197" s="262" t="inlineStr">
        <is>
          <t>PRS2406021</t>
        </is>
      </c>
      <c r="E197" s="128" t="inlineStr">
        <is>
          <t>JIC1B</t>
        </is>
      </c>
      <c r="F197" s="138" t="inlineStr">
        <is>
          <t>INCLINE PIVOT AUGER 2 TROUGH COVER 1 SAFETY INPUT CH2</t>
        </is>
      </c>
      <c r="G197" s="131" t="inlineStr">
        <is>
          <t>DG7004</t>
        </is>
      </c>
      <c r="H197" s="128" t="inlineStr">
        <is>
          <t>PROC</t>
        </is>
      </c>
      <c r="I197" s="142" t="inlineStr">
        <is>
          <t>RL7-IPA2-RIO1</t>
        </is>
      </c>
      <c r="J197" s="133" t="n">
        <v>7</v>
      </c>
      <c r="K197" s="133" t="n">
        <v>3</v>
      </c>
      <c r="L197" s="128" t="n">
        <v>1</v>
      </c>
      <c r="M197" s="128" t="inlineStr">
        <is>
          <t>24 VDC SI</t>
        </is>
      </c>
      <c r="N197" s="128" t="inlineStr">
        <is>
          <t>5069-IB8S</t>
        </is>
      </c>
      <c r="O197" s="139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40" t="n"/>
      <c r="AA197" t="inlineStr">
        <is>
          <t>Matched</t>
        </is>
      </c>
      <c r="AB197" s="315" t="n">
        <v>0.99</v>
      </c>
      <c r="AC197" t="inlineStr">
        <is>
          <t>High</t>
        </is>
      </c>
      <c r="AD197" t="n">
        <v>1</v>
      </c>
      <c r="AE197" t="inlineStr">
        <is>
          <t>DG7004</t>
        </is>
      </c>
      <c r="AF197" t="n">
        <v>8</v>
      </c>
      <c r="AG197" t="inlineStr">
        <is>
          <t>drawing</t>
        </is>
      </c>
      <c r="AH197" t="inlineStr">
        <is>
          <t>stacked:isa</t>
        </is>
      </c>
      <c r="AI197" t="inlineStr">
        <is>
          <t>drawing zone; process page; mapped sheet; excel sheet match</t>
        </is>
      </c>
      <c r="AJ197" t="inlineStr">
        <is>
          <t>native</t>
        </is>
      </c>
      <c r="AK197" t="inlineStr">
        <is>
          <t>native-only</t>
        </is>
      </c>
      <c r="AM197" t="inlineStr">
        <is>
          <t>8</t>
        </is>
      </c>
      <c r="AN197" t="inlineStr">
        <is>
          <t>Yes</t>
        </is>
      </c>
      <c r="AO197" t="inlineStr">
        <is>
          <t>mapped sheet id</t>
        </is>
      </c>
      <c r="AP197" t="inlineStr">
        <is>
          <t>p8:native:62, p8:native:63</t>
        </is>
      </c>
      <c r="AQ197" t="n">
        <v>2</v>
      </c>
    </row>
    <row r="198">
      <c r="A198" s="203">
        <f>ROW()-1</f>
        <v/>
      </c>
      <c r="B198" s="128" t="inlineStr">
        <is>
          <t>RL7-CNV-106-ZSS-01</t>
        </is>
      </c>
      <c r="C198" s="314" t="inlineStr">
        <is>
          <t>RL7-CNV-106-ZSS-01</t>
        </is>
      </c>
      <c r="D198" s="262" t="inlineStr">
        <is>
          <t>PRS2406101</t>
        </is>
      </c>
      <c r="E198" s="128" t="inlineStr">
        <is>
          <t>JIC1B</t>
        </is>
      </c>
      <c r="F198" s="138" t="inlineStr">
        <is>
          <t>INCLINE PIVOT AUGER 2 MAIN GUARD 1 SAFETY INPUT CH1</t>
        </is>
      </c>
      <c r="G198" s="131" t="inlineStr">
        <is>
          <t>DG7004</t>
        </is>
      </c>
      <c r="H198" s="128" t="inlineStr">
        <is>
          <t>PROC</t>
        </is>
      </c>
      <c r="I198" s="142" t="inlineStr">
        <is>
          <t>RL7-IPA2-RIO1</t>
        </is>
      </c>
      <c r="J198" s="133" t="n">
        <v>7</v>
      </c>
      <c r="K198" s="133" t="n">
        <v>3</v>
      </c>
      <c r="L198" s="133" t="n">
        <v>2</v>
      </c>
      <c r="M198" s="128" t="inlineStr">
        <is>
          <t>24 VDC SI</t>
        </is>
      </c>
      <c r="N198" s="128" t="inlineStr">
        <is>
          <t>5069-IB8S</t>
        </is>
      </c>
      <c r="O198" s="139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40" t="n"/>
      <c r="AA198" t="inlineStr">
        <is>
          <t>Matched</t>
        </is>
      </c>
      <c r="AB198" s="315" t="n">
        <v>0.99</v>
      </c>
      <c r="AC198" t="inlineStr">
        <is>
          <t>High</t>
        </is>
      </c>
      <c r="AD198" t="n">
        <v>1</v>
      </c>
      <c r="AE198" t="inlineStr">
        <is>
          <t>DG7004</t>
        </is>
      </c>
      <c r="AF198" t="n">
        <v>8</v>
      </c>
      <c r="AG198" t="inlineStr">
        <is>
          <t>drawing</t>
        </is>
      </c>
      <c r="AH198" t="inlineStr">
        <is>
          <t>stacked:isa</t>
        </is>
      </c>
      <c r="AI198" t="inlineStr">
        <is>
          <t>drawing zone; process page; mapped sheet; excel sheet match</t>
        </is>
      </c>
      <c r="AJ198" t="inlineStr">
        <is>
          <t>native</t>
        </is>
      </c>
      <c r="AK198" t="inlineStr">
        <is>
          <t>native-only</t>
        </is>
      </c>
      <c r="AM198" t="inlineStr">
        <is>
          <t>8</t>
        </is>
      </c>
      <c r="AN198" t="inlineStr">
        <is>
          <t>Yes</t>
        </is>
      </c>
      <c r="AO198" t="inlineStr">
        <is>
          <t>mapped sheet id</t>
        </is>
      </c>
      <c r="AP198" t="inlineStr">
        <is>
          <t>p8:native:66, p8:native:67</t>
        </is>
      </c>
      <c r="AQ198" t="n">
        <v>2</v>
      </c>
    </row>
    <row r="199">
      <c r="A199" s="203">
        <f>ROW()-1</f>
        <v/>
      </c>
      <c r="B199" s="128" t="inlineStr">
        <is>
          <t>RL7-CNV-106-ZSS-01</t>
        </is>
      </c>
      <c r="C199" s="314" t="inlineStr">
        <is>
          <t>RL7-CNV-106-ZSS-01</t>
        </is>
      </c>
      <c r="D199" s="262" t="inlineStr">
        <is>
          <t>PRS2406101</t>
        </is>
      </c>
      <c r="E199" s="128" t="inlineStr">
        <is>
          <t>JIC1B</t>
        </is>
      </c>
      <c r="F199" s="138" t="inlineStr">
        <is>
          <t>INCLINE PIVOT AUGER 2 MAIN GUARD 1 SAFETY INPUT CH2</t>
        </is>
      </c>
      <c r="G199" s="131" t="inlineStr">
        <is>
          <t>DG7004</t>
        </is>
      </c>
      <c r="H199" s="128" t="inlineStr">
        <is>
          <t>PROC</t>
        </is>
      </c>
      <c r="I199" s="142" t="inlineStr">
        <is>
          <t>RL7-IPA2-RIO1</t>
        </is>
      </c>
      <c r="J199" s="133" t="n">
        <v>7</v>
      </c>
      <c r="K199" s="133" t="n">
        <v>3</v>
      </c>
      <c r="L199" s="133" t="n">
        <v>3</v>
      </c>
      <c r="M199" s="128" t="inlineStr">
        <is>
          <t>24 VDC SI</t>
        </is>
      </c>
      <c r="N199" s="128" t="inlineStr">
        <is>
          <t>5069-IB8S</t>
        </is>
      </c>
      <c r="O199" s="139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40" t="n"/>
      <c r="AA199" t="inlineStr">
        <is>
          <t>Matched</t>
        </is>
      </c>
      <c r="AB199" s="315" t="n">
        <v>0.99</v>
      </c>
      <c r="AC199" t="inlineStr">
        <is>
          <t>High</t>
        </is>
      </c>
      <c r="AD199" t="n">
        <v>1</v>
      </c>
      <c r="AE199" t="inlineStr">
        <is>
          <t>DG7004</t>
        </is>
      </c>
      <c r="AF199" t="n">
        <v>8</v>
      </c>
      <c r="AG199" t="inlineStr">
        <is>
          <t>drawing</t>
        </is>
      </c>
      <c r="AH199" t="inlineStr">
        <is>
          <t>stacked:isa</t>
        </is>
      </c>
      <c r="AI199" t="inlineStr">
        <is>
          <t>drawing zone; process page; mapped sheet; excel sheet match</t>
        </is>
      </c>
      <c r="AJ199" t="inlineStr">
        <is>
          <t>native</t>
        </is>
      </c>
      <c r="AK199" t="inlineStr">
        <is>
          <t>native-only</t>
        </is>
      </c>
      <c r="AM199" t="inlineStr">
        <is>
          <t>8</t>
        </is>
      </c>
      <c r="AN199" t="inlineStr">
        <is>
          <t>Yes</t>
        </is>
      </c>
      <c r="AO199" t="inlineStr">
        <is>
          <t>mapped sheet id</t>
        </is>
      </c>
      <c r="AP199" t="inlineStr">
        <is>
          <t>p8:native:66, p8:native:67</t>
        </is>
      </c>
      <c r="AQ199" t="n">
        <v>2</v>
      </c>
    </row>
    <row r="200">
      <c r="A200" s="203">
        <f>ROW()-1</f>
        <v/>
      </c>
      <c r="B200" s="128" t="inlineStr">
        <is>
          <t>RL7-CNV-106-ZSS-02</t>
        </is>
      </c>
      <c r="C200" s="314" t="inlineStr">
        <is>
          <t>RL7-CNV-106-ZSS-02</t>
        </is>
      </c>
      <c r="D200" s="262" t="inlineStr">
        <is>
          <t>PRS2406161</t>
        </is>
      </c>
      <c r="E200" s="128" t="inlineStr">
        <is>
          <t>JIC1B</t>
        </is>
      </c>
      <c r="F200" s="138" t="inlineStr">
        <is>
          <t>INCLINE PIVOT AUGER 2 MAIN GUARD 2 SAFETY INPUT CH1</t>
        </is>
      </c>
      <c r="G200" s="131" t="inlineStr">
        <is>
          <t>DG7004</t>
        </is>
      </c>
      <c r="H200" s="128" t="inlineStr">
        <is>
          <t>PROC</t>
        </is>
      </c>
      <c r="I200" s="142" t="inlineStr">
        <is>
          <t>RL7-IPA2-RIO1</t>
        </is>
      </c>
      <c r="J200" s="133" t="n">
        <v>7</v>
      </c>
      <c r="K200" s="133" t="n">
        <v>3</v>
      </c>
      <c r="L200" s="133" t="n">
        <v>4</v>
      </c>
      <c r="M200" s="128" t="inlineStr">
        <is>
          <t>24 VDC SI</t>
        </is>
      </c>
      <c r="N200" s="128" t="inlineStr">
        <is>
          <t>5069-IB8S</t>
        </is>
      </c>
      <c r="O200" s="139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40" t="n"/>
      <c r="AA200" t="inlineStr">
        <is>
          <t>Matched</t>
        </is>
      </c>
      <c r="AB200" s="315" t="n">
        <v>0.99</v>
      </c>
      <c r="AC200" t="inlineStr">
        <is>
          <t>High</t>
        </is>
      </c>
      <c r="AD200" t="n">
        <v>1</v>
      </c>
      <c r="AE200" t="inlineStr">
        <is>
          <t>DG7004</t>
        </is>
      </c>
      <c r="AF200" t="n">
        <v>8</v>
      </c>
      <c r="AG200" t="inlineStr">
        <is>
          <t>drawing</t>
        </is>
      </c>
      <c r="AH200" t="inlineStr">
        <is>
          <t>stacked:isa</t>
        </is>
      </c>
      <c r="AI200" t="inlineStr">
        <is>
          <t>drawing zone; process page; mapped sheet; excel sheet match</t>
        </is>
      </c>
      <c r="AJ200" t="inlineStr">
        <is>
          <t>native</t>
        </is>
      </c>
      <c r="AK200" t="inlineStr">
        <is>
          <t>native-only</t>
        </is>
      </c>
      <c r="AM200" t="inlineStr">
        <is>
          <t>8</t>
        </is>
      </c>
      <c r="AN200" t="inlineStr">
        <is>
          <t>Yes</t>
        </is>
      </c>
      <c r="AO200" t="inlineStr">
        <is>
          <t>mapped sheet id</t>
        </is>
      </c>
      <c r="AP200" t="inlineStr">
        <is>
          <t>p8:native:68, p8:native:69</t>
        </is>
      </c>
      <c r="AQ200" t="n">
        <v>2</v>
      </c>
    </row>
    <row r="201">
      <c r="A201" s="203">
        <f>ROW()-1</f>
        <v/>
      </c>
      <c r="B201" s="128" t="inlineStr">
        <is>
          <t>RL7-CNV-106-ZSS-02</t>
        </is>
      </c>
      <c r="C201" s="314" t="inlineStr">
        <is>
          <t>RL7-CNV-106-ZSS-02</t>
        </is>
      </c>
      <c r="D201" s="262" t="inlineStr">
        <is>
          <t>PRS2406161</t>
        </is>
      </c>
      <c r="E201" s="128" t="inlineStr">
        <is>
          <t>JIC1B</t>
        </is>
      </c>
      <c r="F201" s="138" t="inlineStr">
        <is>
          <t>INCLINE PIVOT AUGER 2 MAIN GUARD 2 SAFETY INPUT CH2</t>
        </is>
      </c>
      <c r="G201" s="131" t="inlineStr">
        <is>
          <t>DG7004</t>
        </is>
      </c>
      <c r="H201" s="128" t="inlineStr">
        <is>
          <t>PROC</t>
        </is>
      </c>
      <c r="I201" s="142" t="inlineStr">
        <is>
          <t>RL7-IPA2-RIO1</t>
        </is>
      </c>
      <c r="J201" s="133" t="n">
        <v>7</v>
      </c>
      <c r="K201" s="133" t="n">
        <v>3</v>
      </c>
      <c r="L201" s="133" t="n">
        <v>5</v>
      </c>
      <c r="M201" s="128" t="inlineStr">
        <is>
          <t>24 VDC SI</t>
        </is>
      </c>
      <c r="N201" s="128" t="inlineStr">
        <is>
          <t>5069-IB8S</t>
        </is>
      </c>
      <c r="O201" s="139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40" t="n"/>
      <c r="AA201" t="inlineStr">
        <is>
          <t>Matched</t>
        </is>
      </c>
      <c r="AB201" s="315" t="n">
        <v>0.99</v>
      </c>
      <c r="AC201" t="inlineStr">
        <is>
          <t>High</t>
        </is>
      </c>
      <c r="AD201" t="n">
        <v>1</v>
      </c>
      <c r="AE201" t="inlineStr">
        <is>
          <t>DG7004</t>
        </is>
      </c>
      <c r="AF201" t="n">
        <v>8</v>
      </c>
      <c r="AG201" t="inlineStr">
        <is>
          <t>drawing</t>
        </is>
      </c>
      <c r="AH201" t="inlineStr">
        <is>
          <t>stacked:isa</t>
        </is>
      </c>
      <c r="AI201" t="inlineStr">
        <is>
          <t>drawing zone; process page; mapped sheet; excel sheet match</t>
        </is>
      </c>
      <c r="AJ201" t="inlineStr">
        <is>
          <t>native</t>
        </is>
      </c>
      <c r="AK201" t="inlineStr">
        <is>
          <t>native-only</t>
        </is>
      </c>
      <c r="AM201" t="inlineStr">
        <is>
          <t>8</t>
        </is>
      </c>
      <c r="AN201" t="inlineStr">
        <is>
          <t>Yes</t>
        </is>
      </c>
      <c r="AO201" t="inlineStr">
        <is>
          <t>mapped sheet id</t>
        </is>
      </c>
      <c r="AP201" t="inlineStr">
        <is>
          <t>p8:native:68, p8:native:69</t>
        </is>
      </c>
      <c r="AQ201" t="n">
        <v>2</v>
      </c>
    </row>
    <row r="202">
      <c r="A202" s="203">
        <f>ROW()-1</f>
        <v/>
      </c>
      <c r="B202" s="128" t="inlineStr">
        <is>
          <t>RL7-CNV-106-ZSS-03</t>
        </is>
      </c>
      <c r="C202" s="314" t="inlineStr">
        <is>
          <t>RL7-CNV-106-ZSS-03</t>
        </is>
      </c>
      <c r="D202" s="262" t="inlineStr">
        <is>
          <t>PRS2406201</t>
        </is>
      </c>
      <c r="E202" s="128" t="inlineStr">
        <is>
          <t>JIC1B</t>
        </is>
      </c>
      <c r="F202" s="138" t="inlineStr">
        <is>
          <t>INCLINE PIVOT AUGER 2 HOPPER SANITATION GUARD SAFETY CH1</t>
        </is>
      </c>
      <c r="G202" s="131" t="inlineStr">
        <is>
          <t>DG7004</t>
        </is>
      </c>
      <c r="H202" s="128" t="inlineStr">
        <is>
          <t>PROC</t>
        </is>
      </c>
      <c r="I202" s="142" t="inlineStr">
        <is>
          <t>RL7-IPA2-RIO1</t>
        </is>
      </c>
      <c r="J202" s="133" t="n">
        <v>7</v>
      </c>
      <c r="K202" s="133" t="n">
        <v>3</v>
      </c>
      <c r="L202" s="133" t="n">
        <v>6</v>
      </c>
      <c r="M202" s="128" t="inlineStr">
        <is>
          <t>24 VDC SI</t>
        </is>
      </c>
      <c r="N202" s="128" t="inlineStr">
        <is>
          <t>5069-IB8S</t>
        </is>
      </c>
      <c r="O202" s="139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40" t="n"/>
      <c r="AA202" t="inlineStr">
        <is>
          <t>Matched</t>
        </is>
      </c>
      <c r="AB202" s="315" t="n">
        <v>0.99</v>
      </c>
      <c r="AC202" t="inlineStr">
        <is>
          <t>High</t>
        </is>
      </c>
      <c r="AD202" t="n">
        <v>1</v>
      </c>
      <c r="AE202" t="inlineStr">
        <is>
          <t>DG7004</t>
        </is>
      </c>
      <c r="AF202" t="n">
        <v>8</v>
      </c>
      <c r="AG202" t="inlineStr">
        <is>
          <t>drawing</t>
        </is>
      </c>
      <c r="AH202" t="inlineStr">
        <is>
          <t>stacked:isa</t>
        </is>
      </c>
      <c r="AI202" t="inlineStr">
        <is>
          <t>drawing zone; process page; mapped sheet; excel sheet match</t>
        </is>
      </c>
      <c r="AJ202" t="inlineStr">
        <is>
          <t>native</t>
        </is>
      </c>
      <c r="AK202" t="inlineStr">
        <is>
          <t>native-only</t>
        </is>
      </c>
      <c r="AM202" t="inlineStr">
        <is>
          <t>8</t>
        </is>
      </c>
      <c r="AN202" t="inlineStr">
        <is>
          <t>Yes</t>
        </is>
      </c>
      <c r="AO202" t="inlineStr">
        <is>
          <t>mapped sheet id</t>
        </is>
      </c>
      <c r="AP202" t="inlineStr">
        <is>
          <t>p8:native:92, p8:native:93</t>
        </is>
      </c>
      <c r="AQ202" t="n">
        <v>2</v>
      </c>
    </row>
    <row r="203">
      <c r="A203" s="203">
        <f>ROW()-1</f>
        <v/>
      </c>
      <c r="B203" s="128" t="inlineStr">
        <is>
          <t>RL7-CNV-106-ZSS-03</t>
        </is>
      </c>
      <c r="C203" s="314" t="inlineStr">
        <is>
          <t>RL7-CNV-106-ZSS-03</t>
        </is>
      </c>
      <c r="D203" s="262" t="inlineStr">
        <is>
          <t>PRS2406201</t>
        </is>
      </c>
      <c r="E203" s="128" t="inlineStr">
        <is>
          <t>JIC1B</t>
        </is>
      </c>
      <c r="F203" s="138" t="inlineStr">
        <is>
          <t>INCLINE PIVOT AUGER 2 HOPPER SANITATION GUARD SAFETY CH2</t>
        </is>
      </c>
      <c r="G203" s="131" t="inlineStr">
        <is>
          <t>DG7004</t>
        </is>
      </c>
      <c r="H203" s="128" t="inlineStr">
        <is>
          <t>PROC</t>
        </is>
      </c>
      <c r="I203" s="142" t="inlineStr">
        <is>
          <t>RL7-IPA2-RIO1</t>
        </is>
      </c>
      <c r="J203" s="133" t="n">
        <v>7</v>
      </c>
      <c r="K203" s="133" t="n">
        <v>3</v>
      </c>
      <c r="L203" s="133" t="n">
        <v>7</v>
      </c>
      <c r="M203" s="128" t="inlineStr">
        <is>
          <t>24 VDC SI</t>
        </is>
      </c>
      <c r="N203" s="128" t="inlineStr">
        <is>
          <t>5069-IB8S</t>
        </is>
      </c>
      <c r="O203" s="139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40" t="n"/>
      <c r="AA203" t="inlineStr">
        <is>
          <t>Matched</t>
        </is>
      </c>
      <c r="AB203" s="315" t="n">
        <v>0.99</v>
      </c>
      <c r="AC203" t="inlineStr">
        <is>
          <t>High</t>
        </is>
      </c>
      <c r="AD203" t="n">
        <v>1</v>
      </c>
      <c r="AE203" t="inlineStr">
        <is>
          <t>DG7004</t>
        </is>
      </c>
      <c r="AF203" t="n">
        <v>8</v>
      </c>
      <c r="AG203" t="inlineStr">
        <is>
          <t>drawing</t>
        </is>
      </c>
      <c r="AH203" t="inlineStr">
        <is>
          <t>stacked:isa</t>
        </is>
      </c>
      <c r="AI203" t="inlineStr">
        <is>
          <t>drawing zone; process page; mapped sheet; excel sheet match</t>
        </is>
      </c>
      <c r="AJ203" t="inlineStr">
        <is>
          <t>native</t>
        </is>
      </c>
      <c r="AK203" t="inlineStr">
        <is>
          <t>native-only</t>
        </is>
      </c>
      <c r="AM203" t="inlineStr">
        <is>
          <t>8</t>
        </is>
      </c>
      <c r="AN203" t="inlineStr">
        <is>
          <t>Yes</t>
        </is>
      </c>
      <c r="AO203" t="inlineStr">
        <is>
          <t>mapped sheet id</t>
        </is>
      </c>
      <c r="AP203" t="inlineStr">
        <is>
          <t>p8:native:92, p8:native:93</t>
        </is>
      </c>
      <c r="AQ203" t="n">
        <v>2</v>
      </c>
    </row>
    <row r="204">
      <c r="A204" s="203">
        <f>ROW()-1</f>
        <v/>
      </c>
      <c r="B204" s="128" t="inlineStr">
        <is>
          <t>RL7-CNV-106-ZSC-06</t>
        </is>
      </c>
      <c r="C204" s="313" t="inlineStr">
        <is>
          <t>RL7-CNV-106-ZSC-06</t>
        </is>
      </c>
      <c r="D204" s="278" t="n"/>
      <c r="E204" s="133" t="inlineStr">
        <is>
          <t>JIC1B</t>
        </is>
      </c>
      <c r="F204" s="141" t="inlineStr">
        <is>
          <t>INCLINE PIVOT AUGER 2 PUMP COVER ON</t>
        </is>
      </c>
      <c r="G204" s="131" t="inlineStr">
        <is>
          <t>DG7004</t>
        </is>
      </c>
      <c r="H204" s="128" t="inlineStr">
        <is>
          <t>PROC</t>
        </is>
      </c>
      <c r="I204" s="142" t="inlineStr">
        <is>
          <t>RL7-IPA2-RIO1</t>
        </is>
      </c>
      <c r="J204" s="133" t="n">
        <v>7</v>
      </c>
      <c r="K204" s="133" t="n">
        <v>6</v>
      </c>
      <c r="L204" s="133" t="n">
        <v>0</v>
      </c>
      <c r="M204" s="128" t="inlineStr">
        <is>
          <t>24 VDC DI</t>
        </is>
      </c>
      <c r="N204" s="128" t="inlineStr">
        <is>
          <t>5069-IB16</t>
        </is>
      </c>
      <c r="O204" s="139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40" t="n"/>
      <c r="AA204" t="inlineStr">
        <is>
          <t>Matched</t>
        </is>
      </c>
      <c r="AB204" s="315" t="n">
        <v>0.7600000000000001</v>
      </c>
      <c r="AC204" t="inlineStr">
        <is>
          <t>Medium</t>
        </is>
      </c>
      <c r="AD204" t="n">
        <v>1</v>
      </c>
      <c r="AE204" t="inlineStr">
        <is>
          <t>DG7004</t>
        </is>
      </c>
      <c r="AF204" t="n">
        <v>8</v>
      </c>
      <c r="AG204" t="inlineStr">
        <is>
          <t>title-block/bottom</t>
        </is>
      </c>
      <c r="AH204" t="inlineStr">
        <is>
          <t>stacked:isa</t>
        </is>
      </c>
      <c r="AI204" t="inlineStr">
        <is>
          <t>title-block penalty; process page; mapped sheet; excel sheet match</t>
        </is>
      </c>
      <c r="AJ204" t="inlineStr">
        <is>
          <t>native</t>
        </is>
      </c>
      <c r="AK204" t="inlineStr">
        <is>
          <t>native-only</t>
        </is>
      </c>
      <c r="AM204" t="inlineStr">
        <is>
          <t>8</t>
        </is>
      </c>
      <c r="AN204" t="inlineStr">
        <is>
          <t>Yes</t>
        </is>
      </c>
      <c r="AO204" t="inlineStr">
        <is>
          <t>mapped sheet id</t>
        </is>
      </c>
      <c r="AP204" t="inlineStr">
        <is>
          <t>p8:native:81, p8:native:82</t>
        </is>
      </c>
      <c r="AQ204" t="n">
        <v>2</v>
      </c>
    </row>
    <row r="205">
      <c r="A205" s="203">
        <f>ROW()-1</f>
        <v/>
      </c>
      <c r="B205" s="128" t="inlineStr">
        <is>
          <t>RL7-CNV-106-ZSC-03</t>
        </is>
      </c>
      <c r="C205" s="314" t="inlineStr">
        <is>
          <t>RL7-CNV-106-ZSC-03</t>
        </is>
      </c>
      <c r="D205" s="262" t="inlineStr">
        <is>
          <t>PRS247231</t>
        </is>
      </c>
      <c r="E205" s="128" t="inlineStr">
        <is>
          <t>JIC1B</t>
        </is>
      </c>
      <c r="F205" s="138" t="inlineStr">
        <is>
          <t>INCLINE PIVOT AUGER 2 IN SANITATION POSITION</t>
        </is>
      </c>
      <c r="G205" s="131" t="inlineStr">
        <is>
          <t>DG7004</t>
        </is>
      </c>
      <c r="H205" s="128" t="inlineStr">
        <is>
          <t>PROC</t>
        </is>
      </c>
      <c r="I205" s="142" t="inlineStr">
        <is>
          <t>RL7-IPA2-RIO1</t>
        </is>
      </c>
      <c r="J205" s="133" t="n">
        <v>7</v>
      </c>
      <c r="K205" s="133" t="n">
        <v>6</v>
      </c>
      <c r="L205" s="133" t="n">
        <v>1</v>
      </c>
      <c r="M205" s="128" t="inlineStr">
        <is>
          <t>24 VDC DI</t>
        </is>
      </c>
      <c r="N205" s="128" t="inlineStr">
        <is>
          <t>5069-IB16</t>
        </is>
      </c>
      <c r="O205" s="139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40" t="n"/>
      <c r="AA205" t="inlineStr">
        <is>
          <t>Matched</t>
        </is>
      </c>
      <c r="AB205" s="315" t="n">
        <v>0.99</v>
      </c>
      <c r="AC205" t="inlineStr">
        <is>
          <t>High</t>
        </is>
      </c>
      <c r="AD205" t="n">
        <v>1</v>
      </c>
      <c r="AE205" t="inlineStr">
        <is>
          <t>DG7004</t>
        </is>
      </c>
      <c r="AF205" t="n">
        <v>8</v>
      </c>
      <c r="AG205" t="inlineStr">
        <is>
          <t>drawing</t>
        </is>
      </c>
      <c r="AH205" t="inlineStr">
        <is>
          <t>stacked:isa</t>
        </is>
      </c>
      <c r="AI205" t="inlineStr">
        <is>
          <t>drawing zone; process page; mapped sheet; excel sheet match</t>
        </is>
      </c>
      <c r="AJ205" t="inlineStr">
        <is>
          <t>native</t>
        </is>
      </c>
      <c r="AK205" t="inlineStr">
        <is>
          <t>native-only</t>
        </is>
      </c>
      <c r="AM205" t="inlineStr">
        <is>
          <t>8</t>
        </is>
      </c>
      <c r="AN205" t="inlineStr">
        <is>
          <t>Yes</t>
        </is>
      </c>
      <c r="AO205" t="inlineStr">
        <is>
          <t>mapped sheet id</t>
        </is>
      </c>
      <c r="AP205" t="inlineStr">
        <is>
          <t>p8:native:72, p8:native:73</t>
        </is>
      </c>
      <c r="AQ205" t="n">
        <v>2</v>
      </c>
    </row>
    <row r="206">
      <c r="A206" s="203">
        <f>ROW()-1</f>
        <v/>
      </c>
      <c r="B206" s="128" t="inlineStr">
        <is>
          <t>RL7-CNV-106-ZSC-05</t>
        </is>
      </c>
      <c r="C206" s="314" t="inlineStr">
        <is>
          <t>RL7-CNV-106-ZSC-05</t>
        </is>
      </c>
      <c r="D206" s="262" t="inlineStr">
        <is>
          <t>PRS247251</t>
        </is>
      </c>
      <c r="E206" s="128" t="inlineStr">
        <is>
          <t>JIC1B</t>
        </is>
      </c>
      <c r="F206" s="141" t="inlineStr">
        <is>
          <t>INCLINE PIVOT AUGER 2 IN DOWN POSITION</t>
        </is>
      </c>
      <c r="G206" s="131" t="inlineStr">
        <is>
          <t>DG7004</t>
        </is>
      </c>
      <c r="H206" s="128" t="inlineStr">
        <is>
          <t>PROC</t>
        </is>
      </c>
      <c r="I206" s="142" t="inlineStr">
        <is>
          <t>RL7-IPA2-RIO1</t>
        </is>
      </c>
      <c r="J206" s="133" t="n">
        <v>7</v>
      </c>
      <c r="K206" s="133" t="n">
        <v>6</v>
      </c>
      <c r="L206" s="133" t="n">
        <v>2</v>
      </c>
      <c r="M206" s="128" t="inlineStr">
        <is>
          <t>24 VDC DI</t>
        </is>
      </c>
      <c r="N206" s="128" t="inlineStr">
        <is>
          <t>5069-IB16</t>
        </is>
      </c>
      <c r="O206" s="139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40" t="n"/>
      <c r="AA206" t="inlineStr">
        <is>
          <t>Matched</t>
        </is>
      </c>
      <c r="AB206" s="315" t="n">
        <v>0.99</v>
      </c>
      <c r="AC206" t="inlineStr">
        <is>
          <t>High</t>
        </is>
      </c>
      <c r="AD206" t="n">
        <v>1</v>
      </c>
      <c r="AE206" t="inlineStr">
        <is>
          <t>DG7004</t>
        </is>
      </c>
      <c r="AF206" t="n">
        <v>8</v>
      </c>
      <c r="AG206" t="inlineStr">
        <is>
          <t>drawing</t>
        </is>
      </c>
      <c r="AH206" t="inlineStr">
        <is>
          <t>stacked:isa</t>
        </is>
      </c>
      <c r="AI206" t="inlineStr">
        <is>
          <t>drawing zone; process page; mapped sheet; excel sheet match</t>
        </is>
      </c>
      <c r="AJ206" t="inlineStr">
        <is>
          <t>native</t>
        </is>
      </c>
      <c r="AK206" t="inlineStr">
        <is>
          <t>native-only</t>
        </is>
      </c>
      <c r="AM206" t="inlineStr">
        <is>
          <t>8</t>
        </is>
      </c>
      <c r="AN206" t="inlineStr">
        <is>
          <t>Yes</t>
        </is>
      </c>
      <c r="AO206" t="inlineStr">
        <is>
          <t>mapped sheet id</t>
        </is>
      </c>
      <c r="AP206" t="inlineStr">
        <is>
          <t>p8:native:89, p8:native:90</t>
        </is>
      </c>
      <c r="AQ206" t="n">
        <v>2</v>
      </c>
    </row>
    <row r="207">
      <c r="A207" s="203">
        <f>ROW()-1</f>
        <v/>
      </c>
      <c r="B207" s="128" t="inlineStr">
        <is>
          <t>RL7-CNV-106-ZSC-04</t>
        </is>
      </c>
      <c r="C207" s="314" t="inlineStr">
        <is>
          <t>RL7-CNV-106-ZSC-04</t>
        </is>
      </c>
      <c r="D207" s="262" t="inlineStr">
        <is>
          <t>PRS2407211</t>
        </is>
      </c>
      <c r="E207" s="128" t="inlineStr">
        <is>
          <t>JIC1B</t>
        </is>
      </c>
      <c r="F207" s="144" t="inlineStr">
        <is>
          <t>INCLINE PIVOT AUGER 2 AT PRE-MIXER POSITION</t>
        </is>
      </c>
      <c r="G207" s="131" t="inlineStr">
        <is>
          <t>DG7004</t>
        </is>
      </c>
      <c r="H207" s="128" t="inlineStr">
        <is>
          <t>PROC</t>
        </is>
      </c>
      <c r="I207" s="142" t="inlineStr">
        <is>
          <t>RL7-IPA2-RIO1</t>
        </is>
      </c>
      <c r="J207" s="133" t="n">
        <v>7</v>
      </c>
      <c r="K207" s="133" t="n">
        <v>6</v>
      </c>
      <c r="L207" s="133" t="n">
        <v>3</v>
      </c>
      <c r="M207" s="128" t="inlineStr">
        <is>
          <t>24 VDC DI</t>
        </is>
      </c>
      <c r="N207" s="128" t="inlineStr">
        <is>
          <t>5069-IB16</t>
        </is>
      </c>
      <c r="O207" s="139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40" t="n"/>
      <c r="AA207" t="inlineStr">
        <is>
          <t>Matched</t>
        </is>
      </c>
      <c r="AB207" s="315" t="n">
        <v>0.99</v>
      </c>
      <c r="AC207" t="inlineStr">
        <is>
          <t>High</t>
        </is>
      </c>
      <c r="AD207" t="n">
        <v>1</v>
      </c>
      <c r="AE207" t="inlineStr">
        <is>
          <t>DG7004</t>
        </is>
      </c>
      <c r="AF207" t="n">
        <v>8</v>
      </c>
      <c r="AG207" t="inlineStr">
        <is>
          <t>drawing</t>
        </is>
      </c>
      <c r="AH207" t="inlineStr">
        <is>
          <t>stacked:isa</t>
        </is>
      </c>
      <c r="AI207" t="inlineStr">
        <is>
          <t>drawing zone; process page; mapped sheet; excel sheet match</t>
        </is>
      </c>
      <c r="AJ207" t="inlineStr">
        <is>
          <t>native</t>
        </is>
      </c>
      <c r="AK207" t="inlineStr">
        <is>
          <t>native-only</t>
        </is>
      </c>
      <c r="AM207" t="inlineStr">
        <is>
          <t>8</t>
        </is>
      </c>
      <c r="AN207" t="inlineStr">
        <is>
          <t>Yes</t>
        </is>
      </c>
      <c r="AO207" t="inlineStr">
        <is>
          <t>mapped sheet id</t>
        </is>
      </c>
      <c r="AP207" t="inlineStr">
        <is>
          <t>p8:native:74, p8:native:75</t>
        </is>
      </c>
      <c r="AQ207" t="n">
        <v>2</v>
      </c>
    </row>
    <row r="208">
      <c r="A208" s="203">
        <f>ROW()-1</f>
        <v/>
      </c>
      <c r="B208" s="128" t="inlineStr">
        <is>
          <t>RL7-CNV-106-ZSC-01</t>
        </is>
      </c>
      <c r="C208" s="314" t="inlineStr">
        <is>
          <t>RL7-CNV-106-ZSC-01</t>
        </is>
      </c>
      <c r="D208" s="262" t="inlineStr">
        <is>
          <t>PRS2407191</t>
        </is>
      </c>
      <c r="E208" s="128" t="inlineStr">
        <is>
          <t>JIC1B</t>
        </is>
      </c>
      <c r="F208" s="138" t="inlineStr">
        <is>
          <t>INCLINE PIVOT AUGER 2 IN UP POSITION</t>
        </is>
      </c>
      <c r="G208" s="131" t="inlineStr">
        <is>
          <t>DG7004</t>
        </is>
      </c>
      <c r="H208" s="128" t="inlineStr">
        <is>
          <t>PROC</t>
        </is>
      </c>
      <c r="I208" s="142" t="inlineStr">
        <is>
          <t>RL7-IPA2-RIO1</t>
        </is>
      </c>
      <c r="J208" s="133" t="n">
        <v>7</v>
      </c>
      <c r="K208" s="133" t="n">
        <v>6</v>
      </c>
      <c r="L208" s="128" t="n">
        <v>4</v>
      </c>
      <c r="M208" s="128" t="inlineStr">
        <is>
          <t>24 VDC DI</t>
        </is>
      </c>
      <c r="N208" s="128" t="inlineStr">
        <is>
          <t>5069-IB16</t>
        </is>
      </c>
      <c r="O208" s="139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40" t="n"/>
      <c r="AA208" t="inlineStr">
        <is>
          <t>Matched</t>
        </is>
      </c>
      <c r="AB208" s="315" t="n">
        <v>0.99</v>
      </c>
      <c r="AC208" t="inlineStr">
        <is>
          <t>High</t>
        </is>
      </c>
      <c r="AD208" t="n">
        <v>1</v>
      </c>
      <c r="AE208" t="inlineStr">
        <is>
          <t>DG7004</t>
        </is>
      </c>
      <c r="AF208" t="n">
        <v>8</v>
      </c>
      <c r="AG208" t="inlineStr">
        <is>
          <t>drawing</t>
        </is>
      </c>
      <c r="AH208" t="inlineStr">
        <is>
          <t>stacked:isa</t>
        </is>
      </c>
      <c r="AI208" t="inlineStr">
        <is>
          <t>drawing zone; process page; mapped sheet; excel sheet match</t>
        </is>
      </c>
      <c r="AJ208" t="inlineStr">
        <is>
          <t>native</t>
        </is>
      </c>
      <c r="AK208" t="inlineStr">
        <is>
          <t>native-only</t>
        </is>
      </c>
      <c r="AM208" t="inlineStr">
        <is>
          <t>8</t>
        </is>
      </c>
      <c r="AN208" t="inlineStr">
        <is>
          <t>Yes</t>
        </is>
      </c>
      <c r="AO208" t="inlineStr">
        <is>
          <t>mapped sheet id</t>
        </is>
      </c>
      <c r="AP208" t="inlineStr">
        <is>
          <t>p8:native:79, p8:native:80</t>
        </is>
      </c>
      <c r="AQ208" t="n">
        <v>2</v>
      </c>
    </row>
    <row r="209">
      <c r="A209" s="203">
        <f>ROW()-1</f>
        <v/>
      </c>
      <c r="B209" s="128" t="inlineStr">
        <is>
          <t>RL7-CNV-106-ZSC-02</t>
        </is>
      </c>
      <c r="C209" s="314" t="inlineStr">
        <is>
          <t>RL7-CNV-106-ZSC-02</t>
        </is>
      </c>
      <c r="D209" s="262" t="inlineStr">
        <is>
          <t>PRS2407151</t>
        </is>
      </c>
      <c r="E209" s="128" t="inlineStr">
        <is>
          <t>JIC1B</t>
        </is>
      </c>
      <c r="F209" s="144" t="inlineStr">
        <is>
          <t>INCLINE PIVOT AUGER 2 AT GRINDER POSITION</t>
        </is>
      </c>
      <c r="G209" s="131" t="inlineStr">
        <is>
          <t>DG7004</t>
        </is>
      </c>
      <c r="H209" s="128" t="inlineStr">
        <is>
          <t>PROC</t>
        </is>
      </c>
      <c r="I209" s="142" t="inlineStr">
        <is>
          <t>RL7-IPA2-RIO1</t>
        </is>
      </c>
      <c r="J209" s="133" t="n">
        <v>7</v>
      </c>
      <c r="K209" s="133" t="n">
        <v>6</v>
      </c>
      <c r="L209" s="128" t="n">
        <v>5</v>
      </c>
      <c r="M209" s="128" t="inlineStr">
        <is>
          <t>24 VDC DI</t>
        </is>
      </c>
      <c r="N209" s="128" t="inlineStr">
        <is>
          <t>5069-IB16</t>
        </is>
      </c>
      <c r="O209" s="139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40" t="inlineStr">
        <is>
          <t>NOT IN PH2 DWGS?</t>
        </is>
      </c>
      <c r="AA209" t="inlineStr">
        <is>
          <t>Matched</t>
        </is>
      </c>
      <c r="AB209" s="315" t="n">
        <v>0.99</v>
      </c>
      <c r="AC209" t="inlineStr">
        <is>
          <t>High</t>
        </is>
      </c>
      <c r="AD209" t="n">
        <v>1</v>
      </c>
      <c r="AE209" t="inlineStr">
        <is>
          <t>DG7004</t>
        </is>
      </c>
      <c r="AF209" t="n">
        <v>8</v>
      </c>
      <c r="AG209" t="inlineStr">
        <is>
          <t>drawing</t>
        </is>
      </c>
      <c r="AH209" t="inlineStr">
        <is>
          <t>stacked:isa</t>
        </is>
      </c>
      <c r="AI209" t="inlineStr">
        <is>
          <t>drawing zone; process page; mapped sheet; excel sheet match</t>
        </is>
      </c>
      <c r="AJ209" t="inlineStr">
        <is>
          <t>native</t>
        </is>
      </c>
      <c r="AK209" t="inlineStr">
        <is>
          <t>native-only</t>
        </is>
      </c>
      <c r="AM209" t="inlineStr">
        <is>
          <t>8</t>
        </is>
      </c>
      <c r="AN209" t="inlineStr">
        <is>
          <t>Yes</t>
        </is>
      </c>
      <c r="AO209" t="inlineStr">
        <is>
          <t>mapped sheet id</t>
        </is>
      </c>
      <c r="AP209" t="inlineStr">
        <is>
          <t>p8:native:70, p8:native:71</t>
        </is>
      </c>
      <c r="AQ209" t="n">
        <v>2</v>
      </c>
    </row>
    <row r="210">
      <c r="A210" s="203">
        <f>ROW()-1</f>
        <v/>
      </c>
      <c r="B210" s="128" t="inlineStr">
        <is>
          <t>RL7-GRR-101-LSL-01</t>
        </is>
      </c>
      <c r="C210" s="313" t="inlineStr">
        <is>
          <t>RL7-GRR-101-LSL-01</t>
        </is>
      </c>
      <c r="D210" s="262" t="n"/>
      <c r="E210" s="128" t="n"/>
      <c r="F210" s="138" t="inlineStr">
        <is>
          <t>GRINDER LEVEL SWITCH LOW</t>
        </is>
      </c>
      <c r="G210" s="129" t="inlineStr">
        <is>
          <t>DG7004</t>
        </is>
      </c>
      <c r="H210" s="128" t="inlineStr">
        <is>
          <t>PROC</t>
        </is>
      </c>
      <c r="I210" s="142" t="inlineStr">
        <is>
          <t>RL7-IPA2-RIO1</t>
        </is>
      </c>
      <c r="J210" s="133" t="n">
        <v>7</v>
      </c>
      <c r="K210" s="133" t="n">
        <v>6</v>
      </c>
      <c r="L210" s="128" t="n">
        <v>6</v>
      </c>
      <c r="M210" s="128" t="inlineStr">
        <is>
          <t>24 VDC DI</t>
        </is>
      </c>
      <c r="N210" s="128" t="inlineStr">
        <is>
          <t>5069-IB16</t>
        </is>
      </c>
      <c r="O210" s="139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40" t="n"/>
      <c r="AA210" t="inlineStr">
        <is>
          <t>Not found in PDF</t>
        </is>
      </c>
      <c r="AC210" t="inlineStr">
        <is>
          <t>Low</t>
        </is>
      </c>
      <c r="AM210" t="inlineStr">
        <is>
          <t>8</t>
        </is>
      </c>
      <c r="AN210" t="inlineStr">
        <is>
          <t>Yes</t>
        </is>
      </c>
      <c r="AO210" t="inlineStr">
        <is>
          <t>mapped sheet id</t>
        </is>
      </c>
    </row>
    <row r="211">
      <c r="A211" s="203">
        <f>ROW()-1</f>
        <v/>
      </c>
      <c r="B211" s="128" t="inlineStr">
        <is>
          <t>RL7-GRR-101-LSH-01</t>
        </is>
      </c>
      <c r="C211" s="313" t="inlineStr">
        <is>
          <t>RL7-GRR-101-LSH-01</t>
        </is>
      </c>
      <c r="D211" s="262" t="n"/>
      <c r="E211" s="128" t="n"/>
      <c r="F211" s="138" t="inlineStr">
        <is>
          <t>GRINDER LEVEL SWITCH HIGH</t>
        </is>
      </c>
      <c r="G211" s="129" t="inlineStr">
        <is>
          <t>DG7004</t>
        </is>
      </c>
      <c r="H211" s="128" t="inlineStr">
        <is>
          <t>PROC</t>
        </is>
      </c>
      <c r="I211" s="142" t="inlineStr">
        <is>
          <t>RL7-IPA2-RIO1</t>
        </is>
      </c>
      <c r="J211" s="133" t="n">
        <v>7</v>
      </c>
      <c r="K211" s="133" t="n">
        <v>6</v>
      </c>
      <c r="L211" s="128" t="n">
        <v>7</v>
      </c>
      <c r="M211" s="128" t="inlineStr">
        <is>
          <t>24 VDC DI</t>
        </is>
      </c>
      <c r="N211" s="128" t="inlineStr">
        <is>
          <t>5069-IB16</t>
        </is>
      </c>
      <c r="O211" s="139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40" t="n"/>
      <c r="AA211" t="inlineStr">
        <is>
          <t>Not found in PDF</t>
        </is>
      </c>
      <c r="AC211" t="inlineStr">
        <is>
          <t>Low</t>
        </is>
      </c>
      <c r="AM211" t="inlineStr">
        <is>
          <t>8</t>
        </is>
      </c>
      <c r="AN211" t="inlineStr">
        <is>
          <t>Yes</t>
        </is>
      </c>
      <c r="AO211" t="inlineStr">
        <is>
          <t>mapped sheet id</t>
        </is>
      </c>
    </row>
    <row r="212">
      <c r="A212" s="203">
        <f>ROW()-1</f>
        <v/>
      </c>
      <c r="B212" s="128" t="inlineStr">
        <is>
          <t>RL7-CNV-106-XY-101</t>
        </is>
      </c>
      <c r="C212" s="314" t="inlineStr">
        <is>
          <t>RL7-CNV-106-XY-101</t>
        </is>
      </c>
      <c r="D212" s="262" t="inlineStr">
        <is>
          <t>SOL2407121</t>
        </is>
      </c>
      <c r="E212" s="128" t="inlineStr">
        <is>
          <t>JIC1B</t>
        </is>
      </c>
      <c r="F212" s="138" t="inlineStr">
        <is>
          <t xml:space="preserve">INCLINE PIVOT AUGER 2 RAISE SOLENOID </t>
        </is>
      </c>
      <c r="G212" s="131" t="inlineStr">
        <is>
          <t>DG7004</t>
        </is>
      </c>
      <c r="H212" s="128" t="inlineStr">
        <is>
          <t>PROC</t>
        </is>
      </c>
      <c r="I212" s="142" t="inlineStr">
        <is>
          <t>RL7-IPA2-RIO1</t>
        </is>
      </c>
      <c r="J212" s="133" t="n">
        <v>7</v>
      </c>
      <c r="K212" s="129" t="n">
        <v>7</v>
      </c>
      <c r="L212" s="129" t="n">
        <v>2</v>
      </c>
      <c r="M212" s="129" t="inlineStr">
        <is>
          <t>24 VDC DO</t>
        </is>
      </c>
      <c r="N212" s="129" t="inlineStr">
        <is>
          <t>5069-OB16</t>
        </is>
      </c>
      <c r="O212" s="139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40" t="n"/>
      <c r="AA212" t="inlineStr">
        <is>
          <t>Matched</t>
        </is>
      </c>
      <c r="AB212" s="315" t="n">
        <v>0.99</v>
      </c>
      <c r="AC212" t="inlineStr">
        <is>
          <t>High</t>
        </is>
      </c>
      <c r="AD212" t="n">
        <v>1</v>
      </c>
      <c r="AE212" t="inlineStr">
        <is>
          <t>DG7004</t>
        </is>
      </c>
      <c r="AF212" t="n">
        <v>8</v>
      </c>
      <c r="AG212" t="inlineStr">
        <is>
          <t>drawing</t>
        </is>
      </c>
      <c r="AH212" t="inlineStr">
        <is>
          <t>stacked:isa</t>
        </is>
      </c>
      <c r="AI212" t="inlineStr">
        <is>
          <t>drawing zone; process page; mapped sheet; excel sheet match</t>
        </is>
      </c>
      <c r="AJ212" t="inlineStr">
        <is>
          <t>native</t>
        </is>
      </c>
      <c r="AK212" t="inlineStr">
        <is>
          <t>native-only</t>
        </is>
      </c>
      <c r="AM212" t="inlineStr">
        <is>
          <t>8</t>
        </is>
      </c>
      <c r="AN212" t="inlineStr">
        <is>
          <t>Yes</t>
        </is>
      </c>
      <c r="AO212" t="inlineStr">
        <is>
          <t>mapped sheet id</t>
        </is>
      </c>
      <c r="AP212" t="inlineStr">
        <is>
          <t>p8:native:103, p8:native:104</t>
        </is>
      </c>
      <c r="AQ212" t="n">
        <v>2</v>
      </c>
    </row>
    <row r="213">
      <c r="A213" s="203">
        <f>ROW()-1</f>
        <v/>
      </c>
      <c r="B213" s="128" t="inlineStr">
        <is>
          <t>RL7-CNV-106-XY-102</t>
        </is>
      </c>
      <c r="C213" s="314" t="inlineStr">
        <is>
          <t>RL7-CNV-106-XY-102</t>
        </is>
      </c>
      <c r="D213" s="262" t="inlineStr">
        <is>
          <t>SOL2407141</t>
        </is>
      </c>
      <c r="E213" s="128" t="inlineStr">
        <is>
          <t>JIC1B</t>
        </is>
      </c>
      <c r="F213" s="138" t="inlineStr">
        <is>
          <t xml:space="preserve">INCLINE PIVOT AUGER 2 LOWER SOLENOID </t>
        </is>
      </c>
      <c r="G213" s="131" t="inlineStr">
        <is>
          <t>DG7004</t>
        </is>
      </c>
      <c r="H213" s="128" t="inlineStr">
        <is>
          <t>PROC</t>
        </is>
      </c>
      <c r="I213" s="142" t="inlineStr">
        <is>
          <t>RL7-IPA2-RIO1</t>
        </is>
      </c>
      <c r="J213" s="133" t="n">
        <v>7</v>
      </c>
      <c r="K213" s="129" t="n">
        <v>7</v>
      </c>
      <c r="L213" s="129" t="n">
        <v>3</v>
      </c>
      <c r="M213" s="129" t="inlineStr">
        <is>
          <t>24 VDC DO</t>
        </is>
      </c>
      <c r="N213" s="129" t="inlineStr">
        <is>
          <t>5069-OB16</t>
        </is>
      </c>
      <c r="O213" s="139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40" t="n"/>
      <c r="AA213" t="inlineStr">
        <is>
          <t>Matched</t>
        </is>
      </c>
      <c r="AB213" s="315" t="n">
        <v>0.99</v>
      </c>
      <c r="AC213" t="inlineStr">
        <is>
          <t>High</t>
        </is>
      </c>
      <c r="AD213" t="n">
        <v>1</v>
      </c>
      <c r="AE213" t="inlineStr">
        <is>
          <t>DG7004</t>
        </is>
      </c>
      <c r="AF213" t="n">
        <v>8</v>
      </c>
      <c r="AG213" t="inlineStr">
        <is>
          <t>drawing</t>
        </is>
      </c>
      <c r="AH213" t="inlineStr">
        <is>
          <t>stacked:isa</t>
        </is>
      </c>
      <c r="AI213" t="inlineStr">
        <is>
          <t>drawing zone; process page; mapped sheet; excel sheet match</t>
        </is>
      </c>
      <c r="AJ213" t="inlineStr">
        <is>
          <t>native</t>
        </is>
      </c>
      <c r="AK213" t="inlineStr">
        <is>
          <t>native-only</t>
        </is>
      </c>
      <c r="AM213" t="inlineStr">
        <is>
          <t>8</t>
        </is>
      </c>
      <c r="AN213" t="inlineStr">
        <is>
          <t>Yes</t>
        </is>
      </c>
      <c r="AO213" t="inlineStr">
        <is>
          <t>mapped sheet id</t>
        </is>
      </c>
      <c r="AP213" t="inlineStr">
        <is>
          <t>p8:native:105, p8:native:106</t>
        </is>
      </c>
      <c r="AQ213" t="n">
        <v>2</v>
      </c>
    </row>
    <row r="214">
      <c r="A214" s="203">
        <f>ROW()-1</f>
        <v/>
      </c>
      <c r="B214" s="133" t="n"/>
      <c r="C214" s="314" t="inlineStr">
        <is>
          <t>RL7-CNV-106-XY-08</t>
        </is>
      </c>
      <c r="D214" s="264" t="n"/>
      <c r="E214" s="133" t="n"/>
      <c r="F214" s="141" t="inlineStr">
        <is>
          <t>INCLINE PIVOT AUGER 2 SANITATION VALVE OPEN SOLENOID</t>
        </is>
      </c>
      <c r="G214" s="142" t="inlineStr">
        <is>
          <t>DG7004</t>
        </is>
      </c>
      <c r="H214" s="133" t="inlineStr">
        <is>
          <t>PROC</t>
        </is>
      </c>
      <c r="I214" s="142" t="inlineStr">
        <is>
          <t>RL7-IPA2-RIO1</t>
        </is>
      </c>
      <c r="J214" s="133" t="n">
        <v>7</v>
      </c>
      <c r="K214" s="129" t="n">
        <v>7</v>
      </c>
      <c r="L214" s="129" t="n">
        <v>4</v>
      </c>
      <c r="M214" s="129" t="inlineStr">
        <is>
          <t>24 VDC DO</t>
        </is>
      </c>
      <c r="N214" s="129" t="inlineStr">
        <is>
          <t>5069-OB16</t>
        </is>
      </c>
      <c r="O214" s="146" t="n"/>
      <c r="P214" s="146" t="n"/>
      <c r="Q214" s="146" t="n"/>
      <c r="R214" s="146" t="n"/>
      <c r="S214" s="146" t="n"/>
      <c r="T214" s="146" t="n"/>
      <c r="U214" s="146" t="n"/>
      <c r="V214" s="146" t="n"/>
      <c r="W214" s="146" t="n"/>
      <c r="X214" s="146" t="n"/>
      <c r="Y214" s="146" t="n"/>
      <c r="Z214" s="143" t="n"/>
      <c r="AA214" t="inlineStr">
        <is>
          <t>Matched</t>
        </is>
      </c>
      <c r="AB214" s="315" t="n">
        <v>0.99</v>
      </c>
      <c r="AC214" t="inlineStr">
        <is>
          <t>High</t>
        </is>
      </c>
      <c r="AD214" t="n">
        <v>1</v>
      </c>
      <c r="AE214" t="inlineStr">
        <is>
          <t>DG7004</t>
        </is>
      </c>
      <c r="AF214" t="n">
        <v>8</v>
      </c>
      <c r="AG214" t="inlineStr">
        <is>
          <t>drawing</t>
        </is>
      </c>
      <c r="AH214" t="inlineStr">
        <is>
          <t>stacked:isa</t>
        </is>
      </c>
      <c r="AI214" t="inlineStr">
        <is>
          <t>drawing zone; process page; mapped sheet; excel sheet match</t>
        </is>
      </c>
      <c r="AJ214" t="inlineStr">
        <is>
          <t>native</t>
        </is>
      </c>
      <c r="AK214" t="inlineStr">
        <is>
          <t>native-only</t>
        </is>
      </c>
      <c r="AM214" t="inlineStr">
        <is>
          <t>8</t>
        </is>
      </c>
      <c r="AN214" t="inlineStr">
        <is>
          <t>Yes</t>
        </is>
      </c>
      <c r="AO214" t="inlineStr">
        <is>
          <t>mapped sheet id</t>
        </is>
      </c>
      <c r="AP214" t="inlineStr">
        <is>
          <t>p8:native:30, p8:native:31</t>
        </is>
      </c>
      <c r="AQ214" t="n">
        <v>2</v>
      </c>
    </row>
    <row r="215">
      <c r="A215" s="203">
        <f>ROW()-1</f>
        <v/>
      </c>
      <c r="B215" s="128" t="n"/>
      <c r="C215" s="313" t="inlineStr">
        <is>
          <t>RL7-GRR-101.M1</t>
        </is>
      </c>
      <c r="D215" s="264" t="n"/>
      <c r="E215" s="133" t="n"/>
      <c r="F215" s="141" t="inlineStr">
        <is>
          <t>GRINDER MOTOR ENABLE</t>
        </is>
      </c>
      <c r="G215" s="142" t="inlineStr">
        <is>
          <t>DG7004</t>
        </is>
      </c>
      <c r="H215" s="133" t="inlineStr">
        <is>
          <t>MCC</t>
        </is>
      </c>
      <c r="I215" s="131" t="inlineStr">
        <is>
          <t>RL7-INTSL-RIO1</t>
        </is>
      </c>
      <c r="J215" s="133" t="n">
        <v>18</v>
      </c>
      <c r="K215" s="129" t="n">
        <v>14</v>
      </c>
      <c r="L215" s="129" t="n">
        <v>4</v>
      </c>
      <c r="M215" s="129" t="inlineStr">
        <is>
          <t>24 VDC DO</t>
        </is>
      </c>
      <c r="N215" s="129" t="inlineStr">
        <is>
          <t>5069-OB16</t>
        </is>
      </c>
      <c r="O215" s="146" t="n"/>
      <c r="P215" s="146" t="n"/>
      <c r="Q215" s="146" t="n"/>
      <c r="R215" s="146" t="n"/>
      <c r="S215" s="146" t="n"/>
      <c r="T215" s="146" t="n"/>
      <c r="U215" s="146" t="n"/>
      <c r="V215" s="146" t="n"/>
      <c r="W215" s="146" t="n"/>
      <c r="X215" s="146" t="n"/>
      <c r="Y215" s="146" t="n"/>
      <c r="Z215" s="143" t="n"/>
      <c r="AA215" t="inlineStr">
        <is>
          <t>Skipped - unrecognized tag</t>
        </is>
      </c>
      <c r="AC215" t="inlineStr">
        <is>
          <t>Low</t>
        </is>
      </c>
      <c r="AM215" t="inlineStr">
        <is>
          <t>8</t>
        </is>
      </c>
      <c r="AN215" t="inlineStr">
        <is>
          <t>Yes</t>
        </is>
      </c>
      <c r="AO215" t="inlineStr">
        <is>
          <t>unrecognized tag</t>
        </is>
      </c>
    </row>
    <row r="216">
      <c r="A216" s="203">
        <f>ROW()-1</f>
        <v/>
      </c>
      <c r="B216" s="128" t="n"/>
      <c r="C216" s="313" t="inlineStr">
        <is>
          <t>RL7-CNV-106.M2</t>
        </is>
      </c>
      <c r="D216" s="264" t="n"/>
      <c r="E216" s="133" t="n"/>
      <c r="F216" s="141" t="inlineStr">
        <is>
          <t>INCLINE PIVOT AUGER 2 HYDRAULIC PUMP ENABLE</t>
        </is>
      </c>
      <c r="G216" s="142" t="inlineStr">
        <is>
          <t>DG7004</t>
        </is>
      </c>
      <c r="H216" s="133" t="inlineStr">
        <is>
          <t>MCC</t>
        </is>
      </c>
      <c r="I216" s="131" t="inlineStr">
        <is>
          <t>RL7-INTSL-RIO1</t>
        </is>
      </c>
      <c r="J216" s="133" t="n">
        <v>18</v>
      </c>
      <c r="K216" s="129" t="n">
        <v>14</v>
      </c>
      <c r="L216" s="129" t="n">
        <v>6</v>
      </c>
      <c r="M216" s="129" t="inlineStr">
        <is>
          <t>24 VDC DO</t>
        </is>
      </c>
      <c r="N216" s="129" t="inlineStr">
        <is>
          <t>5069-OB16</t>
        </is>
      </c>
      <c r="O216" s="146" t="n"/>
      <c r="P216" s="146" t="n"/>
      <c r="Q216" s="146" t="n"/>
      <c r="R216" s="146" t="n"/>
      <c r="S216" s="146" t="n"/>
      <c r="T216" s="146" t="n"/>
      <c r="U216" s="146" t="n"/>
      <c r="V216" s="146" t="n"/>
      <c r="W216" s="146" t="n"/>
      <c r="X216" s="146" t="n"/>
      <c r="Y216" s="146" t="n"/>
      <c r="Z216" s="143" t="n"/>
      <c r="AA216" t="inlineStr">
        <is>
          <t>Skipped - unrecognized tag</t>
        </is>
      </c>
      <c r="AC216" t="inlineStr">
        <is>
          <t>Low</t>
        </is>
      </c>
      <c r="AM216" t="inlineStr">
        <is>
          <t>8</t>
        </is>
      </c>
      <c r="AN216" t="inlineStr">
        <is>
          <t>Yes</t>
        </is>
      </c>
      <c r="AO216" t="inlineStr">
        <is>
          <t>unrecognized tag</t>
        </is>
      </c>
    </row>
    <row r="217">
      <c r="A217" s="203">
        <f>ROW()-1</f>
        <v/>
      </c>
      <c r="B217" s="128" t="inlineStr">
        <is>
          <t>RL7-TNK-101-PB-01</t>
        </is>
      </c>
      <c r="C217" s="314" t="inlineStr">
        <is>
          <t>RL7-TNK-101-PB-01</t>
        </is>
      </c>
      <c r="D217" s="262" t="n"/>
      <c r="E217" s="128" t="n"/>
      <c r="F217" s="138" t="inlineStr">
        <is>
          <t>BREDDO MIXER E-STOP PB SAFETY INPUT CH1</t>
        </is>
      </c>
      <c r="G217" s="131" t="inlineStr">
        <is>
          <t>DG7010</t>
        </is>
      </c>
      <c r="H217" s="128" t="inlineStr">
        <is>
          <t>PROC</t>
        </is>
      </c>
      <c r="I217" s="132" t="inlineStr">
        <is>
          <t>RL7-BRED-RIO1</t>
        </is>
      </c>
      <c r="J217" s="133" t="n">
        <v>11</v>
      </c>
      <c r="K217" s="129" t="n">
        <v>1</v>
      </c>
      <c r="L217" s="129" t="n">
        <v>0</v>
      </c>
      <c r="M217" s="129" t="inlineStr">
        <is>
          <t>24 VDC SI</t>
        </is>
      </c>
      <c r="N217" s="129" t="inlineStr">
        <is>
          <t>5069-IB8S</t>
        </is>
      </c>
      <c r="O217" s="139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40" t="n"/>
      <c r="AA217" t="inlineStr">
        <is>
          <t>Matched</t>
        </is>
      </c>
      <c r="AB217" s="315" t="n">
        <v>0.99</v>
      </c>
      <c r="AC217" t="inlineStr">
        <is>
          <t>High</t>
        </is>
      </c>
      <c r="AD217" t="n">
        <v>1</v>
      </c>
      <c r="AE217" t="inlineStr">
        <is>
          <t>DG7010</t>
        </is>
      </c>
      <c r="AF217" t="n">
        <v>9</v>
      </c>
      <c r="AG217" t="inlineStr">
        <is>
          <t>drawing</t>
        </is>
      </c>
      <c r="AH217" t="inlineStr">
        <is>
          <t>stacked:isa</t>
        </is>
      </c>
      <c r="AI217" t="inlineStr">
        <is>
          <t>drawing zone; process page; mapped sheet; excel sheet match</t>
        </is>
      </c>
      <c r="AJ217" t="inlineStr">
        <is>
          <t>native</t>
        </is>
      </c>
      <c r="AK217" t="inlineStr">
        <is>
          <t>native-only</t>
        </is>
      </c>
      <c r="AM217" t="inlineStr">
        <is>
          <t>9</t>
        </is>
      </c>
      <c r="AN217" t="inlineStr">
        <is>
          <t>Yes</t>
        </is>
      </c>
      <c r="AO217" t="inlineStr">
        <is>
          <t>mapped sheet id</t>
        </is>
      </c>
      <c r="AP217" t="inlineStr">
        <is>
          <t>p9:native:125, p9:native:126</t>
        </is>
      </c>
      <c r="AQ217" t="n">
        <v>2</v>
      </c>
    </row>
    <row r="218">
      <c r="A218" s="203">
        <f>ROW()-1</f>
        <v/>
      </c>
      <c r="B218" s="128" t="inlineStr">
        <is>
          <t>RL7-TNK-101-PB-01</t>
        </is>
      </c>
      <c r="C218" s="314" t="inlineStr">
        <is>
          <t>RL7-TNK-101-PB-01</t>
        </is>
      </c>
      <c r="D218" s="262" t="n"/>
      <c r="E218" s="128" t="n"/>
      <c r="F218" s="138" t="inlineStr">
        <is>
          <t>BREDDO MIXER E-STOP PB SAFETY INPUT CH2</t>
        </is>
      </c>
      <c r="G218" s="131" t="inlineStr">
        <is>
          <t>DG7010</t>
        </is>
      </c>
      <c r="H218" s="128" t="inlineStr">
        <is>
          <t>PROC</t>
        </is>
      </c>
      <c r="I218" s="132" t="inlineStr">
        <is>
          <t>RL7-BRED-RIO1</t>
        </is>
      </c>
      <c r="J218" s="133" t="n">
        <v>11</v>
      </c>
      <c r="K218" s="129" t="n">
        <v>1</v>
      </c>
      <c r="L218" s="129" t="n">
        <v>1</v>
      </c>
      <c r="M218" s="129" t="inlineStr">
        <is>
          <t>24 VDC SI</t>
        </is>
      </c>
      <c r="N218" s="129" t="inlineStr">
        <is>
          <t>5069-IB8S</t>
        </is>
      </c>
      <c r="O218" s="139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40" t="n"/>
      <c r="AA218" t="inlineStr">
        <is>
          <t>Matched</t>
        </is>
      </c>
      <c r="AB218" s="315" t="n">
        <v>0.99</v>
      </c>
      <c r="AC218" t="inlineStr">
        <is>
          <t>High</t>
        </is>
      </c>
      <c r="AD218" t="n">
        <v>1</v>
      </c>
      <c r="AE218" t="inlineStr">
        <is>
          <t>DG7010</t>
        </is>
      </c>
      <c r="AF218" t="n">
        <v>9</v>
      </c>
      <c r="AG218" t="inlineStr">
        <is>
          <t>drawing</t>
        </is>
      </c>
      <c r="AH218" t="inlineStr">
        <is>
          <t>stacked:isa</t>
        </is>
      </c>
      <c r="AI218" t="inlineStr">
        <is>
          <t>drawing zone; process page; mapped sheet; excel sheet match</t>
        </is>
      </c>
      <c r="AJ218" t="inlineStr">
        <is>
          <t>native</t>
        </is>
      </c>
      <c r="AK218" t="inlineStr">
        <is>
          <t>native-only</t>
        </is>
      </c>
      <c r="AM218" t="inlineStr">
        <is>
          <t>9</t>
        </is>
      </c>
      <c r="AN218" t="inlineStr">
        <is>
          <t>Yes</t>
        </is>
      </c>
      <c r="AO218" t="inlineStr">
        <is>
          <t>mapped sheet id</t>
        </is>
      </c>
      <c r="AP218" t="inlineStr">
        <is>
          <t>p9:native:125, p9:native:126</t>
        </is>
      </c>
      <c r="AQ218" t="n">
        <v>2</v>
      </c>
    </row>
    <row r="219">
      <c r="A219" s="203">
        <f>ROW()-1</f>
        <v/>
      </c>
      <c r="B219" s="128" t="inlineStr">
        <is>
          <t>RL7-DRM-101-PB-01</t>
        </is>
      </c>
      <c r="C219" s="314" t="inlineStr">
        <is>
          <t>RL7-DRM-101-PB-01</t>
        </is>
      </c>
      <c r="D219" s="262" t="inlineStr">
        <is>
          <t>ESTOP111</t>
        </is>
      </c>
      <c r="E219" s="128" t="n"/>
      <c r="F219" s="138" t="inlineStr">
        <is>
          <t>BREDDO DUMPER E-STOP PB SAFETY INPUT CH1</t>
        </is>
      </c>
      <c r="G219" s="131" t="inlineStr">
        <is>
          <t>DG7010</t>
        </is>
      </c>
      <c r="H219" s="128" t="inlineStr">
        <is>
          <t>PROC</t>
        </is>
      </c>
      <c r="I219" s="132" t="inlineStr">
        <is>
          <t>RL7-BRED-RIO1</t>
        </is>
      </c>
      <c r="J219" s="133" t="n">
        <v>11</v>
      </c>
      <c r="K219" s="129" t="n">
        <v>1</v>
      </c>
      <c r="L219" s="129" t="n">
        <v>2</v>
      </c>
      <c r="M219" s="129" t="inlineStr">
        <is>
          <t>24 VDC SI</t>
        </is>
      </c>
      <c r="N219" s="129" t="inlineStr">
        <is>
          <t>5069-IB8S</t>
        </is>
      </c>
      <c r="O219" s="139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40" t="n"/>
      <c r="AA219" t="inlineStr">
        <is>
          <t>Matched</t>
        </is>
      </c>
      <c r="AB219" s="315" t="n">
        <v>0.99</v>
      </c>
      <c r="AC219" t="inlineStr">
        <is>
          <t>High</t>
        </is>
      </c>
      <c r="AD219" t="n">
        <v>1</v>
      </c>
      <c r="AE219" t="inlineStr">
        <is>
          <t>DG7010</t>
        </is>
      </c>
      <c r="AF219" t="n">
        <v>9</v>
      </c>
      <c r="AG219" t="inlineStr">
        <is>
          <t>drawing</t>
        </is>
      </c>
      <c r="AH219" t="inlineStr">
        <is>
          <t>stacked:isa</t>
        </is>
      </c>
      <c r="AI219" t="inlineStr">
        <is>
          <t>drawing zone; process page; mapped sheet; excel sheet match</t>
        </is>
      </c>
      <c r="AJ219" t="inlineStr">
        <is>
          <t>native</t>
        </is>
      </c>
      <c r="AK219" t="inlineStr">
        <is>
          <t>native-only</t>
        </is>
      </c>
      <c r="AM219" t="inlineStr">
        <is>
          <t>9</t>
        </is>
      </c>
      <c r="AN219" t="inlineStr">
        <is>
          <t>Yes</t>
        </is>
      </c>
      <c r="AO219" t="inlineStr">
        <is>
          <t>mapped sheet id</t>
        </is>
      </c>
      <c r="AP219" t="inlineStr">
        <is>
          <t>p9:native:181, p9:native:182</t>
        </is>
      </c>
      <c r="AQ219" t="n">
        <v>2</v>
      </c>
    </row>
    <row r="220">
      <c r="A220" s="203">
        <f>ROW()-1</f>
        <v/>
      </c>
      <c r="B220" s="128" t="inlineStr">
        <is>
          <t>RL7-DRM-101-PB-01</t>
        </is>
      </c>
      <c r="C220" s="314" t="inlineStr">
        <is>
          <t>RL7-DRM-101-PB-01</t>
        </is>
      </c>
      <c r="D220" s="262" t="inlineStr">
        <is>
          <t>ESTOP111</t>
        </is>
      </c>
      <c r="E220" s="128" t="n"/>
      <c r="F220" s="138" t="inlineStr">
        <is>
          <t>BREDDO DUMPER E-STOP PB SAFETY INPUT CH2</t>
        </is>
      </c>
      <c r="G220" s="131" t="inlineStr">
        <is>
          <t>DG7010</t>
        </is>
      </c>
      <c r="H220" s="128" t="inlineStr">
        <is>
          <t>PROC</t>
        </is>
      </c>
      <c r="I220" s="132" t="inlineStr">
        <is>
          <t>RL7-BRED-RIO1</t>
        </is>
      </c>
      <c r="J220" s="133" t="n">
        <v>11</v>
      </c>
      <c r="K220" s="129" t="n">
        <v>1</v>
      </c>
      <c r="L220" s="129" t="n">
        <v>3</v>
      </c>
      <c r="M220" s="129" t="inlineStr">
        <is>
          <t>24 VDC SI</t>
        </is>
      </c>
      <c r="N220" s="129" t="inlineStr">
        <is>
          <t>5069-IB8S</t>
        </is>
      </c>
      <c r="O220" s="139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40" t="n"/>
      <c r="AA220" t="inlineStr">
        <is>
          <t>Matched</t>
        </is>
      </c>
      <c r="AB220" s="315" t="n">
        <v>0.99</v>
      </c>
      <c r="AC220" t="inlineStr">
        <is>
          <t>High</t>
        </is>
      </c>
      <c r="AD220" t="n">
        <v>1</v>
      </c>
      <c r="AE220" t="inlineStr">
        <is>
          <t>DG7010</t>
        </is>
      </c>
      <c r="AF220" t="n">
        <v>9</v>
      </c>
      <c r="AG220" t="inlineStr">
        <is>
          <t>drawing</t>
        </is>
      </c>
      <c r="AH220" t="inlineStr">
        <is>
          <t>stacked:isa</t>
        </is>
      </c>
      <c r="AI220" t="inlineStr">
        <is>
          <t>drawing zone; process page; mapped sheet; excel sheet match</t>
        </is>
      </c>
      <c r="AJ220" t="inlineStr">
        <is>
          <t>native</t>
        </is>
      </c>
      <c r="AK220" t="inlineStr">
        <is>
          <t>native-only</t>
        </is>
      </c>
      <c r="AM220" t="inlineStr">
        <is>
          <t>9</t>
        </is>
      </c>
      <c r="AN220" t="inlineStr">
        <is>
          <t>Yes</t>
        </is>
      </c>
      <c r="AO220" t="inlineStr">
        <is>
          <t>mapped sheet id</t>
        </is>
      </c>
      <c r="AP220" t="inlineStr">
        <is>
          <t>p9:native:181, p9:native:182</t>
        </is>
      </c>
      <c r="AQ220" t="n">
        <v>2</v>
      </c>
    </row>
    <row r="221">
      <c r="A221" s="203">
        <f>ROW()-1</f>
        <v/>
      </c>
      <c r="B221" s="128" t="inlineStr">
        <is>
          <t>RL7-DRM-101-ZSS-01</t>
        </is>
      </c>
      <c r="C221" s="314" t="inlineStr">
        <is>
          <t>RL7-DRM-101-ZSS-01</t>
        </is>
      </c>
      <c r="D221" s="262" t="inlineStr">
        <is>
          <t>DV121B</t>
        </is>
      </c>
      <c r="E221" s="128" t="n"/>
      <c r="F221" s="138" t="inlineStr">
        <is>
          <t>BREDDO DUMPER LIGHT CURTAIN SAFETY INPUT CH1</t>
        </is>
      </c>
      <c r="G221" s="131" t="inlineStr">
        <is>
          <t>DG7010</t>
        </is>
      </c>
      <c r="H221" s="128" t="inlineStr">
        <is>
          <t>PROC</t>
        </is>
      </c>
      <c r="I221" s="132" t="inlineStr">
        <is>
          <t>RL7-BRED-RIO1</t>
        </is>
      </c>
      <c r="J221" s="133" t="n">
        <v>11</v>
      </c>
      <c r="K221" s="129" t="n">
        <v>1</v>
      </c>
      <c r="L221" s="129" t="n">
        <v>4</v>
      </c>
      <c r="M221" s="129" t="inlineStr">
        <is>
          <t>24 VDC SI</t>
        </is>
      </c>
      <c r="N221" s="129" t="inlineStr">
        <is>
          <t>5069-IB8S</t>
        </is>
      </c>
      <c r="O221" s="139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40" t="n"/>
      <c r="AA221" t="inlineStr">
        <is>
          <t>Matched</t>
        </is>
      </c>
      <c r="AB221" s="315" t="n">
        <v>0.99</v>
      </c>
      <c r="AC221" t="inlineStr">
        <is>
          <t>High</t>
        </is>
      </c>
      <c r="AD221" t="n">
        <v>1</v>
      </c>
      <c r="AE221" t="inlineStr">
        <is>
          <t>DG7010</t>
        </is>
      </c>
      <c r="AF221" t="n">
        <v>9</v>
      </c>
      <c r="AG221" t="inlineStr">
        <is>
          <t>drawing</t>
        </is>
      </c>
      <c r="AH221" t="inlineStr">
        <is>
          <t>stacked:isa</t>
        </is>
      </c>
      <c r="AI221" t="inlineStr">
        <is>
          <t>drawing zone; process page; mapped sheet; excel sheet match</t>
        </is>
      </c>
      <c r="AJ221" t="inlineStr">
        <is>
          <t>native</t>
        </is>
      </c>
      <c r="AK221" t="inlineStr">
        <is>
          <t>native-only</t>
        </is>
      </c>
      <c r="AM221" t="inlineStr">
        <is>
          <t>9</t>
        </is>
      </c>
      <c r="AN221" t="inlineStr">
        <is>
          <t>Yes</t>
        </is>
      </c>
      <c r="AO221" t="inlineStr">
        <is>
          <t>mapped sheet id</t>
        </is>
      </c>
      <c r="AP221" t="inlineStr">
        <is>
          <t>p9:native:93, p9:native:94</t>
        </is>
      </c>
      <c r="AQ221" t="n">
        <v>2</v>
      </c>
    </row>
    <row r="222">
      <c r="A222" s="203">
        <f>ROW()-1</f>
        <v/>
      </c>
      <c r="B222" s="128" t="inlineStr">
        <is>
          <t>RL7-DRM-101-ZSS-01</t>
        </is>
      </c>
      <c r="C222" s="314" t="inlineStr">
        <is>
          <t>RL7-DRM-101-ZSS-01</t>
        </is>
      </c>
      <c r="D222" s="262" t="inlineStr">
        <is>
          <t>DV121B</t>
        </is>
      </c>
      <c r="E222" s="128" t="n"/>
      <c r="F222" s="138" t="inlineStr">
        <is>
          <t>BREDDO DUMPER LIGHT CURTAIN SAFETY INPUT CH2</t>
        </is>
      </c>
      <c r="G222" s="131" t="inlineStr">
        <is>
          <t>DG7010</t>
        </is>
      </c>
      <c r="H222" s="128" t="inlineStr">
        <is>
          <t>PROC</t>
        </is>
      </c>
      <c r="I222" s="132" t="inlineStr">
        <is>
          <t>RL7-BRED-RIO1</t>
        </is>
      </c>
      <c r="J222" s="133" t="n">
        <v>11</v>
      </c>
      <c r="K222" s="129" t="n">
        <v>1</v>
      </c>
      <c r="L222" s="129" t="n">
        <v>5</v>
      </c>
      <c r="M222" s="129" t="inlineStr">
        <is>
          <t>24 VDC SI</t>
        </is>
      </c>
      <c r="N222" s="129" t="inlineStr">
        <is>
          <t>5069-IB8S</t>
        </is>
      </c>
      <c r="O222" s="139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40" t="n"/>
      <c r="AA222" t="inlineStr">
        <is>
          <t>Matched</t>
        </is>
      </c>
      <c r="AB222" s="315" t="n">
        <v>0.99</v>
      </c>
      <c r="AC222" t="inlineStr">
        <is>
          <t>High</t>
        </is>
      </c>
      <c r="AD222" t="n">
        <v>1</v>
      </c>
      <c r="AE222" t="inlineStr">
        <is>
          <t>DG7010</t>
        </is>
      </c>
      <c r="AF222" t="n">
        <v>9</v>
      </c>
      <c r="AG222" t="inlineStr">
        <is>
          <t>drawing</t>
        </is>
      </c>
      <c r="AH222" t="inlineStr">
        <is>
          <t>stacked:isa</t>
        </is>
      </c>
      <c r="AI222" t="inlineStr">
        <is>
          <t>drawing zone; process page; mapped sheet; excel sheet match</t>
        </is>
      </c>
      <c r="AJ222" t="inlineStr">
        <is>
          <t>native</t>
        </is>
      </c>
      <c r="AK222" t="inlineStr">
        <is>
          <t>native-only</t>
        </is>
      </c>
      <c r="AM222" t="inlineStr">
        <is>
          <t>9</t>
        </is>
      </c>
      <c r="AN222" t="inlineStr">
        <is>
          <t>Yes</t>
        </is>
      </c>
      <c r="AO222" t="inlineStr">
        <is>
          <t>mapped sheet id</t>
        </is>
      </c>
      <c r="AP222" t="inlineStr">
        <is>
          <t>p9:native:93, p9:native:94</t>
        </is>
      </c>
      <c r="AQ222" t="n">
        <v>2</v>
      </c>
    </row>
    <row r="223">
      <c r="A223" s="203">
        <f>ROW()-1</f>
        <v/>
      </c>
      <c r="B223" s="128" t="inlineStr">
        <is>
          <t>RL7-TNK-101-ZSO-01</t>
        </is>
      </c>
      <c r="C223" s="314" t="inlineStr">
        <is>
          <t>RL7-TNK-101-ZSO-01</t>
        </is>
      </c>
      <c r="D223" s="262" t="n"/>
      <c r="E223" s="128" t="n"/>
      <c r="F223" s="138" t="inlineStr">
        <is>
          <t>BREDDO MIXER PCW SUPPLY VALVE OPEN LIMIT SWITCH</t>
        </is>
      </c>
      <c r="G223" s="131" t="inlineStr">
        <is>
          <t>DG7010</t>
        </is>
      </c>
      <c r="H223" s="128" t="inlineStr">
        <is>
          <t>PROC</t>
        </is>
      </c>
      <c r="I223" s="132" t="inlineStr">
        <is>
          <t>RL7-BRED-RIO1</t>
        </is>
      </c>
      <c r="J223" s="133" t="n">
        <v>11</v>
      </c>
      <c r="K223" s="129" t="n">
        <v>3</v>
      </c>
      <c r="L223" s="129" t="n">
        <v>0</v>
      </c>
      <c r="M223" s="129" t="inlineStr">
        <is>
          <t>24 VDC DI</t>
        </is>
      </c>
      <c r="N223" s="129" t="inlineStr">
        <is>
          <t>5069-IB16</t>
        </is>
      </c>
      <c r="O223" s="139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40" t="n"/>
      <c r="AA223" t="inlineStr">
        <is>
          <t>Matched</t>
        </is>
      </c>
      <c r="AB223" s="315" t="n">
        <v>0.99</v>
      </c>
      <c r="AC223" t="inlineStr">
        <is>
          <t>High</t>
        </is>
      </c>
      <c r="AD223" t="n">
        <v>1</v>
      </c>
      <c r="AE223" t="inlineStr">
        <is>
          <t>DG7010</t>
        </is>
      </c>
      <c r="AF223" t="n">
        <v>9</v>
      </c>
      <c r="AG223" t="inlineStr">
        <is>
          <t>drawing</t>
        </is>
      </c>
      <c r="AH223" t="inlineStr">
        <is>
          <t>stacked:isa</t>
        </is>
      </c>
      <c r="AI223" t="inlineStr">
        <is>
          <t>drawing zone; process page; mapped sheet; excel sheet match</t>
        </is>
      </c>
      <c r="AJ223" t="inlineStr">
        <is>
          <t>native</t>
        </is>
      </c>
      <c r="AK223" t="inlineStr">
        <is>
          <t>native-only</t>
        </is>
      </c>
      <c r="AM223" t="inlineStr">
        <is>
          <t>9</t>
        </is>
      </c>
      <c r="AN223" t="inlineStr">
        <is>
          <t>Yes</t>
        </is>
      </c>
      <c r="AO223" t="inlineStr">
        <is>
          <t>mapped sheet id</t>
        </is>
      </c>
      <c r="AP223" t="inlineStr">
        <is>
          <t>p9:native:342, p9:native:343</t>
        </is>
      </c>
      <c r="AQ223" t="n">
        <v>2</v>
      </c>
    </row>
    <row r="224">
      <c r="A224" s="203">
        <f>ROW()-1</f>
        <v/>
      </c>
      <c r="B224" s="128" t="inlineStr">
        <is>
          <t>RL7-TNK-101-ZSC-01</t>
        </is>
      </c>
      <c r="C224" s="314" t="inlineStr">
        <is>
          <t>RL7-TNK-101-ZSC-01</t>
        </is>
      </c>
      <c r="D224" s="262" t="n"/>
      <c r="E224" s="128" t="n"/>
      <c r="F224" s="138" t="inlineStr">
        <is>
          <t>BREDDO MIXER PCW SUPPLY VALVE CLOSED LIMIT SWITCH</t>
        </is>
      </c>
      <c r="G224" s="131" t="inlineStr">
        <is>
          <t>DG7010</t>
        </is>
      </c>
      <c r="H224" s="128" t="inlineStr">
        <is>
          <t>PROC</t>
        </is>
      </c>
      <c r="I224" s="132" t="inlineStr">
        <is>
          <t>RL7-BRED-RIO1</t>
        </is>
      </c>
      <c r="J224" s="133" t="n">
        <v>11</v>
      </c>
      <c r="K224" s="129" t="n">
        <v>3</v>
      </c>
      <c r="L224" s="129" t="n">
        <v>1</v>
      </c>
      <c r="M224" s="129" t="inlineStr">
        <is>
          <t>24 VDC DI</t>
        </is>
      </c>
      <c r="N224" s="129" t="inlineStr">
        <is>
          <t>5069-IB16</t>
        </is>
      </c>
      <c r="O224" s="139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40" t="n"/>
      <c r="AA224" t="inlineStr">
        <is>
          <t>Matched</t>
        </is>
      </c>
      <c r="AB224" s="315" t="n">
        <v>0.99</v>
      </c>
      <c r="AC224" t="inlineStr">
        <is>
          <t>High</t>
        </is>
      </c>
      <c r="AD224" t="n">
        <v>1</v>
      </c>
      <c r="AE224" t="inlineStr">
        <is>
          <t>DG7010</t>
        </is>
      </c>
      <c r="AF224" t="n">
        <v>9</v>
      </c>
      <c r="AG224" t="inlineStr">
        <is>
          <t>drawing</t>
        </is>
      </c>
      <c r="AH224" t="inlineStr">
        <is>
          <t>stacked:isa</t>
        </is>
      </c>
      <c r="AI224" t="inlineStr">
        <is>
          <t>drawing zone; process page; mapped sheet; excel sheet match</t>
        </is>
      </c>
      <c r="AJ224" t="inlineStr">
        <is>
          <t>native</t>
        </is>
      </c>
      <c r="AK224" t="inlineStr">
        <is>
          <t>native-only</t>
        </is>
      </c>
      <c r="AM224" t="inlineStr">
        <is>
          <t>9</t>
        </is>
      </c>
      <c r="AN224" t="inlineStr">
        <is>
          <t>Yes</t>
        </is>
      </c>
      <c r="AO224" t="inlineStr">
        <is>
          <t>mapped sheet id</t>
        </is>
      </c>
      <c r="AP224" t="inlineStr">
        <is>
          <t>p9:native:340, p9:native:341</t>
        </is>
      </c>
      <c r="AQ224" t="n">
        <v>2</v>
      </c>
    </row>
    <row r="225">
      <c r="A225" s="203">
        <f>ROW()-1</f>
        <v/>
      </c>
      <c r="B225" s="128" t="inlineStr">
        <is>
          <t>RL7-TNK-101-ZSO-02</t>
        </is>
      </c>
      <c r="C225" s="314" t="inlineStr">
        <is>
          <t>RL7-TNK-101-ZSO-02</t>
        </is>
      </c>
      <c r="D225" s="262" t="n"/>
      <c r="E225" s="128" t="n"/>
      <c r="F225" s="138" t="inlineStr">
        <is>
          <t>BREDDO MIXER CIP / PCW MIX PROOF VALVE PCW LIMIT SWITCH</t>
        </is>
      </c>
      <c r="G225" s="131" t="inlineStr">
        <is>
          <t>DG7010</t>
        </is>
      </c>
      <c r="H225" s="128" t="inlineStr">
        <is>
          <t>PROC</t>
        </is>
      </c>
      <c r="I225" s="132" t="inlineStr">
        <is>
          <t>RL7-BRED-RIO1</t>
        </is>
      </c>
      <c r="J225" s="133" t="n">
        <v>11</v>
      </c>
      <c r="K225" s="129" t="n">
        <v>3</v>
      </c>
      <c r="L225" s="129" t="n">
        <v>2</v>
      </c>
      <c r="M225" s="129" t="inlineStr">
        <is>
          <t>24 VDC DI</t>
        </is>
      </c>
      <c r="N225" s="129" t="inlineStr">
        <is>
          <t>5069-IB16</t>
        </is>
      </c>
      <c r="O225" s="139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40" t="n"/>
      <c r="AA225" t="inlineStr">
        <is>
          <t>Matched</t>
        </is>
      </c>
      <c r="AB225" s="315" t="n">
        <v>0.99</v>
      </c>
      <c r="AC225" t="inlineStr">
        <is>
          <t>High</t>
        </is>
      </c>
      <c r="AD225" t="n">
        <v>1</v>
      </c>
      <c r="AE225" t="inlineStr">
        <is>
          <t>DG7010</t>
        </is>
      </c>
      <c r="AF225" t="n">
        <v>9</v>
      </c>
      <c r="AG225" t="inlineStr">
        <is>
          <t>drawing</t>
        </is>
      </c>
      <c r="AH225" t="inlineStr">
        <is>
          <t>stacked:isa</t>
        </is>
      </c>
      <c r="AI225" t="inlineStr">
        <is>
          <t>drawing zone; process page; mapped sheet; excel sheet match</t>
        </is>
      </c>
      <c r="AJ225" t="inlineStr">
        <is>
          <t>native</t>
        </is>
      </c>
      <c r="AK225" t="inlineStr">
        <is>
          <t>native-only</t>
        </is>
      </c>
      <c r="AM225" t="inlineStr">
        <is>
          <t>9</t>
        </is>
      </c>
      <c r="AN225" t="inlineStr">
        <is>
          <t>Yes</t>
        </is>
      </c>
      <c r="AO225" t="inlineStr">
        <is>
          <t>mapped sheet id</t>
        </is>
      </c>
      <c r="AP225" t="inlineStr">
        <is>
          <t>p9:native:333, p9:native:334</t>
        </is>
      </c>
      <c r="AQ225" t="n">
        <v>2</v>
      </c>
    </row>
    <row r="226">
      <c r="A226" s="203">
        <f>ROW()-1</f>
        <v/>
      </c>
      <c r="B226" s="128" t="inlineStr">
        <is>
          <t>RL7-TNK-101-ZSC-02</t>
        </is>
      </c>
      <c r="C226" s="314" t="inlineStr">
        <is>
          <t>RL7-TNK-101-ZSC-02</t>
        </is>
      </c>
      <c r="D226" s="262" t="n"/>
      <c r="E226" s="128" t="n"/>
      <c r="F226" s="138" t="inlineStr">
        <is>
          <t>BREDDO MIXER CIP / PCW MIX PROOF VALVE CIP LIMIT SWITCH</t>
        </is>
      </c>
      <c r="G226" s="131" t="inlineStr">
        <is>
          <t>DG7010</t>
        </is>
      </c>
      <c r="H226" s="128" t="inlineStr">
        <is>
          <t>PROC</t>
        </is>
      </c>
      <c r="I226" s="132" t="inlineStr">
        <is>
          <t>RL7-BRED-RIO1</t>
        </is>
      </c>
      <c r="J226" s="133" t="n">
        <v>11</v>
      </c>
      <c r="K226" s="129" t="n">
        <v>3</v>
      </c>
      <c r="L226" s="129" t="n">
        <v>3</v>
      </c>
      <c r="M226" s="129" t="inlineStr">
        <is>
          <t>24 VDC DI</t>
        </is>
      </c>
      <c r="N226" s="129" t="inlineStr">
        <is>
          <t>5069-IB16</t>
        </is>
      </c>
      <c r="O226" s="139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40" t="n"/>
      <c r="AA226" t="inlineStr">
        <is>
          <t>Matched</t>
        </is>
      </c>
      <c r="AB226" s="315" t="n">
        <v>0.99</v>
      </c>
      <c r="AC226" t="inlineStr">
        <is>
          <t>High</t>
        </is>
      </c>
      <c r="AD226" t="n">
        <v>1</v>
      </c>
      <c r="AE226" t="inlineStr">
        <is>
          <t>DG7010</t>
        </is>
      </c>
      <c r="AF226" t="n">
        <v>9</v>
      </c>
      <c r="AG226" t="inlineStr">
        <is>
          <t>drawing</t>
        </is>
      </c>
      <c r="AH226" t="inlineStr">
        <is>
          <t>stacked:isa</t>
        </is>
      </c>
      <c r="AI226" t="inlineStr">
        <is>
          <t>drawing zone; process page; mapped sheet; excel sheet match</t>
        </is>
      </c>
      <c r="AJ226" t="inlineStr">
        <is>
          <t>native</t>
        </is>
      </c>
      <c r="AK226" t="inlineStr">
        <is>
          <t>native-only</t>
        </is>
      </c>
      <c r="AM226" t="inlineStr">
        <is>
          <t>9</t>
        </is>
      </c>
      <c r="AN226" t="inlineStr">
        <is>
          <t>Yes</t>
        </is>
      </c>
      <c r="AO226" t="inlineStr">
        <is>
          <t>mapped sheet id</t>
        </is>
      </c>
      <c r="AP226" t="inlineStr">
        <is>
          <t>p9:native:335, p9:native:336</t>
        </is>
      </c>
      <c r="AQ226" t="n">
        <v>2</v>
      </c>
    </row>
    <row r="227">
      <c r="A227" s="203">
        <f>ROW()-1</f>
        <v/>
      </c>
      <c r="B227" s="128" t="inlineStr">
        <is>
          <t>RL7-TNK-101-ZSO-03</t>
        </is>
      </c>
      <c r="C227" s="314" t="inlineStr">
        <is>
          <t>RL7-TNK-101-ZSO-03</t>
        </is>
      </c>
      <c r="D227" s="262" t="n"/>
      <c r="E227" s="128" t="n"/>
      <c r="F227" s="138" t="inlineStr">
        <is>
          <t xml:space="preserve">BREDDO MIXER DISCHARGE VALVE OPEN LIMIT SWITCH   </t>
        </is>
      </c>
      <c r="G227" s="131" t="inlineStr">
        <is>
          <t>DG7010</t>
        </is>
      </c>
      <c r="H227" s="128" t="inlineStr">
        <is>
          <t>PROC</t>
        </is>
      </c>
      <c r="I227" s="132" t="inlineStr">
        <is>
          <t>RL7-BRED-RIO1</t>
        </is>
      </c>
      <c r="J227" s="133" t="n">
        <v>11</v>
      </c>
      <c r="K227" s="129" t="n">
        <v>3</v>
      </c>
      <c r="L227" s="129" t="n">
        <v>4</v>
      </c>
      <c r="M227" s="129" t="inlineStr">
        <is>
          <t>24 VDC DI</t>
        </is>
      </c>
      <c r="N227" s="129" t="inlineStr">
        <is>
          <t>5069-IB16</t>
        </is>
      </c>
      <c r="O227" s="139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40" t="n"/>
      <c r="AA227" t="inlineStr">
        <is>
          <t>Matched</t>
        </is>
      </c>
      <c r="AB227" s="315" t="n">
        <v>0.99</v>
      </c>
      <c r="AC227" t="inlineStr">
        <is>
          <t>High</t>
        </is>
      </c>
      <c r="AD227" t="n">
        <v>1</v>
      </c>
      <c r="AE227" t="inlineStr">
        <is>
          <t>DG7010</t>
        </is>
      </c>
      <c r="AF227" t="n">
        <v>9</v>
      </c>
      <c r="AG227" t="inlineStr">
        <is>
          <t>drawing</t>
        </is>
      </c>
      <c r="AH227" t="inlineStr">
        <is>
          <t>stacked:isa</t>
        </is>
      </c>
      <c r="AI227" t="inlineStr">
        <is>
          <t>drawing zone; process page; mapped sheet; excel sheet match</t>
        </is>
      </c>
      <c r="AJ227" t="inlineStr">
        <is>
          <t>native</t>
        </is>
      </c>
      <c r="AK227" t="inlineStr">
        <is>
          <t>native-only</t>
        </is>
      </c>
      <c r="AM227" t="inlineStr">
        <is>
          <t>9</t>
        </is>
      </c>
      <c r="AN227" t="inlineStr">
        <is>
          <t>Yes</t>
        </is>
      </c>
      <c r="AO227" t="inlineStr">
        <is>
          <t>mapped sheet id</t>
        </is>
      </c>
      <c r="AP227" t="inlineStr">
        <is>
          <t>p9:native:82, p9:native:83</t>
        </is>
      </c>
      <c r="AQ227" t="n">
        <v>2</v>
      </c>
    </row>
    <row r="228">
      <c r="A228" s="203">
        <f>ROW()-1</f>
        <v/>
      </c>
      <c r="B228" s="128" t="inlineStr">
        <is>
          <t>RL7-TNK-101-ZSC-03</t>
        </is>
      </c>
      <c r="C228" s="314" t="inlineStr">
        <is>
          <t>RL7-TNK-101-ZSC-03</t>
        </is>
      </c>
      <c r="D228" s="262" t="n"/>
      <c r="E228" s="128" t="n"/>
      <c r="F228" s="138" t="inlineStr">
        <is>
          <t xml:space="preserve">BREDDO MIXER DISCHARGE VALVE CLOSED LIMIT SWITCH   </t>
        </is>
      </c>
      <c r="G228" s="131" t="inlineStr">
        <is>
          <t>DG7010</t>
        </is>
      </c>
      <c r="H228" s="128" t="inlineStr">
        <is>
          <t>PROC</t>
        </is>
      </c>
      <c r="I228" s="132" t="inlineStr">
        <is>
          <t>RL7-BRED-RIO1</t>
        </is>
      </c>
      <c r="J228" s="133" t="n">
        <v>11</v>
      </c>
      <c r="K228" s="129" t="n">
        <v>3</v>
      </c>
      <c r="L228" s="129" t="n">
        <v>5</v>
      </c>
      <c r="M228" s="129" t="inlineStr">
        <is>
          <t>24 VDC DI</t>
        </is>
      </c>
      <c r="N228" s="129" t="inlineStr">
        <is>
          <t>5069-IB16</t>
        </is>
      </c>
      <c r="O228" s="139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40" t="n"/>
      <c r="AA228" t="inlineStr">
        <is>
          <t>Matched</t>
        </is>
      </c>
      <c r="AB228" s="315" t="n">
        <v>0.99</v>
      </c>
      <c r="AC228" t="inlineStr">
        <is>
          <t>High</t>
        </is>
      </c>
      <c r="AD228" t="n">
        <v>1</v>
      </c>
      <c r="AE228" t="inlineStr">
        <is>
          <t>DG7010</t>
        </is>
      </c>
      <c r="AF228" t="n">
        <v>9</v>
      </c>
      <c r="AG228" t="inlineStr">
        <is>
          <t>drawing</t>
        </is>
      </c>
      <c r="AH228" t="inlineStr">
        <is>
          <t>stacked:isa</t>
        </is>
      </c>
      <c r="AI228" t="inlineStr">
        <is>
          <t>drawing zone; process page; mapped sheet; excel sheet match</t>
        </is>
      </c>
      <c r="AJ228" t="inlineStr">
        <is>
          <t>native</t>
        </is>
      </c>
      <c r="AK228" t="inlineStr">
        <is>
          <t>native-only</t>
        </is>
      </c>
      <c r="AM228" t="inlineStr">
        <is>
          <t>9</t>
        </is>
      </c>
      <c r="AN228" t="inlineStr">
        <is>
          <t>Yes</t>
        </is>
      </c>
      <c r="AO228" t="inlineStr">
        <is>
          <t>mapped sheet id</t>
        </is>
      </c>
      <c r="AP228" t="inlineStr">
        <is>
          <t>p9:native:84, p9:native:85</t>
        </is>
      </c>
      <c r="AQ228" t="n">
        <v>2</v>
      </c>
    </row>
    <row r="229">
      <c r="A229" s="203">
        <f>ROW()-1</f>
        <v/>
      </c>
      <c r="B229" s="128" t="inlineStr">
        <is>
          <t>RL7-SKD-101-ZSO-01</t>
        </is>
      </c>
      <c r="C229" s="314" t="inlineStr">
        <is>
          <t>RL7-SKD-101-ZSO-01</t>
        </is>
      </c>
      <c r="D229" s="262" t="n"/>
      <c r="E229" s="128" t="n"/>
      <c r="F229" s="138" t="inlineStr">
        <is>
          <t>BREDDO FILTER GUM SUPPLY VALVE OPEN LIMIT SWITCH</t>
        </is>
      </c>
      <c r="G229" s="131" t="inlineStr">
        <is>
          <t>DG7010</t>
        </is>
      </c>
      <c r="H229" s="128" t="inlineStr">
        <is>
          <t>PROC</t>
        </is>
      </c>
      <c r="I229" s="132" t="inlineStr">
        <is>
          <t>RL7-BRED-RIO1</t>
        </is>
      </c>
      <c r="J229" s="133" t="n">
        <v>11</v>
      </c>
      <c r="K229" s="129" t="n">
        <v>3</v>
      </c>
      <c r="L229" s="129" t="n">
        <v>8</v>
      </c>
      <c r="M229" s="129" t="inlineStr">
        <is>
          <t>24 VDC DI</t>
        </is>
      </c>
      <c r="N229" s="129" t="inlineStr">
        <is>
          <t>5069-IB16</t>
        </is>
      </c>
      <c r="O229" s="139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40" t="n"/>
      <c r="AA229" t="inlineStr">
        <is>
          <t>Matched</t>
        </is>
      </c>
      <c r="AB229" s="315" t="n">
        <v>0.99</v>
      </c>
      <c r="AC229" t="inlineStr">
        <is>
          <t>High</t>
        </is>
      </c>
      <c r="AD229" t="n">
        <v>1</v>
      </c>
      <c r="AE229" t="inlineStr">
        <is>
          <t>DG7010</t>
        </is>
      </c>
      <c r="AF229" t="n">
        <v>9</v>
      </c>
      <c r="AG229" t="inlineStr">
        <is>
          <t>drawing</t>
        </is>
      </c>
      <c r="AH229" t="inlineStr">
        <is>
          <t>stacked:isa</t>
        </is>
      </c>
      <c r="AI229" t="inlineStr">
        <is>
          <t>drawing zone; process page; mapped sheet; excel sheet match</t>
        </is>
      </c>
      <c r="AJ229" t="inlineStr">
        <is>
          <t>native</t>
        </is>
      </c>
      <c r="AK229" t="inlineStr">
        <is>
          <t>native-only</t>
        </is>
      </c>
      <c r="AM229" t="inlineStr">
        <is>
          <t>9</t>
        </is>
      </c>
      <c r="AN229" t="inlineStr">
        <is>
          <t>Yes</t>
        </is>
      </c>
      <c r="AO229" t="inlineStr">
        <is>
          <t>mapped sheet id</t>
        </is>
      </c>
      <c r="AP229" t="inlineStr">
        <is>
          <t>p9:native:177, p9:native:178</t>
        </is>
      </c>
      <c r="AQ229" t="n">
        <v>2</v>
      </c>
    </row>
    <row r="230">
      <c r="A230" s="203">
        <f>ROW()-1</f>
        <v/>
      </c>
      <c r="B230" s="151" t="inlineStr">
        <is>
          <t>RL7-SKD-101-ZSC-01</t>
        </is>
      </c>
      <c r="C230" s="314" t="inlineStr">
        <is>
          <t>RL7-SKD-101-ZSC-01</t>
        </is>
      </c>
      <c r="D230" s="262" t="n"/>
      <c r="E230" s="128" t="n"/>
      <c r="F230" s="152" t="inlineStr">
        <is>
          <t>BREDDO FILTER GUM SUPPLY VALVE CLOSED LIMIT SWITCH</t>
        </is>
      </c>
      <c r="G230" s="131" t="inlineStr">
        <is>
          <t>DG7010</t>
        </is>
      </c>
      <c r="H230" s="128" t="inlineStr">
        <is>
          <t>PROC</t>
        </is>
      </c>
      <c r="I230" s="132" t="inlineStr">
        <is>
          <t>RL7-BRED-RIO1</t>
        </is>
      </c>
      <c r="J230" s="133" t="n">
        <v>11</v>
      </c>
      <c r="K230" s="129" t="n">
        <v>3</v>
      </c>
      <c r="L230" s="129" t="n">
        <v>9</v>
      </c>
      <c r="M230" s="129" t="inlineStr">
        <is>
          <t>24 VDC DI</t>
        </is>
      </c>
      <c r="N230" s="129" t="inlineStr">
        <is>
          <t>5069-IB16</t>
        </is>
      </c>
      <c r="O230" s="139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53" t="n"/>
      <c r="AA230" t="inlineStr">
        <is>
          <t>Matched</t>
        </is>
      </c>
      <c r="AB230" s="315" t="n">
        <v>0.99</v>
      </c>
      <c r="AC230" t="inlineStr">
        <is>
          <t>High</t>
        </is>
      </c>
      <c r="AD230" t="n">
        <v>1</v>
      </c>
      <c r="AE230" t="inlineStr">
        <is>
          <t>DG7010</t>
        </is>
      </c>
      <c r="AF230" t="n">
        <v>9</v>
      </c>
      <c r="AG230" t="inlineStr">
        <is>
          <t>drawing</t>
        </is>
      </c>
      <c r="AH230" t="inlineStr">
        <is>
          <t>stacked:isa</t>
        </is>
      </c>
      <c r="AI230" t="inlineStr">
        <is>
          <t>drawing zone; process page; mapped sheet; excel sheet match</t>
        </is>
      </c>
      <c r="AJ230" t="inlineStr">
        <is>
          <t>native</t>
        </is>
      </c>
      <c r="AK230" t="inlineStr">
        <is>
          <t>native-only</t>
        </is>
      </c>
      <c r="AM230" t="inlineStr">
        <is>
          <t>9</t>
        </is>
      </c>
      <c r="AN230" t="inlineStr">
        <is>
          <t>Yes</t>
        </is>
      </c>
      <c r="AO230" t="inlineStr">
        <is>
          <t>mapped sheet id</t>
        </is>
      </c>
      <c r="AP230" t="inlineStr">
        <is>
          <t>p9:native:179, p9:native:180</t>
        </is>
      </c>
      <c r="AQ230" t="n">
        <v>2</v>
      </c>
    </row>
    <row r="231" customFormat="1" s="136">
      <c r="A231" s="203">
        <f>ROW()-1</f>
        <v/>
      </c>
      <c r="B231" s="128" t="inlineStr">
        <is>
          <t>RL7-DRM-101-PB-02</t>
        </is>
      </c>
      <c r="C231" s="314" t="inlineStr">
        <is>
          <t>RL7-DRM-101-PB-02</t>
        </is>
      </c>
      <c r="D231" s="262" t="inlineStr">
        <is>
          <t>PB114</t>
        </is>
      </c>
      <c r="E231" s="128" t="n"/>
      <c r="F231" s="138" t="inlineStr">
        <is>
          <t>BREDDO DUMPER LIGHT CURTAIN RESET PUSHBUTTON</t>
        </is>
      </c>
      <c r="G231" s="131" t="inlineStr">
        <is>
          <t>DG7010</t>
        </is>
      </c>
      <c r="H231" s="128" t="inlineStr">
        <is>
          <t>PROC</t>
        </is>
      </c>
      <c r="I231" s="132" t="inlineStr">
        <is>
          <t>RL7-BRED-RIO1</t>
        </is>
      </c>
      <c r="J231" s="133" t="n">
        <v>11</v>
      </c>
      <c r="K231" s="129" t="n">
        <v>3</v>
      </c>
      <c r="L231" s="129" t="n">
        <v>10</v>
      </c>
      <c r="M231" s="129" t="inlineStr">
        <is>
          <t>24 VDC DI</t>
        </is>
      </c>
      <c r="N231" s="129" t="inlineStr">
        <is>
          <t>5069-IB16</t>
        </is>
      </c>
      <c r="O231" s="139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40" t="n"/>
      <c r="AA231" t="inlineStr">
        <is>
          <t>Matched</t>
        </is>
      </c>
      <c r="AB231" s="315" t="n">
        <v>0.99</v>
      </c>
      <c r="AC231" t="inlineStr">
        <is>
          <t>High</t>
        </is>
      </c>
      <c r="AD231" t="n">
        <v>1</v>
      </c>
      <c r="AE231" t="inlineStr">
        <is>
          <t>DG7010</t>
        </is>
      </c>
      <c r="AF231" t="n">
        <v>9</v>
      </c>
      <c r="AG231" t="inlineStr">
        <is>
          <t>drawing</t>
        </is>
      </c>
      <c r="AH231" t="inlineStr">
        <is>
          <t>stacked:isa</t>
        </is>
      </c>
      <c r="AI231" t="inlineStr">
        <is>
          <t>drawing zone; process page; mapped sheet; excel sheet match</t>
        </is>
      </c>
      <c r="AJ231" t="inlineStr">
        <is>
          <t>native</t>
        </is>
      </c>
      <c r="AK231" t="inlineStr">
        <is>
          <t>native-only</t>
        </is>
      </c>
      <c r="AM231" t="inlineStr">
        <is>
          <t>9</t>
        </is>
      </c>
      <c r="AN231" t="inlineStr">
        <is>
          <t>Yes</t>
        </is>
      </c>
      <c r="AO231" t="inlineStr">
        <is>
          <t>mapped sheet id</t>
        </is>
      </c>
      <c r="AP231" t="inlineStr">
        <is>
          <t>p9:native:183, p9:native:184</t>
        </is>
      </c>
      <c r="AQ231" t="n">
        <v>2</v>
      </c>
    </row>
    <row r="232">
      <c r="A232" s="203">
        <f>ROW()-1</f>
        <v/>
      </c>
      <c r="B232" s="128" t="inlineStr">
        <is>
          <t>RL7-DRM-101-PB-03</t>
        </is>
      </c>
      <c r="C232" s="314" t="inlineStr">
        <is>
          <t>RL7-DRM-101-PB-03</t>
        </is>
      </c>
      <c r="D232" s="262" t="inlineStr">
        <is>
          <t>PB116</t>
        </is>
      </c>
      <c r="E232" s="128" t="n"/>
      <c r="F232" s="138" t="inlineStr">
        <is>
          <t>BREDDO DUMPER QR SCAN ENABLE PUSHBUTTON</t>
        </is>
      </c>
      <c r="G232" s="131" t="inlineStr">
        <is>
          <t>DG7010</t>
        </is>
      </c>
      <c r="H232" s="128" t="inlineStr">
        <is>
          <t>PROC</t>
        </is>
      </c>
      <c r="I232" s="132" t="inlineStr">
        <is>
          <t>RL7-BRED-RIO1</t>
        </is>
      </c>
      <c r="J232" s="133" t="n">
        <v>11</v>
      </c>
      <c r="K232" s="129" t="n">
        <v>3</v>
      </c>
      <c r="L232" s="129" t="n">
        <v>11</v>
      </c>
      <c r="M232" s="129" t="inlineStr">
        <is>
          <t>24 VDC DI</t>
        </is>
      </c>
      <c r="N232" s="129" t="inlineStr">
        <is>
          <t>5069-IB16</t>
        </is>
      </c>
      <c r="O232" s="139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40" t="n"/>
      <c r="AA232" t="inlineStr">
        <is>
          <t>Matched</t>
        </is>
      </c>
      <c r="AB232" s="315" t="n">
        <v>0.99</v>
      </c>
      <c r="AC232" t="inlineStr">
        <is>
          <t>High</t>
        </is>
      </c>
      <c r="AD232" t="n">
        <v>1</v>
      </c>
      <c r="AE232" t="inlineStr">
        <is>
          <t>DG7010</t>
        </is>
      </c>
      <c r="AF232" t="n">
        <v>9</v>
      </c>
      <c r="AG232" t="inlineStr">
        <is>
          <t>drawing</t>
        </is>
      </c>
      <c r="AH232" t="inlineStr">
        <is>
          <t>stacked:isa</t>
        </is>
      </c>
      <c r="AI232" t="inlineStr">
        <is>
          <t>drawing zone; process page; mapped sheet; excel sheet match</t>
        </is>
      </c>
      <c r="AJ232" t="inlineStr">
        <is>
          <t>native</t>
        </is>
      </c>
      <c r="AK232" t="inlineStr">
        <is>
          <t>native-only</t>
        </is>
      </c>
      <c r="AM232" t="inlineStr">
        <is>
          <t>9</t>
        </is>
      </c>
      <c r="AN232" t="inlineStr">
        <is>
          <t>Yes</t>
        </is>
      </c>
      <c r="AO232" t="inlineStr">
        <is>
          <t>mapped sheet id</t>
        </is>
      </c>
      <c r="AP232" t="inlineStr">
        <is>
          <t>p9:native:185, p9:native:186</t>
        </is>
      </c>
      <c r="AQ232" t="n">
        <v>2</v>
      </c>
    </row>
    <row r="233">
      <c r="A233" s="203">
        <f>ROW()-1</f>
        <v/>
      </c>
      <c r="B233" s="128" t="inlineStr">
        <is>
          <t>RL7-DRM-101-PSL-01</t>
        </is>
      </c>
      <c r="C233" s="314" t="inlineStr">
        <is>
          <t>RL7-DRM-101-PSL-01</t>
        </is>
      </c>
      <c r="D233" s="262" t="inlineStr">
        <is>
          <t>PS201</t>
        </is>
      </c>
      <c r="E233" s="128" t="n"/>
      <c r="F233" s="138" t="inlineStr">
        <is>
          <t>BREDDO SYSTEM COMPRESSED AIR LOW PRESSURE SWITCH</t>
        </is>
      </c>
      <c r="G233" s="131" t="inlineStr">
        <is>
          <t>DG7010</t>
        </is>
      </c>
      <c r="H233" s="128" t="inlineStr">
        <is>
          <t>PROC</t>
        </is>
      </c>
      <c r="I233" s="132" t="inlineStr">
        <is>
          <t>RL7-BRED-RIO1</t>
        </is>
      </c>
      <c r="J233" s="133" t="n">
        <v>11</v>
      </c>
      <c r="K233" s="129" t="n">
        <v>4</v>
      </c>
      <c r="L233" s="129" t="n">
        <v>5</v>
      </c>
      <c r="M233" s="129" t="inlineStr">
        <is>
          <t>24 VDC DI</t>
        </is>
      </c>
      <c r="N233" s="129" t="inlineStr">
        <is>
          <t>5069-IB16</t>
        </is>
      </c>
      <c r="O233" s="139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40" t="n"/>
      <c r="AA233" t="inlineStr">
        <is>
          <t>Matched</t>
        </is>
      </c>
      <c r="AB233" s="315" t="n">
        <v>0.99</v>
      </c>
      <c r="AC233" t="inlineStr">
        <is>
          <t>High</t>
        </is>
      </c>
      <c r="AD233" t="n">
        <v>1</v>
      </c>
      <c r="AE233" t="inlineStr">
        <is>
          <t>DG7010</t>
        </is>
      </c>
      <c r="AF233" t="n">
        <v>9</v>
      </c>
      <c r="AG233" t="inlineStr">
        <is>
          <t>drawing</t>
        </is>
      </c>
      <c r="AH233" t="inlineStr">
        <is>
          <t>stacked:isa</t>
        </is>
      </c>
      <c r="AI233" t="inlineStr">
        <is>
          <t>drawing zone; process page; mapped sheet; excel sheet match</t>
        </is>
      </c>
      <c r="AJ233" t="inlineStr">
        <is>
          <t>native</t>
        </is>
      </c>
      <c r="AK233" t="inlineStr">
        <is>
          <t>native-only</t>
        </is>
      </c>
      <c r="AM233" t="inlineStr">
        <is>
          <t>9</t>
        </is>
      </c>
      <c r="AN233" t="inlineStr">
        <is>
          <t>Yes</t>
        </is>
      </c>
      <c r="AO233" t="inlineStr">
        <is>
          <t>mapped sheet id</t>
        </is>
      </c>
      <c r="AP233" t="inlineStr">
        <is>
          <t>p9:native:353, p9:native:354</t>
        </is>
      </c>
      <c r="AQ233" t="n">
        <v>2</v>
      </c>
    </row>
    <row r="234">
      <c r="A234" s="203">
        <f>ROW()-1</f>
        <v/>
      </c>
      <c r="B234" s="128" t="n"/>
      <c r="C234" s="314" t="inlineStr">
        <is>
          <t>RL7-DRM-101-PSL-02</t>
        </is>
      </c>
      <c r="D234" s="264" t="inlineStr">
        <is>
          <t>PS203</t>
        </is>
      </c>
      <c r="E234" s="133" t="n"/>
      <c r="F234" s="141" t="inlineStr">
        <is>
          <t>BREDDO DUMPER SEAL PRESSURE SWITCH</t>
        </is>
      </c>
      <c r="G234" s="142" t="inlineStr">
        <is>
          <t>DG7010</t>
        </is>
      </c>
      <c r="H234" s="133" t="inlineStr">
        <is>
          <t>PROC</t>
        </is>
      </c>
      <c r="I234" s="132" t="inlineStr">
        <is>
          <t>RL7-BRED-RIO1</t>
        </is>
      </c>
      <c r="J234" s="133" t="n">
        <v>11</v>
      </c>
      <c r="K234" s="128" t="n">
        <v>4</v>
      </c>
      <c r="L234" s="128" t="n">
        <v>6</v>
      </c>
      <c r="M234" s="128" t="inlineStr">
        <is>
          <t>24 VDC DI</t>
        </is>
      </c>
      <c r="N234" s="128" t="inlineStr">
        <is>
          <t>5069-IB16</t>
        </is>
      </c>
      <c r="O234" s="139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40" t="n"/>
      <c r="AA234" t="inlineStr">
        <is>
          <t>Matched</t>
        </is>
      </c>
      <c r="AB234" s="315" t="n">
        <v>0.99</v>
      </c>
      <c r="AC234" t="inlineStr">
        <is>
          <t>High</t>
        </is>
      </c>
      <c r="AD234" t="n">
        <v>1</v>
      </c>
      <c r="AE234" t="inlineStr">
        <is>
          <t>DG7010</t>
        </is>
      </c>
      <c r="AF234" t="n">
        <v>9</v>
      </c>
      <c r="AG234" t="inlineStr">
        <is>
          <t>drawing</t>
        </is>
      </c>
      <c r="AH234" t="inlineStr">
        <is>
          <t>stacked:isa</t>
        </is>
      </c>
      <c r="AI234" t="inlineStr">
        <is>
          <t>drawing zone; process page; mapped sheet; excel sheet match</t>
        </is>
      </c>
      <c r="AJ234" t="inlineStr">
        <is>
          <t>native</t>
        </is>
      </c>
      <c r="AK234" t="inlineStr">
        <is>
          <t>native-only</t>
        </is>
      </c>
      <c r="AM234" t="inlineStr">
        <is>
          <t>9</t>
        </is>
      </c>
      <c r="AN234" t="inlineStr">
        <is>
          <t>Yes</t>
        </is>
      </c>
      <c r="AO234" t="inlineStr">
        <is>
          <t>mapped sheet id</t>
        </is>
      </c>
      <c r="AP234" t="inlineStr">
        <is>
          <t>p9:native:95, p9:native:96</t>
        </is>
      </c>
      <c r="AQ234" t="n">
        <v>2</v>
      </c>
    </row>
    <row r="235">
      <c r="A235" s="203">
        <f>ROW()-1</f>
        <v/>
      </c>
      <c r="B235" s="128" t="inlineStr">
        <is>
          <t>RL7-DRM-101-ZSC-06</t>
        </is>
      </c>
      <c r="C235" s="314" t="inlineStr">
        <is>
          <t>RL7-DRM-101-ZSC-06</t>
        </is>
      </c>
      <c r="D235" s="262" t="inlineStr">
        <is>
          <t>PRS205</t>
        </is>
      </c>
      <c r="E235" s="128" t="n"/>
      <c r="F235" s="138" t="inlineStr">
        <is>
          <t>BREDDO DUMPER UNSEAL PROX</t>
        </is>
      </c>
      <c r="G235" s="131" t="inlineStr">
        <is>
          <t>DG7010</t>
        </is>
      </c>
      <c r="H235" s="128" t="inlineStr">
        <is>
          <t>PROC</t>
        </is>
      </c>
      <c r="I235" s="132" t="inlineStr">
        <is>
          <t>RL7-BRED-RIO1</t>
        </is>
      </c>
      <c r="J235" s="133" t="n">
        <v>11</v>
      </c>
      <c r="K235" s="129" t="n">
        <v>4</v>
      </c>
      <c r="L235" s="129" t="n">
        <v>7</v>
      </c>
      <c r="M235" s="129" t="inlineStr">
        <is>
          <t>24 VDC DI</t>
        </is>
      </c>
      <c r="N235" s="129" t="inlineStr">
        <is>
          <t>5069-IB16</t>
        </is>
      </c>
      <c r="O235" s="139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40" t="n"/>
      <c r="AA235" t="inlineStr">
        <is>
          <t>Matched</t>
        </is>
      </c>
      <c r="AB235" s="315" t="n">
        <v>0.99</v>
      </c>
      <c r="AC235" t="inlineStr">
        <is>
          <t>High</t>
        </is>
      </c>
      <c r="AD235" t="n">
        <v>1</v>
      </c>
      <c r="AE235" t="inlineStr">
        <is>
          <t>DG7010</t>
        </is>
      </c>
      <c r="AF235" t="n">
        <v>9</v>
      </c>
      <c r="AG235" t="inlineStr">
        <is>
          <t>drawing</t>
        </is>
      </c>
      <c r="AH235" t="inlineStr">
        <is>
          <t>stacked:isa</t>
        </is>
      </c>
      <c r="AI235" t="inlineStr">
        <is>
          <t>drawing zone; process page; mapped sheet; excel sheet match</t>
        </is>
      </c>
      <c r="AJ235" t="inlineStr">
        <is>
          <t>native</t>
        </is>
      </c>
      <c r="AK235" t="inlineStr">
        <is>
          <t>native-only</t>
        </is>
      </c>
      <c r="AM235" t="inlineStr">
        <is>
          <t>9</t>
        </is>
      </c>
      <c r="AN235" t="inlineStr">
        <is>
          <t>Yes</t>
        </is>
      </c>
      <c r="AO235" t="inlineStr">
        <is>
          <t>mapped sheet id</t>
        </is>
      </c>
      <c r="AP235" t="inlineStr">
        <is>
          <t>p9:native:97, p9:native:98</t>
        </is>
      </c>
      <c r="AQ235" t="n">
        <v>2</v>
      </c>
    </row>
    <row r="236">
      <c r="A236" s="203">
        <f>ROW()-1</f>
        <v/>
      </c>
      <c r="B236" s="128" t="inlineStr">
        <is>
          <t>RL7-DRM-101-ZSC-07</t>
        </is>
      </c>
      <c r="C236" s="314" t="inlineStr">
        <is>
          <t>RL7-DRM-101-ZSC-07</t>
        </is>
      </c>
      <c r="D236" s="262" t="inlineStr">
        <is>
          <t>PRS207</t>
        </is>
      </c>
      <c r="E236" s="128" t="n"/>
      <c r="F236" s="138" t="inlineStr">
        <is>
          <t>BREDDO DUMPER PIVOT PROX</t>
        </is>
      </c>
      <c r="G236" s="131" t="inlineStr">
        <is>
          <t>DG7010</t>
        </is>
      </c>
      <c r="H236" s="128" t="inlineStr">
        <is>
          <t>PROC</t>
        </is>
      </c>
      <c r="I236" s="132" t="inlineStr">
        <is>
          <t>RL7-BRED-RIO1</t>
        </is>
      </c>
      <c r="J236" s="133" t="n">
        <v>11</v>
      </c>
      <c r="K236" s="129" t="n">
        <v>4</v>
      </c>
      <c r="L236" s="129" t="n">
        <v>8</v>
      </c>
      <c r="M236" s="129" t="inlineStr">
        <is>
          <t>24 VDC DI</t>
        </is>
      </c>
      <c r="N236" s="129" t="inlineStr">
        <is>
          <t>5069-IB16</t>
        </is>
      </c>
      <c r="O236" s="139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40" t="n"/>
      <c r="AA236" t="inlineStr">
        <is>
          <t>Matched</t>
        </is>
      </c>
      <c r="AB236" s="315" t="n">
        <v>0.99</v>
      </c>
      <c r="AC236" t="inlineStr">
        <is>
          <t>High</t>
        </is>
      </c>
      <c r="AD236" t="n">
        <v>1</v>
      </c>
      <c r="AE236" t="inlineStr">
        <is>
          <t>DG7010</t>
        </is>
      </c>
      <c r="AF236" t="n">
        <v>9</v>
      </c>
      <c r="AG236" t="inlineStr">
        <is>
          <t>drawing</t>
        </is>
      </c>
      <c r="AH236" t="inlineStr">
        <is>
          <t>stacked:isa</t>
        </is>
      </c>
      <c r="AI236" t="inlineStr">
        <is>
          <t>drawing zone; process page; mapped sheet; excel sheet match</t>
        </is>
      </c>
      <c r="AJ236" t="inlineStr">
        <is>
          <t>native</t>
        </is>
      </c>
      <c r="AK236" t="inlineStr">
        <is>
          <t>native-only</t>
        </is>
      </c>
      <c r="AM236" t="inlineStr">
        <is>
          <t>9</t>
        </is>
      </c>
      <c r="AN236" t="inlineStr">
        <is>
          <t>Yes</t>
        </is>
      </c>
      <c r="AO236" t="inlineStr">
        <is>
          <t>mapped sheet id</t>
        </is>
      </c>
      <c r="AP236" t="inlineStr">
        <is>
          <t>p9:native:101, p9:native:102</t>
        </is>
      </c>
      <c r="AQ236" t="n">
        <v>2</v>
      </c>
    </row>
    <row r="237">
      <c r="A237" s="203">
        <f>ROW()-1</f>
        <v/>
      </c>
      <c r="B237" s="128" t="inlineStr">
        <is>
          <t>RL7-DRM-101-ZSC-08</t>
        </is>
      </c>
      <c r="C237" s="314" t="inlineStr">
        <is>
          <t>RL7-DRM-101-ZSC-08</t>
        </is>
      </c>
      <c r="D237" s="262" t="inlineStr">
        <is>
          <t>PRS209</t>
        </is>
      </c>
      <c r="E237" s="128" t="n"/>
      <c r="F237" s="138" t="inlineStr">
        <is>
          <t>BREDDO DUMPER REVERSE PIVOT PROX</t>
        </is>
      </c>
      <c r="G237" s="131" t="inlineStr">
        <is>
          <t>DG7010</t>
        </is>
      </c>
      <c r="H237" s="128" t="inlineStr">
        <is>
          <t>PROC</t>
        </is>
      </c>
      <c r="I237" s="132" t="inlineStr">
        <is>
          <t>RL7-BRED-RIO1</t>
        </is>
      </c>
      <c r="J237" s="133" t="n">
        <v>11</v>
      </c>
      <c r="K237" s="129" t="n">
        <v>4</v>
      </c>
      <c r="L237" s="129" t="n">
        <v>9</v>
      </c>
      <c r="M237" s="129" t="inlineStr">
        <is>
          <t>24 VDC DI</t>
        </is>
      </c>
      <c r="N237" s="129" t="inlineStr">
        <is>
          <t>5069-IB16</t>
        </is>
      </c>
      <c r="O237" s="139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40" t="n"/>
      <c r="AA237" t="inlineStr">
        <is>
          <t>Matched</t>
        </is>
      </c>
      <c r="AB237" s="315" t="n">
        <v>0.99</v>
      </c>
      <c r="AC237" t="inlineStr">
        <is>
          <t>High</t>
        </is>
      </c>
      <c r="AD237" t="n">
        <v>1</v>
      </c>
      <c r="AE237" t="inlineStr">
        <is>
          <t>DG7010</t>
        </is>
      </c>
      <c r="AF237" t="n">
        <v>9</v>
      </c>
      <c r="AG237" t="inlineStr">
        <is>
          <t>drawing</t>
        </is>
      </c>
      <c r="AH237" t="inlineStr">
        <is>
          <t>stacked:isa</t>
        </is>
      </c>
      <c r="AI237" t="inlineStr">
        <is>
          <t>drawing zone; process page; mapped sheet; excel sheet match</t>
        </is>
      </c>
      <c r="AJ237" t="inlineStr">
        <is>
          <t>native</t>
        </is>
      </c>
      <c r="AK237" t="inlineStr">
        <is>
          <t>native-only</t>
        </is>
      </c>
      <c r="AM237" t="inlineStr">
        <is>
          <t>9</t>
        </is>
      </c>
      <c r="AN237" t="inlineStr">
        <is>
          <t>Yes</t>
        </is>
      </c>
      <c r="AO237" t="inlineStr">
        <is>
          <t>mapped sheet id</t>
        </is>
      </c>
      <c r="AP237" t="inlineStr">
        <is>
          <t>p9:native:99, p9:native:100</t>
        </is>
      </c>
      <c r="AQ237" t="n">
        <v>2</v>
      </c>
    </row>
    <row r="238">
      <c r="A238" s="203">
        <f>ROW()-1</f>
        <v/>
      </c>
      <c r="B238" s="128" t="inlineStr">
        <is>
          <t>RL7-DRM-101-ZSC-09</t>
        </is>
      </c>
      <c r="C238" s="314" t="inlineStr">
        <is>
          <t>RL7-DRM-101-ZSC-09</t>
        </is>
      </c>
      <c r="D238" s="262" t="inlineStr">
        <is>
          <t>PRS214</t>
        </is>
      </c>
      <c r="E238" s="128" t="n"/>
      <c r="F238" s="138" t="inlineStr">
        <is>
          <t>BREDDO DUMPER PIVOT SLOW SPEED PROX</t>
        </is>
      </c>
      <c r="G238" s="131" t="inlineStr">
        <is>
          <t>DG7010</t>
        </is>
      </c>
      <c r="H238" s="128" t="inlineStr">
        <is>
          <t>PROC</t>
        </is>
      </c>
      <c r="I238" s="132" t="inlineStr">
        <is>
          <t>RL7-BRED-RIO1</t>
        </is>
      </c>
      <c r="J238" s="133" t="n">
        <v>11</v>
      </c>
      <c r="K238" s="129" t="n">
        <v>4</v>
      </c>
      <c r="L238" s="129" t="n">
        <v>10</v>
      </c>
      <c r="M238" s="129" t="inlineStr">
        <is>
          <t>24 VDC DI</t>
        </is>
      </c>
      <c r="N238" s="129" t="inlineStr">
        <is>
          <t>5069-IB16</t>
        </is>
      </c>
      <c r="O238" s="139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40" t="n"/>
      <c r="AA238" t="inlineStr">
        <is>
          <t>Matched</t>
        </is>
      </c>
      <c r="AB238" s="315" t="n">
        <v>0.99</v>
      </c>
      <c r="AC238" t="inlineStr">
        <is>
          <t>High</t>
        </is>
      </c>
      <c r="AD238" t="n">
        <v>1</v>
      </c>
      <c r="AE238" t="inlineStr">
        <is>
          <t>DG7010</t>
        </is>
      </c>
      <c r="AF238" t="n">
        <v>9</v>
      </c>
      <c r="AG238" t="inlineStr">
        <is>
          <t>drawing</t>
        </is>
      </c>
      <c r="AH238" t="inlineStr">
        <is>
          <t>stacked:isa</t>
        </is>
      </c>
      <c r="AI238" t="inlineStr">
        <is>
          <t>drawing zone; process page; mapped sheet; excel sheet match</t>
        </is>
      </c>
      <c r="AJ238" t="inlineStr">
        <is>
          <t>native</t>
        </is>
      </c>
      <c r="AK238" t="inlineStr">
        <is>
          <t>native-only</t>
        </is>
      </c>
      <c r="AM238" t="inlineStr">
        <is>
          <t>9</t>
        </is>
      </c>
      <c r="AN238" t="inlineStr">
        <is>
          <t>Yes</t>
        </is>
      </c>
      <c r="AO238" t="inlineStr">
        <is>
          <t>mapped sheet id</t>
        </is>
      </c>
      <c r="AP238" t="inlineStr">
        <is>
          <t>p9:native:103, p9:native:104</t>
        </is>
      </c>
      <c r="AQ238" t="n">
        <v>2</v>
      </c>
    </row>
    <row r="239">
      <c r="A239" s="203">
        <f>ROW()-1</f>
        <v/>
      </c>
      <c r="B239" s="128" t="inlineStr">
        <is>
          <t>RL7-DRM-101-ZSC-10</t>
        </is>
      </c>
      <c r="C239" s="314" t="inlineStr">
        <is>
          <t>RL7-DRM-101-ZSC-10</t>
        </is>
      </c>
      <c r="D239" s="262" t="inlineStr">
        <is>
          <t>PRS216</t>
        </is>
      </c>
      <c r="E239" s="128" t="n"/>
      <c r="F239" s="138" t="inlineStr">
        <is>
          <t>BREDDO DUMPER REVERSE PIVOT SLOW SPEED PROX</t>
        </is>
      </c>
      <c r="G239" s="131" t="inlineStr">
        <is>
          <t>DG7010</t>
        </is>
      </c>
      <c r="H239" s="128" t="inlineStr">
        <is>
          <t>PROC</t>
        </is>
      </c>
      <c r="I239" s="132" t="inlineStr">
        <is>
          <t>RL7-BRED-RIO1</t>
        </is>
      </c>
      <c r="J239" s="133" t="n">
        <v>11</v>
      </c>
      <c r="K239" s="129" t="n">
        <v>4</v>
      </c>
      <c r="L239" s="129" t="n">
        <v>11</v>
      </c>
      <c r="M239" s="129" t="inlineStr">
        <is>
          <t>24 VDC DI</t>
        </is>
      </c>
      <c r="N239" s="129" t="inlineStr">
        <is>
          <t>5069-IB16</t>
        </is>
      </c>
      <c r="O239" s="139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40" t="n"/>
      <c r="AA239" t="inlineStr">
        <is>
          <t>Matched</t>
        </is>
      </c>
      <c r="AB239" s="315" t="n">
        <v>0.99</v>
      </c>
      <c r="AC239" t="inlineStr">
        <is>
          <t>High</t>
        </is>
      </c>
      <c r="AD239" t="n">
        <v>1</v>
      </c>
      <c r="AE239" t="inlineStr">
        <is>
          <t>DG7010</t>
        </is>
      </c>
      <c r="AF239" t="n">
        <v>9</v>
      </c>
      <c r="AG239" t="inlineStr">
        <is>
          <t>drawing</t>
        </is>
      </c>
      <c r="AH239" t="inlineStr">
        <is>
          <t>stacked:isa</t>
        </is>
      </c>
      <c r="AI239" t="inlineStr">
        <is>
          <t>drawing zone; process page; mapped sheet; excel sheet match</t>
        </is>
      </c>
      <c r="AJ239" t="inlineStr">
        <is>
          <t>native</t>
        </is>
      </c>
      <c r="AK239" t="inlineStr">
        <is>
          <t>native-only</t>
        </is>
      </c>
      <c r="AM239" t="inlineStr">
        <is>
          <t>9</t>
        </is>
      </c>
      <c r="AN239" t="inlineStr">
        <is>
          <t>Yes</t>
        </is>
      </c>
      <c r="AO239" t="inlineStr">
        <is>
          <t>mapped sheet id</t>
        </is>
      </c>
      <c r="AP239" t="inlineStr">
        <is>
          <t>p9:native:111, p9:native:112</t>
        </is>
      </c>
      <c r="AQ239" t="n">
        <v>2</v>
      </c>
    </row>
    <row r="240">
      <c r="A240" s="203">
        <f>ROW()-1</f>
        <v/>
      </c>
      <c r="B240" s="128" t="inlineStr">
        <is>
          <t>RL7-DRM-101-ZSC-11</t>
        </is>
      </c>
      <c r="C240" s="314" t="inlineStr">
        <is>
          <t>RL7-DRM-101-ZSC-11</t>
        </is>
      </c>
      <c r="D240" s="262" t="inlineStr">
        <is>
          <t>PEC218</t>
        </is>
      </c>
      <c r="E240" s="128" t="n"/>
      <c r="F240" s="138" t="inlineStr">
        <is>
          <t>BREDDO DUMPER CONTAINER IN PLACE PROX</t>
        </is>
      </c>
      <c r="G240" s="131" t="inlineStr">
        <is>
          <t>DG7010</t>
        </is>
      </c>
      <c r="H240" s="128" t="inlineStr">
        <is>
          <t>PROC</t>
        </is>
      </c>
      <c r="I240" s="132" t="inlineStr">
        <is>
          <t>RL7-BRED-RIO1</t>
        </is>
      </c>
      <c r="J240" s="133" t="n">
        <v>11</v>
      </c>
      <c r="K240" s="129" t="n">
        <v>4</v>
      </c>
      <c r="L240" s="129" t="n">
        <v>12</v>
      </c>
      <c r="M240" s="129" t="inlineStr">
        <is>
          <t>24 VDC DI</t>
        </is>
      </c>
      <c r="N240" s="129" t="inlineStr">
        <is>
          <t>5069-IB16</t>
        </is>
      </c>
      <c r="O240" s="139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40" t="n"/>
      <c r="AA240" t="inlineStr">
        <is>
          <t>Matched</t>
        </is>
      </c>
      <c r="AB240" s="315" t="n">
        <v>0.99</v>
      </c>
      <c r="AC240" t="inlineStr">
        <is>
          <t>High</t>
        </is>
      </c>
      <c r="AD240" t="n">
        <v>1</v>
      </c>
      <c r="AE240" t="inlineStr">
        <is>
          <t>DG7010</t>
        </is>
      </c>
      <c r="AF240" t="n">
        <v>9</v>
      </c>
      <c r="AG240" t="inlineStr">
        <is>
          <t>drawing</t>
        </is>
      </c>
      <c r="AH240" t="inlineStr">
        <is>
          <t>stacked:isa</t>
        </is>
      </c>
      <c r="AI240" t="inlineStr">
        <is>
          <t>drawing zone; process page; mapped sheet; excel sheet match</t>
        </is>
      </c>
      <c r="AJ240" t="inlineStr">
        <is>
          <t>native</t>
        </is>
      </c>
      <c r="AK240" t="inlineStr">
        <is>
          <t>native-only</t>
        </is>
      </c>
      <c r="AM240" t="inlineStr">
        <is>
          <t>9</t>
        </is>
      </c>
      <c r="AN240" t="inlineStr">
        <is>
          <t>Yes</t>
        </is>
      </c>
      <c r="AO240" t="inlineStr">
        <is>
          <t>mapped sheet id</t>
        </is>
      </c>
      <c r="AP240" t="inlineStr">
        <is>
          <t>p9:native:113, p9:native:114</t>
        </is>
      </c>
      <c r="AQ240" t="n">
        <v>2</v>
      </c>
    </row>
    <row r="241">
      <c r="A241" s="203">
        <f>ROW()-1</f>
        <v/>
      </c>
      <c r="B241" s="128" t="inlineStr">
        <is>
          <t>RL7-TNK-101-PBL-01</t>
        </is>
      </c>
      <c r="C241" s="313" t="inlineStr">
        <is>
          <t>RL7-TNK-101-PBL-01</t>
        </is>
      </c>
      <c r="D241" s="262" t="n"/>
      <c r="E241" s="128" t="n"/>
      <c r="F241" s="138" t="inlineStr">
        <is>
          <t>BREDDO MIXER E-STOP PB PILOT LIGHT</t>
        </is>
      </c>
      <c r="G241" s="131" t="inlineStr">
        <is>
          <t>DG7010</t>
        </is>
      </c>
      <c r="H241" s="128" t="inlineStr">
        <is>
          <t>PROC</t>
        </is>
      </c>
      <c r="I241" s="132" t="inlineStr">
        <is>
          <t>RL7-BRED-RIO1</t>
        </is>
      </c>
      <c r="J241" s="133" t="n">
        <v>11</v>
      </c>
      <c r="K241" s="129" t="n">
        <v>6</v>
      </c>
      <c r="L241" s="129" t="n">
        <v>0</v>
      </c>
      <c r="M241" s="129" t="inlineStr">
        <is>
          <t>24 VDC DO</t>
        </is>
      </c>
      <c r="N241" s="129" t="inlineStr">
        <is>
          <t>5069-OB16</t>
        </is>
      </c>
      <c r="O241" s="139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40" t="n"/>
      <c r="AA241" t="inlineStr">
        <is>
          <t>Not found in PDF</t>
        </is>
      </c>
      <c r="AC241" t="inlineStr">
        <is>
          <t>Low</t>
        </is>
      </c>
      <c r="AM241" t="inlineStr">
        <is>
          <t>9</t>
        </is>
      </c>
      <c r="AN241" t="inlineStr">
        <is>
          <t>Yes</t>
        </is>
      </c>
      <c r="AO241" t="inlineStr">
        <is>
          <t>mapped sheet id</t>
        </is>
      </c>
    </row>
    <row r="242">
      <c r="A242" s="203">
        <f>ROW()-1</f>
        <v/>
      </c>
      <c r="B242" s="128" t="inlineStr">
        <is>
          <t>RL7-TNK-101-XY-02</t>
        </is>
      </c>
      <c r="C242" s="316" t="inlineStr">
        <is>
          <t>RL7-TNK-101-XV-02</t>
        </is>
      </c>
      <c r="D242" s="262" t="n"/>
      <c r="E242" s="128" t="n"/>
      <c r="F242" s="138" t="inlineStr">
        <is>
          <t>BREDDO MIXER  CIP / PCW MIX PROOF VALVE OPEN SOLENOID</t>
        </is>
      </c>
      <c r="G242" s="131" t="inlineStr">
        <is>
          <t>DG7010</t>
        </is>
      </c>
      <c r="H242" s="128" t="inlineStr">
        <is>
          <t>PROC</t>
        </is>
      </c>
      <c r="I242" s="132" t="inlineStr">
        <is>
          <t>RL7-BRED-RIO1</t>
        </is>
      </c>
      <c r="J242" s="133" t="n">
        <v>11</v>
      </c>
      <c r="K242" s="129" t="n">
        <v>6</v>
      </c>
      <c r="L242" s="129" t="n">
        <v>1</v>
      </c>
      <c r="M242" s="129" t="inlineStr">
        <is>
          <t>24 VDC DO</t>
        </is>
      </c>
      <c r="N242" s="129" t="inlineStr">
        <is>
          <t>5069-OB16</t>
        </is>
      </c>
      <c r="O242" s="139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40" t="n"/>
      <c r="AA242" t="inlineStr">
        <is>
          <t>Matched</t>
        </is>
      </c>
      <c r="AB242" s="315" t="n">
        <v>0.99</v>
      </c>
      <c r="AC242" t="inlineStr">
        <is>
          <t>High</t>
        </is>
      </c>
      <c r="AD242" t="n">
        <v>1</v>
      </c>
      <c r="AE242" t="inlineStr">
        <is>
          <t>DG7010</t>
        </is>
      </c>
      <c r="AF242" t="n">
        <v>9</v>
      </c>
      <c r="AG242" t="inlineStr">
        <is>
          <t>drawing</t>
        </is>
      </c>
      <c r="AH242" t="inlineStr">
        <is>
          <t>stacked:isa</t>
        </is>
      </c>
      <c r="AI242" t="inlineStr">
        <is>
          <t>drawing zone; process page; mapped sheet; excel sheet match</t>
        </is>
      </c>
      <c r="AJ242" t="inlineStr">
        <is>
          <t>native</t>
        </is>
      </c>
      <c r="AK242" t="inlineStr">
        <is>
          <t>native-only</t>
        </is>
      </c>
      <c r="AM242" t="inlineStr">
        <is>
          <t>9</t>
        </is>
      </c>
      <c r="AN242" t="inlineStr">
        <is>
          <t>Yes</t>
        </is>
      </c>
      <c r="AO242" t="inlineStr">
        <is>
          <t>mapped sheet id</t>
        </is>
      </c>
      <c r="AP242" t="inlineStr">
        <is>
          <t>p9:native:331, p9:native:332</t>
        </is>
      </c>
      <c r="AQ242" t="n">
        <v>2</v>
      </c>
    </row>
    <row r="243">
      <c r="A243" s="203">
        <f>ROW()-1</f>
        <v/>
      </c>
      <c r="B243" s="128" t="inlineStr">
        <is>
          <t>RL7-TNK-101-XV-01</t>
        </is>
      </c>
      <c r="C243" s="314" t="inlineStr">
        <is>
          <t>RL7-TNK-101-XV-01</t>
        </is>
      </c>
      <c r="D243" s="262" t="n"/>
      <c r="E243" s="128" t="n"/>
      <c r="F243" s="138" t="inlineStr">
        <is>
          <t>BREDDO MIXER PCW SUPPLY VALVE OPEN SOLENOID</t>
        </is>
      </c>
      <c r="G243" s="131" t="inlineStr">
        <is>
          <t>DG7010</t>
        </is>
      </c>
      <c r="H243" s="128" t="inlineStr">
        <is>
          <t>PROC</t>
        </is>
      </c>
      <c r="I243" s="132" t="inlineStr">
        <is>
          <t>RL7-BRED-RIO1</t>
        </is>
      </c>
      <c r="J243" s="133" t="n">
        <v>11</v>
      </c>
      <c r="K243" s="129" t="n">
        <v>6</v>
      </c>
      <c r="L243" s="129" t="n">
        <v>2</v>
      </c>
      <c r="M243" s="129" t="inlineStr">
        <is>
          <t>24 VDC DO</t>
        </is>
      </c>
      <c r="N243" s="129" t="inlineStr">
        <is>
          <t>5069-OB16</t>
        </is>
      </c>
      <c r="O243" s="139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40" t="n"/>
      <c r="AA243" t="inlineStr">
        <is>
          <t>Matched</t>
        </is>
      </c>
      <c r="AB243" s="315" t="n">
        <v>0.99</v>
      </c>
      <c r="AC243" t="inlineStr">
        <is>
          <t>High</t>
        </is>
      </c>
      <c r="AD243" t="n">
        <v>1</v>
      </c>
      <c r="AE243" t="inlineStr">
        <is>
          <t>DG7010</t>
        </is>
      </c>
      <c r="AF243" t="n">
        <v>9</v>
      </c>
      <c r="AG243" t="inlineStr">
        <is>
          <t>drawing</t>
        </is>
      </c>
      <c r="AH243" t="inlineStr">
        <is>
          <t>stacked:isa</t>
        </is>
      </c>
      <c r="AI243" t="inlineStr">
        <is>
          <t>drawing zone; process page; mapped sheet; excel sheet match</t>
        </is>
      </c>
      <c r="AJ243" t="inlineStr">
        <is>
          <t>native</t>
        </is>
      </c>
      <c r="AK243" t="inlineStr">
        <is>
          <t>native-only</t>
        </is>
      </c>
      <c r="AM243" t="inlineStr">
        <is>
          <t>9</t>
        </is>
      </c>
      <c r="AN243" t="inlineStr">
        <is>
          <t>Yes</t>
        </is>
      </c>
      <c r="AO243" t="inlineStr">
        <is>
          <t>mapped sheet id</t>
        </is>
      </c>
      <c r="AP243" t="inlineStr">
        <is>
          <t>p9:native:344, p9:native:345</t>
        </is>
      </c>
      <c r="AQ243" t="n">
        <v>2</v>
      </c>
    </row>
    <row r="244">
      <c r="A244" s="203">
        <f>ROW()-1</f>
        <v/>
      </c>
      <c r="B244" s="128" t="inlineStr">
        <is>
          <t>RL7-TNK-101-XY-03</t>
        </is>
      </c>
      <c r="C244" s="316" t="inlineStr">
        <is>
          <t>RL7-TNK-101-XV-03</t>
        </is>
      </c>
      <c r="D244" s="262" t="n"/>
      <c r="E244" s="128" t="n"/>
      <c r="F244" s="138" t="inlineStr">
        <is>
          <t xml:space="preserve">BREDDO MIXER  DISCHARGE VALVE OPEN SOLENOID   </t>
        </is>
      </c>
      <c r="G244" s="131" t="inlineStr">
        <is>
          <t>DG7010</t>
        </is>
      </c>
      <c r="H244" s="128" t="inlineStr">
        <is>
          <t>PROC</t>
        </is>
      </c>
      <c r="I244" s="132" t="inlineStr">
        <is>
          <t>RL7-BRED-RIO1</t>
        </is>
      </c>
      <c r="J244" s="133" t="n">
        <v>11</v>
      </c>
      <c r="K244" s="129" t="n">
        <v>6</v>
      </c>
      <c r="L244" s="129" t="n">
        <v>3</v>
      </c>
      <c r="M244" s="129" t="inlineStr">
        <is>
          <t>24 VDC DO</t>
        </is>
      </c>
      <c r="N244" s="129" t="inlineStr">
        <is>
          <t>5069-OB16</t>
        </is>
      </c>
      <c r="O244" s="139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40" t="n"/>
      <c r="AA244" t="inlineStr">
        <is>
          <t>Matched</t>
        </is>
      </c>
      <c r="AB244" s="315" t="n">
        <v>0.99</v>
      </c>
      <c r="AC244" t="inlineStr">
        <is>
          <t>High</t>
        </is>
      </c>
      <c r="AD244" t="n">
        <v>1</v>
      </c>
      <c r="AE244" t="inlineStr">
        <is>
          <t>DG7010</t>
        </is>
      </c>
      <c r="AF244" t="n">
        <v>9</v>
      </c>
      <c r="AG244" t="inlineStr">
        <is>
          <t>drawing</t>
        </is>
      </c>
      <c r="AH244" t="inlineStr">
        <is>
          <t>stacked:isa</t>
        </is>
      </c>
      <c r="AI244" t="inlineStr">
        <is>
          <t>drawing zone; process page; mapped sheet; excel sheet match</t>
        </is>
      </c>
      <c r="AJ244" t="inlineStr">
        <is>
          <t>native</t>
        </is>
      </c>
      <c r="AK244" t="inlineStr">
        <is>
          <t>native-only</t>
        </is>
      </c>
      <c r="AM244" t="inlineStr">
        <is>
          <t>9</t>
        </is>
      </c>
      <c r="AN244" t="inlineStr">
        <is>
          <t>Yes</t>
        </is>
      </c>
      <c r="AO244" t="inlineStr">
        <is>
          <t>mapped sheet id</t>
        </is>
      </c>
      <c r="AP244" t="inlineStr">
        <is>
          <t>p9:native:27, p9:native:28</t>
        </is>
      </c>
      <c r="AQ244" t="n">
        <v>2</v>
      </c>
    </row>
    <row r="245">
      <c r="A245" s="203">
        <f>ROW()-1</f>
        <v/>
      </c>
      <c r="B245" s="128" t="inlineStr">
        <is>
          <t>RL7-TNK-101-XV-04</t>
        </is>
      </c>
      <c r="C245" s="313" t="inlineStr">
        <is>
          <t>RL7-TNK-101-XV-04</t>
        </is>
      </c>
      <c r="D245" s="262" t="n"/>
      <c r="E245" s="128" t="n"/>
      <c r="F245" s="138" t="inlineStr">
        <is>
          <t xml:space="preserve">BREDDO MIXER SEAL FLUSH SOLENOID VALVE </t>
        </is>
      </c>
      <c r="G245" s="131" t="inlineStr">
        <is>
          <t>DG7010</t>
        </is>
      </c>
      <c r="H245" s="128" t="inlineStr">
        <is>
          <t>PROC</t>
        </is>
      </c>
      <c r="I245" s="132" t="inlineStr">
        <is>
          <t>RL7-BRED-RIO1</t>
        </is>
      </c>
      <c r="J245" s="133" t="n">
        <v>11</v>
      </c>
      <c r="K245" s="129" t="n">
        <v>6</v>
      </c>
      <c r="L245" s="129" t="n">
        <v>4</v>
      </c>
      <c r="M245" s="129" t="inlineStr">
        <is>
          <t>24 VDC DO</t>
        </is>
      </c>
      <c r="N245" s="129" t="inlineStr">
        <is>
          <t>5069-OB16</t>
        </is>
      </c>
      <c r="O245" s="139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40" t="n"/>
      <c r="AA245" t="inlineStr">
        <is>
          <t>Not found in PDF</t>
        </is>
      </c>
      <c r="AC245" t="inlineStr">
        <is>
          <t>Low</t>
        </is>
      </c>
      <c r="AM245" t="inlineStr">
        <is>
          <t>9</t>
        </is>
      </c>
      <c r="AN245" t="inlineStr">
        <is>
          <t>Yes</t>
        </is>
      </c>
      <c r="AO245" t="inlineStr">
        <is>
          <t>mapped sheet id</t>
        </is>
      </c>
    </row>
    <row r="246">
      <c r="A246" s="203">
        <f>ROW()-1</f>
        <v/>
      </c>
      <c r="B246" s="128" t="inlineStr">
        <is>
          <t>RL7-DRM-101-AH-01</t>
        </is>
      </c>
      <c r="C246" s="314" t="inlineStr">
        <is>
          <t>RL7-DRM-101-AH-01</t>
        </is>
      </c>
      <c r="D246" s="262" t="inlineStr">
        <is>
          <t>SND317</t>
        </is>
      </c>
      <c r="E246" s="128" t="n"/>
      <c r="F246" s="138" t="inlineStr">
        <is>
          <t>BREDO DUMPER ALARM HORN</t>
        </is>
      </c>
      <c r="G246" s="131" t="inlineStr">
        <is>
          <t>DG7010</t>
        </is>
      </c>
      <c r="H246" s="128" t="inlineStr">
        <is>
          <t>PROC</t>
        </is>
      </c>
      <c r="I246" s="132" t="inlineStr">
        <is>
          <t>RL7-BRED-RIO1</t>
        </is>
      </c>
      <c r="J246" s="133" t="n">
        <v>11</v>
      </c>
      <c r="K246" s="129" t="n">
        <v>6</v>
      </c>
      <c r="L246" s="129" t="n">
        <v>9</v>
      </c>
      <c r="M246" s="129" t="inlineStr">
        <is>
          <t>24 VDC DO</t>
        </is>
      </c>
      <c r="N246" s="129" t="inlineStr">
        <is>
          <t>5069-OB16</t>
        </is>
      </c>
      <c r="O246" s="139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40" t="n"/>
      <c r="AA246" t="inlineStr">
        <is>
          <t>Matched</t>
        </is>
      </c>
      <c r="AB246" s="315" t="n">
        <v>0.99</v>
      </c>
      <c r="AC246" t="inlineStr">
        <is>
          <t>High</t>
        </is>
      </c>
      <c r="AD246" t="n">
        <v>1</v>
      </c>
      <c r="AE246" t="inlineStr">
        <is>
          <t>DG7010</t>
        </is>
      </c>
      <c r="AF246" t="n">
        <v>9</v>
      </c>
      <c r="AG246" t="inlineStr">
        <is>
          <t>drawing</t>
        </is>
      </c>
      <c r="AH246" t="inlineStr">
        <is>
          <t>stacked:isa</t>
        </is>
      </c>
      <c r="AI246" t="inlineStr">
        <is>
          <t>drawing zone; process page; mapped sheet; excel sheet match</t>
        </is>
      </c>
      <c r="AJ246" t="inlineStr">
        <is>
          <t>native</t>
        </is>
      </c>
      <c r="AK246" t="inlineStr">
        <is>
          <t>native-only</t>
        </is>
      </c>
      <c r="AM246" t="inlineStr">
        <is>
          <t>9</t>
        </is>
      </c>
      <c r="AN246" t="inlineStr">
        <is>
          <t>Yes</t>
        </is>
      </c>
      <c r="AO246" t="inlineStr">
        <is>
          <t>mapped sheet id</t>
        </is>
      </c>
      <c r="AP246" t="inlineStr">
        <is>
          <t>p9:native:140, p9:native:141</t>
        </is>
      </c>
      <c r="AQ246" t="n">
        <v>2</v>
      </c>
    </row>
    <row r="247">
      <c r="A247" s="203">
        <f>ROW()-1</f>
        <v/>
      </c>
      <c r="B247" s="128" t="inlineStr">
        <is>
          <t>RL7-DRM-101-PL-01R</t>
        </is>
      </c>
      <c r="C247" s="314" t="inlineStr">
        <is>
          <t>RL7-DRM-101-PL-01R</t>
        </is>
      </c>
      <c r="D247" s="262" t="inlineStr">
        <is>
          <t>LT315</t>
        </is>
      </c>
      <c r="E247" s="128" t="n"/>
      <c r="F247" s="138" t="inlineStr">
        <is>
          <t>BREDO DUMPER RED PILOT LIGHT</t>
        </is>
      </c>
      <c r="G247" s="131" t="inlineStr">
        <is>
          <t>DG7010</t>
        </is>
      </c>
      <c r="H247" s="128" t="inlineStr">
        <is>
          <t>PROC</t>
        </is>
      </c>
      <c r="I247" s="132" t="inlineStr">
        <is>
          <t>RL7-BRED-RIO1</t>
        </is>
      </c>
      <c r="J247" s="133" t="n">
        <v>11</v>
      </c>
      <c r="K247" s="129" t="n">
        <v>6</v>
      </c>
      <c r="L247" s="129" t="n">
        <v>10</v>
      </c>
      <c r="M247" s="129" t="inlineStr">
        <is>
          <t>24 VDC DO</t>
        </is>
      </c>
      <c r="N247" s="129" t="inlineStr">
        <is>
          <t>5069-OB16</t>
        </is>
      </c>
      <c r="O247" s="139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40" t="n"/>
      <c r="AA247" t="inlineStr">
        <is>
          <t>Matched</t>
        </is>
      </c>
      <c r="AB247" s="315" t="n">
        <v>0.99</v>
      </c>
      <c r="AC247" t="inlineStr">
        <is>
          <t>High</t>
        </is>
      </c>
      <c r="AD247" t="n">
        <v>1</v>
      </c>
      <c r="AE247" t="inlineStr">
        <is>
          <t>DG7010</t>
        </is>
      </c>
      <c r="AF247" t="n">
        <v>9</v>
      </c>
      <c r="AG247" t="inlineStr">
        <is>
          <t>drawing</t>
        </is>
      </c>
      <c r="AH247" t="inlineStr">
        <is>
          <t>stacked:isa</t>
        </is>
      </c>
      <c r="AI247" t="inlineStr">
        <is>
          <t>drawing zone; process page; mapped sheet; excel sheet match</t>
        </is>
      </c>
      <c r="AJ247" t="inlineStr">
        <is>
          <t>native</t>
        </is>
      </c>
      <c r="AK247" t="inlineStr">
        <is>
          <t>native-only</t>
        </is>
      </c>
      <c r="AM247" t="inlineStr">
        <is>
          <t>9</t>
        </is>
      </c>
      <c r="AN247" t="inlineStr">
        <is>
          <t>Yes</t>
        </is>
      </c>
      <c r="AO247" t="inlineStr">
        <is>
          <t>mapped sheet id</t>
        </is>
      </c>
      <c r="AP247" t="inlineStr">
        <is>
          <t>p9:native:131, p9:native:132</t>
        </is>
      </c>
      <c r="AQ247" t="n">
        <v>2</v>
      </c>
    </row>
    <row r="248">
      <c r="A248" s="203">
        <f>ROW()-1</f>
        <v/>
      </c>
      <c r="B248" s="128" t="inlineStr">
        <is>
          <t>RL7-DRM-101-PL-01Y</t>
        </is>
      </c>
      <c r="C248" s="314" t="inlineStr">
        <is>
          <t>RL7-DRM-101-PL-01Y</t>
        </is>
      </c>
      <c r="D248" s="262" t="inlineStr">
        <is>
          <t>LT316</t>
        </is>
      </c>
      <c r="E248" s="128" t="n"/>
      <c r="F248" s="138" t="inlineStr">
        <is>
          <t>BREDO DUMPER YELLOW PILOT LIGHT</t>
        </is>
      </c>
      <c r="G248" s="131" t="inlineStr">
        <is>
          <t>DG7010</t>
        </is>
      </c>
      <c r="H248" s="128" t="inlineStr">
        <is>
          <t>PROC</t>
        </is>
      </c>
      <c r="I248" s="132" t="inlineStr">
        <is>
          <t>RL7-BRED-RIO1</t>
        </is>
      </c>
      <c r="J248" s="133" t="n">
        <v>11</v>
      </c>
      <c r="K248" s="129" t="n">
        <v>6</v>
      </c>
      <c r="L248" s="129" t="n">
        <v>11</v>
      </c>
      <c r="M248" s="129" t="inlineStr">
        <is>
          <t>24 VDC DO</t>
        </is>
      </c>
      <c r="N248" s="129" t="inlineStr">
        <is>
          <t>5069-OB16</t>
        </is>
      </c>
      <c r="O248" s="139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40" t="n"/>
      <c r="AA248" t="inlineStr">
        <is>
          <t>Matched</t>
        </is>
      </c>
      <c r="AB248" s="315" t="n">
        <v>0.99</v>
      </c>
      <c r="AC248" t="inlineStr">
        <is>
          <t>High</t>
        </is>
      </c>
      <c r="AD248" t="n">
        <v>1</v>
      </c>
      <c r="AE248" t="inlineStr">
        <is>
          <t>DG7010</t>
        </is>
      </c>
      <c r="AF248" t="n">
        <v>9</v>
      </c>
      <c r="AG248" t="inlineStr">
        <is>
          <t>drawing</t>
        </is>
      </c>
      <c r="AH248" t="inlineStr">
        <is>
          <t>stacked:isa</t>
        </is>
      </c>
      <c r="AI248" t="inlineStr">
        <is>
          <t>drawing zone; process page; mapped sheet; excel sheet match</t>
        </is>
      </c>
      <c r="AJ248" t="inlineStr">
        <is>
          <t>native</t>
        </is>
      </c>
      <c r="AK248" t="inlineStr">
        <is>
          <t>native-only</t>
        </is>
      </c>
      <c r="AM248" t="inlineStr">
        <is>
          <t>9</t>
        </is>
      </c>
      <c r="AN248" t="inlineStr">
        <is>
          <t>Yes</t>
        </is>
      </c>
      <c r="AO248" t="inlineStr">
        <is>
          <t>mapped sheet id</t>
        </is>
      </c>
      <c r="AP248" t="inlineStr">
        <is>
          <t>p9:native:133, p9:native:134</t>
        </is>
      </c>
      <c r="AQ248" t="n">
        <v>2</v>
      </c>
    </row>
    <row r="249">
      <c r="A249" s="203">
        <f>ROW()-1</f>
        <v/>
      </c>
      <c r="B249" s="128" t="inlineStr">
        <is>
          <t>RL7-DRM-101-PL-01G</t>
        </is>
      </c>
      <c r="C249" s="314" t="inlineStr">
        <is>
          <t>RL7-DRM-101-PL-01G</t>
        </is>
      </c>
      <c r="D249" s="262" t="inlineStr">
        <is>
          <t>LT314</t>
        </is>
      </c>
      <c r="E249" s="128" t="n"/>
      <c r="F249" s="138" t="inlineStr">
        <is>
          <t>BREDO DUMPER GREEN PILOT LIGHT</t>
        </is>
      </c>
      <c r="G249" s="131" t="inlineStr">
        <is>
          <t>DG7010</t>
        </is>
      </c>
      <c r="H249" s="128" t="inlineStr">
        <is>
          <t>PROC</t>
        </is>
      </c>
      <c r="I249" s="132" t="inlineStr">
        <is>
          <t>RL7-BRED-RIO1</t>
        </is>
      </c>
      <c r="J249" s="133" t="n">
        <v>11</v>
      </c>
      <c r="K249" s="129" t="n">
        <v>6</v>
      </c>
      <c r="L249" s="129" t="n">
        <v>12</v>
      </c>
      <c r="M249" s="129" t="inlineStr">
        <is>
          <t>24 VDC DO</t>
        </is>
      </c>
      <c r="N249" s="129" t="inlineStr">
        <is>
          <t>5069-OB16</t>
        </is>
      </c>
      <c r="O249" s="139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40" t="n"/>
      <c r="AA249" t="inlineStr">
        <is>
          <t>Matched</t>
        </is>
      </c>
      <c r="AB249" s="315" t="n">
        <v>0.99</v>
      </c>
      <c r="AC249" t="inlineStr">
        <is>
          <t>High</t>
        </is>
      </c>
      <c r="AD249" t="n">
        <v>1</v>
      </c>
      <c r="AE249" t="inlineStr">
        <is>
          <t>DG7010</t>
        </is>
      </c>
      <c r="AF249" t="n">
        <v>9</v>
      </c>
      <c r="AG249" t="inlineStr">
        <is>
          <t>drawing</t>
        </is>
      </c>
      <c r="AH249" t="inlineStr">
        <is>
          <t>stacked:isa</t>
        </is>
      </c>
      <c r="AI249" t="inlineStr">
        <is>
          <t>drawing zone; process page; mapped sheet; excel sheet match</t>
        </is>
      </c>
      <c r="AJ249" t="inlineStr">
        <is>
          <t>native</t>
        </is>
      </c>
      <c r="AK249" t="inlineStr">
        <is>
          <t>native-only</t>
        </is>
      </c>
      <c r="AM249" t="inlineStr">
        <is>
          <t>9</t>
        </is>
      </c>
      <c r="AN249" t="inlineStr">
        <is>
          <t>Yes</t>
        </is>
      </c>
      <c r="AO249" t="inlineStr">
        <is>
          <t>mapped sheet id</t>
        </is>
      </c>
      <c r="AP249" t="inlineStr">
        <is>
          <t>p9:native:135, p9:native:136</t>
        </is>
      </c>
      <c r="AQ249" t="n">
        <v>2</v>
      </c>
    </row>
    <row r="250">
      <c r="A250" s="203">
        <f>ROW()-1</f>
        <v/>
      </c>
      <c r="B250" s="128" t="inlineStr">
        <is>
          <t>RL7-DRM-101-PBL-02</t>
        </is>
      </c>
      <c r="C250" s="314" t="inlineStr">
        <is>
          <t>RL7-DRM-101-PBL-02</t>
        </is>
      </c>
      <c r="D250" s="262" t="inlineStr">
        <is>
          <t>PBL114</t>
        </is>
      </c>
      <c r="E250" s="128" t="n"/>
      <c r="F250" s="138" t="inlineStr">
        <is>
          <t>BREDDO DUMPER LIGHT CURTAIN RESET PB PILOT LIGHT</t>
        </is>
      </c>
      <c r="G250" s="131" t="inlineStr">
        <is>
          <t>DG7010</t>
        </is>
      </c>
      <c r="H250" s="128" t="inlineStr">
        <is>
          <t>PROC</t>
        </is>
      </c>
      <c r="I250" s="132" t="inlineStr">
        <is>
          <t>RL7-BRED-RIO1</t>
        </is>
      </c>
      <c r="J250" s="133" t="n">
        <v>11</v>
      </c>
      <c r="K250" s="129" t="n">
        <v>7</v>
      </c>
      <c r="L250" s="129" t="n">
        <v>1</v>
      </c>
      <c r="M250" s="129" t="inlineStr">
        <is>
          <t>24 VDC DO</t>
        </is>
      </c>
      <c r="N250" s="129" t="inlineStr">
        <is>
          <t>5069-OB16</t>
        </is>
      </c>
      <c r="O250" s="139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40" t="n"/>
      <c r="AA250" t="inlineStr">
        <is>
          <t>Matched</t>
        </is>
      </c>
      <c r="AB250" s="315" t="n">
        <v>0.99</v>
      </c>
      <c r="AC250" t="inlineStr">
        <is>
          <t>High</t>
        </is>
      </c>
      <c r="AD250" t="n">
        <v>1</v>
      </c>
      <c r="AE250" t="inlineStr">
        <is>
          <t>DG7010</t>
        </is>
      </c>
      <c r="AF250" t="n">
        <v>9</v>
      </c>
      <c r="AG250" t="inlineStr">
        <is>
          <t>drawing</t>
        </is>
      </c>
      <c r="AH250" t="inlineStr">
        <is>
          <t>stacked:isa</t>
        </is>
      </c>
      <c r="AI250" t="inlineStr">
        <is>
          <t>drawing zone; process page; mapped sheet; excel sheet match</t>
        </is>
      </c>
      <c r="AJ250" t="inlineStr">
        <is>
          <t>native</t>
        </is>
      </c>
      <c r="AK250" t="inlineStr">
        <is>
          <t>native-only</t>
        </is>
      </c>
      <c r="AM250" t="inlineStr">
        <is>
          <t>9</t>
        </is>
      </c>
      <c r="AN250" t="inlineStr">
        <is>
          <t>Yes</t>
        </is>
      </c>
      <c r="AO250" t="inlineStr">
        <is>
          <t>mapped sheet id</t>
        </is>
      </c>
      <c r="AP250" t="inlineStr">
        <is>
          <t>p9:native:312, p9:native:313</t>
        </is>
      </c>
      <c r="AQ250" t="n">
        <v>2</v>
      </c>
    </row>
    <row r="251">
      <c r="A251" s="203">
        <f>ROW()-1</f>
        <v/>
      </c>
      <c r="B251" s="128" t="inlineStr">
        <is>
          <t>RL7-DRM-101-PBL-03</t>
        </is>
      </c>
      <c r="C251" s="314" t="inlineStr">
        <is>
          <t>RL7-DRM-101-PBL-03</t>
        </is>
      </c>
      <c r="D251" s="262" t="inlineStr">
        <is>
          <t>PBL116</t>
        </is>
      </c>
      <c r="E251" s="128" t="n"/>
      <c r="F251" s="138" t="inlineStr">
        <is>
          <t>BREDDO DUMPER QR SCANNED PB PILOT LIGHT</t>
        </is>
      </c>
      <c r="G251" s="131" t="inlineStr">
        <is>
          <t>DG7010</t>
        </is>
      </c>
      <c r="H251" s="128" t="inlineStr">
        <is>
          <t>PROC</t>
        </is>
      </c>
      <c r="I251" s="132" t="inlineStr">
        <is>
          <t>RL7-BRED-RIO1</t>
        </is>
      </c>
      <c r="J251" s="133" t="n">
        <v>11</v>
      </c>
      <c r="K251" s="129" t="n">
        <v>7</v>
      </c>
      <c r="L251" s="129" t="n">
        <v>2</v>
      </c>
      <c r="M251" s="129" t="inlineStr">
        <is>
          <t>24 VDC DO</t>
        </is>
      </c>
      <c r="N251" s="129" t="inlineStr">
        <is>
          <t>5069-OB16</t>
        </is>
      </c>
      <c r="O251" s="139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40" t="n"/>
      <c r="AA251" t="inlineStr">
        <is>
          <t>Matched</t>
        </is>
      </c>
      <c r="AB251" s="315" t="n">
        <v>0.99</v>
      </c>
      <c r="AC251" t="inlineStr">
        <is>
          <t>High</t>
        </is>
      </c>
      <c r="AD251" t="n">
        <v>1</v>
      </c>
      <c r="AE251" t="inlineStr">
        <is>
          <t>DG7010</t>
        </is>
      </c>
      <c r="AF251" t="n">
        <v>9</v>
      </c>
      <c r="AG251" t="inlineStr">
        <is>
          <t>drawing</t>
        </is>
      </c>
      <c r="AH251" t="inlineStr">
        <is>
          <t>stacked:isa</t>
        </is>
      </c>
      <c r="AI251" t="inlineStr">
        <is>
          <t>drawing zone; process page; mapped sheet; excel sheet match</t>
        </is>
      </c>
      <c r="AJ251" t="inlineStr">
        <is>
          <t>native</t>
        </is>
      </c>
      <c r="AK251" t="inlineStr">
        <is>
          <t>native-only</t>
        </is>
      </c>
      <c r="AM251" t="inlineStr">
        <is>
          <t>9</t>
        </is>
      </c>
      <c r="AN251" t="inlineStr">
        <is>
          <t>Yes</t>
        </is>
      </c>
      <c r="AO251" t="inlineStr">
        <is>
          <t>mapped sheet id</t>
        </is>
      </c>
      <c r="AP251" t="inlineStr">
        <is>
          <t>p9:native:314, p9:native:315</t>
        </is>
      </c>
      <c r="AQ251" t="n">
        <v>2</v>
      </c>
    </row>
    <row r="252">
      <c r="A252" s="203">
        <f>ROW()-1</f>
        <v/>
      </c>
      <c r="B252" s="128" t="inlineStr">
        <is>
          <t>RL7-DRM-101-XY-06</t>
        </is>
      </c>
      <c r="C252" s="314" t="inlineStr">
        <is>
          <t>RL7-DRM-101-XY-06</t>
        </is>
      </c>
      <c r="D252" s="262" t="inlineStr">
        <is>
          <t>SOL301</t>
        </is>
      </c>
      <c r="E252" s="128" t="n"/>
      <c r="F252" s="138" t="inlineStr">
        <is>
          <t>BREDDO DUMPER SEAL SOLENOID</t>
        </is>
      </c>
      <c r="G252" s="131" t="inlineStr">
        <is>
          <t>DG7010</t>
        </is>
      </c>
      <c r="H252" s="128" t="inlineStr">
        <is>
          <t>PROC</t>
        </is>
      </c>
      <c r="I252" s="132" t="inlineStr">
        <is>
          <t>RL7-BRED-RIO1</t>
        </is>
      </c>
      <c r="J252" s="133" t="n">
        <v>11</v>
      </c>
      <c r="K252" s="129" t="n">
        <v>7</v>
      </c>
      <c r="L252" s="129" t="n">
        <v>3</v>
      </c>
      <c r="M252" s="129" t="inlineStr">
        <is>
          <t>24 VDC DO</t>
        </is>
      </c>
      <c r="N252" s="129" t="inlineStr">
        <is>
          <t>5069-OB16</t>
        </is>
      </c>
      <c r="O252" s="139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40" t="n"/>
      <c r="AA252" t="inlineStr">
        <is>
          <t>Matched</t>
        </is>
      </c>
      <c r="AB252" s="315" t="n">
        <v>0.99</v>
      </c>
      <c r="AC252" t="inlineStr">
        <is>
          <t>High</t>
        </is>
      </c>
      <c r="AD252" t="n">
        <v>1</v>
      </c>
      <c r="AE252" t="inlineStr">
        <is>
          <t>DG7010</t>
        </is>
      </c>
      <c r="AF252" t="n">
        <v>9</v>
      </c>
      <c r="AG252" t="inlineStr">
        <is>
          <t>drawing</t>
        </is>
      </c>
      <c r="AH252" t="inlineStr">
        <is>
          <t>stacked:isa</t>
        </is>
      </c>
      <c r="AI252" t="inlineStr">
        <is>
          <t>drawing zone; process page; mapped sheet; excel sheet match</t>
        </is>
      </c>
      <c r="AJ252" t="inlineStr">
        <is>
          <t>native</t>
        </is>
      </c>
      <c r="AK252" t="inlineStr">
        <is>
          <t>native-only</t>
        </is>
      </c>
      <c r="AM252" t="inlineStr">
        <is>
          <t>9</t>
        </is>
      </c>
      <c r="AN252" t="inlineStr">
        <is>
          <t>Yes</t>
        </is>
      </c>
      <c r="AO252" t="inlineStr">
        <is>
          <t>mapped sheet id</t>
        </is>
      </c>
      <c r="AP252" t="inlineStr">
        <is>
          <t>p9:native:191, p9:native:192</t>
        </is>
      </c>
      <c r="AQ252" t="n">
        <v>2</v>
      </c>
    </row>
    <row r="253">
      <c r="A253" s="203">
        <f>ROW()-1</f>
        <v/>
      </c>
      <c r="B253" s="128" t="inlineStr">
        <is>
          <t>RL7-DRM-101-XY-07</t>
        </is>
      </c>
      <c r="C253" s="314" t="inlineStr">
        <is>
          <t>RL7-DRM-101-XY-07</t>
        </is>
      </c>
      <c r="D253" s="262" t="inlineStr">
        <is>
          <t>SOL302</t>
        </is>
      </c>
      <c r="E253" s="128" t="n"/>
      <c r="F253" s="138" t="inlineStr">
        <is>
          <t>BREDDO DUMPER UNSEAL SOLENOID</t>
        </is>
      </c>
      <c r="G253" s="131" t="inlineStr">
        <is>
          <t>DG7010</t>
        </is>
      </c>
      <c r="H253" s="128" t="inlineStr">
        <is>
          <t>PROC</t>
        </is>
      </c>
      <c r="I253" s="132" t="inlineStr">
        <is>
          <t>RL7-BRED-RIO1</t>
        </is>
      </c>
      <c r="J253" s="133" t="n">
        <v>11</v>
      </c>
      <c r="K253" s="129" t="n">
        <v>7</v>
      </c>
      <c r="L253" s="129" t="n">
        <v>4</v>
      </c>
      <c r="M253" s="129" t="inlineStr">
        <is>
          <t>24 VDC DO</t>
        </is>
      </c>
      <c r="N253" s="129" t="inlineStr">
        <is>
          <t>5069-OB16</t>
        </is>
      </c>
      <c r="O253" s="139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40" t="n"/>
      <c r="AA253" t="inlineStr">
        <is>
          <t>Matched</t>
        </is>
      </c>
      <c r="AB253" s="315" t="n">
        <v>0.99</v>
      </c>
      <c r="AC253" t="inlineStr">
        <is>
          <t>High</t>
        </is>
      </c>
      <c r="AD253" t="n">
        <v>1</v>
      </c>
      <c r="AE253" t="inlineStr">
        <is>
          <t>DG7010</t>
        </is>
      </c>
      <c r="AF253" t="n">
        <v>9</v>
      </c>
      <c r="AG253" t="inlineStr">
        <is>
          <t>drawing</t>
        </is>
      </c>
      <c r="AH253" t="inlineStr">
        <is>
          <t>stacked:isa</t>
        </is>
      </c>
      <c r="AI253" t="inlineStr">
        <is>
          <t>drawing zone; process page; mapped sheet; excel sheet match</t>
        </is>
      </c>
      <c r="AJ253" t="inlineStr">
        <is>
          <t>native</t>
        </is>
      </c>
      <c r="AK253" t="inlineStr">
        <is>
          <t>native-only</t>
        </is>
      </c>
      <c r="AM253" t="inlineStr">
        <is>
          <t>9</t>
        </is>
      </c>
      <c r="AN253" t="inlineStr">
        <is>
          <t>Yes</t>
        </is>
      </c>
      <c r="AO253" t="inlineStr">
        <is>
          <t>mapped sheet id</t>
        </is>
      </c>
      <c r="AP253" t="inlineStr">
        <is>
          <t>p9:native:193, p9:native:194</t>
        </is>
      </c>
      <c r="AQ253" t="n">
        <v>2</v>
      </c>
    </row>
    <row r="254">
      <c r="A254" s="203">
        <f>ROW()-1</f>
        <v/>
      </c>
      <c r="B254" s="128" t="inlineStr">
        <is>
          <t>RL7-DRM-101-XY-08</t>
        </is>
      </c>
      <c r="C254" s="314" t="inlineStr">
        <is>
          <t>RL7-DRM-101-XY-08</t>
        </is>
      </c>
      <c r="D254" s="262" t="inlineStr">
        <is>
          <t>SOL303</t>
        </is>
      </c>
      <c r="E254" s="128" t="n"/>
      <c r="F254" s="138" t="inlineStr">
        <is>
          <t>BREDDO DUMPER PIVOT SOLENOID</t>
        </is>
      </c>
      <c r="G254" s="131" t="inlineStr">
        <is>
          <t>DG7010</t>
        </is>
      </c>
      <c r="H254" s="128" t="inlineStr">
        <is>
          <t>PROC</t>
        </is>
      </c>
      <c r="I254" s="132" t="inlineStr">
        <is>
          <t>RL7-BRED-RIO1</t>
        </is>
      </c>
      <c r="J254" s="133" t="n">
        <v>11</v>
      </c>
      <c r="K254" s="129" t="n">
        <v>7</v>
      </c>
      <c r="L254" s="129" t="n">
        <v>5</v>
      </c>
      <c r="M254" s="129" t="inlineStr">
        <is>
          <t>24 VDC DO</t>
        </is>
      </c>
      <c r="N254" s="129" t="inlineStr">
        <is>
          <t>5069-OB16</t>
        </is>
      </c>
      <c r="O254" s="139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40" t="n"/>
      <c r="AA254" t="inlineStr">
        <is>
          <t>Matched</t>
        </is>
      </c>
      <c r="AB254" s="315" t="n">
        <v>0.99</v>
      </c>
      <c r="AC254" t="inlineStr">
        <is>
          <t>High</t>
        </is>
      </c>
      <c r="AD254" t="n">
        <v>1</v>
      </c>
      <c r="AE254" t="inlineStr">
        <is>
          <t>DG7010</t>
        </is>
      </c>
      <c r="AF254" t="n">
        <v>9</v>
      </c>
      <c r="AG254" t="inlineStr">
        <is>
          <t>drawing</t>
        </is>
      </c>
      <c r="AH254" t="inlineStr">
        <is>
          <t>stacked:isa</t>
        </is>
      </c>
      <c r="AI254" t="inlineStr">
        <is>
          <t>drawing zone; process page; mapped sheet; excel sheet match</t>
        </is>
      </c>
      <c r="AJ254" t="inlineStr">
        <is>
          <t>native</t>
        </is>
      </c>
      <c r="AK254" t="inlineStr">
        <is>
          <t>native-only</t>
        </is>
      </c>
      <c r="AM254" t="inlineStr">
        <is>
          <t>9</t>
        </is>
      </c>
      <c r="AN254" t="inlineStr">
        <is>
          <t>Yes</t>
        </is>
      </c>
      <c r="AO254" t="inlineStr">
        <is>
          <t>mapped sheet id</t>
        </is>
      </c>
      <c r="AP254" t="inlineStr">
        <is>
          <t>p9:native:195, p9:native:196</t>
        </is>
      </c>
      <c r="AQ254" t="n">
        <v>2</v>
      </c>
    </row>
    <row r="255">
      <c r="A255" s="203">
        <f>ROW()-1</f>
        <v/>
      </c>
      <c r="B255" s="128" t="inlineStr">
        <is>
          <t>RL7-DRM-101-XY-09</t>
        </is>
      </c>
      <c r="C255" s="314" t="inlineStr">
        <is>
          <t>RL7-DRM-101-XY-09</t>
        </is>
      </c>
      <c r="D255" s="262" t="inlineStr">
        <is>
          <t>SOL304</t>
        </is>
      </c>
      <c r="E255" s="128" t="n"/>
      <c r="F255" s="138" t="inlineStr">
        <is>
          <t>BREDDO DUMPER REVERSE PIVOT SOLENOID</t>
        </is>
      </c>
      <c r="G255" s="131" t="inlineStr">
        <is>
          <t>DG7010</t>
        </is>
      </c>
      <c r="H255" s="128" t="inlineStr">
        <is>
          <t>PROC</t>
        </is>
      </c>
      <c r="I255" s="132" t="inlineStr">
        <is>
          <t>RL7-BRED-RIO1</t>
        </is>
      </c>
      <c r="J255" s="133" t="n">
        <v>11</v>
      </c>
      <c r="K255" s="129" t="n">
        <v>7</v>
      </c>
      <c r="L255" s="129" t="n">
        <v>6</v>
      </c>
      <c r="M255" s="129" t="inlineStr">
        <is>
          <t>24 VDC DO</t>
        </is>
      </c>
      <c r="N255" s="129" t="inlineStr">
        <is>
          <t>5069-OB16</t>
        </is>
      </c>
      <c r="O255" s="139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40" t="n"/>
      <c r="AA255" t="inlineStr">
        <is>
          <t>Matched</t>
        </is>
      </c>
      <c r="AB255" s="315" t="n">
        <v>0.99</v>
      </c>
      <c r="AC255" t="inlineStr">
        <is>
          <t>High</t>
        </is>
      </c>
      <c r="AD255" t="n">
        <v>1</v>
      </c>
      <c r="AE255" t="inlineStr">
        <is>
          <t>DG7010</t>
        </is>
      </c>
      <c r="AF255" t="n">
        <v>9</v>
      </c>
      <c r="AG255" t="inlineStr">
        <is>
          <t>drawing</t>
        </is>
      </c>
      <c r="AH255" t="inlineStr">
        <is>
          <t>stacked:isa</t>
        </is>
      </c>
      <c r="AI255" t="inlineStr">
        <is>
          <t>drawing zone; process page; mapped sheet; excel sheet match</t>
        </is>
      </c>
      <c r="AJ255" t="inlineStr">
        <is>
          <t>native</t>
        </is>
      </c>
      <c r="AK255" t="inlineStr">
        <is>
          <t>native-only</t>
        </is>
      </c>
      <c r="AM255" t="inlineStr">
        <is>
          <t>9</t>
        </is>
      </c>
      <c r="AN255" t="inlineStr">
        <is>
          <t>Yes</t>
        </is>
      </c>
      <c r="AO255" t="inlineStr">
        <is>
          <t>mapped sheet id</t>
        </is>
      </c>
      <c r="AP255" t="inlineStr">
        <is>
          <t>p9:native:197, p9:native:198</t>
        </is>
      </c>
      <c r="AQ255" t="n">
        <v>2</v>
      </c>
    </row>
    <row r="256">
      <c r="A256" s="203">
        <f>ROW()-1</f>
        <v/>
      </c>
      <c r="B256" s="128" t="inlineStr">
        <is>
          <t>RL7-DRM-101-XY-10</t>
        </is>
      </c>
      <c r="C256" s="314" t="inlineStr">
        <is>
          <t>RL7-DRM-101-XY-10</t>
        </is>
      </c>
      <c r="D256" s="262" t="inlineStr">
        <is>
          <t>SOL305</t>
        </is>
      </c>
      <c r="E256" s="128" t="n"/>
      <c r="F256" s="138" t="inlineStr">
        <is>
          <t>BREDDO DUMPER SLOW SPEED SOLENOID</t>
        </is>
      </c>
      <c r="G256" s="131" t="inlineStr">
        <is>
          <t>DG7010</t>
        </is>
      </c>
      <c r="H256" s="128" t="inlineStr">
        <is>
          <t>PROC</t>
        </is>
      </c>
      <c r="I256" s="132" t="inlineStr">
        <is>
          <t>RL7-BRED-RIO1</t>
        </is>
      </c>
      <c r="J256" s="133" t="n">
        <v>11</v>
      </c>
      <c r="K256" s="129" t="n">
        <v>7</v>
      </c>
      <c r="L256" s="129" t="n">
        <v>7</v>
      </c>
      <c r="M256" s="129" t="inlineStr">
        <is>
          <t>24 VDC DO</t>
        </is>
      </c>
      <c r="N256" s="129" t="inlineStr">
        <is>
          <t>5069-OB16</t>
        </is>
      </c>
      <c r="O256" s="139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40" t="n"/>
      <c r="AA256" t="inlineStr">
        <is>
          <t>Matched</t>
        </is>
      </c>
      <c r="AB256" s="315" t="n">
        <v>0.99</v>
      </c>
      <c r="AC256" t="inlineStr">
        <is>
          <t>High</t>
        </is>
      </c>
      <c r="AD256" t="n">
        <v>1</v>
      </c>
      <c r="AE256" t="inlineStr">
        <is>
          <t>DG7010</t>
        </is>
      </c>
      <c r="AF256" t="n">
        <v>9</v>
      </c>
      <c r="AG256" t="inlineStr">
        <is>
          <t>drawing</t>
        </is>
      </c>
      <c r="AH256" t="inlineStr">
        <is>
          <t>stacked:isa</t>
        </is>
      </c>
      <c r="AI256" t="inlineStr">
        <is>
          <t>drawing zone; process page; mapped sheet; excel sheet match</t>
        </is>
      </c>
      <c r="AJ256" t="inlineStr">
        <is>
          <t>native</t>
        </is>
      </c>
      <c r="AK256" t="inlineStr">
        <is>
          <t>native-only</t>
        </is>
      </c>
      <c r="AM256" t="inlineStr">
        <is>
          <t>9</t>
        </is>
      </c>
      <c r="AN256" t="inlineStr">
        <is>
          <t>Yes</t>
        </is>
      </c>
      <c r="AO256" t="inlineStr">
        <is>
          <t>mapped sheet id</t>
        </is>
      </c>
      <c r="AP256" t="inlineStr">
        <is>
          <t>p9:native:189, p9:native:190</t>
        </is>
      </c>
      <c r="AQ256" t="n">
        <v>2</v>
      </c>
    </row>
    <row r="257">
      <c r="A257" s="203">
        <f>ROW()-1</f>
        <v/>
      </c>
      <c r="B257" s="128" t="inlineStr">
        <is>
          <t>RL7-DRM-101-XY-01B</t>
        </is>
      </c>
      <c r="C257" s="314" t="inlineStr">
        <is>
          <t>RL7-DRM-101-XY-01B</t>
        </is>
      </c>
      <c r="D257" s="262" t="inlineStr">
        <is>
          <t>SOL306</t>
        </is>
      </c>
      <c r="E257" s="128" t="n"/>
      <c r="F257" s="138" t="inlineStr">
        <is>
          <t>BREDDO DUMPER DISCHARGE SLIDE GATE CLOSE SOLENOID</t>
        </is>
      </c>
      <c r="G257" s="131" t="inlineStr">
        <is>
          <t>DG7010</t>
        </is>
      </c>
      <c r="H257" s="128" t="inlineStr">
        <is>
          <t>PROC</t>
        </is>
      </c>
      <c r="I257" s="132" t="inlineStr">
        <is>
          <t>RL7-BRED-RIO1</t>
        </is>
      </c>
      <c r="J257" s="133" t="n">
        <v>11</v>
      </c>
      <c r="K257" s="129" t="n">
        <v>7</v>
      </c>
      <c r="L257" s="129" t="n">
        <v>8</v>
      </c>
      <c r="M257" s="129" t="inlineStr">
        <is>
          <t>24 VDC DO</t>
        </is>
      </c>
      <c r="N257" s="129" t="inlineStr">
        <is>
          <t>5069-OB16</t>
        </is>
      </c>
      <c r="O257" s="139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40" t="n"/>
      <c r="AA257" t="inlineStr">
        <is>
          <t>Matched</t>
        </is>
      </c>
      <c r="AB257" s="315" t="n">
        <v>0.99</v>
      </c>
      <c r="AC257" t="inlineStr">
        <is>
          <t>High</t>
        </is>
      </c>
      <c r="AD257" t="n">
        <v>1</v>
      </c>
      <c r="AE257" t="inlineStr">
        <is>
          <t>DG7010</t>
        </is>
      </c>
      <c r="AF257" t="n">
        <v>9</v>
      </c>
      <c r="AG257" t="inlineStr">
        <is>
          <t>drawing</t>
        </is>
      </c>
      <c r="AH257" t="inlineStr">
        <is>
          <t>stacked:isa</t>
        </is>
      </c>
      <c r="AI257" t="inlineStr">
        <is>
          <t>drawing zone; process page; mapped sheet; excel sheet match</t>
        </is>
      </c>
      <c r="AJ257" t="inlineStr">
        <is>
          <t>native</t>
        </is>
      </c>
      <c r="AK257" t="inlineStr">
        <is>
          <t>native-only</t>
        </is>
      </c>
      <c r="AM257" t="inlineStr">
        <is>
          <t>9</t>
        </is>
      </c>
      <c r="AN257" t="inlineStr">
        <is>
          <t>Yes</t>
        </is>
      </c>
      <c r="AO257" t="inlineStr">
        <is>
          <t>mapped sheet id</t>
        </is>
      </c>
      <c r="AP257" t="inlineStr">
        <is>
          <t>p9:native:86, p9:native:87</t>
        </is>
      </c>
      <c r="AQ257" t="n">
        <v>2</v>
      </c>
    </row>
    <row r="258">
      <c r="A258" s="203">
        <f>ROW()-1</f>
        <v/>
      </c>
      <c r="B258" s="128" t="inlineStr">
        <is>
          <t>RL7-DRM-101-XY-01A</t>
        </is>
      </c>
      <c r="C258" s="314" t="inlineStr">
        <is>
          <t>RL7-DRM-101-XY-01A</t>
        </is>
      </c>
      <c r="D258" s="262" t="inlineStr">
        <is>
          <t>SOL307</t>
        </is>
      </c>
      <c r="E258" s="128" t="n"/>
      <c r="F258" s="138" t="inlineStr">
        <is>
          <t>BREDDO DUMPER DISCHARGE SLIDE GATE OPEN SOLENOID</t>
        </is>
      </c>
      <c r="G258" s="131" t="inlineStr">
        <is>
          <t>DG7010</t>
        </is>
      </c>
      <c r="H258" s="128" t="inlineStr">
        <is>
          <t>PROC</t>
        </is>
      </c>
      <c r="I258" s="132" t="inlineStr">
        <is>
          <t>RL7-BRED-RIO1</t>
        </is>
      </c>
      <c r="J258" s="133" t="n">
        <v>11</v>
      </c>
      <c r="K258" s="129" t="n">
        <v>7</v>
      </c>
      <c r="L258" s="129" t="n">
        <v>9</v>
      </c>
      <c r="M258" s="129" t="inlineStr">
        <is>
          <t>24 VDC DO</t>
        </is>
      </c>
      <c r="N258" s="129" t="inlineStr">
        <is>
          <t>5069-OB16</t>
        </is>
      </c>
      <c r="O258" s="139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40" t="n"/>
      <c r="AA258" t="inlineStr">
        <is>
          <t>Matched</t>
        </is>
      </c>
      <c r="AB258" s="315" t="n">
        <v>0.99</v>
      </c>
      <c r="AC258" t="inlineStr">
        <is>
          <t>High</t>
        </is>
      </c>
      <c r="AD258" t="n">
        <v>1</v>
      </c>
      <c r="AE258" t="inlineStr">
        <is>
          <t>DG7010</t>
        </is>
      </c>
      <c r="AF258" t="n">
        <v>9</v>
      </c>
      <c r="AG258" t="inlineStr">
        <is>
          <t>drawing</t>
        </is>
      </c>
      <c r="AH258" t="inlineStr">
        <is>
          <t>stacked:isa</t>
        </is>
      </c>
      <c r="AI258" t="inlineStr">
        <is>
          <t>drawing zone; process page; mapped sheet; excel sheet match</t>
        </is>
      </c>
      <c r="AJ258" t="inlineStr">
        <is>
          <t>native</t>
        </is>
      </c>
      <c r="AK258" t="inlineStr">
        <is>
          <t>native-only</t>
        </is>
      </c>
      <c r="AM258" t="inlineStr">
        <is>
          <t>9</t>
        </is>
      </c>
      <c r="AN258" t="inlineStr">
        <is>
          <t>Yes</t>
        </is>
      </c>
      <c r="AO258" t="inlineStr">
        <is>
          <t>mapped sheet id</t>
        </is>
      </c>
      <c r="AP258" t="inlineStr">
        <is>
          <t>p9:native:308, p9:native:309</t>
        </is>
      </c>
      <c r="AQ258" t="n">
        <v>2</v>
      </c>
    </row>
    <row r="259">
      <c r="A259" s="203">
        <f>ROW()-1</f>
        <v/>
      </c>
      <c r="B259" s="128" t="inlineStr">
        <is>
          <t>RL7-DRM-101-XY-02B</t>
        </is>
      </c>
      <c r="C259" s="314" t="inlineStr">
        <is>
          <t>RL7-DRM-101-XY-02B</t>
        </is>
      </c>
      <c r="D259" s="262" t="inlineStr">
        <is>
          <t>SOL308</t>
        </is>
      </c>
      <c r="E259" s="128" t="n"/>
      <c r="F259" s="138" t="inlineStr">
        <is>
          <t>BREDDO DUMPER MIXER SUPPLY SLIDE GATE CLOSE SOLENOID</t>
        </is>
      </c>
      <c r="G259" s="131" t="inlineStr">
        <is>
          <t>DG7010</t>
        </is>
      </c>
      <c r="H259" s="128" t="inlineStr">
        <is>
          <t>PROC</t>
        </is>
      </c>
      <c r="I259" s="132" t="inlineStr">
        <is>
          <t>RL7-BRED-RIO1</t>
        </is>
      </c>
      <c r="J259" s="133" t="n">
        <v>11</v>
      </c>
      <c r="K259" s="129" t="n">
        <v>7</v>
      </c>
      <c r="L259" s="129" t="n">
        <v>10</v>
      </c>
      <c r="M259" s="129" t="inlineStr">
        <is>
          <t>24 VDC DO</t>
        </is>
      </c>
      <c r="N259" s="129" t="inlineStr">
        <is>
          <t>5069-OB16</t>
        </is>
      </c>
      <c r="O259" s="139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40" t="n"/>
      <c r="AA259" t="inlineStr">
        <is>
          <t>Matched</t>
        </is>
      </c>
      <c r="AB259" s="315" t="n">
        <v>0.99</v>
      </c>
      <c r="AC259" t="inlineStr">
        <is>
          <t>High</t>
        </is>
      </c>
      <c r="AD259" t="n">
        <v>1</v>
      </c>
      <c r="AE259" t="inlineStr">
        <is>
          <t>DG7010</t>
        </is>
      </c>
      <c r="AF259" t="n">
        <v>9</v>
      </c>
      <c r="AG259" t="inlineStr">
        <is>
          <t>drawing</t>
        </is>
      </c>
      <c r="AH259" t="inlineStr">
        <is>
          <t>stacked:isa</t>
        </is>
      </c>
      <c r="AI259" t="inlineStr">
        <is>
          <t>drawing zone; process page; mapped sheet; excel sheet match</t>
        </is>
      </c>
      <c r="AJ259" t="inlineStr">
        <is>
          <t>native</t>
        </is>
      </c>
      <c r="AK259" t="inlineStr">
        <is>
          <t>native-only</t>
        </is>
      </c>
      <c r="AM259" t="inlineStr">
        <is>
          <t>9</t>
        </is>
      </c>
      <c r="AN259" t="inlineStr">
        <is>
          <t>Yes</t>
        </is>
      </c>
      <c r="AO259" t="inlineStr">
        <is>
          <t>mapped sheet id</t>
        </is>
      </c>
      <c r="AP259" t="inlineStr">
        <is>
          <t>p9:native:88, p9:native:89</t>
        </is>
      </c>
      <c r="AQ259" t="n">
        <v>2</v>
      </c>
    </row>
    <row r="260">
      <c r="A260" s="203">
        <f>ROW()-1</f>
        <v/>
      </c>
      <c r="B260" s="128" t="inlineStr">
        <is>
          <t>RL7-DRM-101-XY-02A</t>
        </is>
      </c>
      <c r="C260" s="314" t="inlineStr">
        <is>
          <t>RL7-DRM-101-XY-02A</t>
        </is>
      </c>
      <c r="D260" s="262" t="inlineStr">
        <is>
          <t>SOL309</t>
        </is>
      </c>
      <c r="E260" s="128" t="n"/>
      <c r="F260" s="138" t="inlineStr">
        <is>
          <t>BREDDO DUMPER MIXER SUPPLY SLIDE GATE OPEN SOLENOID</t>
        </is>
      </c>
      <c r="G260" s="131" t="inlineStr">
        <is>
          <t>DG7010</t>
        </is>
      </c>
      <c r="H260" s="128" t="inlineStr">
        <is>
          <t>PROC</t>
        </is>
      </c>
      <c r="I260" s="132" t="inlineStr">
        <is>
          <t>RL7-BRED-RIO1</t>
        </is>
      </c>
      <c r="J260" s="133" t="n">
        <v>11</v>
      </c>
      <c r="K260" s="129" t="n">
        <v>7</v>
      </c>
      <c r="L260" s="129" t="n">
        <v>11</v>
      </c>
      <c r="M260" s="129" t="inlineStr">
        <is>
          <t>24 VDC DO</t>
        </is>
      </c>
      <c r="N260" s="129" t="inlineStr">
        <is>
          <t>5069-OB16</t>
        </is>
      </c>
      <c r="O260" s="139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40" t="n"/>
      <c r="AA260" t="inlineStr">
        <is>
          <t>Matched</t>
        </is>
      </c>
      <c r="AB260" s="315" t="n">
        <v>0.99</v>
      </c>
      <c r="AC260" t="inlineStr">
        <is>
          <t>High</t>
        </is>
      </c>
      <c r="AD260" t="n">
        <v>1</v>
      </c>
      <c r="AE260" t="inlineStr">
        <is>
          <t>DG7010</t>
        </is>
      </c>
      <c r="AF260" t="n">
        <v>9</v>
      </c>
      <c r="AG260" t="inlineStr">
        <is>
          <t>drawing</t>
        </is>
      </c>
      <c r="AH260" t="inlineStr">
        <is>
          <t>stacked:isa</t>
        </is>
      </c>
      <c r="AI260" t="inlineStr">
        <is>
          <t>drawing zone; process page; mapped sheet; excel sheet match</t>
        </is>
      </c>
      <c r="AJ260" t="inlineStr">
        <is>
          <t>native</t>
        </is>
      </c>
      <c r="AK260" t="inlineStr">
        <is>
          <t>native-only</t>
        </is>
      </c>
      <c r="AM260" t="inlineStr">
        <is>
          <t>9</t>
        </is>
      </c>
      <c r="AN260" t="inlineStr">
        <is>
          <t>Yes</t>
        </is>
      </c>
      <c r="AO260" t="inlineStr">
        <is>
          <t>mapped sheet id</t>
        </is>
      </c>
      <c r="AP260" t="inlineStr">
        <is>
          <t>p9:native:310, p9:native:311</t>
        </is>
      </c>
      <c r="AQ260" t="n">
        <v>2</v>
      </c>
    </row>
    <row r="261">
      <c r="A261" s="203">
        <f>ROW()-1</f>
        <v/>
      </c>
      <c r="B261" s="128" t="inlineStr">
        <is>
          <t>RL7-DRM-101-XY-03</t>
        </is>
      </c>
      <c r="C261" s="314" t="inlineStr">
        <is>
          <t>RL7-DRM-101-XY-03</t>
        </is>
      </c>
      <c r="D261" s="262" t="inlineStr">
        <is>
          <t>SOL310</t>
        </is>
      </c>
      <c r="E261" s="128" t="n"/>
      <c r="F261" s="138" t="inlineStr">
        <is>
          <t>BREDDO DUMPER VIBRATOR SOLENOID</t>
        </is>
      </c>
      <c r="G261" s="131" t="inlineStr">
        <is>
          <t>DG7010</t>
        </is>
      </c>
      <c r="H261" s="128" t="inlineStr">
        <is>
          <t>PROC</t>
        </is>
      </c>
      <c r="I261" s="132" t="inlineStr">
        <is>
          <t>RL7-BRED-RIO1</t>
        </is>
      </c>
      <c r="J261" s="133" t="n">
        <v>11</v>
      </c>
      <c r="K261" s="129" t="n">
        <v>7</v>
      </c>
      <c r="L261" s="129" t="n">
        <v>12</v>
      </c>
      <c r="M261" s="129" t="inlineStr">
        <is>
          <t>24 VDC DO</t>
        </is>
      </c>
      <c r="N261" s="129" t="inlineStr">
        <is>
          <t>5069-OB16</t>
        </is>
      </c>
      <c r="O261" s="139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40" t="n"/>
      <c r="AA261" t="inlineStr">
        <is>
          <t>Matched</t>
        </is>
      </c>
      <c r="AB261" s="315" t="n">
        <v>0.99</v>
      </c>
      <c r="AC261" t="inlineStr">
        <is>
          <t>High</t>
        </is>
      </c>
      <c r="AD261" t="n">
        <v>1</v>
      </c>
      <c r="AE261" t="inlineStr">
        <is>
          <t>DG7010</t>
        </is>
      </c>
      <c r="AF261" t="n">
        <v>9</v>
      </c>
      <c r="AG261" t="inlineStr">
        <is>
          <t>drawing</t>
        </is>
      </c>
      <c r="AH261" t="inlineStr">
        <is>
          <t>stacked:isa</t>
        </is>
      </c>
      <c r="AI261" t="inlineStr">
        <is>
          <t>drawing zone; process page; mapped sheet; excel sheet match</t>
        </is>
      </c>
      <c r="AJ261" t="inlineStr">
        <is>
          <t>native</t>
        </is>
      </c>
      <c r="AK261" t="inlineStr">
        <is>
          <t>native-only</t>
        </is>
      </c>
      <c r="AM261" t="inlineStr">
        <is>
          <t>9</t>
        </is>
      </c>
      <c r="AN261" t="inlineStr">
        <is>
          <t>Yes</t>
        </is>
      </c>
      <c r="AO261" t="inlineStr">
        <is>
          <t>mapped sheet id</t>
        </is>
      </c>
      <c r="AP261" t="inlineStr">
        <is>
          <t>p9:native:187, p9:native:188</t>
        </is>
      </c>
      <c r="AQ261" t="n">
        <v>2</v>
      </c>
    </row>
    <row r="262">
      <c r="A262" s="203">
        <f>ROW()-1</f>
        <v/>
      </c>
      <c r="B262" s="128" t="inlineStr">
        <is>
          <t>RL7-TNK-101-FVI-02</t>
        </is>
      </c>
      <c r="C262" s="314" t="inlineStr">
        <is>
          <t>RL7-TNK-101-FVI-02</t>
        </is>
      </c>
      <c r="D262" s="262" t="n"/>
      <c r="E262" s="128" t="n"/>
      <c r="F262" s="138" t="inlineStr">
        <is>
          <t>BREDDO MIXER CIPS CONTROL VALVE POSITION FEEDBACK</t>
        </is>
      </c>
      <c r="G262" s="131" t="inlineStr">
        <is>
          <t>DG7010</t>
        </is>
      </c>
      <c r="H262" s="128" t="inlineStr">
        <is>
          <t>PROC</t>
        </is>
      </c>
      <c r="I262" s="132" t="inlineStr">
        <is>
          <t>RL7-BRED-RIO1</t>
        </is>
      </c>
      <c r="J262" s="133" t="n">
        <v>11</v>
      </c>
      <c r="K262" s="129" t="n">
        <v>9</v>
      </c>
      <c r="L262" s="129" t="n">
        <v>0</v>
      </c>
      <c r="M262" s="129" t="inlineStr">
        <is>
          <t>4-20 mA AI</t>
        </is>
      </c>
      <c r="N262" s="129" t="inlineStr">
        <is>
          <t>5069-IF8</t>
        </is>
      </c>
      <c r="O262" s="139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40" t="n"/>
      <c r="AA262" t="inlineStr">
        <is>
          <t>Matched</t>
        </is>
      </c>
      <c r="AB262" s="315" t="n">
        <v>0.99</v>
      </c>
      <c r="AC262" t="inlineStr">
        <is>
          <t>High</t>
        </is>
      </c>
      <c r="AD262" t="n">
        <v>1</v>
      </c>
      <c r="AE262" t="inlineStr">
        <is>
          <t>DG7010</t>
        </is>
      </c>
      <c r="AF262" t="n">
        <v>9</v>
      </c>
      <c r="AG262" t="inlineStr">
        <is>
          <t>drawing</t>
        </is>
      </c>
      <c r="AH262" t="inlineStr">
        <is>
          <t>stacked:isa</t>
        </is>
      </c>
      <c r="AI262" t="inlineStr">
        <is>
          <t>drawing zone; process page; mapped sheet; excel sheet match</t>
        </is>
      </c>
      <c r="AJ262" t="inlineStr">
        <is>
          <t>native</t>
        </is>
      </c>
      <c r="AK262" t="inlineStr">
        <is>
          <t>native-only</t>
        </is>
      </c>
      <c r="AM262" t="inlineStr">
        <is>
          <t>9</t>
        </is>
      </c>
      <c r="AN262" t="inlineStr">
        <is>
          <t>Yes</t>
        </is>
      </c>
      <c r="AO262" t="inlineStr">
        <is>
          <t>mapped sheet id</t>
        </is>
      </c>
      <c r="AP262" t="inlineStr">
        <is>
          <t>p9:native:337, p9:native:338</t>
        </is>
      </c>
      <c r="AQ262" t="n">
        <v>2</v>
      </c>
    </row>
    <row r="263">
      <c r="A263" s="203">
        <f>ROW()-1</f>
        <v/>
      </c>
      <c r="B263" s="128" t="inlineStr">
        <is>
          <t>RL7-TNK-101-FIT-02</t>
        </is>
      </c>
      <c r="C263" s="314" t="inlineStr">
        <is>
          <t>RL7-TNK-101-FIT-02</t>
        </is>
      </c>
      <c r="D263" s="262" t="n"/>
      <c r="E263" s="128" t="n"/>
      <c r="F263" s="138" t="inlineStr">
        <is>
          <t>BREDDO MIXER CIPS FLOW</t>
        </is>
      </c>
      <c r="G263" s="131" t="inlineStr">
        <is>
          <t>DG7010</t>
        </is>
      </c>
      <c r="H263" s="128" t="inlineStr">
        <is>
          <t>PROC</t>
        </is>
      </c>
      <c r="I263" s="132" t="inlineStr">
        <is>
          <t>RL7-BRED-RIO1</t>
        </is>
      </c>
      <c r="J263" s="133" t="n">
        <v>11</v>
      </c>
      <c r="K263" s="129" t="n">
        <v>9</v>
      </c>
      <c r="L263" s="129" t="n">
        <v>1</v>
      </c>
      <c r="M263" s="129" t="inlineStr">
        <is>
          <t>4-20 mA AI</t>
        </is>
      </c>
      <c r="N263" s="129" t="inlineStr">
        <is>
          <t>5069-IF8</t>
        </is>
      </c>
      <c r="O263" s="139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40" t="n"/>
      <c r="AA263" t="inlineStr">
        <is>
          <t>Matched</t>
        </is>
      </c>
      <c r="AB263" s="315" t="n">
        <v>0.99</v>
      </c>
      <c r="AC263" t="inlineStr">
        <is>
          <t>High</t>
        </is>
      </c>
      <c r="AD263" t="n">
        <v>1</v>
      </c>
      <c r="AE263" t="inlineStr">
        <is>
          <t>DG7010</t>
        </is>
      </c>
      <c r="AF263" t="n">
        <v>9</v>
      </c>
      <c r="AG263" t="inlineStr">
        <is>
          <t>drawing</t>
        </is>
      </c>
      <c r="AH263" t="inlineStr">
        <is>
          <t>stacked:isa</t>
        </is>
      </c>
      <c r="AI263" t="inlineStr">
        <is>
          <t>drawing zone; process page; mapped sheet; excel sheet match</t>
        </is>
      </c>
      <c r="AJ263" t="inlineStr">
        <is>
          <t>native</t>
        </is>
      </c>
      <c r="AK263" t="inlineStr">
        <is>
          <t>native-only</t>
        </is>
      </c>
      <c r="AM263" t="inlineStr">
        <is>
          <t>9</t>
        </is>
      </c>
      <c r="AN263" t="inlineStr">
        <is>
          <t>Yes</t>
        </is>
      </c>
      <c r="AO263" t="inlineStr">
        <is>
          <t>mapped sheet id</t>
        </is>
      </c>
      <c r="AP263" t="inlineStr">
        <is>
          <t>p9:native:327, p9:native:328</t>
        </is>
      </c>
      <c r="AQ263" t="n">
        <v>2</v>
      </c>
    </row>
    <row r="264">
      <c r="A264" s="203">
        <f>ROW()-1</f>
        <v/>
      </c>
      <c r="B264" s="128" t="inlineStr">
        <is>
          <t>RL7-TNK-101-FCV-02</t>
        </is>
      </c>
      <c r="C264" s="314" t="inlineStr">
        <is>
          <t>RL7-TNK-101-FCV-02</t>
        </is>
      </c>
      <c r="D264" s="262" t="n"/>
      <c r="E264" s="128" t="n"/>
      <c r="F264" s="138" t="inlineStr">
        <is>
          <t>BREDDO MIXER CIPS CONTROL VALVE</t>
        </is>
      </c>
      <c r="G264" s="131" t="inlineStr">
        <is>
          <t>DG7010</t>
        </is>
      </c>
      <c r="H264" s="128" t="inlineStr">
        <is>
          <t>PROC</t>
        </is>
      </c>
      <c r="I264" s="132" t="inlineStr">
        <is>
          <t>RL7-BRED-RIO1</t>
        </is>
      </c>
      <c r="J264" s="133" t="n">
        <v>11</v>
      </c>
      <c r="K264" s="129" t="n">
        <v>10</v>
      </c>
      <c r="L264" s="129" t="n">
        <v>0</v>
      </c>
      <c r="M264" s="129" t="inlineStr">
        <is>
          <t>4-20 mA AO</t>
        </is>
      </c>
      <c r="N264" s="129" t="inlineStr">
        <is>
          <t>5069-OF8</t>
        </is>
      </c>
      <c r="O264" s="139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40" t="n"/>
      <c r="AA264" t="inlineStr">
        <is>
          <t>Matched</t>
        </is>
      </c>
      <c r="AB264" s="315" t="n">
        <v>0.99</v>
      </c>
      <c r="AC264" t="inlineStr">
        <is>
          <t>High</t>
        </is>
      </c>
      <c r="AD264" t="n">
        <v>1</v>
      </c>
      <c r="AE264" t="inlineStr">
        <is>
          <t>DG7010</t>
        </is>
      </c>
      <c r="AF264" t="n">
        <v>9</v>
      </c>
      <c r="AG264" t="inlineStr">
        <is>
          <t>drawing</t>
        </is>
      </c>
      <c r="AH264" t="inlineStr">
        <is>
          <t>stacked:isa</t>
        </is>
      </c>
      <c r="AI264" t="inlineStr">
        <is>
          <t>drawing zone; process page; mapped sheet; excel sheet match</t>
        </is>
      </c>
      <c r="AJ264" t="inlineStr">
        <is>
          <t>native</t>
        </is>
      </c>
      <c r="AK264" t="inlineStr">
        <is>
          <t>native-only</t>
        </is>
      </c>
      <c r="AM264" t="inlineStr">
        <is>
          <t>9</t>
        </is>
      </c>
      <c r="AN264" t="inlineStr">
        <is>
          <t>Yes</t>
        </is>
      </c>
      <c r="AO264" t="inlineStr">
        <is>
          <t>mapped sheet id</t>
        </is>
      </c>
      <c r="AP264" t="inlineStr">
        <is>
          <t>p9:native:329, p9:native:330</t>
        </is>
      </c>
      <c r="AQ264" t="n">
        <v>2</v>
      </c>
    </row>
    <row r="265">
      <c r="A265" s="203">
        <f>ROW()-1</f>
        <v/>
      </c>
      <c r="B265" s="133" t="n"/>
      <c r="C265" s="313" t="inlineStr">
        <is>
          <t>RL7-LINE-PBL-01</t>
        </is>
      </c>
      <c r="D265" s="264" t="n"/>
      <c r="E265" s="133" t="n"/>
      <c r="F265" s="141" t="inlineStr">
        <is>
          <t>ROLL LINE E-STOP PB PILOT LIGHT</t>
        </is>
      </c>
      <c r="G265" s="142" t="inlineStr">
        <is>
          <t>DG7010</t>
        </is>
      </c>
      <c r="H265" s="133" t="inlineStr">
        <is>
          <t>PROC</t>
        </is>
      </c>
      <c r="I265" s="131" t="inlineStr">
        <is>
          <t>RL7-INTSL-RIO1</t>
        </is>
      </c>
      <c r="J265" s="133" t="n">
        <v>18</v>
      </c>
      <c r="K265" s="129" t="n">
        <v>3</v>
      </c>
      <c r="L265" s="129" t="n">
        <v>4</v>
      </c>
      <c r="M265" s="129" t="inlineStr">
        <is>
          <t>24 VDC DO</t>
        </is>
      </c>
      <c r="N265" s="129" t="inlineStr">
        <is>
          <t>5069-OB16</t>
        </is>
      </c>
      <c r="O265" s="146" t="n"/>
      <c r="P265" s="146" t="n"/>
      <c r="Q265" s="146" t="n"/>
      <c r="R265" s="146" t="n"/>
      <c r="S265" s="146" t="n"/>
      <c r="T265" s="146" t="n"/>
      <c r="U265" s="146" t="n"/>
      <c r="V265" s="146" t="n"/>
      <c r="W265" s="146" t="n"/>
      <c r="X265" s="146" t="n"/>
      <c r="Y265" s="146" t="n"/>
      <c r="Z265" s="143" t="n"/>
      <c r="AA265" t="inlineStr">
        <is>
          <t>Not found in PDF</t>
        </is>
      </c>
      <c r="AC265" t="inlineStr">
        <is>
          <t>Low</t>
        </is>
      </c>
      <c r="AM265" t="inlineStr">
        <is>
          <t>9</t>
        </is>
      </c>
      <c r="AN265" t="inlineStr">
        <is>
          <t>Yes</t>
        </is>
      </c>
      <c r="AO265" t="inlineStr">
        <is>
          <t>mapped sheet id</t>
        </is>
      </c>
    </row>
    <row r="266">
      <c r="A266" s="203">
        <f>ROW()-1</f>
        <v/>
      </c>
      <c r="B266" s="133" t="n"/>
      <c r="C266" s="313" t="inlineStr">
        <is>
          <t>RL7-LINE-AH-01</t>
        </is>
      </c>
      <c r="D266" s="264" t="n"/>
      <c r="E266" s="133" t="n"/>
      <c r="F266" s="141" t="inlineStr">
        <is>
          <t>ROLL LINE 7 ALARM HORN</t>
        </is>
      </c>
      <c r="G266" s="142" t="inlineStr">
        <is>
          <t>DG7010</t>
        </is>
      </c>
      <c r="H266" s="133" t="inlineStr">
        <is>
          <t>PROC</t>
        </is>
      </c>
      <c r="I266" s="131" t="inlineStr">
        <is>
          <t>RL7-INTSL-RIO1</t>
        </is>
      </c>
      <c r="J266" s="133" t="n">
        <v>18</v>
      </c>
      <c r="K266" s="129" t="n">
        <v>3</v>
      </c>
      <c r="L266" s="129" t="n">
        <v>5</v>
      </c>
      <c r="M266" s="129" t="inlineStr">
        <is>
          <t>24 VDC DO</t>
        </is>
      </c>
      <c r="N266" s="129" t="inlineStr">
        <is>
          <t>5069-OB16</t>
        </is>
      </c>
      <c r="O266" s="146" t="n"/>
      <c r="P266" s="146" t="n"/>
      <c r="Q266" s="146" t="n"/>
      <c r="R266" s="146" t="n"/>
      <c r="S266" s="146" t="n"/>
      <c r="T266" s="146" t="n"/>
      <c r="U266" s="146" t="n"/>
      <c r="V266" s="146" t="n"/>
      <c r="W266" s="146" t="n"/>
      <c r="X266" s="146" t="n"/>
      <c r="Y266" s="146" t="n"/>
      <c r="Z266" s="143" t="n"/>
      <c r="AA266" t="inlineStr">
        <is>
          <t>Matched - block fallback</t>
        </is>
      </c>
      <c r="AB266" s="315" t="n">
        <v>0.8100000000000001</v>
      </c>
      <c r="AC266" t="inlineStr">
        <is>
          <t>Medium</t>
        </is>
      </c>
      <c r="AD266" t="n">
        <v>1</v>
      </c>
      <c r="AE266" t="inlineStr">
        <is>
          <t>DG7010</t>
        </is>
      </c>
      <c r="AF266" t="n">
        <v>9</v>
      </c>
      <c r="AG266" t="inlineStr">
        <is>
          <t>drawing</t>
        </is>
      </c>
      <c r="AH266" t="inlineStr">
        <is>
          <t>block:fallback</t>
        </is>
      </c>
      <c r="AI266" t="inlineStr">
        <is>
          <t>block text fallback; parsed Excel tag contained in one PDF text block; excel sheet match</t>
        </is>
      </c>
      <c r="AJ266" t="inlineStr">
        <is>
          <t>native</t>
        </is>
      </c>
      <c r="AK266" t="inlineStr">
        <is>
          <t>native-only</t>
        </is>
      </c>
      <c r="AM266" t="inlineStr">
        <is>
          <t>9</t>
        </is>
      </c>
      <c r="AN266" t="inlineStr">
        <is>
          <t>Yes</t>
        </is>
      </c>
      <c r="AO266" t="inlineStr">
        <is>
          <t>mapped sheet id</t>
        </is>
      </c>
      <c r="AP266" t="inlineStr">
        <is>
          <t>p9:block:98</t>
        </is>
      </c>
      <c r="AQ266" t="n">
        <v>1</v>
      </c>
    </row>
    <row r="267">
      <c r="A267" s="203">
        <f>ROW()-1</f>
        <v/>
      </c>
      <c r="B267" s="133" t="n"/>
      <c r="C267" s="313" t="inlineStr">
        <is>
          <t>RL7-LINE-PL-01R</t>
        </is>
      </c>
      <c r="D267" s="264" t="n"/>
      <c r="E267" s="133" t="n"/>
      <c r="F267" s="141" t="inlineStr">
        <is>
          <t>ROLL LINE 7 RED PILOT LIGHT</t>
        </is>
      </c>
      <c r="G267" s="142" t="inlineStr">
        <is>
          <t>DG7010</t>
        </is>
      </c>
      <c r="H267" s="133" t="inlineStr">
        <is>
          <t>PROC</t>
        </is>
      </c>
      <c r="I267" s="131" t="inlineStr">
        <is>
          <t>RL7-INTSL-RIO1</t>
        </is>
      </c>
      <c r="J267" s="133" t="n">
        <v>18</v>
      </c>
      <c r="K267" s="129" t="n">
        <v>3</v>
      </c>
      <c r="L267" s="129" t="n">
        <v>6</v>
      </c>
      <c r="M267" s="129" t="inlineStr">
        <is>
          <t>24 VDC DO</t>
        </is>
      </c>
      <c r="N267" s="129" t="inlineStr">
        <is>
          <t>5069-OB16</t>
        </is>
      </c>
      <c r="O267" s="146" t="n"/>
      <c r="P267" s="146" t="n"/>
      <c r="Q267" s="146" t="n"/>
      <c r="R267" s="146" t="n"/>
      <c r="S267" s="146" t="n"/>
      <c r="T267" s="146" t="n"/>
      <c r="U267" s="146" t="n"/>
      <c r="V267" s="146" t="n"/>
      <c r="W267" s="146" t="n"/>
      <c r="X267" s="146" t="n"/>
      <c r="Y267" s="146" t="n"/>
      <c r="Z267" s="143" t="n"/>
      <c r="AA267" t="inlineStr">
        <is>
          <t>Matched - block fallback</t>
        </is>
      </c>
      <c r="AB267" s="315" t="n">
        <v>0.8100000000000001</v>
      </c>
      <c r="AC267" t="inlineStr">
        <is>
          <t>Medium</t>
        </is>
      </c>
      <c r="AD267" t="n">
        <v>1</v>
      </c>
      <c r="AE267" t="inlineStr">
        <is>
          <t>DG7010</t>
        </is>
      </c>
      <c r="AF267" t="n">
        <v>9</v>
      </c>
      <c r="AG267" t="inlineStr">
        <is>
          <t>drawing</t>
        </is>
      </c>
      <c r="AH267" t="inlineStr">
        <is>
          <t>block:fallback</t>
        </is>
      </c>
      <c r="AI267" t="inlineStr">
        <is>
          <t>block text fallback; parsed Excel tag contained in one PDF text block; excel sheet match</t>
        </is>
      </c>
      <c r="AJ267" t="inlineStr">
        <is>
          <t>native</t>
        </is>
      </c>
      <c r="AK267" t="inlineStr">
        <is>
          <t>native-only</t>
        </is>
      </c>
      <c r="AM267" t="inlineStr">
        <is>
          <t>9</t>
        </is>
      </c>
      <c r="AN267" t="inlineStr">
        <is>
          <t>Yes</t>
        </is>
      </c>
      <c r="AO267" t="inlineStr">
        <is>
          <t>mapped sheet id</t>
        </is>
      </c>
      <c r="AP267" t="inlineStr">
        <is>
          <t>p9:block:96</t>
        </is>
      </c>
      <c r="AQ267" t="n">
        <v>1</v>
      </c>
    </row>
    <row r="268">
      <c r="A268" s="203">
        <f>ROW()-1</f>
        <v/>
      </c>
      <c r="B268" s="133" t="n"/>
      <c r="C268" s="313" t="inlineStr">
        <is>
          <t>RL7-LINE-PL-01Y</t>
        </is>
      </c>
      <c r="D268" s="264" t="n"/>
      <c r="E268" s="133" t="n"/>
      <c r="F268" s="141" t="inlineStr">
        <is>
          <t>ROLL LINE 7 YELLOW PILOT LIGHT</t>
        </is>
      </c>
      <c r="G268" s="142" t="inlineStr">
        <is>
          <t>DG7010</t>
        </is>
      </c>
      <c r="H268" s="133" t="inlineStr">
        <is>
          <t>PROC</t>
        </is>
      </c>
      <c r="I268" s="131" t="inlineStr">
        <is>
          <t>RL7-INTSL-RIO1</t>
        </is>
      </c>
      <c r="J268" s="133" t="n">
        <v>18</v>
      </c>
      <c r="K268" s="129" t="n">
        <v>3</v>
      </c>
      <c r="L268" s="129" t="n">
        <v>7</v>
      </c>
      <c r="M268" s="129" t="inlineStr">
        <is>
          <t>24 VDC DO</t>
        </is>
      </c>
      <c r="N268" s="129" t="inlineStr">
        <is>
          <t>5069-OB16</t>
        </is>
      </c>
      <c r="O268" s="146" t="n"/>
      <c r="P268" s="146" t="n"/>
      <c r="Q268" s="146" t="n"/>
      <c r="R268" s="146" t="n"/>
      <c r="S268" s="146" t="n"/>
      <c r="T268" s="146" t="n"/>
      <c r="U268" s="146" t="n"/>
      <c r="V268" s="146" t="n"/>
      <c r="W268" s="146" t="n"/>
      <c r="X268" s="146" t="n"/>
      <c r="Y268" s="146" t="n"/>
      <c r="Z268" s="143" t="n"/>
      <c r="AA268" t="inlineStr">
        <is>
          <t>Matched - block fallback</t>
        </is>
      </c>
      <c r="AB268" s="315" t="n">
        <v>0.8100000000000001</v>
      </c>
      <c r="AC268" t="inlineStr">
        <is>
          <t>Medium</t>
        </is>
      </c>
      <c r="AD268" t="n">
        <v>1</v>
      </c>
      <c r="AE268" t="inlineStr">
        <is>
          <t>DG7010</t>
        </is>
      </c>
      <c r="AF268" t="n">
        <v>9</v>
      </c>
      <c r="AG268" t="inlineStr">
        <is>
          <t>drawing</t>
        </is>
      </c>
      <c r="AH268" t="inlineStr">
        <is>
          <t>block:fallback</t>
        </is>
      </c>
      <c r="AI268" t="inlineStr">
        <is>
          <t>block text fallback; parsed Excel tag contained in one PDF text block; excel sheet match</t>
        </is>
      </c>
      <c r="AJ268" t="inlineStr">
        <is>
          <t>native</t>
        </is>
      </c>
      <c r="AK268" t="inlineStr">
        <is>
          <t>native-only</t>
        </is>
      </c>
      <c r="AM268" t="inlineStr">
        <is>
          <t>9</t>
        </is>
      </c>
      <c r="AN268" t="inlineStr">
        <is>
          <t>Yes</t>
        </is>
      </c>
      <c r="AO268" t="inlineStr">
        <is>
          <t>mapped sheet id</t>
        </is>
      </c>
      <c r="AP268" t="inlineStr">
        <is>
          <t>p9:block:97</t>
        </is>
      </c>
      <c r="AQ268" t="n">
        <v>1</v>
      </c>
    </row>
    <row r="269">
      <c r="A269" s="203">
        <f>ROW()-1</f>
        <v/>
      </c>
      <c r="B269" s="133" t="n"/>
      <c r="C269" s="313" t="inlineStr">
        <is>
          <t>RL7-LINE-PL-01G</t>
        </is>
      </c>
      <c r="D269" s="264" t="n"/>
      <c r="E269" s="133" t="n"/>
      <c r="F269" s="141" t="inlineStr">
        <is>
          <t>ROLL LINE 7 GREEN PILOT LIGHT</t>
        </is>
      </c>
      <c r="G269" s="142" t="inlineStr">
        <is>
          <t>DG7010</t>
        </is>
      </c>
      <c r="H269" s="133" t="inlineStr">
        <is>
          <t>PROC</t>
        </is>
      </c>
      <c r="I269" s="131" t="inlineStr">
        <is>
          <t>RL7-INTSL-RIO1</t>
        </is>
      </c>
      <c r="J269" s="133" t="n">
        <v>18</v>
      </c>
      <c r="K269" s="129" t="n">
        <v>3</v>
      </c>
      <c r="L269" s="129" t="n">
        <v>8</v>
      </c>
      <c r="M269" s="129" t="inlineStr">
        <is>
          <t>24 VDC DO</t>
        </is>
      </c>
      <c r="N269" s="129" t="inlineStr">
        <is>
          <t>5069-OB16</t>
        </is>
      </c>
      <c r="O269" s="146" t="n"/>
      <c r="P269" s="146" t="n"/>
      <c r="Q269" s="146" t="n"/>
      <c r="R269" s="146" t="n"/>
      <c r="S269" s="146" t="n"/>
      <c r="T269" s="146" t="n"/>
      <c r="U269" s="146" t="n"/>
      <c r="V269" s="146" t="n"/>
      <c r="W269" s="146" t="n"/>
      <c r="X269" s="146" t="n"/>
      <c r="Y269" s="146" t="n"/>
      <c r="Z269" s="143" t="n"/>
      <c r="AA269" t="inlineStr">
        <is>
          <t>Matched - block fallback</t>
        </is>
      </c>
      <c r="AB269" s="315" t="n">
        <v>0.8100000000000001</v>
      </c>
      <c r="AC269" t="inlineStr">
        <is>
          <t>Medium</t>
        </is>
      </c>
      <c r="AD269" t="n">
        <v>1</v>
      </c>
      <c r="AE269" t="inlineStr">
        <is>
          <t>DG7010</t>
        </is>
      </c>
      <c r="AF269" t="n">
        <v>9</v>
      </c>
      <c r="AG269" t="inlineStr">
        <is>
          <t>drawing</t>
        </is>
      </c>
      <c r="AH269" t="inlineStr">
        <is>
          <t>block:fallback</t>
        </is>
      </c>
      <c r="AI269" t="inlineStr">
        <is>
          <t>block text fallback; parsed Excel tag contained in one PDF text block; excel sheet match</t>
        </is>
      </c>
      <c r="AJ269" t="inlineStr">
        <is>
          <t>native</t>
        </is>
      </c>
      <c r="AK269" t="inlineStr">
        <is>
          <t>native-only</t>
        </is>
      </c>
      <c r="AM269" t="inlineStr">
        <is>
          <t>9</t>
        </is>
      </c>
      <c r="AN269" t="inlineStr">
        <is>
          <t>Yes</t>
        </is>
      </c>
      <c r="AO269" t="inlineStr">
        <is>
          <t>mapped sheet id</t>
        </is>
      </c>
      <c r="AP269" t="inlineStr">
        <is>
          <t>p9:block:98</t>
        </is>
      </c>
      <c r="AQ269" t="n">
        <v>1</v>
      </c>
    </row>
    <row r="270">
      <c r="A270" s="203">
        <f>ROW()-1</f>
        <v/>
      </c>
      <c r="B270" s="128" t="inlineStr">
        <is>
          <t>RL7-TNK-101-FVI-01</t>
        </is>
      </c>
      <c r="C270" s="314" t="inlineStr">
        <is>
          <t>RL7-TNK-101-FVI-01</t>
        </is>
      </c>
      <c r="D270" s="262" t="n"/>
      <c r="E270" s="128" t="n"/>
      <c r="F270" s="138" t="inlineStr">
        <is>
          <t>BREDDO MIXER WATER CONTROL VALVE</t>
        </is>
      </c>
      <c r="G270" s="131" t="inlineStr">
        <is>
          <t>DG7010</t>
        </is>
      </c>
      <c r="H270" s="128" t="inlineStr">
        <is>
          <t>INTSL</t>
        </is>
      </c>
      <c r="I270" s="131" t="inlineStr">
        <is>
          <t>RL7-INTSL-RIO1</t>
        </is>
      </c>
      <c r="J270" s="133" t="n">
        <v>18</v>
      </c>
      <c r="K270" s="129" t="n">
        <v>8</v>
      </c>
      <c r="L270" s="129" t="n">
        <v>2</v>
      </c>
      <c r="M270" s="129" t="inlineStr">
        <is>
          <t>4-20 mA AI</t>
        </is>
      </c>
      <c r="N270" s="129" t="inlineStr">
        <is>
          <t>5069-IF8</t>
        </is>
      </c>
      <c r="O270" s="134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40" t="n"/>
      <c r="AA270" t="inlineStr">
        <is>
          <t>Matched</t>
        </is>
      </c>
      <c r="AB270" s="315" t="n">
        <v>0.99</v>
      </c>
      <c r="AC270" t="inlineStr">
        <is>
          <t>High</t>
        </is>
      </c>
      <c r="AD270" t="n">
        <v>1</v>
      </c>
      <c r="AE270" t="inlineStr">
        <is>
          <t>DG7010</t>
        </is>
      </c>
      <c r="AF270" t="n">
        <v>9</v>
      </c>
      <c r="AG270" t="inlineStr">
        <is>
          <t>drawing</t>
        </is>
      </c>
      <c r="AH270" t="inlineStr">
        <is>
          <t>stacked:isa</t>
        </is>
      </c>
      <c r="AI270" t="inlineStr">
        <is>
          <t>drawing zone; process page; mapped sheet; excel sheet match</t>
        </is>
      </c>
      <c r="AJ270" t="inlineStr">
        <is>
          <t>native</t>
        </is>
      </c>
      <c r="AK270" t="inlineStr">
        <is>
          <t>native-only</t>
        </is>
      </c>
      <c r="AM270" t="inlineStr">
        <is>
          <t>9</t>
        </is>
      </c>
      <c r="AN270" t="inlineStr">
        <is>
          <t>Yes</t>
        </is>
      </c>
      <c r="AO270" t="inlineStr">
        <is>
          <t>mapped sheet id</t>
        </is>
      </c>
      <c r="AP270" t="inlineStr">
        <is>
          <t>p9:native:150, p9:native:151</t>
        </is>
      </c>
      <c r="AQ270" t="n">
        <v>2</v>
      </c>
    </row>
    <row r="271">
      <c r="A271" s="203">
        <f>ROW()-1</f>
        <v/>
      </c>
      <c r="B271" s="128" t="inlineStr">
        <is>
          <t>RL7-TNK-101-FIT-01</t>
        </is>
      </c>
      <c r="C271" s="314" t="inlineStr">
        <is>
          <t>RL7-TNK-101-FIT-01</t>
        </is>
      </c>
      <c r="D271" s="262" t="n"/>
      <c r="E271" s="128" t="n"/>
      <c r="F271" s="138" t="inlineStr">
        <is>
          <t>BREDDO MIXER WATER SUPPLY FLOW</t>
        </is>
      </c>
      <c r="G271" s="131" t="inlineStr">
        <is>
          <t>DG7010</t>
        </is>
      </c>
      <c r="H271" s="128" t="inlineStr">
        <is>
          <t>INTSL</t>
        </is>
      </c>
      <c r="I271" s="131" t="inlineStr">
        <is>
          <t>RL7-INTSL-RIO1</t>
        </is>
      </c>
      <c r="J271" s="133" t="n">
        <v>18</v>
      </c>
      <c r="K271" s="129" t="n">
        <v>9</v>
      </c>
      <c r="L271" s="129" t="n">
        <v>3</v>
      </c>
      <c r="M271" s="129" t="inlineStr">
        <is>
          <t>4-20 mA AI</t>
        </is>
      </c>
      <c r="N271" s="129" t="inlineStr">
        <is>
          <t>5069-IF8</t>
        </is>
      </c>
      <c r="O271" s="134" t="inlineStr">
        <is>
          <t>0 - 300 GPM</t>
        </is>
      </c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40" t="n"/>
      <c r="AA271" t="inlineStr">
        <is>
          <t>Matched</t>
        </is>
      </c>
      <c r="AB271" s="315" t="n">
        <v>0.99</v>
      </c>
      <c r="AC271" t="inlineStr">
        <is>
          <t>High</t>
        </is>
      </c>
      <c r="AD271" t="n">
        <v>1</v>
      </c>
      <c r="AE271" t="inlineStr">
        <is>
          <t>DG7010</t>
        </is>
      </c>
      <c r="AF271" t="n">
        <v>9</v>
      </c>
      <c r="AG271" t="inlineStr">
        <is>
          <t>drawing</t>
        </is>
      </c>
      <c r="AH271" t="inlineStr">
        <is>
          <t>stacked:isa</t>
        </is>
      </c>
      <c r="AI271" t="inlineStr">
        <is>
          <t>drawing zone; process page; mapped sheet; excel sheet match</t>
        </is>
      </c>
      <c r="AJ271" t="inlineStr">
        <is>
          <t>native</t>
        </is>
      </c>
      <c r="AK271" t="inlineStr">
        <is>
          <t>native-only</t>
        </is>
      </c>
      <c r="AM271" t="inlineStr">
        <is>
          <t>9</t>
        </is>
      </c>
      <c r="AN271" t="inlineStr">
        <is>
          <t>Yes</t>
        </is>
      </c>
      <c r="AO271" t="inlineStr">
        <is>
          <t>mapped sheet id</t>
        </is>
      </c>
      <c r="AP271" t="inlineStr">
        <is>
          <t>p9:native:61, p9:native:62</t>
        </is>
      </c>
      <c r="AQ271" t="n">
        <v>2</v>
      </c>
    </row>
    <row r="272">
      <c r="A272" s="203">
        <f>ROW()-1</f>
        <v/>
      </c>
      <c r="B272" s="128" t="inlineStr">
        <is>
          <t>RL7-TNK-101-FCV-01</t>
        </is>
      </c>
      <c r="C272" s="314" t="inlineStr">
        <is>
          <t>RL7-TNK-101-FCV-01</t>
        </is>
      </c>
      <c r="D272" s="262" t="n"/>
      <c r="E272" s="128" t="n"/>
      <c r="F272" s="138" t="inlineStr">
        <is>
          <t>BREDDO MIXER WATER CONTROL VALVE</t>
        </is>
      </c>
      <c r="G272" s="131" t="inlineStr">
        <is>
          <t>DG7010</t>
        </is>
      </c>
      <c r="H272" s="128" t="inlineStr">
        <is>
          <t>INTSL</t>
        </is>
      </c>
      <c r="I272" s="131" t="inlineStr">
        <is>
          <t>RL7-INTSL-RIO1</t>
        </is>
      </c>
      <c r="J272" s="133" t="n">
        <v>18</v>
      </c>
      <c r="K272" s="129" t="n">
        <v>12</v>
      </c>
      <c r="L272" s="129" t="n">
        <v>3</v>
      </c>
      <c r="M272" s="129" t="inlineStr">
        <is>
          <t>4-20 mA AO</t>
        </is>
      </c>
      <c r="N272" s="129" t="inlineStr">
        <is>
          <t>5069-OF8</t>
        </is>
      </c>
      <c r="O272" s="134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40" t="n"/>
      <c r="AA272" t="inlineStr">
        <is>
          <t>Matched</t>
        </is>
      </c>
      <c r="AB272" s="315" t="n">
        <v>0.99</v>
      </c>
      <c r="AC272" t="inlineStr">
        <is>
          <t>High</t>
        </is>
      </c>
      <c r="AD272" t="n">
        <v>1</v>
      </c>
      <c r="AE272" t="inlineStr">
        <is>
          <t>DG7010</t>
        </is>
      </c>
      <c r="AF272" t="n">
        <v>9</v>
      </c>
      <c r="AG272" t="inlineStr">
        <is>
          <t>drawing</t>
        </is>
      </c>
      <c r="AH272" t="inlineStr">
        <is>
          <t>stacked:isa</t>
        </is>
      </c>
      <c r="AI272" t="inlineStr">
        <is>
          <t>drawing zone; process page; mapped sheet; excel sheet match</t>
        </is>
      </c>
      <c r="AJ272" t="inlineStr">
        <is>
          <t>native</t>
        </is>
      </c>
      <c r="AK272" t="inlineStr">
        <is>
          <t>native-only</t>
        </is>
      </c>
      <c r="AM272" t="inlineStr">
        <is>
          <t>9</t>
        </is>
      </c>
      <c r="AN272" t="inlineStr">
        <is>
          <t>Yes</t>
        </is>
      </c>
      <c r="AO272" t="inlineStr">
        <is>
          <t>mapped sheet id</t>
        </is>
      </c>
      <c r="AP272" t="inlineStr">
        <is>
          <t>p9:native:120, p9:native:121</t>
        </is>
      </c>
      <c r="AQ272" t="n">
        <v>2</v>
      </c>
    </row>
    <row r="273">
      <c r="A273" s="203">
        <f>ROW()-1</f>
        <v/>
      </c>
      <c r="B273" s="128" t="n"/>
      <c r="C273" s="313" t="inlineStr">
        <is>
          <t>RL7-DRM-101.M1</t>
        </is>
      </c>
      <c r="D273" s="277" t="n"/>
      <c r="E273" s="142" t="n"/>
      <c r="F273" s="141" t="inlineStr">
        <is>
          <t>BREDDO DUMPER ENABLE</t>
        </is>
      </c>
      <c r="G273" s="142" t="inlineStr">
        <is>
          <t>DG7010</t>
        </is>
      </c>
      <c r="H273" s="133" t="inlineStr">
        <is>
          <t>MCC</t>
        </is>
      </c>
      <c r="I273" s="131" t="inlineStr">
        <is>
          <t>RL7-INTSL-RIO1</t>
        </is>
      </c>
      <c r="J273" s="133" t="n">
        <v>18</v>
      </c>
      <c r="K273" s="129" t="n">
        <v>14</v>
      </c>
      <c r="L273" s="129" t="n">
        <v>8</v>
      </c>
      <c r="M273" s="129" t="inlineStr">
        <is>
          <t>24 VDC DO</t>
        </is>
      </c>
      <c r="N273" s="129" t="inlineStr">
        <is>
          <t>5069-OB16</t>
        </is>
      </c>
      <c r="O273" s="146" t="n"/>
      <c r="P273" s="146" t="n"/>
      <c r="Q273" s="146" t="n"/>
      <c r="R273" s="146" t="n"/>
      <c r="S273" s="146" t="n"/>
      <c r="T273" s="146" t="n"/>
      <c r="U273" s="146" t="n"/>
      <c r="V273" s="146" t="n"/>
      <c r="W273" s="146" t="n"/>
      <c r="X273" s="146" t="n"/>
      <c r="Y273" s="146" t="n"/>
      <c r="Z273" s="143" t="n"/>
      <c r="AA273" t="inlineStr">
        <is>
          <t>Skipped - unrecognized tag</t>
        </is>
      </c>
      <c r="AC273" t="inlineStr">
        <is>
          <t>Low</t>
        </is>
      </c>
      <c r="AM273" t="inlineStr">
        <is>
          <t>9</t>
        </is>
      </c>
      <c r="AN273" t="inlineStr">
        <is>
          <t>Yes</t>
        </is>
      </c>
      <c r="AO273" t="inlineStr">
        <is>
          <t>unrecognized tag</t>
        </is>
      </c>
    </row>
    <row r="274">
      <c r="A274" s="203">
        <f>ROW()-1</f>
        <v/>
      </c>
      <c r="B274" s="128" t="n"/>
      <c r="C274" s="313" t="inlineStr">
        <is>
          <t>RL7-LINE-PB-01</t>
        </is>
      </c>
      <c r="D274" s="264" t="n"/>
      <c r="E274" s="133" t="n"/>
      <c r="F274" s="137" t="inlineStr">
        <is>
          <t>ROLL LINE E-STOP PB SAFETY INPUT CH1</t>
        </is>
      </c>
      <c r="G274" s="142" t="inlineStr">
        <is>
          <t>DG7010</t>
        </is>
      </c>
      <c r="H274" s="133" t="inlineStr">
        <is>
          <t>PROC</t>
        </is>
      </c>
      <c r="I274" s="131" t="inlineStr">
        <is>
          <t>RL7-INTSL-RIO1</t>
        </is>
      </c>
      <c r="J274" s="133" t="n">
        <v>18</v>
      </c>
      <c r="K274" s="129" t="n">
        <v>15</v>
      </c>
      <c r="L274" s="129" t="n">
        <v>0</v>
      </c>
      <c r="M274" s="129" t="inlineStr">
        <is>
          <t>24 VDC SI</t>
        </is>
      </c>
      <c r="N274" s="129" t="inlineStr">
        <is>
          <t>5069-IB8S</t>
        </is>
      </c>
      <c r="O274" s="139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53" t="n"/>
      <c r="AA274" t="inlineStr">
        <is>
          <t>Matched - block fallback</t>
        </is>
      </c>
      <c r="AB274" s="315" t="n">
        <v>0.8100000000000001</v>
      </c>
      <c r="AC274" t="inlineStr">
        <is>
          <t>Medium</t>
        </is>
      </c>
      <c r="AD274" t="n">
        <v>1</v>
      </c>
      <c r="AE274" t="inlineStr">
        <is>
          <t>DG7010</t>
        </is>
      </c>
      <c r="AF274" t="n">
        <v>9</v>
      </c>
      <c r="AG274" t="inlineStr">
        <is>
          <t>drawing</t>
        </is>
      </c>
      <c r="AH274" t="inlineStr">
        <is>
          <t>block:fallback</t>
        </is>
      </c>
      <c r="AI274" t="inlineStr">
        <is>
          <t>block text fallback; parsed Excel tag contained in one PDF text block; excel sheet match</t>
        </is>
      </c>
      <c r="AJ274" t="inlineStr">
        <is>
          <t>native</t>
        </is>
      </c>
      <c r="AK274" t="inlineStr">
        <is>
          <t>native-only</t>
        </is>
      </c>
      <c r="AM274" t="inlineStr">
        <is>
          <t>9</t>
        </is>
      </c>
      <c r="AN274" t="inlineStr">
        <is>
          <t>Yes</t>
        </is>
      </c>
      <c r="AO274" t="inlineStr">
        <is>
          <t>mapped sheet id</t>
        </is>
      </c>
      <c r="AP274" t="inlineStr">
        <is>
          <t>p9:block:95</t>
        </is>
      </c>
      <c r="AQ274" t="n">
        <v>1</v>
      </c>
    </row>
    <row r="275">
      <c r="A275" s="203">
        <f>ROW()-1</f>
        <v/>
      </c>
      <c r="B275" s="128" t="n"/>
      <c r="C275" s="313" t="inlineStr">
        <is>
          <t>RL7-LINE-PB-01</t>
        </is>
      </c>
      <c r="D275" s="264" t="n"/>
      <c r="E275" s="133" t="n"/>
      <c r="F275" s="137" t="inlineStr">
        <is>
          <t>ROLL LINE E-STOP PB SAFETY INPUT CH2</t>
        </is>
      </c>
      <c r="G275" s="142" t="inlineStr">
        <is>
          <t>DG7010</t>
        </is>
      </c>
      <c r="H275" s="133" t="inlineStr">
        <is>
          <t>PROC</t>
        </is>
      </c>
      <c r="I275" s="131" t="inlineStr">
        <is>
          <t>RL7-INTSL-RIO1</t>
        </is>
      </c>
      <c r="J275" s="133" t="n">
        <v>18</v>
      </c>
      <c r="K275" s="129" t="n">
        <v>15</v>
      </c>
      <c r="L275" s="129" t="n">
        <v>1</v>
      </c>
      <c r="M275" s="129" t="inlineStr">
        <is>
          <t>24 VDC SI</t>
        </is>
      </c>
      <c r="N275" s="129" t="inlineStr">
        <is>
          <t>5069-IB8S</t>
        </is>
      </c>
      <c r="O275" s="139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53" t="n"/>
      <c r="AA275" t="inlineStr">
        <is>
          <t>Matched - block fallback</t>
        </is>
      </c>
      <c r="AB275" s="315" t="n">
        <v>0.8100000000000001</v>
      </c>
      <c r="AC275" t="inlineStr">
        <is>
          <t>Medium</t>
        </is>
      </c>
      <c r="AD275" t="n">
        <v>1</v>
      </c>
      <c r="AE275" t="inlineStr">
        <is>
          <t>DG7010</t>
        </is>
      </c>
      <c r="AF275" t="n">
        <v>9</v>
      </c>
      <c r="AG275" t="inlineStr">
        <is>
          <t>drawing</t>
        </is>
      </c>
      <c r="AH275" t="inlineStr">
        <is>
          <t>block:fallback</t>
        </is>
      </c>
      <c r="AI275" t="inlineStr">
        <is>
          <t>block text fallback; parsed Excel tag contained in one PDF text block; excel sheet match</t>
        </is>
      </c>
      <c r="AJ275" t="inlineStr">
        <is>
          <t>native</t>
        </is>
      </c>
      <c r="AK275" t="inlineStr">
        <is>
          <t>native-only</t>
        </is>
      </c>
      <c r="AM275" t="inlineStr">
        <is>
          <t>9</t>
        </is>
      </c>
      <c r="AN275" t="inlineStr">
        <is>
          <t>Yes</t>
        </is>
      </c>
      <c r="AO275" t="inlineStr">
        <is>
          <t>mapped sheet id</t>
        </is>
      </c>
      <c r="AP275" t="inlineStr">
        <is>
          <t>p9:block:95</t>
        </is>
      </c>
      <c r="AQ275" t="n">
        <v>1</v>
      </c>
    </row>
    <row r="276">
      <c r="A276" s="203">
        <f>ROW()-1</f>
        <v/>
      </c>
      <c r="B276" s="128" t="inlineStr">
        <is>
          <t>RL7-AGC-101-PB-01</t>
        </is>
      </c>
      <c r="C276" s="314" t="inlineStr">
        <is>
          <t>RL7-AGC-101-PB-01</t>
        </is>
      </c>
      <c r="D276" s="262" t="inlineStr">
        <is>
          <t>PB706161</t>
        </is>
      </c>
      <c r="E276" s="128" t="inlineStr">
        <is>
          <t>OS11A</t>
        </is>
      </c>
      <c r="F276" s="138" t="inlineStr">
        <is>
          <t xml:space="preserve">FRESH AUGER CART 1 E-STOP SAFETY INPUT CH1 </t>
        </is>
      </c>
      <c r="G276" s="131" t="inlineStr">
        <is>
          <t>DG7011</t>
        </is>
      </c>
      <c r="H276" s="128" t="inlineStr">
        <is>
          <t>PROC</t>
        </is>
      </c>
      <c r="I276" s="132" t="inlineStr">
        <is>
          <t>RL7-FAGC1-RIO1</t>
        </is>
      </c>
      <c r="J276" s="133" t="n">
        <v>8</v>
      </c>
      <c r="K276" s="129" t="n">
        <v>1</v>
      </c>
      <c r="L276" s="129" t="n">
        <v>6</v>
      </c>
      <c r="M276" s="129" t="inlineStr">
        <is>
          <t>24 VDC SI</t>
        </is>
      </c>
      <c r="N276" s="129" t="inlineStr">
        <is>
          <t>5069-IB8S</t>
        </is>
      </c>
      <c r="O276" s="139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40" t="n"/>
      <c r="AA276" t="inlineStr">
        <is>
          <t>Matched</t>
        </is>
      </c>
      <c r="AB276" s="315" t="n">
        <v>0.99</v>
      </c>
      <c r="AC276" t="inlineStr">
        <is>
          <t>High</t>
        </is>
      </c>
      <c r="AD276" t="n">
        <v>1</v>
      </c>
      <c r="AE276" t="inlineStr">
        <is>
          <t>DG7011</t>
        </is>
      </c>
      <c r="AF276" t="n">
        <v>10</v>
      </c>
      <c r="AG276" t="inlineStr">
        <is>
          <t>drawing</t>
        </is>
      </c>
      <c r="AH276" t="inlineStr">
        <is>
          <t>stacked:isa</t>
        </is>
      </c>
      <c r="AI276" t="inlineStr">
        <is>
          <t>drawing zone; process page; mapped sheet; excel sheet match</t>
        </is>
      </c>
      <c r="AJ276" t="inlineStr">
        <is>
          <t>native</t>
        </is>
      </c>
      <c r="AK276" t="inlineStr">
        <is>
          <t>native-only</t>
        </is>
      </c>
      <c r="AM276" t="inlineStr">
        <is>
          <t>10</t>
        </is>
      </c>
      <c r="AN276" t="inlineStr">
        <is>
          <t>Yes</t>
        </is>
      </c>
      <c r="AO276" t="inlineStr">
        <is>
          <t>mapped sheet id</t>
        </is>
      </c>
      <c r="AP276" t="inlineStr">
        <is>
          <t>p10:native:207, p10:native:208</t>
        </is>
      </c>
      <c r="AQ276" t="n">
        <v>2</v>
      </c>
    </row>
    <row r="277">
      <c r="A277" s="203">
        <f>ROW()-1</f>
        <v/>
      </c>
      <c r="B277" s="128" t="inlineStr">
        <is>
          <t>RL7-AGC-101-PB-01</t>
        </is>
      </c>
      <c r="C277" s="314" t="inlineStr">
        <is>
          <t>RL7-AGC-101-PB-01</t>
        </is>
      </c>
      <c r="D277" s="262" t="inlineStr">
        <is>
          <t>PB706161</t>
        </is>
      </c>
      <c r="E277" s="128" t="inlineStr">
        <is>
          <t>OS11A</t>
        </is>
      </c>
      <c r="F277" s="138" t="inlineStr">
        <is>
          <t xml:space="preserve">FRESH AUGER CART 1 E-STOP SAFETY INPUT CH2 </t>
        </is>
      </c>
      <c r="G277" s="131" t="inlineStr">
        <is>
          <t>DG7011</t>
        </is>
      </c>
      <c r="H277" s="128" t="inlineStr">
        <is>
          <t>PROC</t>
        </is>
      </c>
      <c r="I277" s="132" t="inlineStr">
        <is>
          <t>RL7-FAGC1-RIO1</t>
        </is>
      </c>
      <c r="J277" s="133" t="n">
        <v>8</v>
      </c>
      <c r="K277" s="129" t="n">
        <v>1</v>
      </c>
      <c r="L277" s="129" t="n">
        <v>7</v>
      </c>
      <c r="M277" s="129" t="inlineStr">
        <is>
          <t>24 VDC SI</t>
        </is>
      </c>
      <c r="N277" s="129" t="inlineStr">
        <is>
          <t>5069-IB8S</t>
        </is>
      </c>
      <c r="O277" s="139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40" t="n"/>
      <c r="AA277" t="inlineStr">
        <is>
          <t>Matched</t>
        </is>
      </c>
      <c r="AB277" s="315" t="n">
        <v>0.99</v>
      </c>
      <c r="AC277" t="inlineStr">
        <is>
          <t>High</t>
        </is>
      </c>
      <c r="AD277" t="n">
        <v>1</v>
      </c>
      <c r="AE277" t="inlineStr">
        <is>
          <t>DG7011</t>
        </is>
      </c>
      <c r="AF277" t="n">
        <v>10</v>
      </c>
      <c r="AG277" t="inlineStr">
        <is>
          <t>drawing</t>
        </is>
      </c>
      <c r="AH277" t="inlineStr">
        <is>
          <t>stacked:isa</t>
        </is>
      </c>
      <c r="AI277" t="inlineStr">
        <is>
          <t>drawing zone; process page; mapped sheet; excel sheet match</t>
        </is>
      </c>
      <c r="AJ277" t="inlineStr">
        <is>
          <t>native</t>
        </is>
      </c>
      <c r="AK277" t="inlineStr">
        <is>
          <t>native-only</t>
        </is>
      </c>
      <c r="AM277" t="inlineStr">
        <is>
          <t>10</t>
        </is>
      </c>
      <c r="AN277" t="inlineStr">
        <is>
          <t>Yes</t>
        </is>
      </c>
      <c r="AO277" t="inlineStr">
        <is>
          <t>mapped sheet id</t>
        </is>
      </c>
      <c r="AP277" t="inlineStr">
        <is>
          <t>p10:native:207, p10:native:208</t>
        </is>
      </c>
      <c r="AQ277" t="n">
        <v>2</v>
      </c>
    </row>
    <row r="278">
      <c r="A278" s="203">
        <f>ROW()-1</f>
        <v/>
      </c>
      <c r="B278" s="128" t="inlineStr">
        <is>
          <t>RL7-AGC-101-PB-02</t>
        </is>
      </c>
      <c r="C278" s="314" t="inlineStr">
        <is>
          <t>RL7-AGC-101-PB-02</t>
        </is>
      </c>
      <c r="D278" s="262" t="inlineStr">
        <is>
          <t>PB907021</t>
        </is>
      </c>
      <c r="E278" s="128" t="inlineStr">
        <is>
          <t>JIC11B, OS11A</t>
        </is>
      </c>
      <c r="F278" s="138" t="inlineStr">
        <is>
          <t xml:space="preserve">FRESH AUGER CART 1 PUMP FEEDER JOG PB </t>
        </is>
      </c>
      <c r="G278" s="131" t="inlineStr">
        <is>
          <t>DG7011</t>
        </is>
      </c>
      <c r="H278" s="128" t="inlineStr">
        <is>
          <t>PROC</t>
        </is>
      </c>
      <c r="I278" s="132" t="inlineStr">
        <is>
          <t>RL7-FAGC1-RIO1</t>
        </is>
      </c>
      <c r="J278" s="133" t="n">
        <v>8</v>
      </c>
      <c r="K278" s="129" t="n">
        <v>4</v>
      </c>
      <c r="L278" s="129" t="n">
        <v>0</v>
      </c>
      <c r="M278" s="129" t="inlineStr">
        <is>
          <t>24 VDC DI</t>
        </is>
      </c>
      <c r="N278" s="129" t="inlineStr">
        <is>
          <t>5069-IB16</t>
        </is>
      </c>
      <c r="O278" s="139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40" t="n"/>
      <c r="AA278" t="inlineStr">
        <is>
          <t>Matched</t>
        </is>
      </c>
      <c r="AB278" s="315" t="n">
        <v>0.99</v>
      </c>
      <c r="AC278" t="inlineStr">
        <is>
          <t>High</t>
        </is>
      </c>
      <c r="AD278" t="n">
        <v>1</v>
      </c>
      <c r="AE278" t="inlineStr">
        <is>
          <t>DG7011</t>
        </is>
      </c>
      <c r="AF278" t="n">
        <v>10</v>
      </c>
      <c r="AG278" t="inlineStr">
        <is>
          <t>drawing</t>
        </is>
      </c>
      <c r="AH278" t="inlineStr">
        <is>
          <t>stacked:isa</t>
        </is>
      </c>
      <c r="AI278" t="inlineStr">
        <is>
          <t>drawing zone; process page; mapped sheet; excel sheet match</t>
        </is>
      </c>
      <c r="AJ278" t="inlineStr">
        <is>
          <t>native</t>
        </is>
      </c>
      <c r="AK278" t="inlineStr">
        <is>
          <t>native-only</t>
        </is>
      </c>
      <c r="AM278" t="inlineStr">
        <is>
          <t>10</t>
        </is>
      </c>
      <c r="AN278" t="inlineStr">
        <is>
          <t>Yes</t>
        </is>
      </c>
      <c r="AO278" t="inlineStr">
        <is>
          <t>mapped sheet id</t>
        </is>
      </c>
      <c r="AP278" t="inlineStr">
        <is>
          <t>p10:native:228, p10:native:229</t>
        </is>
      </c>
      <c r="AQ278" t="n">
        <v>2</v>
      </c>
    </row>
    <row r="279">
      <c r="A279" s="203">
        <f>ROW()-1</f>
        <v/>
      </c>
      <c r="B279" s="128" t="inlineStr">
        <is>
          <t>RL7-AGC-101-ZSS-01</t>
        </is>
      </c>
      <c r="C279" s="314" t="inlineStr">
        <is>
          <t>RL7-AGC-101-ZSS-01</t>
        </is>
      </c>
      <c r="D279" s="262" t="inlineStr">
        <is>
          <t>PRS906021</t>
        </is>
      </c>
      <c r="E279" s="128" t="inlineStr">
        <is>
          <t>JIC11B</t>
        </is>
      </c>
      <c r="F279" s="138" t="inlineStr">
        <is>
          <t>FRESH AUGER CART 1 SAFETY GRATE SAFETY INPUT CH1</t>
        </is>
      </c>
      <c r="G279" s="131" t="inlineStr">
        <is>
          <t>DG7011</t>
        </is>
      </c>
      <c r="H279" s="128" t="inlineStr">
        <is>
          <t>PROC</t>
        </is>
      </c>
      <c r="I279" s="132" t="inlineStr">
        <is>
          <t>RL7-FAGC1-RIO1</t>
        </is>
      </c>
      <c r="J279" s="133" t="n">
        <v>8</v>
      </c>
      <c r="K279" s="129" t="n">
        <v>1</v>
      </c>
      <c r="L279" s="129" t="n">
        <v>0</v>
      </c>
      <c r="M279" s="129" t="inlineStr">
        <is>
          <t>24 VDC SI</t>
        </is>
      </c>
      <c r="N279" s="129" t="inlineStr">
        <is>
          <t>5069-IB8S</t>
        </is>
      </c>
      <c r="O279" s="139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40" t="n"/>
      <c r="AA279" t="inlineStr">
        <is>
          <t>Matched</t>
        </is>
      </c>
      <c r="AB279" s="315" t="n">
        <v>0.99</v>
      </c>
      <c r="AC279" t="inlineStr">
        <is>
          <t>High</t>
        </is>
      </c>
      <c r="AD279" t="n">
        <v>1</v>
      </c>
      <c r="AE279" t="inlineStr">
        <is>
          <t>DG7011</t>
        </is>
      </c>
      <c r="AF279" t="n">
        <v>10</v>
      </c>
      <c r="AG279" t="inlineStr">
        <is>
          <t>drawing</t>
        </is>
      </c>
      <c r="AH279" t="inlineStr">
        <is>
          <t>stacked:isa</t>
        </is>
      </c>
      <c r="AI279" t="inlineStr">
        <is>
          <t>drawing zone; process page; mapped sheet; excel sheet match</t>
        </is>
      </c>
      <c r="AJ279" t="inlineStr">
        <is>
          <t>native</t>
        </is>
      </c>
      <c r="AK279" t="inlineStr">
        <is>
          <t>native-only</t>
        </is>
      </c>
      <c r="AM279" t="inlineStr">
        <is>
          <t>10</t>
        </is>
      </c>
      <c r="AN279" t="inlineStr">
        <is>
          <t>Yes</t>
        </is>
      </c>
      <c r="AO279" t="inlineStr">
        <is>
          <t>mapped sheet id</t>
        </is>
      </c>
      <c r="AP279" t="inlineStr">
        <is>
          <t>p10:native:140, p10:native:141</t>
        </is>
      </c>
      <c r="AQ279" t="n">
        <v>2</v>
      </c>
    </row>
    <row r="280">
      <c r="A280" s="203">
        <f>ROW()-1</f>
        <v/>
      </c>
      <c r="B280" s="128" t="inlineStr">
        <is>
          <t>RL7-AGC-101-ZSS-01</t>
        </is>
      </c>
      <c r="C280" s="314" t="inlineStr">
        <is>
          <t>RL7-AGC-101-ZSS-01</t>
        </is>
      </c>
      <c r="D280" s="262" t="inlineStr">
        <is>
          <t>PRS906021</t>
        </is>
      </c>
      <c r="E280" s="128" t="inlineStr">
        <is>
          <t>JIC11B</t>
        </is>
      </c>
      <c r="F280" s="138" t="inlineStr">
        <is>
          <t>FRESH AUGER CART 1 SAFETY GRATE SAFETY INPUT CH2</t>
        </is>
      </c>
      <c r="G280" s="131" t="inlineStr">
        <is>
          <t>DG7011</t>
        </is>
      </c>
      <c r="H280" s="128" t="inlineStr">
        <is>
          <t>PROC</t>
        </is>
      </c>
      <c r="I280" s="132" t="inlineStr">
        <is>
          <t>RL7-FAGC1-RIO1</t>
        </is>
      </c>
      <c r="J280" s="133" t="n">
        <v>8</v>
      </c>
      <c r="K280" s="129" t="n">
        <v>1</v>
      </c>
      <c r="L280" s="129" t="n">
        <v>1</v>
      </c>
      <c r="M280" s="129" t="inlineStr">
        <is>
          <t>24 VDC SI</t>
        </is>
      </c>
      <c r="N280" s="129" t="inlineStr">
        <is>
          <t>5069-IB8S</t>
        </is>
      </c>
      <c r="O280" s="139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40" t="n"/>
      <c r="AA280" t="inlineStr">
        <is>
          <t>Matched</t>
        </is>
      </c>
      <c r="AB280" s="315" t="n">
        <v>0.99</v>
      </c>
      <c r="AC280" t="inlineStr">
        <is>
          <t>High</t>
        </is>
      </c>
      <c r="AD280" t="n">
        <v>1</v>
      </c>
      <c r="AE280" t="inlineStr">
        <is>
          <t>DG7011</t>
        </is>
      </c>
      <c r="AF280" t="n">
        <v>10</v>
      </c>
      <c r="AG280" t="inlineStr">
        <is>
          <t>drawing</t>
        </is>
      </c>
      <c r="AH280" t="inlineStr">
        <is>
          <t>stacked:isa</t>
        </is>
      </c>
      <c r="AI280" t="inlineStr">
        <is>
          <t>drawing zone; process page; mapped sheet; excel sheet match</t>
        </is>
      </c>
      <c r="AJ280" t="inlineStr">
        <is>
          <t>native</t>
        </is>
      </c>
      <c r="AK280" t="inlineStr">
        <is>
          <t>native-only</t>
        </is>
      </c>
      <c r="AM280" t="inlineStr">
        <is>
          <t>10</t>
        </is>
      </c>
      <c r="AN280" t="inlineStr">
        <is>
          <t>Yes</t>
        </is>
      </c>
      <c r="AO280" t="inlineStr">
        <is>
          <t>mapped sheet id</t>
        </is>
      </c>
      <c r="AP280" t="inlineStr">
        <is>
          <t>p10:native:140, p10:native:141</t>
        </is>
      </c>
      <c r="AQ280" t="n">
        <v>2</v>
      </c>
    </row>
    <row r="281" customFormat="1" s="136">
      <c r="A281" s="203">
        <f>ROW()-1</f>
        <v/>
      </c>
      <c r="B281" s="128" t="inlineStr">
        <is>
          <t>RL7-AGC-101-ZSS-02</t>
        </is>
      </c>
      <c r="C281" s="314" t="inlineStr">
        <is>
          <t>RL7-AGC-101-ZSS-02</t>
        </is>
      </c>
      <c r="D281" s="262" t="inlineStr">
        <is>
          <t>PRS906061</t>
        </is>
      </c>
      <c r="E281" s="128" t="inlineStr">
        <is>
          <t>JIC11B</t>
        </is>
      </c>
      <c r="F281" s="138" t="inlineStr">
        <is>
          <t>FRESH AUGER CART 1 CLEANOUT HATCH SAFETY INPUT CH1</t>
        </is>
      </c>
      <c r="G281" s="131" t="inlineStr">
        <is>
          <t>DG7011</t>
        </is>
      </c>
      <c r="H281" s="128" t="inlineStr">
        <is>
          <t>PROC</t>
        </is>
      </c>
      <c r="I281" s="132" t="inlineStr">
        <is>
          <t>RL7-FAGC1-RIO1</t>
        </is>
      </c>
      <c r="J281" s="133" t="n">
        <v>8</v>
      </c>
      <c r="K281" s="129" t="n">
        <v>1</v>
      </c>
      <c r="L281" s="129" t="n">
        <v>2</v>
      </c>
      <c r="M281" s="129" t="inlineStr">
        <is>
          <t>24 VDC SI</t>
        </is>
      </c>
      <c r="N281" s="129" t="inlineStr">
        <is>
          <t>5069-IB8S</t>
        </is>
      </c>
      <c r="O281" s="139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40" t="n"/>
      <c r="AA281" t="inlineStr">
        <is>
          <t>Matched</t>
        </is>
      </c>
      <c r="AB281" s="315" t="n">
        <v>0.99</v>
      </c>
      <c r="AC281" t="inlineStr">
        <is>
          <t>High</t>
        </is>
      </c>
      <c r="AD281" t="n">
        <v>1</v>
      </c>
      <c r="AE281" t="inlineStr">
        <is>
          <t>DG7011</t>
        </is>
      </c>
      <c r="AF281" t="n">
        <v>10</v>
      </c>
      <c r="AG281" t="inlineStr">
        <is>
          <t>drawing</t>
        </is>
      </c>
      <c r="AH281" t="inlineStr">
        <is>
          <t>stacked:isa</t>
        </is>
      </c>
      <c r="AI281" t="inlineStr">
        <is>
          <t>drawing zone; process page; mapped sheet; excel sheet match</t>
        </is>
      </c>
      <c r="AJ281" t="inlineStr">
        <is>
          <t>native</t>
        </is>
      </c>
      <c r="AK281" t="inlineStr">
        <is>
          <t>native-only</t>
        </is>
      </c>
      <c r="AM281" t="inlineStr">
        <is>
          <t>10</t>
        </is>
      </c>
      <c r="AN281" t="inlineStr">
        <is>
          <t>Yes</t>
        </is>
      </c>
      <c r="AO281" t="inlineStr">
        <is>
          <t>mapped sheet id</t>
        </is>
      </c>
      <c r="AP281" t="inlineStr">
        <is>
          <t>p10:native:146, p10:native:147</t>
        </is>
      </c>
      <c r="AQ281" t="n">
        <v>2</v>
      </c>
    </row>
    <row r="282">
      <c r="A282" s="203">
        <f>ROW()-1</f>
        <v/>
      </c>
      <c r="B282" s="128" t="inlineStr">
        <is>
          <t>RL7-AGC-101-ZSS-02</t>
        </is>
      </c>
      <c r="C282" s="314" t="inlineStr">
        <is>
          <t>RL7-AGC-101-ZSS-02</t>
        </is>
      </c>
      <c r="D282" s="262" t="inlineStr">
        <is>
          <t>PRS906061</t>
        </is>
      </c>
      <c r="E282" s="128" t="inlineStr">
        <is>
          <t>JIC11B</t>
        </is>
      </c>
      <c r="F282" s="138" t="inlineStr">
        <is>
          <t>FRESH AUGER CART 1 CLEANOUT HATCH SAFETY INPUT CH2</t>
        </is>
      </c>
      <c r="G282" s="131" t="inlineStr">
        <is>
          <t>DG7011</t>
        </is>
      </c>
      <c r="H282" s="128" t="inlineStr">
        <is>
          <t>PROC</t>
        </is>
      </c>
      <c r="I282" s="132" t="inlineStr">
        <is>
          <t>RL7-FAGC1-RIO1</t>
        </is>
      </c>
      <c r="J282" s="133" t="n">
        <v>8</v>
      </c>
      <c r="K282" s="129" t="n">
        <v>1</v>
      </c>
      <c r="L282" s="129" t="n">
        <v>3</v>
      </c>
      <c r="M282" s="129" t="inlineStr">
        <is>
          <t>24 VDC SI</t>
        </is>
      </c>
      <c r="N282" s="129" t="inlineStr">
        <is>
          <t>5069-IB8S</t>
        </is>
      </c>
      <c r="O282" s="139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40" t="n"/>
      <c r="AA282" t="inlineStr">
        <is>
          <t>Matched</t>
        </is>
      </c>
      <c r="AB282" s="315" t="n">
        <v>0.99</v>
      </c>
      <c r="AC282" t="inlineStr">
        <is>
          <t>High</t>
        </is>
      </c>
      <c r="AD282" t="n">
        <v>1</v>
      </c>
      <c r="AE282" t="inlineStr">
        <is>
          <t>DG7011</t>
        </is>
      </c>
      <c r="AF282" t="n">
        <v>10</v>
      </c>
      <c r="AG282" t="inlineStr">
        <is>
          <t>drawing</t>
        </is>
      </c>
      <c r="AH282" t="inlineStr">
        <is>
          <t>stacked:isa</t>
        </is>
      </c>
      <c r="AI282" t="inlineStr">
        <is>
          <t>drawing zone; process page; mapped sheet; excel sheet match</t>
        </is>
      </c>
      <c r="AJ282" t="inlineStr">
        <is>
          <t>native</t>
        </is>
      </c>
      <c r="AK282" t="inlineStr">
        <is>
          <t>native-only</t>
        </is>
      </c>
      <c r="AM282" t="inlineStr">
        <is>
          <t>10</t>
        </is>
      </c>
      <c r="AN282" t="inlineStr">
        <is>
          <t>Yes</t>
        </is>
      </c>
      <c r="AO282" t="inlineStr">
        <is>
          <t>mapped sheet id</t>
        </is>
      </c>
      <c r="AP282" t="inlineStr">
        <is>
          <t>p10:native:146, p10:native:147</t>
        </is>
      </c>
      <c r="AQ282" t="n">
        <v>2</v>
      </c>
    </row>
    <row r="283">
      <c r="A283" s="203">
        <f>ROW()-1</f>
        <v/>
      </c>
      <c r="B283" s="128" t="inlineStr">
        <is>
          <t>RL7-AGC-101-ZSS-03</t>
        </is>
      </c>
      <c r="C283" s="314" t="inlineStr">
        <is>
          <t>RL7-AGC-101-ZSS-03</t>
        </is>
      </c>
      <c r="D283" s="262" t="inlineStr">
        <is>
          <t>PRS906101</t>
        </is>
      </c>
      <c r="E283" s="128" t="inlineStr">
        <is>
          <t>JIC11B</t>
        </is>
      </c>
      <c r="F283" s="138" t="inlineStr">
        <is>
          <t>FRESH AUGER CART 1 PUMP DISCHARGE SAFETY INPUT CH1</t>
        </is>
      </c>
      <c r="G283" s="131" t="inlineStr">
        <is>
          <t>DG7011</t>
        </is>
      </c>
      <c r="H283" s="128" t="inlineStr">
        <is>
          <t>PROC</t>
        </is>
      </c>
      <c r="I283" s="132" t="inlineStr">
        <is>
          <t>RL7-FAGC1-RIO1</t>
        </is>
      </c>
      <c r="J283" s="133" t="n">
        <v>8</v>
      </c>
      <c r="K283" s="129" t="n">
        <v>1</v>
      </c>
      <c r="L283" s="129" t="n">
        <v>4</v>
      </c>
      <c r="M283" s="129" t="inlineStr">
        <is>
          <t>24 VDC SI</t>
        </is>
      </c>
      <c r="N283" s="129" t="inlineStr">
        <is>
          <t>5069-IB8S</t>
        </is>
      </c>
      <c r="O283" s="139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40" t="n"/>
      <c r="AA283" t="inlineStr">
        <is>
          <t>Matched</t>
        </is>
      </c>
      <c r="AB283" s="315" t="n">
        <v>0.99</v>
      </c>
      <c r="AC283" t="inlineStr">
        <is>
          <t>High</t>
        </is>
      </c>
      <c r="AD283" t="n">
        <v>1</v>
      </c>
      <c r="AE283" t="inlineStr">
        <is>
          <t>DG7011</t>
        </is>
      </c>
      <c r="AF283" t="n">
        <v>10</v>
      </c>
      <c r="AG283" t="inlineStr">
        <is>
          <t>drawing</t>
        </is>
      </c>
      <c r="AH283" t="inlineStr">
        <is>
          <t>stacked:isa</t>
        </is>
      </c>
      <c r="AI283" t="inlineStr">
        <is>
          <t>drawing zone; process page; mapped sheet; excel sheet match</t>
        </is>
      </c>
      <c r="AJ283" t="inlineStr">
        <is>
          <t>native</t>
        </is>
      </c>
      <c r="AK283" t="inlineStr">
        <is>
          <t>native-only</t>
        </is>
      </c>
      <c r="AM283" t="inlineStr">
        <is>
          <t>10</t>
        </is>
      </c>
      <c r="AN283" t="inlineStr">
        <is>
          <t>Yes</t>
        </is>
      </c>
      <c r="AO283" t="inlineStr">
        <is>
          <t>mapped sheet id</t>
        </is>
      </c>
      <c r="AP283" t="inlineStr">
        <is>
          <t>p10:native:144, p10:native:145</t>
        </is>
      </c>
      <c r="AQ283" t="n">
        <v>2</v>
      </c>
    </row>
    <row r="284">
      <c r="A284" s="203">
        <f>ROW()-1</f>
        <v/>
      </c>
      <c r="B284" s="128" t="inlineStr">
        <is>
          <t>RL7-AGC-101-ZSS-03</t>
        </is>
      </c>
      <c r="C284" s="314" t="inlineStr">
        <is>
          <t>RL7-AGC-101-ZSS-03</t>
        </is>
      </c>
      <c r="D284" s="262" t="inlineStr">
        <is>
          <t>PRS906101</t>
        </is>
      </c>
      <c r="E284" s="128" t="inlineStr">
        <is>
          <t>JIC11B</t>
        </is>
      </c>
      <c r="F284" s="138" t="inlineStr">
        <is>
          <t>FRESH AUGER CART 1 PUMP DISCHARGE SAFETY INPUT CH2</t>
        </is>
      </c>
      <c r="G284" s="131" t="inlineStr">
        <is>
          <t>DG7011</t>
        </is>
      </c>
      <c r="H284" s="128" t="inlineStr">
        <is>
          <t>PROC</t>
        </is>
      </c>
      <c r="I284" s="132" t="inlineStr">
        <is>
          <t>RL7-FAGC1-RIO1</t>
        </is>
      </c>
      <c r="J284" s="133" t="n">
        <v>8</v>
      </c>
      <c r="K284" s="129" t="n">
        <v>1</v>
      </c>
      <c r="L284" s="129" t="n">
        <v>5</v>
      </c>
      <c r="M284" s="129" t="inlineStr">
        <is>
          <t>24 VDC SI</t>
        </is>
      </c>
      <c r="N284" s="129" t="inlineStr">
        <is>
          <t>5069-IB8S</t>
        </is>
      </c>
      <c r="O284" s="139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40" t="n"/>
      <c r="AA284" t="inlineStr">
        <is>
          <t>Matched</t>
        </is>
      </c>
      <c r="AB284" s="315" t="n">
        <v>0.99</v>
      </c>
      <c r="AC284" t="inlineStr">
        <is>
          <t>High</t>
        </is>
      </c>
      <c r="AD284" t="n">
        <v>1</v>
      </c>
      <c r="AE284" t="inlineStr">
        <is>
          <t>DG7011</t>
        </is>
      </c>
      <c r="AF284" t="n">
        <v>10</v>
      </c>
      <c r="AG284" t="inlineStr">
        <is>
          <t>drawing</t>
        </is>
      </c>
      <c r="AH284" t="inlineStr">
        <is>
          <t>stacked:isa</t>
        </is>
      </c>
      <c r="AI284" t="inlineStr">
        <is>
          <t>drawing zone; process page; mapped sheet; excel sheet match</t>
        </is>
      </c>
      <c r="AJ284" t="inlineStr">
        <is>
          <t>native</t>
        </is>
      </c>
      <c r="AK284" t="inlineStr">
        <is>
          <t>native-only</t>
        </is>
      </c>
      <c r="AM284" t="inlineStr">
        <is>
          <t>10</t>
        </is>
      </c>
      <c r="AN284" t="inlineStr">
        <is>
          <t>Yes</t>
        </is>
      </c>
      <c r="AO284" t="inlineStr">
        <is>
          <t>mapped sheet id</t>
        </is>
      </c>
      <c r="AP284" t="inlineStr">
        <is>
          <t>p10:native:144, p10:native:145</t>
        </is>
      </c>
      <c r="AQ284" t="n">
        <v>2</v>
      </c>
    </row>
    <row r="285">
      <c r="A285" s="203">
        <f>ROW()-1</f>
        <v/>
      </c>
      <c r="B285" s="128" t="inlineStr">
        <is>
          <t>RL7-AGC-101-ZSS-04</t>
        </is>
      </c>
      <c r="C285" s="314" t="inlineStr">
        <is>
          <t>RL7-AGC-101-ZSS-04</t>
        </is>
      </c>
      <c r="D285" s="262" t="inlineStr">
        <is>
          <t>PRS906211</t>
        </is>
      </c>
      <c r="E285" s="128" t="inlineStr">
        <is>
          <t>JIC11B</t>
        </is>
      </c>
      <c r="F285" s="138" t="inlineStr">
        <is>
          <t>FRESH AUGER CART 1 SANITATION DISCHARGE GUARD SAFETY INPUT CH1</t>
        </is>
      </c>
      <c r="G285" s="131" t="inlineStr">
        <is>
          <t>DG7011</t>
        </is>
      </c>
      <c r="H285" s="128" t="inlineStr">
        <is>
          <t>PROC</t>
        </is>
      </c>
      <c r="I285" s="132" t="inlineStr">
        <is>
          <t>RL7-FAGC1-RIO1</t>
        </is>
      </c>
      <c r="J285" s="133" t="n">
        <v>8</v>
      </c>
      <c r="K285" s="129" t="n">
        <v>3</v>
      </c>
      <c r="L285" s="129" t="n">
        <v>0</v>
      </c>
      <c r="M285" s="129" t="inlineStr">
        <is>
          <t>24 VDC SI</t>
        </is>
      </c>
      <c r="N285" s="129" t="inlineStr">
        <is>
          <t>5069-IB8S</t>
        </is>
      </c>
      <c r="O285" s="139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40" t="n"/>
      <c r="AA285" t="inlineStr">
        <is>
          <t>Matched</t>
        </is>
      </c>
      <c r="AB285" s="315" t="n">
        <v>0.99</v>
      </c>
      <c r="AC285" t="inlineStr">
        <is>
          <t>High</t>
        </is>
      </c>
      <c r="AD285" t="n">
        <v>1</v>
      </c>
      <c r="AE285" t="inlineStr">
        <is>
          <t>DG7011</t>
        </is>
      </c>
      <c r="AF285" t="n">
        <v>10</v>
      </c>
      <c r="AG285" t="inlineStr">
        <is>
          <t>drawing</t>
        </is>
      </c>
      <c r="AH285" t="inlineStr">
        <is>
          <t>stacked:isa</t>
        </is>
      </c>
      <c r="AI285" t="inlineStr">
        <is>
          <t>drawing zone; process page; mapped sheet; excel sheet match</t>
        </is>
      </c>
      <c r="AJ285" t="inlineStr">
        <is>
          <t>native</t>
        </is>
      </c>
      <c r="AK285" t="inlineStr">
        <is>
          <t>native-only</t>
        </is>
      </c>
      <c r="AM285" t="inlineStr">
        <is>
          <t>10</t>
        </is>
      </c>
      <c r="AN285" t="inlineStr">
        <is>
          <t>Yes</t>
        </is>
      </c>
      <c r="AO285" t="inlineStr">
        <is>
          <t>mapped sheet id</t>
        </is>
      </c>
      <c r="AP285" t="inlineStr">
        <is>
          <t>p10:native:219, p10:native:220</t>
        </is>
      </c>
      <c r="AQ285" t="n">
        <v>2</v>
      </c>
    </row>
    <row r="286">
      <c r="A286" s="203">
        <f>ROW()-1</f>
        <v/>
      </c>
      <c r="B286" s="128" t="inlineStr">
        <is>
          <t>RL7-AGC-101-ZSS-04</t>
        </is>
      </c>
      <c r="C286" s="314" t="inlineStr">
        <is>
          <t>RL7-AGC-101-ZSS-04</t>
        </is>
      </c>
      <c r="D286" s="262" t="inlineStr">
        <is>
          <t>PRS906211</t>
        </is>
      </c>
      <c r="E286" s="128" t="inlineStr">
        <is>
          <t>JIC11B</t>
        </is>
      </c>
      <c r="F286" s="138" t="inlineStr">
        <is>
          <t>FRESH AUGER CART 1 SANITATION DISCHARGE GUARD SAFETY INPUT CH2</t>
        </is>
      </c>
      <c r="G286" s="131" t="inlineStr">
        <is>
          <t>DG7011</t>
        </is>
      </c>
      <c r="H286" s="128" t="inlineStr">
        <is>
          <t>PROC</t>
        </is>
      </c>
      <c r="I286" s="132" t="inlineStr">
        <is>
          <t>RL7-FAGC1-RIO1</t>
        </is>
      </c>
      <c r="J286" s="133" t="n">
        <v>8</v>
      </c>
      <c r="K286" s="129" t="n">
        <v>3</v>
      </c>
      <c r="L286" s="129" t="n">
        <v>1</v>
      </c>
      <c r="M286" s="129" t="inlineStr">
        <is>
          <t>24 VDC SI</t>
        </is>
      </c>
      <c r="N286" s="129" t="inlineStr">
        <is>
          <t>5069-IB8S</t>
        </is>
      </c>
      <c r="O286" s="139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40" t="n"/>
      <c r="AA286" t="inlineStr">
        <is>
          <t>Matched</t>
        </is>
      </c>
      <c r="AB286" s="315" t="n">
        <v>0.99</v>
      </c>
      <c r="AC286" t="inlineStr">
        <is>
          <t>High</t>
        </is>
      </c>
      <c r="AD286" t="n">
        <v>1</v>
      </c>
      <c r="AE286" t="inlineStr">
        <is>
          <t>DG7011</t>
        </is>
      </c>
      <c r="AF286" t="n">
        <v>10</v>
      </c>
      <c r="AG286" t="inlineStr">
        <is>
          <t>drawing</t>
        </is>
      </c>
      <c r="AH286" t="inlineStr">
        <is>
          <t>stacked:isa</t>
        </is>
      </c>
      <c r="AI286" t="inlineStr">
        <is>
          <t>drawing zone; process page; mapped sheet; excel sheet match</t>
        </is>
      </c>
      <c r="AJ286" t="inlineStr">
        <is>
          <t>native</t>
        </is>
      </c>
      <c r="AK286" t="inlineStr">
        <is>
          <t>native-only</t>
        </is>
      </c>
      <c r="AM286" t="inlineStr">
        <is>
          <t>10</t>
        </is>
      </c>
      <c r="AN286" t="inlineStr">
        <is>
          <t>Yes</t>
        </is>
      </c>
      <c r="AO286" t="inlineStr">
        <is>
          <t>mapped sheet id</t>
        </is>
      </c>
      <c r="AP286" t="inlineStr">
        <is>
          <t>p10:native:219, p10:native:220</t>
        </is>
      </c>
      <c r="AQ286" t="n">
        <v>2</v>
      </c>
    </row>
    <row r="287">
      <c r="A287" s="203">
        <f>ROW()-1</f>
        <v/>
      </c>
      <c r="B287" s="128" t="inlineStr">
        <is>
          <t>RL7-AGC-102-PB-01</t>
        </is>
      </c>
      <c r="C287" s="314" t="inlineStr">
        <is>
          <t>RL7-AGC-102-PB-01</t>
        </is>
      </c>
      <c r="D287" s="262" t="inlineStr">
        <is>
          <t>PB906161</t>
        </is>
      </c>
      <c r="E287" s="128" t="inlineStr">
        <is>
          <t>JIC12B, OS12A</t>
        </is>
      </c>
      <c r="F287" s="138" t="inlineStr">
        <is>
          <t xml:space="preserve">FRESH AUGER CART 2 E-STOP SAFETY INPUT CH1 </t>
        </is>
      </c>
      <c r="G287" s="131" t="inlineStr">
        <is>
          <t>DG7011</t>
        </is>
      </c>
      <c r="H287" s="128" t="inlineStr">
        <is>
          <t>PROC</t>
        </is>
      </c>
      <c r="I287" s="132" t="inlineStr">
        <is>
          <t>RL7-FAGC2-RIO1</t>
        </is>
      </c>
      <c r="J287" s="133" t="n">
        <v>9</v>
      </c>
      <c r="K287" s="129" t="n">
        <v>1</v>
      </c>
      <c r="L287" s="129" t="n">
        <v>6</v>
      </c>
      <c r="M287" s="129" t="inlineStr">
        <is>
          <t>24 VDC SI</t>
        </is>
      </c>
      <c r="N287" s="129" t="inlineStr">
        <is>
          <t>5069-IB8S</t>
        </is>
      </c>
      <c r="O287" s="139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45" t="n"/>
      <c r="AA287" t="inlineStr">
        <is>
          <t>Matched</t>
        </is>
      </c>
      <c r="AB287" s="315" t="n">
        <v>0.99</v>
      </c>
      <c r="AC287" t="inlineStr">
        <is>
          <t>High</t>
        </is>
      </c>
      <c r="AD287" t="n">
        <v>1</v>
      </c>
      <c r="AE287" t="inlineStr">
        <is>
          <t>DG7011</t>
        </is>
      </c>
      <c r="AF287" t="n">
        <v>10</v>
      </c>
      <c r="AG287" t="inlineStr">
        <is>
          <t>drawing</t>
        </is>
      </c>
      <c r="AH287" t="inlineStr">
        <is>
          <t>stacked:isa</t>
        </is>
      </c>
      <c r="AI287" t="inlineStr">
        <is>
          <t>drawing zone; process page; mapped sheet; excel sheet match</t>
        </is>
      </c>
      <c r="AJ287" t="inlineStr">
        <is>
          <t>native</t>
        </is>
      </c>
      <c r="AK287" t="inlineStr">
        <is>
          <t>native-only</t>
        </is>
      </c>
      <c r="AM287" t="inlineStr">
        <is>
          <t>10</t>
        </is>
      </c>
      <c r="AN287" t="inlineStr">
        <is>
          <t>Yes</t>
        </is>
      </c>
      <c r="AO287" t="inlineStr">
        <is>
          <t>mapped sheet id</t>
        </is>
      </c>
      <c r="AP287" t="inlineStr">
        <is>
          <t>p10:native:205, p10:native:206</t>
        </is>
      </c>
      <c r="AQ287" t="n">
        <v>2</v>
      </c>
    </row>
    <row r="288">
      <c r="A288" s="203">
        <f>ROW()-1</f>
        <v/>
      </c>
      <c r="B288" s="128" t="inlineStr">
        <is>
          <t>RL7-AGC-102-PB-01</t>
        </is>
      </c>
      <c r="C288" s="314" t="inlineStr">
        <is>
          <t>RL7-AGC-102-PB-01</t>
        </is>
      </c>
      <c r="D288" s="262" t="inlineStr">
        <is>
          <t>PB906161</t>
        </is>
      </c>
      <c r="E288" s="128" t="inlineStr">
        <is>
          <t>JIC12B, OS12A</t>
        </is>
      </c>
      <c r="F288" s="138" t="inlineStr">
        <is>
          <t xml:space="preserve">FRESH AUGER CART 2 E-STOP SAFETY INPUT CH2 </t>
        </is>
      </c>
      <c r="G288" s="131" t="inlineStr">
        <is>
          <t>DG7011</t>
        </is>
      </c>
      <c r="H288" s="128" t="inlineStr">
        <is>
          <t>PROC</t>
        </is>
      </c>
      <c r="I288" s="132" t="inlineStr">
        <is>
          <t>RL7-FAGC2-RIO1</t>
        </is>
      </c>
      <c r="J288" s="133" t="n">
        <v>9</v>
      </c>
      <c r="K288" s="129" t="n">
        <v>1</v>
      </c>
      <c r="L288" s="129" t="n">
        <v>7</v>
      </c>
      <c r="M288" s="129" t="inlineStr">
        <is>
          <t>24 VDC SI</t>
        </is>
      </c>
      <c r="N288" s="129" t="inlineStr">
        <is>
          <t>5069-IB8S</t>
        </is>
      </c>
      <c r="O288" s="139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45" t="n"/>
      <c r="AA288" t="inlineStr">
        <is>
          <t>Matched</t>
        </is>
      </c>
      <c r="AB288" s="315" t="n">
        <v>0.99</v>
      </c>
      <c r="AC288" t="inlineStr">
        <is>
          <t>High</t>
        </is>
      </c>
      <c r="AD288" t="n">
        <v>1</v>
      </c>
      <c r="AE288" t="inlineStr">
        <is>
          <t>DG7011</t>
        </is>
      </c>
      <c r="AF288" t="n">
        <v>10</v>
      </c>
      <c r="AG288" t="inlineStr">
        <is>
          <t>drawing</t>
        </is>
      </c>
      <c r="AH288" t="inlineStr">
        <is>
          <t>stacked:isa</t>
        </is>
      </c>
      <c r="AI288" t="inlineStr">
        <is>
          <t>drawing zone; process page; mapped sheet; excel sheet match</t>
        </is>
      </c>
      <c r="AJ288" t="inlineStr">
        <is>
          <t>native</t>
        </is>
      </c>
      <c r="AK288" t="inlineStr">
        <is>
          <t>native-only</t>
        </is>
      </c>
      <c r="AM288" t="inlineStr">
        <is>
          <t>10</t>
        </is>
      </c>
      <c r="AN288" t="inlineStr">
        <is>
          <t>Yes</t>
        </is>
      </c>
      <c r="AO288" t="inlineStr">
        <is>
          <t>mapped sheet id</t>
        </is>
      </c>
      <c r="AP288" t="inlineStr">
        <is>
          <t>p10:native:205, p10:native:206</t>
        </is>
      </c>
      <c r="AQ288" t="n">
        <v>2</v>
      </c>
    </row>
    <row r="289">
      <c r="A289" s="203">
        <f>ROW()-1</f>
        <v/>
      </c>
      <c r="B289" s="128" t="inlineStr">
        <is>
          <t>RL7-AGC-102-PB-02</t>
        </is>
      </c>
      <c r="C289" s="314" t="inlineStr">
        <is>
          <t>RL7-AGC-102-PB-02</t>
        </is>
      </c>
      <c r="D289" s="262" t="inlineStr">
        <is>
          <t>PB1007021</t>
        </is>
      </c>
      <c r="E289" s="128" t="inlineStr">
        <is>
          <t>JIC12B, OS12A</t>
        </is>
      </c>
      <c r="F289" s="138" t="inlineStr">
        <is>
          <t xml:space="preserve">FRESH AUGER CART 2 PUMP FEEDER JOG PB </t>
        </is>
      </c>
      <c r="G289" s="131" t="inlineStr">
        <is>
          <t>DG7011</t>
        </is>
      </c>
      <c r="H289" s="128" t="inlineStr">
        <is>
          <t>PROC</t>
        </is>
      </c>
      <c r="I289" s="132" t="inlineStr">
        <is>
          <t>RL7-FAGC2-RIO1</t>
        </is>
      </c>
      <c r="J289" s="133" t="n">
        <v>9</v>
      </c>
      <c r="K289" s="129" t="n">
        <v>4</v>
      </c>
      <c r="L289" s="129" t="n">
        <v>0</v>
      </c>
      <c r="M289" s="129" t="inlineStr">
        <is>
          <t>24 VDC DI</t>
        </is>
      </c>
      <c r="N289" s="129" t="inlineStr">
        <is>
          <t>5069-IB16</t>
        </is>
      </c>
      <c r="O289" s="139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40" t="n"/>
      <c r="AA289" t="inlineStr">
        <is>
          <t>Matched</t>
        </is>
      </c>
      <c r="AB289" s="315" t="n">
        <v>0.99</v>
      </c>
      <c r="AC289" t="inlineStr">
        <is>
          <t>High</t>
        </is>
      </c>
      <c r="AD289" t="n">
        <v>1</v>
      </c>
      <c r="AE289" t="inlineStr">
        <is>
          <t>DG7011</t>
        </is>
      </c>
      <c r="AF289" t="n">
        <v>10</v>
      </c>
      <c r="AG289" t="inlineStr">
        <is>
          <t>drawing</t>
        </is>
      </c>
      <c r="AH289" t="inlineStr">
        <is>
          <t>stacked:isa</t>
        </is>
      </c>
      <c r="AI289" t="inlineStr">
        <is>
          <t>drawing zone; process page; mapped sheet; excel sheet match</t>
        </is>
      </c>
      <c r="AJ289" t="inlineStr">
        <is>
          <t>native</t>
        </is>
      </c>
      <c r="AK289" t="inlineStr">
        <is>
          <t>native-only</t>
        </is>
      </c>
      <c r="AM289" t="inlineStr">
        <is>
          <t>10</t>
        </is>
      </c>
      <c r="AN289" t="inlineStr">
        <is>
          <t>Yes</t>
        </is>
      </c>
      <c r="AO289" t="inlineStr">
        <is>
          <t>mapped sheet id</t>
        </is>
      </c>
      <c r="AP289" t="inlineStr">
        <is>
          <t>p10:native:226, p10:native:227</t>
        </is>
      </c>
      <c r="AQ289" t="n">
        <v>2</v>
      </c>
    </row>
    <row r="290">
      <c r="A290" s="203">
        <f>ROW()-1</f>
        <v/>
      </c>
      <c r="B290" s="128" t="inlineStr">
        <is>
          <t>RL7-AGC-102-PBL-01</t>
        </is>
      </c>
      <c r="C290" s="313" t="inlineStr">
        <is>
          <t>RL7-AGC-102-PBL-01</t>
        </is>
      </c>
      <c r="D290" s="262" t="inlineStr">
        <is>
          <t>PB1006161</t>
        </is>
      </c>
      <c r="E290" s="128" t="inlineStr">
        <is>
          <t>JIC12B, OS12A</t>
        </is>
      </c>
      <c r="F290" s="138" t="inlineStr">
        <is>
          <t xml:space="preserve">FRESH AUGER CART 2 PUMP E-STOP PB PILOT LIGHT </t>
        </is>
      </c>
      <c r="G290" s="131" t="inlineStr">
        <is>
          <t>DG7011</t>
        </is>
      </c>
      <c r="H290" s="128" t="inlineStr">
        <is>
          <t>PROC</t>
        </is>
      </c>
      <c r="I290" s="132" t="inlineStr">
        <is>
          <t>RL7-FAGC2-RIO1</t>
        </is>
      </c>
      <c r="J290" s="133" t="n">
        <v>9</v>
      </c>
      <c r="K290" s="129" t="n">
        <v>6</v>
      </c>
      <c r="L290" s="129" t="n">
        <v>8</v>
      </c>
      <c r="M290" s="129" t="inlineStr">
        <is>
          <t>24 VDC DO</t>
        </is>
      </c>
      <c r="N290" s="129" t="inlineStr">
        <is>
          <t>5069-OB16</t>
        </is>
      </c>
      <c r="O290" s="139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40" t="n"/>
      <c r="AA290" t="inlineStr">
        <is>
          <t>Not found in PDF</t>
        </is>
      </c>
      <c r="AC290" t="inlineStr">
        <is>
          <t>Low</t>
        </is>
      </c>
      <c r="AM290" t="inlineStr">
        <is>
          <t>10</t>
        </is>
      </c>
      <c r="AN290" t="inlineStr">
        <is>
          <t>Yes</t>
        </is>
      </c>
      <c r="AO290" t="inlineStr">
        <is>
          <t>mapped sheet id</t>
        </is>
      </c>
    </row>
    <row r="291">
      <c r="A291" s="203">
        <f>ROW()-1</f>
        <v/>
      </c>
      <c r="B291" s="128" t="inlineStr">
        <is>
          <t>RL7-AGC-102-ZSS-01</t>
        </is>
      </c>
      <c r="C291" s="314" t="inlineStr">
        <is>
          <t>RL7-AGC-102-ZSS-01</t>
        </is>
      </c>
      <c r="D291" s="262" t="inlineStr">
        <is>
          <t>PRS1006021</t>
        </is>
      </c>
      <c r="E291" s="128" t="inlineStr">
        <is>
          <t>JIC12B</t>
        </is>
      </c>
      <c r="F291" s="138" t="inlineStr">
        <is>
          <t>FRESH AUGER CART 2 SAFETY GRATE SAFETY INPUT CH1</t>
        </is>
      </c>
      <c r="G291" s="131" t="inlineStr">
        <is>
          <t>DG7011</t>
        </is>
      </c>
      <c r="H291" s="128" t="inlineStr">
        <is>
          <t>PROC</t>
        </is>
      </c>
      <c r="I291" s="132" t="inlineStr">
        <is>
          <t>RL7-FAGC2-RIO1</t>
        </is>
      </c>
      <c r="J291" s="133" t="n">
        <v>9</v>
      </c>
      <c r="K291" s="129" t="n">
        <v>1</v>
      </c>
      <c r="L291" s="129" t="n">
        <v>0</v>
      </c>
      <c r="M291" s="129" t="inlineStr">
        <is>
          <t>24 VDC SI</t>
        </is>
      </c>
      <c r="N291" s="129" t="inlineStr">
        <is>
          <t>5069-IB8S</t>
        </is>
      </c>
      <c r="O291" s="139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40" t="n"/>
      <c r="AA291" t="inlineStr">
        <is>
          <t>Matched</t>
        </is>
      </c>
      <c r="AB291" s="315" t="n">
        <v>0.99</v>
      </c>
      <c r="AC291" t="inlineStr">
        <is>
          <t>High</t>
        </is>
      </c>
      <c r="AD291" t="n">
        <v>1</v>
      </c>
      <c r="AE291" t="inlineStr">
        <is>
          <t>DG7011</t>
        </is>
      </c>
      <c r="AF291" t="n">
        <v>10</v>
      </c>
      <c r="AG291" t="inlineStr">
        <is>
          <t>drawing</t>
        </is>
      </c>
      <c r="AH291" t="inlineStr">
        <is>
          <t>stacked:isa</t>
        </is>
      </c>
      <c r="AI291" t="inlineStr">
        <is>
          <t>drawing zone; process page; mapped sheet; excel sheet match</t>
        </is>
      </c>
      <c r="AJ291" t="inlineStr">
        <is>
          <t>native</t>
        </is>
      </c>
      <c r="AK291" t="inlineStr">
        <is>
          <t>native-only</t>
        </is>
      </c>
      <c r="AM291" t="inlineStr">
        <is>
          <t>10</t>
        </is>
      </c>
      <c r="AN291" t="inlineStr">
        <is>
          <t>Yes</t>
        </is>
      </c>
      <c r="AO291" t="inlineStr">
        <is>
          <t>mapped sheet id</t>
        </is>
      </c>
      <c r="AP291" t="inlineStr">
        <is>
          <t>p10:native:115, p10:native:116</t>
        </is>
      </c>
      <c r="AQ291" t="n">
        <v>2</v>
      </c>
    </row>
    <row r="292">
      <c r="A292" s="203">
        <f>ROW()-1</f>
        <v/>
      </c>
      <c r="B292" s="128" t="inlineStr">
        <is>
          <t>RL7-AGC-102-ZSS-01</t>
        </is>
      </c>
      <c r="C292" s="314" t="inlineStr">
        <is>
          <t>RL7-AGC-102-ZSS-01</t>
        </is>
      </c>
      <c r="D292" s="262" t="inlineStr">
        <is>
          <t>PRS1006021</t>
        </is>
      </c>
      <c r="E292" s="128" t="inlineStr">
        <is>
          <t>JIC12B</t>
        </is>
      </c>
      <c r="F292" s="138" t="inlineStr">
        <is>
          <t>FRESH AUGER CART 2 SAFETY GRATE SAFETY INPUT CH2</t>
        </is>
      </c>
      <c r="G292" s="131" t="inlineStr">
        <is>
          <t>DG7011</t>
        </is>
      </c>
      <c r="H292" s="128" t="inlineStr">
        <is>
          <t>PROC</t>
        </is>
      </c>
      <c r="I292" s="132" t="inlineStr">
        <is>
          <t>RL7-FAGC2-RIO1</t>
        </is>
      </c>
      <c r="J292" s="133" t="n">
        <v>9</v>
      </c>
      <c r="K292" s="129" t="n">
        <v>1</v>
      </c>
      <c r="L292" s="129" t="n">
        <v>1</v>
      </c>
      <c r="M292" s="129" t="inlineStr">
        <is>
          <t>24 VDC SI</t>
        </is>
      </c>
      <c r="N292" s="129" t="inlineStr">
        <is>
          <t>5069-IB8S</t>
        </is>
      </c>
      <c r="O292" s="139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40" t="n"/>
      <c r="AA292" t="inlineStr">
        <is>
          <t>Matched</t>
        </is>
      </c>
      <c r="AB292" s="315" t="n">
        <v>0.99</v>
      </c>
      <c r="AC292" t="inlineStr">
        <is>
          <t>High</t>
        </is>
      </c>
      <c r="AD292" t="n">
        <v>1</v>
      </c>
      <c r="AE292" t="inlineStr">
        <is>
          <t>DG7011</t>
        </is>
      </c>
      <c r="AF292" t="n">
        <v>10</v>
      </c>
      <c r="AG292" t="inlineStr">
        <is>
          <t>drawing</t>
        </is>
      </c>
      <c r="AH292" t="inlineStr">
        <is>
          <t>stacked:isa</t>
        </is>
      </c>
      <c r="AI292" t="inlineStr">
        <is>
          <t>drawing zone; process page; mapped sheet; excel sheet match</t>
        </is>
      </c>
      <c r="AJ292" t="inlineStr">
        <is>
          <t>native</t>
        </is>
      </c>
      <c r="AK292" t="inlineStr">
        <is>
          <t>native-only</t>
        </is>
      </c>
      <c r="AM292" t="inlineStr">
        <is>
          <t>10</t>
        </is>
      </c>
      <c r="AN292" t="inlineStr">
        <is>
          <t>Yes</t>
        </is>
      </c>
      <c r="AO292" t="inlineStr">
        <is>
          <t>mapped sheet id</t>
        </is>
      </c>
      <c r="AP292" t="inlineStr">
        <is>
          <t>p10:native:115, p10:native:116</t>
        </is>
      </c>
      <c r="AQ292" t="n">
        <v>2</v>
      </c>
    </row>
    <row r="293">
      <c r="A293" s="203">
        <f>ROW()-1</f>
        <v/>
      </c>
      <c r="B293" s="128" t="inlineStr">
        <is>
          <t>RL7-AGC-102-ZSS-02</t>
        </is>
      </c>
      <c r="C293" s="314" t="inlineStr">
        <is>
          <t>RL7-AGC-102-ZSS-02</t>
        </is>
      </c>
      <c r="D293" s="262" t="inlineStr">
        <is>
          <t>PRS1006061</t>
        </is>
      </c>
      <c r="E293" s="128" t="inlineStr">
        <is>
          <t>JIC12B</t>
        </is>
      </c>
      <c r="F293" s="138" t="inlineStr">
        <is>
          <t>FRESH AUGER CART 2 CLEANOUT HATCH SAFETY INPUT CH1</t>
        </is>
      </c>
      <c r="G293" s="131" t="inlineStr">
        <is>
          <t>DG7011</t>
        </is>
      </c>
      <c r="H293" s="128" t="inlineStr">
        <is>
          <t>PROC</t>
        </is>
      </c>
      <c r="I293" s="132" t="inlineStr">
        <is>
          <t>RL7-FAGC2-RIO1</t>
        </is>
      </c>
      <c r="J293" s="133" t="n">
        <v>9</v>
      </c>
      <c r="K293" s="129" t="n">
        <v>1</v>
      </c>
      <c r="L293" s="129" t="n">
        <v>2</v>
      </c>
      <c r="M293" s="129" t="inlineStr">
        <is>
          <t>24 VDC SI</t>
        </is>
      </c>
      <c r="N293" s="129" t="inlineStr">
        <is>
          <t>5069-IB8S</t>
        </is>
      </c>
      <c r="O293" s="139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40" t="n"/>
      <c r="AA293" t="inlineStr">
        <is>
          <t>Matched</t>
        </is>
      </c>
      <c r="AB293" s="315" t="n">
        <v>0.99</v>
      </c>
      <c r="AC293" t="inlineStr">
        <is>
          <t>High</t>
        </is>
      </c>
      <c r="AD293" t="n">
        <v>1</v>
      </c>
      <c r="AE293" t="inlineStr">
        <is>
          <t>DG7011</t>
        </is>
      </c>
      <c r="AF293" t="n">
        <v>10</v>
      </c>
      <c r="AG293" t="inlineStr">
        <is>
          <t>drawing</t>
        </is>
      </c>
      <c r="AH293" t="inlineStr">
        <is>
          <t>stacked:isa</t>
        </is>
      </c>
      <c r="AI293" t="inlineStr">
        <is>
          <t>drawing zone; process page; mapped sheet; excel sheet match</t>
        </is>
      </c>
      <c r="AJ293" t="inlineStr">
        <is>
          <t>native</t>
        </is>
      </c>
      <c r="AK293" t="inlineStr">
        <is>
          <t>native-only</t>
        </is>
      </c>
      <c r="AM293" t="inlineStr">
        <is>
          <t>10</t>
        </is>
      </c>
      <c r="AN293" t="inlineStr">
        <is>
          <t>Yes</t>
        </is>
      </c>
      <c r="AO293" t="inlineStr">
        <is>
          <t>mapped sheet id</t>
        </is>
      </c>
      <c r="AP293" t="inlineStr">
        <is>
          <t>p10:native:121, p10:native:122</t>
        </is>
      </c>
      <c r="AQ293" t="n">
        <v>2</v>
      </c>
    </row>
    <row r="294">
      <c r="A294" s="203">
        <f>ROW()-1</f>
        <v/>
      </c>
      <c r="B294" s="128" t="inlineStr">
        <is>
          <t>RL7-AGC-102-ZSS-02</t>
        </is>
      </c>
      <c r="C294" s="314" t="inlineStr">
        <is>
          <t>RL7-AGC-102-ZSS-02</t>
        </is>
      </c>
      <c r="D294" s="262" t="inlineStr">
        <is>
          <t>PRS1006061</t>
        </is>
      </c>
      <c r="E294" s="128" t="inlineStr">
        <is>
          <t>JIC12B</t>
        </is>
      </c>
      <c r="F294" s="138" t="inlineStr">
        <is>
          <t>FRESH AUGER CART 2 CLEANOUT HATCH SAFETY INPUT CH2</t>
        </is>
      </c>
      <c r="G294" s="131" t="inlineStr">
        <is>
          <t>DG7011</t>
        </is>
      </c>
      <c r="H294" s="128" t="inlineStr">
        <is>
          <t>PROC</t>
        </is>
      </c>
      <c r="I294" s="132" t="inlineStr">
        <is>
          <t>RL7-FAGC2-RIO1</t>
        </is>
      </c>
      <c r="J294" s="133" t="n">
        <v>9</v>
      </c>
      <c r="K294" s="129" t="n">
        <v>1</v>
      </c>
      <c r="L294" s="129" t="n">
        <v>3</v>
      </c>
      <c r="M294" s="129" t="inlineStr">
        <is>
          <t>24 VDC SI</t>
        </is>
      </c>
      <c r="N294" s="129" t="inlineStr">
        <is>
          <t>5069-IB8S</t>
        </is>
      </c>
      <c r="O294" s="139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40" t="n"/>
      <c r="AA294" t="inlineStr">
        <is>
          <t>Matched</t>
        </is>
      </c>
      <c r="AB294" s="315" t="n">
        <v>0.99</v>
      </c>
      <c r="AC294" t="inlineStr">
        <is>
          <t>High</t>
        </is>
      </c>
      <c r="AD294" t="n">
        <v>1</v>
      </c>
      <c r="AE294" t="inlineStr">
        <is>
          <t>DG7011</t>
        </is>
      </c>
      <c r="AF294" t="n">
        <v>10</v>
      </c>
      <c r="AG294" t="inlineStr">
        <is>
          <t>drawing</t>
        </is>
      </c>
      <c r="AH294" t="inlineStr">
        <is>
          <t>stacked:isa</t>
        </is>
      </c>
      <c r="AI294" t="inlineStr">
        <is>
          <t>drawing zone; process page; mapped sheet; excel sheet match</t>
        </is>
      </c>
      <c r="AJ294" t="inlineStr">
        <is>
          <t>native</t>
        </is>
      </c>
      <c r="AK294" t="inlineStr">
        <is>
          <t>native-only</t>
        </is>
      </c>
      <c r="AM294" t="inlineStr">
        <is>
          <t>10</t>
        </is>
      </c>
      <c r="AN294" t="inlineStr">
        <is>
          <t>Yes</t>
        </is>
      </c>
      <c r="AO294" t="inlineStr">
        <is>
          <t>mapped sheet id</t>
        </is>
      </c>
      <c r="AP294" t="inlineStr">
        <is>
          <t>p10:native:121, p10:native:122</t>
        </is>
      </c>
      <c r="AQ294" t="n">
        <v>2</v>
      </c>
    </row>
    <row r="295">
      <c r="A295" s="203">
        <f>ROW()-1</f>
        <v/>
      </c>
      <c r="B295" s="128" t="inlineStr">
        <is>
          <t>RL7-AGC-102-ZSS-03</t>
        </is>
      </c>
      <c r="C295" s="314" t="inlineStr">
        <is>
          <t>RL7-AGC-102-ZSS-03</t>
        </is>
      </c>
      <c r="D295" s="262" t="inlineStr">
        <is>
          <t>PRS1006101</t>
        </is>
      </c>
      <c r="E295" s="128" t="inlineStr">
        <is>
          <t>JIC12B</t>
        </is>
      </c>
      <c r="F295" s="138" t="inlineStr">
        <is>
          <t>FRESH AUGER CART 2 PUMP DISCHARGE SAFETY INPUT CH1</t>
        </is>
      </c>
      <c r="G295" s="131" t="inlineStr">
        <is>
          <t>DG7011</t>
        </is>
      </c>
      <c r="H295" s="128" t="inlineStr">
        <is>
          <t>PROC</t>
        </is>
      </c>
      <c r="I295" s="132" t="inlineStr">
        <is>
          <t>RL7-FAGC2-RIO1</t>
        </is>
      </c>
      <c r="J295" s="133" t="n">
        <v>9</v>
      </c>
      <c r="K295" s="129" t="n">
        <v>1</v>
      </c>
      <c r="L295" s="129" t="n">
        <v>4</v>
      </c>
      <c r="M295" s="129" t="inlineStr">
        <is>
          <t>24 VDC SI</t>
        </is>
      </c>
      <c r="N295" s="129" t="inlineStr">
        <is>
          <t>5069-IB8S</t>
        </is>
      </c>
      <c r="O295" s="139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40" t="n"/>
      <c r="AA295" t="inlineStr">
        <is>
          <t>Matched</t>
        </is>
      </c>
      <c r="AB295" s="315" t="n">
        <v>0.99</v>
      </c>
      <c r="AC295" t="inlineStr">
        <is>
          <t>High</t>
        </is>
      </c>
      <c r="AD295" t="n">
        <v>1</v>
      </c>
      <c r="AE295" t="inlineStr">
        <is>
          <t>DG7011</t>
        </is>
      </c>
      <c r="AF295" t="n">
        <v>10</v>
      </c>
      <c r="AG295" t="inlineStr">
        <is>
          <t>drawing</t>
        </is>
      </c>
      <c r="AH295" t="inlineStr">
        <is>
          <t>stacked:isa</t>
        </is>
      </c>
      <c r="AI295" t="inlineStr">
        <is>
          <t>drawing zone; process page; mapped sheet; excel sheet match</t>
        </is>
      </c>
      <c r="AJ295" t="inlineStr">
        <is>
          <t>native</t>
        </is>
      </c>
      <c r="AK295" t="inlineStr">
        <is>
          <t>native-only</t>
        </is>
      </c>
      <c r="AM295" t="inlineStr">
        <is>
          <t>10</t>
        </is>
      </c>
      <c r="AN295" t="inlineStr">
        <is>
          <t>Yes</t>
        </is>
      </c>
      <c r="AO295" t="inlineStr">
        <is>
          <t>mapped sheet id</t>
        </is>
      </c>
      <c r="AP295" t="inlineStr">
        <is>
          <t>p10:native:119, p10:native:120</t>
        </is>
      </c>
      <c r="AQ295" t="n">
        <v>2</v>
      </c>
    </row>
    <row r="296">
      <c r="A296" s="203">
        <f>ROW()-1</f>
        <v/>
      </c>
      <c r="B296" s="128" t="inlineStr">
        <is>
          <t>RL7-AGC-102-ZSS-03</t>
        </is>
      </c>
      <c r="C296" s="314" t="inlineStr">
        <is>
          <t>RL7-AGC-102-ZSS-03</t>
        </is>
      </c>
      <c r="D296" s="262" t="inlineStr">
        <is>
          <t>PRS1006101</t>
        </is>
      </c>
      <c r="E296" s="128" t="inlineStr">
        <is>
          <t>JIC12B</t>
        </is>
      </c>
      <c r="F296" s="138" t="inlineStr">
        <is>
          <t>FRESH AUGER CART 2 PUMP DISCHARGE SAFETY INPUT CH2</t>
        </is>
      </c>
      <c r="G296" s="131" t="inlineStr">
        <is>
          <t>DG7011</t>
        </is>
      </c>
      <c r="H296" s="128" t="inlineStr">
        <is>
          <t>PROC</t>
        </is>
      </c>
      <c r="I296" s="132" t="inlineStr">
        <is>
          <t>RL7-FAGC2-RIO1</t>
        </is>
      </c>
      <c r="J296" s="133" t="n">
        <v>9</v>
      </c>
      <c r="K296" s="129" t="n">
        <v>1</v>
      </c>
      <c r="L296" s="129" t="n">
        <v>5</v>
      </c>
      <c r="M296" s="129" t="inlineStr">
        <is>
          <t>24 VDC SI</t>
        </is>
      </c>
      <c r="N296" s="129" t="inlineStr">
        <is>
          <t>5069-IB8S</t>
        </is>
      </c>
      <c r="O296" s="139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40" t="n"/>
      <c r="AA296" t="inlineStr">
        <is>
          <t>Matched</t>
        </is>
      </c>
      <c r="AB296" s="315" t="n">
        <v>0.99</v>
      </c>
      <c r="AC296" t="inlineStr">
        <is>
          <t>High</t>
        </is>
      </c>
      <c r="AD296" t="n">
        <v>1</v>
      </c>
      <c r="AE296" t="inlineStr">
        <is>
          <t>DG7011</t>
        </is>
      </c>
      <c r="AF296" t="n">
        <v>10</v>
      </c>
      <c r="AG296" t="inlineStr">
        <is>
          <t>drawing</t>
        </is>
      </c>
      <c r="AH296" t="inlineStr">
        <is>
          <t>stacked:isa</t>
        </is>
      </c>
      <c r="AI296" t="inlineStr">
        <is>
          <t>drawing zone; process page; mapped sheet; excel sheet match</t>
        </is>
      </c>
      <c r="AJ296" t="inlineStr">
        <is>
          <t>native</t>
        </is>
      </c>
      <c r="AK296" t="inlineStr">
        <is>
          <t>native-only</t>
        </is>
      </c>
      <c r="AM296" t="inlineStr">
        <is>
          <t>10</t>
        </is>
      </c>
      <c r="AN296" t="inlineStr">
        <is>
          <t>Yes</t>
        </is>
      </c>
      <c r="AO296" t="inlineStr">
        <is>
          <t>mapped sheet id</t>
        </is>
      </c>
      <c r="AP296" t="inlineStr">
        <is>
          <t>p10:native:119, p10:native:120</t>
        </is>
      </c>
      <c r="AQ296" t="n">
        <v>2</v>
      </c>
    </row>
    <row r="297">
      <c r="A297" s="203">
        <f>ROW()-1</f>
        <v/>
      </c>
      <c r="B297" s="128" t="inlineStr">
        <is>
          <t>RL7-AGC-102-ZSS-04</t>
        </is>
      </c>
      <c r="C297" s="314" t="inlineStr">
        <is>
          <t>RL7-AGC-102-ZSS-04</t>
        </is>
      </c>
      <c r="D297" s="262" t="inlineStr">
        <is>
          <t>PRS1006211</t>
        </is>
      </c>
      <c r="E297" s="128" t="inlineStr">
        <is>
          <t>JIC12B</t>
        </is>
      </c>
      <c r="F297" s="138" t="inlineStr">
        <is>
          <t>FRESH AUGER CART 2 SANITATION DISCHARGE GUARD SAFETY INPUT CH1</t>
        </is>
      </c>
      <c r="G297" s="131" t="inlineStr">
        <is>
          <t>DG7011</t>
        </is>
      </c>
      <c r="H297" s="128" t="inlineStr">
        <is>
          <t>PROC</t>
        </is>
      </c>
      <c r="I297" s="132" t="inlineStr">
        <is>
          <t>RL7-FAGC2-RIO1</t>
        </is>
      </c>
      <c r="J297" s="133" t="n">
        <v>9</v>
      </c>
      <c r="K297" s="129" t="n">
        <v>3</v>
      </c>
      <c r="L297" s="129" t="n">
        <v>0</v>
      </c>
      <c r="M297" s="129" t="inlineStr">
        <is>
          <t>24 VDC SI</t>
        </is>
      </c>
      <c r="N297" s="129" t="inlineStr">
        <is>
          <t>5069-IB8S</t>
        </is>
      </c>
      <c r="O297" s="139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40" t="n"/>
      <c r="AA297" t="inlineStr">
        <is>
          <t>Matched</t>
        </is>
      </c>
      <c r="AB297" s="315" t="n">
        <v>0.99</v>
      </c>
      <c r="AC297" t="inlineStr">
        <is>
          <t>High</t>
        </is>
      </c>
      <c r="AD297" t="n">
        <v>1</v>
      </c>
      <c r="AE297" t="inlineStr">
        <is>
          <t>DG7011</t>
        </is>
      </c>
      <c r="AF297" t="n">
        <v>10</v>
      </c>
      <c r="AG297" t="inlineStr">
        <is>
          <t>drawing</t>
        </is>
      </c>
      <c r="AH297" t="inlineStr">
        <is>
          <t>stacked:isa</t>
        </is>
      </c>
      <c r="AI297" t="inlineStr">
        <is>
          <t>drawing zone; process page; mapped sheet; excel sheet match</t>
        </is>
      </c>
      <c r="AJ297" t="inlineStr">
        <is>
          <t>native</t>
        </is>
      </c>
      <c r="AK297" t="inlineStr">
        <is>
          <t>native-only</t>
        </is>
      </c>
      <c r="AM297" t="inlineStr">
        <is>
          <t>10</t>
        </is>
      </c>
      <c r="AN297" t="inlineStr">
        <is>
          <t>Yes</t>
        </is>
      </c>
      <c r="AO297" t="inlineStr">
        <is>
          <t>mapped sheet id</t>
        </is>
      </c>
      <c r="AP297" t="inlineStr">
        <is>
          <t>p10:native:223, p10:native:224</t>
        </is>
      </c>
      <c r="AQ297" t="n">
        <v>2</v>
      </c>
    </row>
    <row r="298">
      <c r="A298" s="203">
        <f>ROW()-1</f>
        <v/>
      </c>
      <c r="B298" s="128" t="inlineStr">
        <is>
          <t>RL7-AGC-102-ZSS-04</t>
        </is>
      </c>
      <c r="C298" s="314" t="inlineStr">
        <is>
          <t>RL7-AGC-102-ZSS-04</t>
        </is>
      </c>
      <c r="D298" s="262" t="inlineStr">
        <is>
          <t>PRS1006211</t>
        </is>
      </c>
      <c r="E298" s="128" t="inlineStr">
        <is>
          <t>JIC12B</t>
        </is>
      </c>
      <c r="F298" s="138" t="inlineStr">
        <is>
          <t>FRESH AUGER CART 2 SANITATION DISCHARGE GUARD SAFETY INPUT CH2</t>
        </is>
      </c>
      <c r="G298" s="131" t="inlineStr">
        <is>
          <t>DG7011</t>
        </is>
      </c>
      <c r="H298" s="128" t="inlineStr">
        <is>
          <t>PROC</t>
        </is>
      </c>
      <c r="I298" s="132" t="inlineStr">
        <is>
          <t>RL7-FAGC2-RIO1</t>
        </is>
      </c>
      <c r="J298" s="133" t="n">
        <v>9</v>
      </c>
      <c r="K298" s="129" t="n">
        <v>3</v>
      </c>
      <c r="L298" s="129" t="n">
        <v>1</v>
      </c>
      <c r="M298" s="129" t="inlineStr">
        <is>
          <t>24 VDC SI</t>
        </is>
      </c>
      <c r="N298" s="129" t="inlineStr">
        <is>
          <t>5069-IB8S</t>
        </is>
      </c>
      <c r="O298" s="139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40" t="n"/>
      <c r="AA298" t="inlineStr">
        <is>
          <t>Matched</t>
        </is>
      </c>
      <c r="AB298" s="315" t="n">
        <v>0.99</v>
      </c>
      <c r="AC298" t="inlineStr">
        <is>
          <t>High</t>
        </is>
      </c>
      <c r="AD298" t="n">
        <v>1</v>
      </c>
      <c r="AE298" t="inlineStr">
        <is>
          <t>DG7011</t>
        </is>
      </c>
      <c r="AF298" t="n">
        <v>10</v>
      </c>
      <c r="AG298" t="inlineStr">
        <is>
          <t>drawing</t>
        </is>
      </c>
      <c r="AH298" t="inlineStr">
        <is>
          <t>stacked:isa</t>
        </is>
      </c>
      <c r="AI298" t="inlineStr">
        <is>
          <t>drawing zone; process page; mapped sheet; excel sheet match</t>
        </is>
      </c>
      <c r="AJ298" t="inlineStr">
        <is>
          <t>native</t>
        </is>
      </c>
      <c r="AK298" t="inlineStr">
        <is>
          <t>native-only</t>
        </is>
      </c>
      <c r="AM298" t="inlineStr">
        <is>
          <t>10</t>
        </is>
      </c>
      <c r="AN298" t="inlineStr">
        <is>
          <t>Yes</t>
        </is>
      </c>
      <c r="AO298" t="inlineStr">
        <is>
          <t>mapped sheet id</t>
        </is>
      </c>
      <c r="AP298" t="inlineStr">
        <is>
          <t>p10:native:223, p10:native:224</t>
        </is>
      </c>
      <c r="AQ298" t="n">
        <v>2</v>
      </c>
    </row>
    <row r="299">
      <c r="A299" s="203">
        <f>ROW()-1</f>
        <v/>
      </c>
      <c r="B299" s="128" t="n"/>
      <c r="C299" s="313" t="inlineStr">
        <is>
          <t>RL7-MLT-104.M1</t>
        </is>
      </c>
      <c r="D299" s="264" t="n"/>
      <c r="E299" s="133" t="n"/>
      <c r="F299" s="141" t="inlineStr">
        <is>
          <t>FRESH AUGER CART 1 DUMPER ENABLE</t>
        </is>
      </c>
      <c r="G299" s="142" t="inlineStr">
        <is>
          <t>DG7011</t>
        </is>
      </c>
      <c r="H299" s="133" t="inlineStr">
        <is>
          <t>MCC</t>
        </is>
      </c>
      <c r="I299" s="131" t="inlineStr">
        <is>
          <t>RL7-INTSL-RIO1</t>
        </is>
      </c>
      <c r="J299" s="133" t="n">
        <v>18</v>
      </c>
      <c r="K299" s="129" t="n">
        <v>14</v>
      </c>
      <c r="L299" s="129" t="n">
        <v>2</v>
      </c>
      <c r="M299" s="129" t="inlineStr">
        <is>
          <t>24 VDC DO</t>
        </is>
      </c>
      <c r="N299" s="129" t="inlineStr">
        <is>
          <t>5069-OB16</t>
        </is>
      </c>
      <c r="O299" s="139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40" t="n"/>
      <c r="AA299" t="inlineStr">
        <is>
          <t>Skipped - unrecognized tag</t>
        </is>
      </c>
      <c r="AC299" t="inlineStr">
        <is>
          <t>Low</t>
        </is>
      </c>
      <c r="AM299" t="inlineStr">
        <is>
          <t>10</t>
        </is>
      </c>
      <c r="AN299" t="inlineStr">
        <is>
          <t>Yes</t>
        </is>
      </c>
      <c r="AO299" t="inlineStr">
        <is>
          <t>unrecognized tag</t>
        </is>
      </c>
    </row>
    <row r="300">
      <c r="A300" s="203">
        <f>ROW()-1</f>
        <v/>
      </c>
      <c r="B300" s="128" t="inlineStr">
        <is>
          <t>RL7-MLT-104-HS-01</t>
        </is>
      </c>
      <c r="C300" s="314" t="inlineStr">
        <is>
          <t>RL7-MLT-104-HS-01</t>
        </is>
      </c>
      <c r="D300" s="262" t="inlineStr">
        <is>
          <t>SS705211</t>
        </is>
      </c>
      <c r="E300" s="128" t="inlineStr">
        <is>
          <t>OS9A</t>
        </is>
      </c>
      <c r="F300" s="138" t="inlineStr">
        <is>
          <t>FRESH AUGER CART 1 DUMPER PALLET RETENTION SELECTOR SWITCH</t>
        </is>
      </c>
      <c r="G300" s="131" t="inlineStr">
        <is>
          <t>DG7011</t>
        </is>
      </c>
      <c r="H300" s="128" t="inlineStr">
        <is>
          <t>PROC</t>
        </is>
      </c>
      <c r="I300" s="132" t="inlineStr">
        <is>
          <t>RL7-FAGC1-RIO1</t>
        </is>
      </c>
      <c r="J300" s="133" t="n">
        <v>8</v>
      </c>
      <c r="K300" s="129" t="n">
        <v>4</v>
      </c>
      <c r="L300" s="129" t="n">
        <v>5</v>
      </c>
      <c r="M300" s="129" t="inlineStr">
        <is>
          <t>24 VDC DI</t>
        </is>
      </c>
      <c r="N300" s="129" t="inlineStr">
        <is>
          <t>5069-IB16</t>
        </is>
      </c>
      <c r="O300" s="139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40" t="n"/>
      <c r="AA300" t="inlineStr">
        <is>
          <t>Matched</t>
        </is>
      </c>
      <c r="AB300" s="315" t="n">
        <v>0.99</v>
      </c>
      <c r="AC300" t="inlineStr">
        <is>
          <t>High</t>
        </is>
      </c>
      <c r="AD300" t="n">
        <v>1</v>
      </c>
      <c r="AE300" t="inlineStr">
        <is>
          <t>DG7011</t>
        </is>
      </c>
      <c r="AF300" t="n">
        <v>10</v>
      </c>
      <c r="AG300" t="inlineStr">
        <is>
          <t>drawing</t>
        </is>
      </c>
      <c r="AH300" t="inlineStr">
        <is>
          <t>stacked:isa</t>
        </is>
      </c>
      <c r="AI300" t="inlineStr">
        <is>
          <t>drawing zone; process page; mapped sheet; excel sheet match</t>
        </is>
      </c>
      <c r="AJ300" t="inlineStr">
        <is>
          <t>native</t>
        </is>
      </c>
      <c r="AK300" t="inlineStr">
        <is>
          <t>native-only</t>
        </is>
      </c>
      <c r="AM300" t="inlineStr">
        <is>
          <t>10</t>
        </is>
      </c>
      <c r="AN300" t="inlineStr">
        <is>
          <t>Yes</t>
        </is>
      </c>
      <c r="AO300" t="inlineStr">
        <is>
          <t>mapped sheet id</t>
        </is>
      </c>
      <c r="AP300" t="inlineStr">
        <is>
          <t>p10:native:267, p10:native:268</t>
        </is>
      </c>
      <c r="AQ300" t="n">
        <v>2</v>
      </c>
    </row>
    <row r="301">
      <c r="A301" s="203">
        <f>ROW()-1</f>
        <v/>
      </c>
      <c r="B301" s="128" t="inlineStr">
        <is>
          <t>RL7-MLT-104-HS-02</t>
        </is>
      </c>
      <c r="C301" s="314" t="inlineStr">
        <is>
          <t>RL7-MLT-104-HS-02</t>
        </is>
      </c>
      <c r="D301" s="262" t="inlineStr">
        <is>
          <t>SS705221</t>
        </is>
      </c>
      <c r="E301" s="128" t="inlineStr">
        <is>
          <t>OS9A</t>
        </is>
      </c>
      <c r="F301" s="138" t="inlineStr">
        <is>
          <t>FRESH AUGER CART 1 DUMPER BAG RETENTION SELECTOR SWITCH</t>
        </is>
      </c>
      <c r="G301" s="131" t="inlineStr">
        <is>
          <t>DG7011</t>
        </is>
      </c>
      <c r="H301" s="128" t="inlineStr">
        <is>
          <t>PROC</t>
        </is>
      </c>
      <c r="I301" s="132" t="inlineStr">
        <is>
          <t>RL7-FAGC1-RIO1</t>
        </is>
      </c>
      <c r="J301" s="133" t="n">
        <v>8</v>
      </c>
      <c r="K301" s="129" t="n">
        <v>4</v>
      </c>
      <c r="L301" s="129" t="n">
        <v>6</v>
      </c>
      <c r="M301" s="129" t="inlineStr">
        <is>
          <t>24 VDC DI</t>
        </is>
      </c>
      <c r="N301" s="129" t="inlineStr">
        <is>
          <t>5069-IB16</t>
        </is>
      </c>
      <c r="O301" s="139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40" t="n"/>
      <c r="AA301" t="inlineStr">
        <is>
          <t>Matched</t>
        </is>
      </c>
      <c r="AB301" s="315" t="n">
        <v>0.99</v>
      </c>
      <c r="AC301" t="inlineStr">
        <is>
          <t>High</t>
        </is>
      </c>
      <c r="AD301" t="n">
        <v>1</v>
      </c>
      <c r="AE301" t="inlineStr">
        <is>
          <t>DG7011</t>
        </is>
      </c>
      <c r="AF301" t="n">
        <v>10</v>
      </c>
      <c r="AG301" t="inlineStr">
        <is>
          <t>drawing</t>
        </is>
      </c>
      <c r="AH301" t="inlineStr">
        <is>
          <t>stacked:isa</t>
        </is>
      </c>
      <c r="AI301" t="inlineStr">
        <is>
          <t>drawing zone; process page; mapped sheet; excel sheet match</t>
        </is>
      </c>
      <c r="AJ301" t="inlineStr">
        <is>
          <t>native</t>
        </is>
      </c>
      <c r="AK301" t="inlineStr">
        <is>
          <t>native-only</t>
        </is>
      </c>
      <c r="AM301" t="inlineStr">
        <is>
          <t>10</t>
        </is>
      </c>
      <c r="AN301" t="inlineStr">
        <is>
          <t>Yes</t>
        </is>
      </c>
      <c r="AO301" t="inlineStr">
        <is>
          <t>mapped sheet id</t>
        </is>
      </c>
      <c r="AP301" t="inlineStr">
        <is>
          <t>p10:native:270, p10:native:271</t>
        </is>
      </c>
      <c r="AQ301" t="n">
        <v>2</v>
      </c>
    </row>
    <row r="302">
      <c r="A302" s="203">
        <f>ROW()-1</f>
        <v/>
      </c>
      <c r="B302" s="128" t="inlineStr">
        <is>
          <t>RL7-MLT-104-PB-01</t>
        </is>
      </c>
      <c r="C302" s="314" t="inlineStr">
        <is>
          <t>RL7-MLT-104-PB-01</t>
        </is>
      </c>
      <c r="D302" s="262" t="inlineStr">
        <is>
          <t>PB706161</t>
        </is>
      </c>
      <c r="E302" s="128" t="inlineStr">
        <is>
          <t>OS9A</t>
        </is>
      </c>
      <c r="F302" s="138" t="inlineStr">
        <is>
          <t>FRESH AUGER CART 1 DUMPER E-STOP SAFETY INPUT CH1</t>
        </is>
      </c>
      <c r="G302" s="131" t="inlineStr">
        <is>
          <t>DG7011</t>
        </is>
      </c>
      <c r="H302" s="128" t="inlineStr">
        <is>
          <t>PROC</t>
        </is>
      </c>
      <c r="I302" s="132" t="inlineStr">
        <is>
          <t>RL7-FAGC1-RIO1</t>
        </is>
      </c>
      <c r="J302" s="133" t="n">
        <v>8</v>
      </c>
      <c r="K302" s="129" t="n">
        <v>2</v>
      </c>
      <c r="L302" s="129" t="n">
        <v>0</v>
      </c>
      <c r="M302" s="129" t="inlineStr">
        <is>
          <t>24 VDC SI</t>
        </is>
      </c>
      <c r="N302" s="129" t="inlineStr">
        <is>
          <t>5069-IB8S</t>
        </is>
      </c>
      <c r="O302" s="139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40" t="n"/>
      <c r="AA302" t="inlineStr">
        <is>
          <t>Matched</t>
        </is>
      </c>
      <c r="AB302" s="315" t="n">
        <v>0.99</v>
      </c>
      <c r="AC302" t="inlineStr">
        <is>
          <t>High</t>
        </is>
      </c>
      <c r="AD302" t="n">
        <v>1</v>
      </c>
      <c r="AE302" t="inlineStr">
        <is>
          <t>DG7011</t>
        </is>
      </c>
      <c r="AF302" t="n">
        <v>10</v>
      </c>
      <c r="AG302" t="inlineStr">
        <is>
          <t>drawing</t>
        </is>
      </c>
      <c r="AH302" t="inlineStr">
        <is>
          <t>stacked:isa</t>
        </is>
      </c>
      <c r="AI302" t="inlineStr">
        <is>
          <t>drawing zone; process page; mapped sheet; excel sheet match</t>
        </is>
      </c>
      <c r="AJ302" t="inlineStr">
        <is>
          <t>native</t>
        </is>
      </c>
      <c r="AK302" t="inlineStr">
        <is>
          <t>native-only</t>
        </is>
      </c>
      <c r="AM302" t="inlineStr">
        <is>
          <t>10</t>
        </is>
      </c>
      <c r="AN302" t="inlineStr">
        <is>
          <t>Yes</t>
        </is>
      </c>
      <c r="AO302" t="inlineStr">
        <is>
          <t>mapped sheet id</t>
        </is>
      </c>
      <c r="AP302" t="inlineStr">
        <is>
          <t>p10:native:209, p10:native:210</t>
        </is>
      </c>
      <c r="AQ302" t="n">
        <v>2</v>
      </c>
    </row>
    <row r="303">
      <c r="A303" s="203">
        <f>ROW()-1</f>
        <v/>
      </c>
      <c r="B303" s="128" t="inlineStr">
        <is>
          <t>RL7-MLT-104-PB-01</t>
        </is>
      </c>
      <c r="C303" s="314" t="inlineStr">
        <is>
          <t>RL7-MLT-104-PB-01</t>
        </is>
      </c>
      <c r="D303" s="262" t="inlineStr">
        <is>
          <t>PB706161</t>
        </is>
      </c>
      <c r="E303" s="128" t="inlineStr">
        <is>
          <t>OS9A</t>
        </is>
      </c>
      <c r="F303" s="138" t="inlineStr">
        <is>
          <t>FRESH AUGER CART 1 DUMPER E-STOP SAFETY INPUT CH2</t>
        </is>
      </c>
      <c r="G303" s="131" t="inlineStr">
        <is>
          <t>DG7011</t>
        </is>
      </c>
      <c r="H303" s="128" t="inlineStr">
        <is>
          <t>PROC</t>
        </is>
      </c>
      <c r="I303" s="132" t="inlineStr">
        <is>
          <t>RL7-FAGC1-RIO1</t>
        </is>
      </c>
      <c r="J303" s="133" t="n">
        <v>8</v>
      </c>
      <c r="K303" s="129" t="n">
        <v>2</v>
      </c>
      <c r="L303" s="129" t="n">
        <v>1</v>
      </c>
      <c r="M303" s="129" t="inlineStr">
        <is>
          <t>24 VDC SI</t>
        </is>
      </c>
      <c r="N303" s="129" t="inlineStr">
        <is>
          <t>5069-IB8S</t>
        </is>
      </c>
      <c r="O303" s="139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40" t="n"/>
      <c r="AA303" t="inlineStr">
        <is>
          <t>Matched</t>
        </is>
      </c>
      <c r="AB303" s="315" t="n">
        <v>0.99</v>
      </c>
      <c r="AC303" t="inlineStr">
        <is>
          <t>High</t>
        </is>
      </c>
      <c r="AD303" t="n">
        <v>1</v>
      </c>
      <c r="AE303" t="inlineStr">
        <is>
          <t>DG7011</t>
        </is>
      </c>
      <c r="AF303" t="n">
        <v>10</v>
      </c>
      <c r="AG303" t="inlineStr">
        <is>
          <t>drawing</t>
        </is>
      </c>
      <c r="AH303" t="inlineStr">
        <is>
          <t>stacked:isa</t>
        </is>
      </c>
      <c r="AI303" t="inlineStr">
        <is>
          <t>drawing zone; process page; mapped sheet; excel sheet match</t>
        </is>
      </c>
      <c r="AJ303" t="inlineStr">
        <is>
          <t>native</t>
        </is>
      </c>
      <c r="AK303" t="inlineStr">
        <is>
          <t>native-only</t>
        </is>
      </c>
      <c r="AM303" t="inlineStr">
        <is>
          <t>10</t>
        </is>
      </c>
      <c r="AN303" t="inlineStr">
        <is>
          <t>Yes</t>
        </is>
      </c>
      <c r="AO303" t="inlineStr">
        <is>
          <t>mapped sheet id</t>
        </is>
      </c>
      <c r="AP303" t="inlineStr">
        <is>
          <t>p10:native:209, p10:native:210</t>
        </is>
      </c>
      <c r="AQ303" t="n">
        <v>2</v>
      </c>
    </row>
    <row r="304">
      <c r="A304" s="203">
        <f>ROW()-1</f>
        <v/>
      </c>
      <c r="B304" s="128" t="inlineStr">
        <is>
          <t>RL7-MLT-104-PB-02</t>
        </is>
      </c>
      <c r="C304" s="314" t="inlineStr">
        <is>
          <t>RL7-MLT-104-PB-02</t>
        </is>
      </c>
      <c r="D304" s="262" t="inlineStr">
        <is>
          <t>PB705191</t>
        </is>
      </c>
      <c r="E304" s="128" t="inlineStr">
        <is>
          <t>OS9A</t>
        </is>
      </c>
      <c r="F304" s="138" t="inlineStr">
        <is>
          <t xml:space="preserve">FRESH AUGER CART 1 DUMPER UP PB  </t>
        </is>
      </c>
      <c r="G304" s="131" t="inlineStr">
        <is>
          <t>DG7011</t>
        </is>
      </c>
      <c r="H304" s="128" t="inlineStr">
        <is>
          <t>PROC</t>
        </is>
      </c>
      <c r="I304" s="132" t="inlineStr">
        <is>
          <t>RL7-FAGC1-RIO1</t>
        </is>
      </c>
      <c r="J304" s="133" t="n">
        <v>8</v>
      </c>
      <c r="K304" s="129" t="n">
        <v>4</v>
      </c>
      <c r="L304" s="129" t="n">
        <v>7</v>
      </c>
      <c r="M304" s="129" t="inlineStr">
        <is>
          <t>24 VDC DI</t>
        </is>
      </c>
      <c r="N304" s="129" t="inlineStr">
        <is>
          <t>5069-IB16</t>
        </is>
      </c>
      <c r="O304" s="139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40" t="n"/>
      <c r="AA304" t="inlineStr">
        <is>
          <t>Matched</t>
        </is>
      </c>
      <c r="AB304" s="315" t="n">
        <v>0.99</v>
      </c>
      <c r="AC304" t="inlineStr">
        <is>
          <t>High</t>
        </is>
      </c>
      <c r="AD304" t="n">
        <v>1</v>
      </c>
      <c r="AE304" t="inlineStr">
        <is>
          <t>DG7011</t>
        </is>
      </c>
      <c r="AF304" t="n">
        <v>10</v>
      </c>
      <c r="AG304" t="inlineStr">
        <is>
          <t>drawing</t>
        </is>
      </c>
      <c r="AH304" t="inlineStr">
        <is>
          <t>stacked:isa</t>
        </is>
      </c>
      <c r="AI304" t="inlineStr">
        <is>
          <t>drawing zone; process page; mapped sheet; excel sheet match</t>
        </is>
      </c>
      <c r="AJ304" t="inlineStr">
        <is>
          <t>native</t>
        </is>
      </c>
      <c r="AK304" t="inlineStr">
        <is>
          <t>native-only</t>
        </is>
      </c>
      <c r="AM304" t="inlineStr">
        <is>
          <t>10</t>
        </is>
      </c>
      <c r="AN304" t="inlineStr">
        <is>
          <t>Yes</t>
        </is>
      </c>
      <c r="AO304" t="inlineStr">
        <is>
          <t>mapped sheet id</t>
        </is>
      </c>
      <c r="AP304" t="inlineStr">
        <is>
          <t>p10:native:215, p10:native:216</t>
        </is>
      </c>
      <c r="AQ304" t="n">
        <v>2</v>
      </c>
    </row>
    <row r="305">
      <c r="A305" s="203">
        <f>ROW()-1</f>
        <v/>
      </c>
      <c r="B305" s="128" t="inlineStr">
        <is>
          <t>RL7-MLT-104-PB-03</t>
        </is>
      </c>
      <c r="C305" s="314" t="inlineStr">
        <is>
          <t>RL7-MLT-104-PB-03</t>
        </is>
      </c>
      <c r="D305" s="262" t="inlineStr">
        <is>
          <t>PB705201</t>
        </is>
      </c>
      <c r="E305" s="128" t="inlineStr">
        <is>
          <t>OS9A</t>
        </is>
      </c>
      <c r="F305" s="138" t="inlineStr">
        <is>
          <t xml:space="preserve">FRESH AUGER CART 1 DUMPER DOWN PB  </t>
        </is>
      </c>
      <c r="G305" s="131" t="inlineStr">
        <is>
          <t>DG7011</t>
        </is>
      </c>
      <c r="H305" s="128" t="inlineStr">
        <is>
          <t>PROC</t>
        </is>
      </c>
      <c r="I305" s="132" t="inlineStr">
        <is>
          <t>RL7-FAGC1-RIO1</t>
        </is>
      </c>
      <c r="J305" s="133" t="n">
        <v>8</v>
      </c>
      <c r="K305" s="129" t="n">
        <v>4</v>
      </c>
      <c r="L305" s="129" t="n">
        <v>8</v>
      </c>
      <c r="M305" s="129" t="inlineStr">
        <is>
          <t>24 VDC DI</t>
        </is>
      </c>
      <c r="N305" s="129" t="inlineStr">
        <is>
          <t>5069-IB16</t>
        </is>
      </c>
      <c r="O305" s="139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40" t="n"/>
      <c r="AA305" t="inlineStr">
        <is>
          <t>Matched</t>
        </is>
      </c>
      <c r="AB305" s="315" t="n">
        <v>0.99</v>
      </c>
      <c r="AC305" t="inlineStr">
        <is>
          <t>High</t>
        </is>
      </c>
      <c r="AD305" t="n">
        <v>1</v>
      </c>
      <c r="AE305" t="inlineStr">
        <is>
          <t>DG7011</t>
        </is>
      </c>
      <c r="AF305" t="n">
        <v>10</v>
      </c>
      <c r="AG305" t="inlineStr">
        <is>
          <t>drawing</t>
        </is>
      </c>
      <c r="AH305" t="inlineStr">
        <is>
          <t>stacked:isa</t>
        </is>
      </c>
      <c r="AI305" t="inlineStr">
        <is>
          <t>drawing zone; process page; mapped sheet; excel sheet match</t>
        </is>
      </c>
      <c r="AJ305" t="inlineStr">
        <is>
          <t>native</t>
        </is>
      </c>
      <c r="AK305" t="inlineStr">
        <is>
          <t>native-only</t>
        </is>
      </c>
      <c r="AM305" t="inlineStr">
        <is>
          <t>10</t>
        </is>
      </c>
      <c r="AN305" t="inlineStr">
        <is>
          <t>Yes</t>
        </is>
      </c>
      <c r="AO305" t="inlineStr">
        <is>
          <t>mapped sheet id</t>
        </is>
      </c>
      <c r="AP305" t="inlineStr">
        <is>
          <t>p10:native:217, p10:native:218</t>
        </is>
      </c>
      <c r="AQ305" t="n">
        <v>2</v>
      </c>
    </row>
    <row r="306">
      <c r="A306" s="203">
        <f>ROW()-1</f>
        <v/>
      </c>
      <c r="B306" s="128" t="inlineStr">
        <is>
          <t>RL7-MLT-104-PBL-01</t>
        </is>
      </c>
      <c r="C306" s="313" t="inlineStr">
        <is>
          <t>RL7-MLT-104-PBL-01</t>
        </is>
      </c>
      <c r="D306" s="262" t="inlineStr">
        <is>
          <t>PB706161</t>
        </is>
      </c>
      <c r="E306" s="128" t="inlineStr">
        <is>
          <t>OS9A</t>
        </is>
      </c>
      <c r="F306" s="138" t="inlineStr">
        <is>
          <t xml:space="preserve">FRESH AUGER CART 1 DUMPER E-STOP PB PILOT LIGHT </t>
        </is>
      </c>
      <c r="G306" s="131" t="inlineStr">
        <is>
          <t>DG7011</t>
        </is>
      </c>
      <c r="H306" s="128" t="inlineStr">
        <is>
          <t>PROC</t>
        </is>
      </c>
      <c r="I306" s="132" t="inlineStr">
        <is>
          <t>RL7-FAGC1-RIO1</t>
        </is>
      </c>
      <c r="J306" s="133" t="n">
        <v>8</v>
      </c>
      <c r="K306" s="129" t="n">
        <v>6</v>
      </c>
      <c r="L306" s="129" t="n">
        <v>0</v>
      </c>
      <c r="M306" s="129" t="inlineStr">
        <is>
          <t>24 VDC DO</t>
        </is>
      </c>
      <c r="N306" s="129" t="inlineStr">
        <is>
          <t>5069-OB16</t>
        </is>
      </c>
      <c r="O306" s="139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40" t="n"/>
      <c r="AA306" t="inlineStr">
        <is>
          <t>Not found in PDF</t>
        </is>
      </c>
      <c r="AC306" t="inlineStr">
        <is>
          <t>Low</t>
        </is>
      </c>
      <c r="AM306" t="inlineStr">
        <is>
          <t>10</t>
        </is>
      </c>
      <c r="AN306" t="inlineStr">
        <is>
          <t>Yes</t>
        </is>
      </c>
      <c r="AO306" t="inlineStr">
        <is>
          <t>mapped sheet id</t>
        </is>
      </c>
    </row>
    <row r="307">
      <c r="A307" s="203">
        <f>ROW()-1</f>
        <v/>
      </c>
      <c r="B307" s="128" t="inlineStr">
        <is>
          <t>RL7-MLT-104-PSL-01</t>
        </is>
      </c>
      <c r="C307" s="314" t="inlineStr">
        <is>
          <t>RL7-MLT-104-PSL-01</t>
        </is>
      </c>
      <c r="D307" s="262" t="inlineStr">
        <is>
          <t>PRG705171</t>
        </is>
      </c>
      <c r="E307" s="128" t="inlineStr">
        <is>
          <t>OS9A</t>
        </is>
      </c>
      <c r="F307" s="138" t="inlineStr">
        <is>
          <t xml:space="preserve">FRESH AUGER CART 1 DUMPER PRESSURE REGULATOR </t>
        </is>
      </c>
      <c r="G307" s="131" t="inlineStr">
        <is>
          <t>DG7011</t>
        </is>
      </c>
      <c r="H307" s="128" t="inlineStr">
        <is>
          <t>PROC</t>
        </is>
      </c>
      <c r="I307" s="132" t="inlineStr">
        <is>
          <t>RL7-FAGC1-RIO1</t>
        </is>
      </c>
      <c r="J307" s="133" t="n">
        <v>8</v>
      </c>
      <c r="K307" s="129" t="n">
        <v>4</v>
      </c>
      <c r="L307" s="129" t="n">
        <v>3</v>
      </c>
      <c r="M307" s="129" t="inlineStr">
        <is>
          <t>24 VDC DI</t>
        </is>
      </c>
      <c r="N307" s="129" t="inlineStr">
        <is>
          <t>5069-IB16</t>
        </is>
      </c>
      <c r="O307" s="139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40" t="n"/>
      <c r="AA307" t="inlineStr">
        <is>
          <t>Matched</t>
        </is>
      </c>
      <c r="AB307" s="315" t="n">
        <v>0.99</v>
      </c>
      <c r="AC307" t="inlineStr">
        <is>
          <t>High</t>
        </is>
      </c>
      <c r="AD307" t="n">
        <v>1</v>
      </c>
      <c r="AE307" t="inlineStr">
        <is>
          <t>DG7011</t>
        </is>
      </c>
      <c r="AF307" t="n">
        <v>10</v>
      </c>
      <c r="AG307" t="inlineStr">
        <is>
          <t>drawing</t>
        </is>
      </c>
      <c r="AH307" t="inlineStr">
        <is>
          <t>stacked:isa</t>
        </is>
      </c>
      <c r="AI307" t="inlineStr">
        <is>
          <t>drawing zone; process page; mapped sheet; excel sheet match</t>
        </is>
      </c>
      <c r="AJ307" t="inlineStr">
        <is>
          <t>native</t>
        </is>
      </c>
      <c r="AK307" t="inlineStr">
        <is>
          <t>native-only</t>
        </is>
      </c>
      <c r="AM307" t="inlineStr">
        <is>
          <t>10</t>
        </is>
      </c>
      <c r="AN307" t="inlineStr">
        <is>
          <t>Yes</t>
        </is>
      </c>
      <c r="AO307" t="inlineStr">
        <is>
          <t>mapped sheet id</t>
        </is>
      </c>
      <c r="AP307" t="inlineStr">
        <is>
          <t>p10:native:342, p10:native:343</t>
        </is>
      </c>
      <c r="AQ307" t="n">
        <v>2</v>
      </c>
    </row>
    <row r="308">
      <c r="A308" s="203">
        <f>ROW()-1</f>
        <v/>
      </c>
      <c r="B308" s="128" t="inlineStr">
        <is>
          <t>RL7-MLT-104-XY-101A</t>
        </is>
      </c>
      <c r="C308" s="314" t="inlineStr">
        <is>
          <t>RL7-MLT-104-XY-101A</t>
        </is>
      </c>
      <c r="D308" s="262" t="inlineStr">
        <is>
          <t>SOL705041</t>
        </is>
      </c>
      <c r="E308" s="128" t="inlineStr">
        <is>
          <t>OS9A</t>
        </is>
      </c>
      <c r="F308" s="138" t="inlineStr">
        <is>
          <t>FRESH AUGER CART 1 DUMPER ENGAGE PALLET RETENTION SOLENOID</t>
        </is>
      </c>
      <c r="G308" s="131" t="inlineStr">
        <is>
          <t>DG7011</t>
        </is>
      </c>
      <c r="H308" s="128" t="inlineStr">
        <is>
          <t>PROC</t>
        </is>
      </c>
      <c r="I308" s="132" t="inlineStr">
        <is>
          <t>RL7-FAGC1-RIO1</t>
        </is>
      </c>
      <c r="J308" s="133" t="n">
        <v>8</v>
      </c>
      <c r="K308" s="129" t="n">
        <v>6</v>
      </c>
      <c r="L308" s="129" t="n">
        <v>4</v>
      </c>
      <c r="M308" s="129" t="inlineStr">
        <is>
          <t>24 VDC DO</t>
        </is>
      </c>
      <c r="N308" s="129" t="inlineStr">
        <is>
          <t>5069-OB16</t>
        </is>
      </c>
      <c r="O308" s="139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40" t="n"/>
      <c r="AA308" t="inlineStr">
        <is>
          <t>Matched</t>
        </is>
      </c>
      <c r="AB308" s="315" t="n">
        <v>0.99</v>
      </c>
      <c r="AC308" t="inlineStr">
        <is>
          <t>High</t>
        </is>
      </c>
      <c r="AD308" t="n">
        <v>1</v>
      </c>
      <c r="AE308" t="inlineStr">
        <is>
          <t>DG7011</t>
        </is>
      </c>
      <c r="AF308" t="n">
        <v>10</v>
      </c>
      <c r="AG308" t="inlineStr">
        <is>
          <t>drawing</t>
        </is>
      </c>
      <c r="AH308" t="inlineStr">
        <is>
          <t>stacked:isa</t>
        </is>
      </c>
      <c r="AI308" t="inlineStr">
        <is>
          <t>drawing zone; process page; mapped sheet; excel sheet match</t>
        </is>
      </c>
      <c r="AJ308" t="inlineStr">
        <is>
          <t>native</t>
        </is>
      </c>
      <c r="AK308" t="inlineStr">
        <is>
          <t>native-only</t>
        </is>
      </c>
      <c r="AM308" t="inlineStr">
        <is>
          <t>10</t>
        </is>
      </c>
      <c r="AN308" t="inlineStr">
        <is>
          <t>Yes</t>
        </is>
      </c>
      <c r="AO308" t="inlineStr">
        <is>
          <t>mapped sheet id</t>
        </is>
      </c>
      <c r="AP308" t="inlineStr">
        <is>
          <t>p10:native:255, p10:native:256</t>
        </is>
      </c>
      <c r="AQ308" t="n">
        <v>2</v>
      </c>
    </row>
    <row r="309">
      <c r="A309" s="203">
        <f>ROW()-1</f>
        <v/>
      </c>
      <c r="B309" s="128" t="inlineStr">
        <is>
          <t>RL7-MLT-104-XY-101B</t>
        </is>
      </c>
      <c r="C309" s="314" t="inlineStr">
        <is>
          <t>RL7-MLT-104-XY-101B</t>
        </is>
      </c>
      <c r="D309" s="262" t="inlineStr">
        <is>
          <t>SOL705041</t>
        </is>
      </c>
      <c r="E309" s="128" t="inlineStr">
        <is>
          <t>OS9A</t>
        </is>
      </c>
      <c r="F309" s="138" t="inlineStr">
        <is>
          <t>FRESH AUGER CART 1 DUMPER RELEASE PALLET RETENTION SOLENOID</t>
        </is>
      </c>
      <c r="G309" s="131" t="inlineStr">
        <is>
          <t>DG7011</t>
        </is>
      </c>
      <c r="H309" s="128" t="inlineStr">
        <is>
          <t>PROC</t>
        </is>
      </c>
      <c r="I309" s="132" t="inlineStr">
        <is>
          <t>RL7-FAGC1-RIO1</t>
        </is>
      </c>
      <c r="J309" s="133" t="n">
        <v>8</v>
      </c>
      <c r="K309" s="129" t="n">
        <v>6</v>
      </c>
      <c r="L309" s="129" t="n">
        <v>5</v>
      </c>
      <c r="M309" s="129" t="inlineStr">
        <is>
          <t>24 VDC DO</t>
        </is>
      </c>
      <c r="N309" s="129" t="inlineStr">
        <is>
          <t>5069-OB16</t>
        </is>
      </c>
      <c r="O309" s="139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40" t="n"/>
      <c r="AA309" t="inlineStr">
        <is>
          <t>Matched</t>
        </is>
      </c>
      <c r="AB309" s="315" t="n">
        <v>0.99</v>
      </c>
      <c r="AC309" t="inlineStr">
        <is>
          <t>High</t>
        </is>
      </c>
      <c r="AD309" t="n">
        <v>1</v>
      </c>
      <c r="AE309" t="inlineStr">
        <is>
          <t>DG7011</t>
        </is>
      </c>
      <c r="AF309" t="n">
        <v>10</v>
      </c>
      <c r="AG309" t="inlineStr">
        <is>
          <t>drawing</t>
        </is>
      </c>
      <c r="AH309" t="inlineStr">
        <is>
          <t>stacked:isa</t>
        </is>
      </c>
      <c r="AI309" t="inlineStr">
        <is>
          <t>drawing zone; process page; mapped sheet; excel sheet match</t>
        </is>
      </c>
      <c r="AJ309" t="inlineStr">
        <is>
          <t>native</t>
        </is>
      </c>
      <c r="AK309" t="inlineStr">
        <is>
          <t>native-only</t>
        </is>
      </c>
      <c r="AM309" t="inlineStr">
        <is>
          <t>10</t>
        </is>
      </c>
      <c r="AN309" t="inlineStr">
        <is>
          <t>Yes</t>
        </is>
      </c>
      <c r="AO309" t="inlineStr">
        <is>
          <t>mapped sheet id</t>
        </is>
      </c>
      <c r="AP309" t="inlineStr">
        <is>
          <t>p10:native:257, p10:native:258</t>
        </is>
      </c>
      <c r="AQ309" t="n">
        <v>2</v>
      </c>
    </row>
    <row r="310">
      <c r="A310" s="203">
        <f>ROW()-1</f>
        <v/>
      </c>
      <c r="B310" s="128" t="inlineStr">
        <is>
          <t>RL7-MLT-104-XY-102A</t>
        </is>
      </c>
      <c r="C310" s="314" t="inlineStr">
        <is>
          <t>RL7-MLT-104-XY-102A</t>
        </is>
      </c>
      <c r="D310" s="262" t="inlineStr">
        <is>
          <t>SOL705061</t>
        </is>
      </c>
      <c r="E310" s="128" t="inlineStr">
        <is>
          <t>OS9A</t>
        </is>
      </c>
      <c r="F310" s="138" t="inlineStr">
        <is>
          <t>FRESH AUGER CART 1 DUMPER ENGAGE BAG RETENTION SOLENOID</t>
        </is>
      </c>
      <c r="G310" s="131" t="inlineStr">
        <is>
          <t>DG7011</t>
        </is>
      </c>
      <c r="H310" s="128" t="inlineStr">
        <is>
          <t>PROC</t>
        </is>
      </c>
      <c r="I310" s="132" t="inlineStr">
        <is>
          <t>RL7-FAGC1-RIO1</t>
        </is>
      </c>
      <c r="J310" s="133" t="n">
        <v>8</v>
      </c>
      <c r="K310" s="129" t="n">
        <v>6</v>
      </c>
      <c r="L310" s="129" t="n">
        <v>6</v>
      </c>
      <c r="M310" s="129" t="inlineStr">
        <is>
          <t>24 VDC DO</t>
        </is>
      </c>
      <c r="N310" s="129" t="inlineStr">
        <is>
          <t>5069-OB16</t>
        </is>
      </c>
      <c r="O310" s="139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40" t="n"/>
      <c r="AA310" t="inlineStr">
        <is>
          <t>Matched</t>
        </is>
      </c>
      <c r="AB310" s="315" t="n">
        <v>0.99</v>
      </c>
      <c r="AC310" t="inlineStr">
        <is>
          <t>High</t>
        </is>
      </c>
      <c r="AD310" t="n">
        <v>1</v>
      </c>
      <c r="AE310" t="inlineStr">
        <is>
          <t>DG7011</t>
        </is>
      </c>
      <c r="AF310" t="n">
        <v>10</v>
      </c>
      <c r="AG310" t="inlineStr">
        <is>
          <t>drawing</t>
        </is>
      </c>
      <c r="AH310" t="inlineStr">
        <is>
          <t>stacked:isa</t>
        </is>
      </c>
      <c r="AI310" t="inlineStr">
        <is>
          <t>drawing zone; process page; mapped sheet; excel sheet match</t>
        </is>
      </c>
      <c r="AJ310" t="inlineStr">
        <is>
          <t>native</t>
        </is>
      </c>
      <c r="AK310" t="inlineStr">
        <is>
          <t>native-only</t>
        </is>
      </c>
      <c r="AM310" t="inlineStr">
        <is>
          <t>10</t>
        </is>
      </c>
      <c r="AN310" t="inlineStr">
        <is>
          <t>Yes</t>
        </is>
      </c>
      <c r="AO310" t="inlineStr">
        <is>
          <t>mapped sheet id</t>
        </is>
      </c>
      <c r="AP310" t="inlineStr">
        <is>
          <t>p10:native:259, p10:native:260</t>
        </is>
      </c>
      <c r="AQ310" t="n">
        <v>2</v>
      </c>
    </row>
    <row r="311">
      <c r="A311" s="203">
        <f>ROW()-1</f>
        <v/>
      </c>
      <c r="B311" s="128" t="inlineStr">
        <is>
          <t>RL7-MLT-104-XY-102B</t>
        </is>
      </c>
      <c r="C311" s="314" t="inlineStr">
        <is>
          <t>RL7-MLT-104-XY-102B</t>
        </is>
      </c>
      <c r="D311" s="262" t="inlineStr">
        <is>
          <t>SOL705061</t>
        </is>
      </c>
      <c r="E311" s="128" t="inlineStr">
        <is>
          <t>OS9A</t>
        </is>
      </c>
      <c r="F311" s="138" t="inlineStr">
        <is>
          <t>FRESH AUGER CART 1 DUMPER RELEASE BAG RETENTION SOLENOID</t>
        </is>
      </c>
      <c r="G311" s="131" t="inlineStr">
        <is>
          <t>DG7011</t>
        </is>
      </c>
      <c r="H311" s="128" t="inlineStr">
        <is>
          <t>PROC</t>
        </is>
      </c>
      <c r="I311" s="132" t="inlineStr">
        <is>
          <t>RL7-FAGC1-RIO1</t>
        </is>
      </c>
      <c r="J311" s="133" t="n">
        <v>8</v>
      </c>
      <c r="K311" s="129" t="n">
        <v>6</v>
      </c>
      <c r="L311" s="129" t="n">
        <v>7</v>
      </c>
      <c r="M311" s="129" t="inlineStr">
        <is>
          <t>24 VDC DO</t>
        </is>
      </c>
      <c r="N311" s="129" t="inlineStr">
        <is>
          <t>5069-OB16</t>
        </is>
      </c>
      <c r="O311" s="139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40" t="n"/>
      <c r="AA311" t="inlineStr">
        <is>
          <t>Matched</t>
        </is>
      </c>
      <c r="AB311" s="315" t="n">
        <v>0.99</v>
      </c>
      <c r="AC311" t="inlineStr">
        <is>
          <t>High</t>
        </is>
      </c>
      <c r="AD311" t="n">
        <v>1</v>
      </c>
      <c r="AE311" t="inlineStr">
        <is>
          <t>DG7011</t>
        </is>
      </c>
      <c r="AF311" t="n">
        <v>10</v>
      </c>
      <c r="AG311" t="inlineStr">
        <is>
          <t>drawing</t>
        </is>
      </c>
      <c r="AH311" t="inlineStr">
        <is>
          <t>stacked:isa</t>
        </is>
      </c>
      <c r="AI311" t="inlineStr">
        <is>
          <t>drawing zone; process page; mapped sheet; excel sheet match</t>
        </is>
      </c>
      <c r="AJ311" t="inlineStr">
        <is>
          <t>native</t>
        </is>
      </c>
      <c r="AK311" t="inlineStr">
        <is>
          <t>native-only</t>
        </is>
      </c>
      <c r="AM311" t="inlineStr">
        <is>
          <t>10</t>
        </is>
      </c>
      <c r="AN311" t="inlineStr">
        <is>
          <t>Yes</t>
        </is>
      </c>
      <c r="AO311" t="inlineStr">
        <is>
          <t>mapped sheet id</t>
        </is>
      </c>
      <c r="AP311" t="inlineStr">
        <is>
          <t>p10:native:261, p10:native:262</t>
        </is>
      </c>
      <c r="AQ311" t="n">
        <v>2</v>
      </c>
    </row>
    <row r="312">
      <c r="A312" s="203">
        <f>ROW()-1</f>
        <v/>
      </c>
      <c r="B312" s="128" t="inlineStr">
        <is>
          <t>RL7-MLT-104-XY-103A</t>
        </is>
      </c>
      <c r="C312" s="313" t="inlineStr">
        <is>
          <t>RL7-MLT-104-XY-103A</t>
        </is>
      </c>
      <c r="D312" s="262" t="inlineStr">
        <is>
          <t>SOL705031</t>
        </is>
      </c>
      <c r="E312" s="128" t="inlineStr">
        <is>
          <t>OS9A</t>
        </is>
      </c>
      <c r="F312" s="138" t="inlineStr">
        <is>
          <t>FRESH AUGER CART 1 DUMPER HYDRAULIC UP SOLENOID</t>
        </is>
      </c>
      <c r="G312" s="131" t="inlineStr">
        <is>
          <t>DG7011</t>
        </is>
      </c>
      <c r="H312" s="128" t="inlineStr">
        <is>
          <t>PROC</t>
        </is>
      </c>
      <c r="I312" s="132" t="inlineStr">
        <is>
          <t>RL7-FAGC1-RIO1</t>
        </is>
      </c>
      <c r="J312" s="133" t="n">
        <v>8</v>
      </c>
      <c r="K312" s="129" t="n">
        <v>6</v>
      </c>
      <c r="L312" s="129" t="n">
        <v>2</v>
      </c>
      <c r="M312" s="129" t="inlineStr">
        <is>
          <t>24 VDC DO</t>
        </is>
      </c>
      <c r="N312" s="129" t="inlineStr">
        <is>
          <t>5069-OB16</t>
        </is>
      </c>
      <c r="O312" s="139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48" t="n"/>
      <c r="AA312" t="inlineStr">
        <is>
          <t>Matched</t>
        </is>
      </c>
      <c r="AB312" s="315" t="n">
        <v>0.7600000000000001</v>
      </c>
      <c r="AC312" t="inlineStr">
        <is>
          <t>Medium</t>
        </is>
      </c>
      <c r="AD312" t="n">
        <v>1</v>
      </c>
      <c r="AE312" t="inlineStr">
        <is>
          <t>DG7011</t>
        </is>
      </c>
      <c r="AF312" t="n">
        <v>10</v>
      </c>
      <c r="AG312" t="inlineStr">
        <is>
          <t>title-block/bottom</t>
        </is>
      </c>
      <c r="AH312" t="inlineStr">
        <is>
          <t>stacked:isa</t>
        </is>
      </c>
      <c r="AI312" t="inlineStr">
        <is>
          <t>title-block penalty; process page; mapped sheet; excel sheet match</t>
        </is>
      </c>
      <c r="AJ312" t="inlineStr">
        <is>
          <t>native</t>
        </is>
      </c>
      <c r="AK312" t="inlineStr">
        <is>
          <t>native-only</t>
        </is>
      </c>
      <c r="AM312" t="inlineStr">
        <is>
          <t>10</t>
        </is>
      </c>
      <c r="AN312" t="inlineStr">
        <is>
          <t>Yes</t>
        </is>
      </c>
      <c r="AO312" t="inlineStr">
        <is>
          <t>mapped sheet id</t>
        </is>
      </c>
      <c r="AP312" t="inlineStr">
        <is>
          <t>p10:native:263, p10:native:264</t>
        </is>
      </c>
      <c r="AQ312" t="n">
        <v>2</v>
      </c>
    </row>
    <row r="313">
      <c r="A313" s="203">
        <f>ROW()-1</f>
        <v/>
      </c>
      <c r="B313" s="128" t="inlineStr">
        <is>
          <t>RL7-MLT-104-XY-103B</t>
        </is>
      </c>
      <c r="C313" s="313" t="inlineStr">
        <is>
          <t>RL7-MLT-104-XY-103B</t>
        </is>
      </c>
      <c r="D313" s="262" t="inlineStr">
        <is>
          <t>SOL705031</t>
        </is>
      </c>
      <c r="E313" s="128" t="inlineStr">
        <is>
          <t>OS9A</t>
        </is>
      </c>
      <c r="F313" s="138" t="inlineStr">
        <is>
          <t>FRESH AUGER CART 1 DUMPER HYDRAULIC DOWN SOLENOID</t>
        </is>
      </c>
      <c r="G313" s="131" t="inlineStr">
        <is>
          <t>DG7011</t>
        </is>
      </c>
      <c r="H313" s="128" t="inlineStr">
        <is>
          <t>PROC</t>
        </is>
      </c>
      <c r="I313" s="132" t="inlineStr">
        <is>
          <t>RL7-FAGC1-RIO1</t>
        </is>
      </c>
      <c r="J313" s="133" t="n">
        <v>8</v>
      </c>
      <c r="K313" s="129" t="n">
        <v>6</v>
      </c>
      <c r="L313" s="129" t="n">
        <v>3</v>
      </c>
      <c r="M313" s="129" t="inlineStr">
        <is>
          <t>24 VDC DO</t>
        </is>
      </c>
      <c r="N313" s="129" t="inlineStr">
        <is>
          <t>5069-OB16</t>
        </is>
      </c>
      <c r="O313" s="139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48" t="n"/>
      <c r="AA313" t="inlineStr">
        <is>
          <t>Matched</t>
        </is>
      </c>
      <c r="AB313" s="315" t="n">
        <v>0.7600000000000001</v>
      </c>
      <c r="AC313" t="inlineStr">
        <is>
          <t>Medium</t>
        </is>
      </c>
      <c r="AD313" t="n">
        <v>1</v>
      </c>
      <c r="AE313" t="inlineStr">
        <is>
          <t>DG7011</t>
        </is>
      </c>
      <c r="AF313" t="n">
        <v>10</v>
      </c>
      <c r="AG313" t="inlineStr">
        <is>
          <t>title-block/bottom</t>
        </is>
      </c>
      <c r="AH313" t="inlineStr">
        <is>
          <t>stacked:isa</t>
        </is>
      </c>
      <c r="AI313" t="inlineStr">
        <is>
          <t>title-block penalty; process page; mapped sheet; excel sheet match</t>
        </is>
      </c>
      <c r="AJ313" t="inlineStr">
        <is>
          <t>native</t>
        </is>
      </c>
      <c r="AK313" t="inlineStr">
        <is>
          <t>native-only</t>
        </is>
      </c>
      <c r="AM313" t="inlineStr">
        <is>
          <t>10</t>
        </is>
      </c>
      <c r="AN313" t="inlineStr">
        <is>
          <t>Yes</t>
        </is>
      </c>
      <c r="AO313" t="inlineStr">
        <is>
          <t>mapped sheet id</t>
        </is>
      </c>
      <c r="AP313" t="inlineStr">
        <is>
          <t>p10:native:265, p10:native:266</t>
        </is>
      </c>
      <c r="AQ313" t="n">
        <v>2</v>
      </c>
    </row>
    <row r="314">
      <c r="A314" s="203">
        <f>ROW()-1</f>
        <v/>
      </c>
      <c r="B314" s="128" t="inlineStr">
        <is>
          <t>RL7-MLT-104-ZSC-01</t>
        </is>
      </c>
      <c r="C314" s="314" t="inlineStr">
        <is>
          <t>RL7-MLT-104-ZSC-01</t>
        </is>
      </c>
      <c r="D314" s="262" t="inlineStr">
        <is>
          <t>PRS705151</t>
        </is>
      </c>
      <c r="E314" s="128" t="inlineStr">
        <is>
          <t>OS9A</t>
        </is>
      </c>
      <c r="F314" s="138" t="inlineStr">
        <is>
          <t xml:space="preserve">FRESH AUGER CART 1 DUMPER IN DOWN POSITION </t>
        </is>
      </c>
      <c r="G314" s="131" t="inlineStr">
        <is>
          <t>DG7011</t>
        </is>
      </c>
      <c r="H314" s="128" t="inlineStr">
        <is>
          <t>PROC</t>
        </is>
      </c>
      <c r="I314" s="132" t="inlineStr">
        <is>
          <t>RL7-FAGC1-RIO1</t>
        </is>
      </c>
      <c r="J314" s="133" t="n">
        <v>8</v>
      </c>
      <c r="K314" s="129" t="n">
        <v>4</v>
      </c>
      <c r="L314" s="129" t="n">
        <v>1</v>
      </c>
      <c r="M314" s="129" t="inlineStr">
        <is>
          <t>24 VDC DI</t>
        </is>
      </c>
      <c r="N314" s="129" t="inlineStr">
        <is>
          <t>5069-IB16</t>
        </is>
      </c>
      <c r="O314" s="139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47" t="n"/>
      <c r="AA314" t="inlineStr">
        <is>
          <t>Matched</t>
        </is>
      </c>
      <c r="AB314" s="315" t="n">
        <v>0.99</v>
      </c>
      <c r="AC314" t="inlineStr">
        <is>
          <t>High</t>
        </is>
      </c>
      <c r="AD314" t="n">
        <v>1</v>
      </c>
      <c r="AE314" t="inlineStr">
        <is>
          <t>DG7011</t>
        </is>
      </c>
      <c r="AF314" t="n">
        <v>10</v>
      </c>
      <c r="AG314" t="inlineStr">
        <is>
          <t>drawing</t>
        </is>
      </c>
      <c r="AH314" t="inlineStr">
        <is>
          <t>stacked:isa</t>
        </is>
      </c>
      <c r="AI314" t="inlineStr">
        <is>
          <t>drawing zone; process page; mapped sheet; excel sheet match</t>
        </is>
      </c>
      <c r="AJ314" t="inlineStr">
        <is>
          <t>native</t>
        </is>
      </c>
      <c r="AK314" t="inlineStr">
        <is>
          <t>native-only</t>
        </is>
      </c>
      <c r="AM314" t="inlineStr">
        <is>
          <t>10</t>
        </is>
      </c>
      <c r="AN314" t="inlineStr">
        <is>
          <t>Yes</t>
        </is>
      </c>
      <c r="AO314" t="inlineStr">
        <is>
          <t>mapped sheet id</t>
        </is>
      </c>
      <c r="AP314" t="inlineStr">
        <is>
          <t>p10:native:168, p10:native:169</t>
        </is>
      </c>
      <c r="AQ314" t="n">
        <v>2</v>
      </c>
    </row>
    <row r="315">
      <c r="A315" s="203">
        <f>ROW()-1</f>
        <v/>
      </c>
      <c r="B315" s="128" t="inlineStr">
        <is>
          <t>RL7-MLT-104-ZSS-01</t>
        </is>
      </c>
      <c r="C315" s="314" t="inlineStr">
        <is>
          <t>RL7-MLT-104-ZSS-01</t>
        </is>
      </c>
      <c r="D315" s="262" t="inlineStr">
        <is>
          <t>PRS706061</t>
        </is>
      </c>
      <c r="E315" s="128" t="inlineStr">
        <is>
          <t>OS9A</t>
        </is>
      </c>
      <c r="F315" s="138" t="inlineStr">
        <is>
          <t>FRESH AUGER CART 1 DUMPER SAFETY LOCK PIN 1 SAFETY INPUT CH1</t>
        </is>
      </c>
      <c r="G315" s="131" t="inlineStr">
        <is>
          <t>DG7011</t>
        </is>
      </c>
      <c r="H315" s="128" t="inlineStr">
        <is>
          <t>PROC</t>
        </is>
      </c>
      <c r="I315" s="132" t="inlineStr">
        <is>
          <t>RL7-FAGC1-RIO1</t>
        </is>
      </c>
      <c r="J315" s="133" t="n">
        <v>8</v>
      </c>
      <c r="K315" s="129" t="n">
        <v>2</v>
      </c>
      <c r="L315" s="129" t="n">
        <v>4</v>
      </c>
      <c r="M315" s="129" t="inlineStr">
        <is>
          <t>24 VDC SI</t>
        </is>
      </c>
      <c r="N315" s="129" t="inlineStr">
        <is>
          <t>5069-IB8S</t>
        </is>
      </c>
      <c r="O315" s="139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40" t="n"/>
      <c r="AA315" t="inlineStr">
        <is>
          <t>Matched</t>
        </is>
      </c>
      <c r="AB315" s="315" t="n">
        <v>0.99</v>
      </c>
      <c r="AC315" t="inlineStr">
        <is>
          <t>High</t>
        </is>
      </c>
      <c r="AD315" t="n">
        <v>1</v>
      </c>
      <c r="AE315" t="inlineStr">
        <is>
          <t>DG7011</t>
        </is>
      </c>
      <c r="AF315" t="n">
        <v>10</v>
      </c>
      <c r="AG315" t="inlineStr">
        <is>
          <t>drawing</t>
        </is>
      </c>
      <c r="AH315" t="inlineStr">
        <is>
          <t>stacked:isa</t>
        </is>
      </c>
      <c r="AI315" t="inlineStr">
        <is>
          <t>drawing zone; process page; mapped sheet; excel sheet match</t>
        </is>
      </c>
      <c r="AJ315" t="inlineStr">
        <is>
          <t>native</t>
        </is>
      </c>
      <c r="AK315" t="inlineStr">
        <is>
          <t>native-only</t>
        </is>
      </c>
      <c r="AM315" t="inlineStr">
        <is>
          <t>10</t>
        </is>
      </c>
      <c r="AN315" t="inlineStr">
        <is>
          <t>Yes</t>
        </is>
      </c>
      <c r="AO315" t="inlineStr">
        <is>
          <t>mapped sheet id</t>
        </is>
      </c>
      <c r="AP315" t="inlineStr">
        <is>
          <t>p10:native:152, p10:native:153</t>
        </is>
      </c>
      <c r="AQ315" t="n">
        <v>2</v>
      </c>
    </row>
    <row r="316">
      <c r="A316" s="203">
        <f>ROW()-1</f>
        <v/>
      </c>
      <c r="B316" s="128" t="inlineStr">
        <is>
          <t>RL7-MLT-104-ZSS-01</t>
        </is>
      </c>
      <c r="C316" s="314" t="inlineStr">
        <is>
          <t>RL7-MLT-104-ZSS-01</t>
        </is>
      </c>
      <c r="D316" s="262" t="inlineStr">
        <is>
          <t>PRS706061</t>
        </is>
      </c>
      <c r="E316" s="128" t="inlineStr">
        <is>
          <t>OS9A</t>
        </is>
      </c>
      <c r="F316" s="138" t="inlineStr">
        <is>
          <t>FRESH AUGER CART 1 DUMPER SAFETY LOCK PIN 1 SAFETY INPUT CH2</t>
        </is>
      </c>
      <c r="G316" s="131" t="inlineStr">
        <is>
          <t>DG7011</t>
        </is>
      </c>
      <c r="H316" s="128" t="inlineStr">
        <is>
          <t>PROC</t>
        </is>
      </c>
      <c r="I316" s="132" t="inlineStr">
        <is>
          <t>RL7-FAGC1-RIO1</t>
        </is>
      </c>
      <c r="J316" s="133" t="n">
        <v>8</v>
      </c>
      <c r="K316" s="129" t="n">
        <v>2</v>
      </c>
      <c r="L316" s="129" t="n">
        <v>5</v>
      </c>
      <c r="M316" s="129" t="inlineStr">
        <is>
          <t>24 VDC SI</t>
        </is>
      </c>
      <c r="N316" s="129" t="inlineStr">
        <is>
          <t>5069-IB8S</t>
        </is>
      </c>
      <c r="O316" s="139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40" t="n"/>
      <c r="AA316" t="inlineStr">
        <is>
          <t>Matched</t>
        </is>
      </c>
      <c r="AB316" s="315" t="n">
        <v>0.99</v>
      </c>
      <c r="AC316" t="inlineStr">
        <is>
          <t>High</t>
        </is>
      </c>
      <c r="AD316" t="n">
        <v>1</v>
      </c>
      <c r="AE316" t="inlineStr">
        <is>
          <t>DG7011</t>
        </is>
      </c>
      <c r="AF316" t="n">
        <v>10</v>
      </c>
      <c r="AG316" t="inlineStr">
        <is>
          <t>drawing</t>
        </is>
      </c>
      <c r="AH316" t="inlineStr">
        <is>
          <t>stacked:isa</t>
        </is>
      </c>
      <c r="AI316" t="inlineStr">
        <is>
          <t>drawing zone; process page; mapped sheet; excel sheet match</t>
        </is>
      </c>
      <c r="AJ316" t="inlineStr">
        <is>
          <t>native</t>
        </is>
      </c>
      <c r="AK316" t="inlineStr">
        <is>
          <t>native-only</t>
        </is>
      </c>
      <c r="AM316" t="inlineStr">
        <is>
          <t>10</t>
        </is>
      </c>
      <c r="AN316" t="inlineStr">
        <is>
          <t>Yes</t>
        </is>
      </c>
      <c r="AO316" t="inlineStr">
        <is>
          <t>mapped sheet id</t>
        </is>
      </c>
      <c r="AP316" t="inlineStr">
        <is>
          <t>p10:native:152, p10:native:153</t>
        </is>
      </c>
      <c r="AQ316" t="n">
        <v>2</v>
      </c>
    </row>
    <row r="317">
      <c r="A317" s="203">
        <f>ROW()-1</f>
        <v/>
      </c>
      <c r="B317" s="128" t="inlineStr">
        <is>
          <t>RL7-MLT-104-ZSS-02</t>
        </is>
      </c>
      <c r="C317" s="314" t="inlineStr">
        <is>
          <t>RL7-MLT-104-ZSS-02</t>
        </is>
      </c>
      <c r="D317" s="262" t="inlineStr">
        <is>
          <t>PRS706101</t>
        </is>
      </c>
      <c r="E317" s="128" t="inlineStr">
        <is>
          <t>OS9A</t>
        </is>
      </c>
      <c r="F317" s="138" t="inlineStr">
        <is>
          <t>FRESH AUGER CART 1 DUMPER SAFETY LOCK PIN 2 SAFETY INPUT CH1</t>
        </is>
      </c>
      <c r="G317" s="131" t="inlineStr">
        <is>
          <t>DG7011</t>
        </is>
      </c>
      <c r="H317" s="128" t="inlineStr">
        <is>
          <t>PROC</t>
        </is>
      </c>
      <c r="I317" s="132" t="inlineStr">
        <is>
          <t>RL7-FAGC1-RIO1</t>
        </is>
      </c>
      <c r="J317" s="133" t="n">
        <v>8</v>
      </c>
      <c r="K317" s="129" t="n">
        <v>2</v>
      </c>
      <c r="L317" s="129" t="n">
        <v>6</v>
      </c>
      <c r="M317" s="129" t="inlineStr">
        <is>
          <t>24 VDC SI</t>
        </is>
      </c>
      <c r="N317" s="129" t="inlineStr">
        <is>
          <t>5069-IB8S</t>
        </is>
      </c>
      <c r="O317" s="139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40" t="n"/>
      <c r="AA317" t="inlineStr">
        <is>
          <t>Matched</t>
        </is>
      </c>
      <c r="AB317" s="315" t="n">
        <v>0.99</v>
      </c>
      <c r="AC317" t="inlineStr">
        <is>
          <t>High</t>
        </is>
      </c>
      <c r="AD317" t="n">
        <v>1</v>
      </c>
      <c r="AE317" t="inlineStr">
        <is>
          <t>DG7011</t>
        </is>
      </c>
      <c r="AF317" t="n">
        <v>10</v>
      </c>
      <c r="AG317" t="inlineStr">
        <is>
          <t>drawing</t>
        </is>
      </c>
      <c r="AH317" t="inlineStr">
        <is>
          <t>stacked:isa</t>
        </is>
      </c>
      <c r="AI317" t="inlineStr">
        <is>
          <t>drawing zone; process page; mapped sheet; excel sheet match</t>
        </is>
      </c>
      <c r="AJ317" t="inlineStr">
        <is>
          <t>native</t>
        </is>
      </c>
      <c r="AK317" t="inlineStr">
        <is>
          <t>native-only</t>
        </is>
      </c>
      <c r="AM317" t="inlineStr">
        <is>
          <t>10</t>
        </is>
      </c>
      <c r="AN317" t="inlineStr">
        <is>
          <t>Yes</t>
        </is>
      </c>
      <c r="AO317" t="inlineStr">
        <is>
          <t>mapped sheet id</t>
        </is>
      </c>
      <c r="AP317" t="inlineStr">
        <is>
          <t>p10:native:154, p10:native:155</t>
        </is>
      </c>
      <c r="AQ317" t="n">
        <v>2</v>
      </c>
    </row>
    <row r="318">
      <c r="A318" s="203">
        <f>ROW()-1</f>
        <v/>
      </c>
      <c r="B318" s="128" t="inlineStr">
        <is>
          <t>RL7-MLT-104-ZSS-02</t>
        </is>
      </c>
      <c r="C318" s="314" t="inlineStr">
        <is>
          <t>RL7-MLT-104-ZSS-02</t>
        </is>
      </c>
      <c r="D318" s="262" t="inlineStr">
        <is>
          <t>PRS706101</t>
        </is>
      </c>
      <c r="E318" s="128" t="inlineStr">
        <is>
          <t>OS9A</t>
        </is>
      </c>
      <c r="F318" s="138" t="inlineStr">
        <is>
          <t>FRESH AUGER CART 1 DUMPER SAFETY LOCK PIN 2 SAFETY INPUT CH2</t>
        </is>
      </c>
      <c r="G318" s="131" t="inlineStr">
        <is>
          <t>DG7011</t>
        </is>
      </c>
      <c r="H318" s="128" t="inlineStr">
        <is>
          <t>PROC</t>
        </is>
      </c>
      <c r="I318" s="132" t="inlineStr">
        <is>
          <t>RL7-FAGC1-RIO1</t>
        </is>
      </c>
      <c r="J318" s="133" t="n">
        <v>8</v>
      </c>
      <c r="K318" s="129" t="n">
        <v>2</v>
      </c>
      <c r="L318" s="129" t="n">
        <v>7</v>
      </c>
      <c r="M318" s="129" t="inlineStr">
        <is>
          <t>24 VDC SI</t>
        </is>
      </c>
      <c r="N318" s="129" t="inlineStr">
        <is>
          <t>5069-IB8S</t>
        </is>
      </c>
      <c r="O318" s="139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40" t="n"/>
      <c r="AA318" t="inlineStr">
        <is>
          <t>Matched</t>
        </is>
      </c>
      <c r="AB318" s="315" t="n">
        <v>0.99</v>
      </c>
      <c r="AC318" t="inlineStr">
        <is>
          <t>High</t>
        </is>
      </c>
      <c r="AD318" t="n">
        <v>1</v>
      </c>
      <c r="AE318" t="inlineStr">
        <is>
          <t>DG7011</t>
        </is>
      </c>
      <c r="AF318" t="n">
        <v>10</v>
      </c>
      <c r="AG318" t="inlineStr">
        <is>
          <t>drawing</t>
        </is>
      </c>
      <c r="AH318" t="inlineStr">
        <is>
          <t>stacked:isa</t>
        </is>
      </c>
      <c r="AI318" t="inlineStr">
        <is>
          <t>drawing zone; process page; mapped sheet; excel sheet match</t>
        </is>
      </c>
      <c r="AJ318" t="inlineStr">
        <is>
          <t>native</t>
        </is>
      </c>
      <c r="AK318" t="inlineStr">
        <is>
          <t>native-only</t>
        </is>
      </c>
      <c r="AM318" t="inlineStr">
        <is>
          <t>10</t>
        </is>
      </c>
      <c r="AN318" t="inlineStr">
        <is>
          <t>Yes</t>
        </is>
      </c>
      <c r="AO318" t="inlineStr">
        <is>
          <t>mapped sheet id</t>
        </is>
      </c>
      <c r="AP318" t="inlineStr">
        <is>
          <t>p10:native:154, p10:native:155</t>
        </is>
      </c>
      <c r="AQ318" t="n">
        <v>2</v>
      </c>
    </row>
    <row r="319">
      <c r="A319" s="203">
        <f>ROW()-1</f>
        <v/>
      </c>
      <c r="B319" s="128" t="inlineStr">
        <is>
          <t>RL7-MLT-104-ZSS-03</t>
        </is>
      </c>
      <c r="C319" s="314" t="inlineStr">
        <is>
          <t>RL7-MLT-104-ZSS-03</t>
        </is>
      </c>
      <c r="D319" s="262" t="inlineStr">
        <is>
          <t>PRS706021</t>
        </is>
      </c>
      <c r="E319" s="128" t="inlineStr">
        <is>
          <t>OS9A</t>
        </is>
      </c>
      <c r="F319" s="138" t="inlineStr">
        <is>
          <t>FRESH AUGER CART 1 DUMPER SAFETY GATE SAFETY INPUT CH1</t>
        </is>
      </c>
      <c r="G319" s="131" t="inlineStr">
        <is>
          <t>DG7011</t>
        </is>
      </c>
      <c r="H319" s="128" t="inlineStr">
        <is>
          <t>PROC</t>
        </is>
      </c>
      <c r="I319" s="132" t="inlineStr">
        <is>
          <t>RL7-FAGC1-RIO1</t>
        </is>
      </c>
      <c r="J319" s="133" t="n">
        <v>8</v>
      </c>
      <c r="K319" s="129" t="n">
        <v>2</v>
      </c>
      <c r="L319" s="129" t="n">
        <v>2</v>
      </c>
      <c r="M319" s="129" t="inlineStr">
        <is>
          <t>24 VDC SI</t>
        </is>
      </c>
      <c r="N319" s="129" t="inlineStr">
        <is>
          <t>5069-IB8S</t>
        </is>
      </c>
      <c r="O319" s="139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40" t="n"/>
      <c r="AA319" t="inlineStr">
        <is>
          <t>Matched</t>
        </is>
      </c>
      <c r="AB319" s="315" t="n">
        <v>0.99</v>
      </c>
      <c r="AC319" t="inlineStr">
        <is>
          <t>High</t>
        </is>
      </c>
      <c r="AD319" t="n">
        <v>1</v>
      </c>
      <c r="AE319" t="inlineStr">
        <is>
          <t>DG7011</t>
        </is>
      </c>
      <c r="AF319" t="n">
        <v>10</v>
      </c>
      <c r="AG319" t="inlineStr">
        <is>
          <t>drawing</t>
        </is>
      </c>
      <c r="AH319" t="inlineStr">
        <is>
          <t>stacked:isa</t>
        </is>
      </c>
      <c r="AI319" t="inlineStr">
        <is>
          <t>drawing zone; process page; mapped sheet; excel sheet match</t>
        </is>
      </c>
      <c r="AJ319" t="inlineStr">
        <is>
          <t>native</t>
        </is>
      </c>
      <c r="AK319" t="inlineStr">
        <is>
          <t>native-only</t>
        </is>
      </c>
      <c r="AM319" t="inlineStr">
        <is>
          <t>10</t>
        </is>
      </c>
      <c r="AN319" t="inlineStr">
        <is>
          <t>Yes</t>
        </is>
      </c>
      <c r="AO319" t="inlineStr">
        <is>
          <t>mapped sheet id</t>
        </is>
      </c>
      <c r="AP319" t="inlineStr">
        <is>
          <t>p10:native:156, p10:native:157</t>
        </is>
      </c>
      <c r="AQ319" t="n">
        <v>2</v>
      </c>
    </row>
    <row r="320">
      <c r="A320" s="203">
        <f>ROW()-1</f>
        <v/>
      </c>
      <c r="B320" s="128" t="inlineStr">
        <is>
          <t>RL7-MLT-104-ZSS-03</t>
        </is>
      </c>
      <c r="C320" s="314" t="inlineStr">
        <is>
          <t>RL7-MLT-104-ZSS-03</t>
        </is>
      </c>
      <c r="D320" s="262" t="inlineStr">
        <is>
          <t>PRS706021</t>
        </is>
      </c>
      <c r="E320" s="128" t="inlineStr">
        <is>
          <t>OS9A</t>
        </is>
      </c>
      <c r="F320" s="138" t="inlineStr">
        <is>
          <t>FRESH AUGER CART 1 DUMPER SAFETY GATE SAFETY INPUT CH2</t>
        </is>
      </c>
      <c r="G320" s="131" t="inlineStr">
        <is>
          <t>DG7011</t>
        </is>
      </c>
      <c r="H320" s="128" t="inlineStr">
        <is>
          <t>PROC</t>
        </is>
      </c>
      <c r="I320" s="132" t="inlineStr">
        <is>
          <t>RL7-FAGC1-RIO1</t>
        </is>
      </c>
      <c r="J320" s="133" t="n">
        <v>8</v>
      </c>
      <c r="K320" s="129" t="n">
        <v>2</v>
      </c>
      <c r="L320" s="129" t="n">
        <v>3</v>
      </c>
      <c r="M320" s="129" t="inlineStr">
        <is>
          <t>24 VDC SI</t>
        </is>
      </c>
      <c r="N320" s="129" t="inlineStr">
        <is>
          <t>5069-IB8S</t>
        </is>
      </c>
      <c r="O320" s="139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40" t="n"/>
      <c r="AA320" t="inlineStr">
        <is>
          <t>Matched</t>
        </is>
      </c>
      <c r="AB320" s="315" t="n">
        <v>0.99</v>
      </c>
      <c r="AC320" t="inlineStr">
        <is>
          <t>High</t>
        </is>
      </c>
      <c r="AD320" t="n">
        <v>1</v>
      </c>
      <c r="AE320" t="inlineStr">
        <is>
          <t>DG7011</t>
        </is>
      </c>
      <c r="AF320" t="n">
        <v>10</v>
      </c>
      <c r="AG320" t="inlineStr">
        <is>
          <t>drawing</t>
        </is>
      </c>
      <c r="AH320" t="inlineStr">
        <is>
          <t>stacked:isa</t>
        </is>
      </c>
      <c r="AI320" t="inlineStr">
        <is>
          <t>drawing zone; process page; mapped sheet; excel sheet match</t>
        </is>
      </c>
      <c r="AJ320" t="inlineStr">
        <is>
          <t>native</t>
        </is>
      </c>
      <c r="AK320" t="inlineStr">
        <is>
          <t>native-only</t>
        </is>
      </c>
      <c r="AM320" t="inlineStr">
        <is>
          <t>10</t>
        </is>
      </c>
      <c r="AN320" t="inlineStr">
        <is>
          <t>Yes</t>
        </is>
      </c>
      <c r="AO320" t="inlineStr">
        <is>
          <t>mapped sheet id</t>
        </is>
      </c>
      <c r="AP320" t="inlineStr">
        <is>
          <t>p10:native:156, p10:native:157</t>
        </is>
      </c>
      <c r="AQ320" t="n">
        <v>2</v>
      </c>
    </row>
    <row r="321">
      <c r="A321" s="203">
        <f>ROW()-1</f>
        <v/>
      </c>
      <c r="B321" s="128" t="n"/>
      <c r="C321" s="313" t="inlineStr">
        <is>
          <t>RL7-MLT-105.M1</t>
        </is>
      </c>
      <c r="D321" s="264" t="n"/>
      <c r="E321" s="133" t="n"/>
      <c r="F321" s="141" t="inlineStr">
        <is>
          <t>FRESH AUGER CART 2 DUMPER ENABLE</t>
        </is>
      </c>
      <c r="G321" s="142" t="inlineStr">
        <is>
          <t>DG7011</t>
        </is>
      </c>
      <c r="H321" s="133" t="inlineStr">
        <is>
          <t>MCC</t>
        </is>
      </c>
      <c r="I321" s="131" t="inlineStr">
        <is>
          <t>RL7-INTSL-RIO1</t>
        </is>
      </c>
      <c r="J321" s="133" t="n">
        <v>18</v>
      </c>
      <c r="K321" s="129" t="n">
        <v>14</v>
      </c>
      <c r="L321" s="129" t="n">
        <v>3</v>
      </c>
      <c r="M321" s="129" t="inlineStr">
        <is>
          <t>24 VDC DO</t>
        </is>
      </c>
      <c r="N321" s="129" t="inlineStr">
        <is>
          <t>5069-OB16</t>
        </is>
      </c>
      <c r="O321" s="139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40" t="n"/>
      <c r="AA321" t="inlineStr">
        <is>
          <t>Skipped - unrecognized tag</t>
        </is>
      </c>
      <c r="AC321" t="inlineStr">
        <is>
          <t>Low</t>
        </is>
      </c>
      <c r="AM321" t="inlineStr">
        <is>
          <t>10</t>
        </is>
      </c>
      <c r="AN321" t="inlineStr">
        <is>
          <t>Yes</t>
        </is>
      </c>
      <c r="AO321" t="inlineStr">
        <is>
          <t>unrecognized tag</t>
        </is>
      </c>
    </row>
    <row r="322">
      <c r="A322" s="203">
        <f>ROW()-1</f>
        <v/>
      </c>
      <c r="B322" s="128" t="inlineStr">
        <is>
          <t>RL7-MLT-105-HS-01</t>
        </is>
      </c>
      <c r="C322" s="314" t="inlineStr">
        <is>
          <t>RL7-MLT-105-HS-01</t>
        </is>
      </c>
      <c r="D322" s="262" t="inlineStr">
        <is>
          <t>SS805211</t>
        </is>
      </c>
      <c r="E322" s="128" t="inlineStr">
        <is>
          <t>OS10A</t>
        </is>
      </c>
      <c r="F322" s="138" t="inlineStr">
        <is>
          <t>FRESH AUGER CART 2 DUMPER PALLET RETENTION SELECTOR SWITCH</t>
        </is>
      </c>
      <c r="G322" s="131" t="inlineStr">
        <is>
          <t>DG7011</t>
        </is>
      </c>
      <c r="H322" s="128" t="inlineStr">
        <is>
          <t>PROC</t>
        </is>
      </c>
      <c r="I322" s="132" t="inlineStr">
        <is>
          <t>RL7-FAGC2-RIO1</t>
        </is>
      </c>
      <c r="J322" s="133" t="n">
        <v>9</v>
      </c>
      <c r="K322" s="129" t="n">
        <v>4</v>
      </c>
      <c r="L322" s="129" t="n">
        <v>5</v>
      </c>
      <c r="M322" s="129" t="inlineStr">
        <is>
          <t>24 VDC DI</t>
        </is>
      </c>
      <c r="N322" s="129" t="inlineStr">
        <is>
          <t>5069-IB16</t>
        </is>
      </c>
      <c r="O322" s="139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40" t="n"/>
      <c r="AA322" t="inlineStr">
        <is>
          <t>Matched</t>
        </is>
      </c>
      <c r="AB322" s="315" t="n">
        <v>0.99</v>
      </c>
      <c r="AC322" t="inlineStr">
        <is>
          <t>High</t>
        </is>
      </c>
      <c r="AD322" t="n">
        <v>1</v>
      </c>
      <c r="AE322" t="inlineStr">
        <is>
          <t>DG7011</t>
        </is>
      </c>
      <c r="AF322" t="n">
        <v>10</v>
      </c>
      <c r="AG322" t="inlineStr">
        <is>
          <t>drawing</t>
        </is>
      </c>
      <c r="AH322" t="inlineStr">
        <is>
          <t>stacked:isa</t>
        </is>
      </c>
      <c r="AI322" t="inlineStr">
        <is>
          <t>drawing zone; process page; mapped sheet; excel sheet match</t>
        </is>
      </c>
      <c r="AJ322" t="inlineStr">
        <is>
          <t>native</t>
        </is>
      </c>
      <c r="AK322" t="inlineStr">
        <is>
          <t>native-only</t>
        </is>
      </c>
      <c r="AM322" t="inlineStr">
        <is>
          <t>10</t>
        </is>
      </c>
      <c r="AN322" t="inlineStr">
        <is>
          <t>Yes</t>
        </is>
      </c>
      <c r="AO322" t="inlineStr">
        <is>
          <t>mapped sheet id</t>
        </is>
      </c>
      <c r="AP322" t="inlineStr">
        <is>
          <t>p10:native:273, p10:native:274</t>
        </is>
      </c>
      <c r="AQ322" t="n">
        <v>2</v>
      </c>
    </row>
    <row r="323">
      <c r="A323" s="203">
        <f>ROW()-1</f>
        <v/>
      </c>
      <c r="B323" s="128" t="inlineStr">
        <is>
          <t>RL7-MLT-105-HS-02</t>
        </is>
      </c>
      <c r="C323" s="314" t="inlineStr">
        <is>
          <t>RL7-MLT-105-HS-02</t>
        </is>
      </c>
      <c r="D323" s="262" t="inlineStr">
        <is>
          <t>SS805221</t>
        </is>
      </c>
      <c r="E323" s="128" t="inlineStr">
        <is>
          <t>OS10A</t>
        </is>
      </c>
      <c r="F323" s="138" t="inlineStr">
        <is>
          <t>FRESH AUGER CART 2 DUMPER BAG RETENTION SELECTOR SWITCH</t>
        </is>
      </c>
      <c r="G323" s="131" t="inlineStr">
        <is>
          <t>DG7011</t>
        </is>
      </c>
      <c r="H323" s="128" t="inlineStr">
        <is>
          <t>PROC</t>
        </is>
      </c>
      <c r="I323" s="132" t="inlineStr">
        <is>
          <t>RL7-FAGC2-RIO1</t>
        </is>
      </c>
      <c r="J323" s="133" t="n">
        <v>9</v>
      </c>
      <c r="K323" s="129" t="n">
        <v>4</v>
      </c>
      <c r="L323" s="129" t="n">
        <v>6</v>
      </c>
      <c r="M323" s="129" t="inlineStr">
        <is>
          <t>24 VDC DI</t>
        </is>
      </c>
      <c r="N323" s="129" t="inlineStr">
        <is>
          <t>5069-IB16</t>
        </is>
      </c>
      <c r="O323" s="139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40" t="n"/>
      <c r="AA323" t="inlineStr">
        <is>
          <t>Matched</t>
        </is>
      </c>
      <c r="AB323" s="315" t="n">
        <v>0.99</v>
      </c>
      <c r="AC323" t="inlineStr">
        <is>
          <t>High</t>
        </is>
      </c>
      <c r="AD323" t="n">
        <v>1</v>
      </c>
      <c r="AE323" t="inlineStr">
        <is>
          <t>DG7011</t>
        </is>
      </c>
      <c r="AF323" t="n">
        <v>10</v>
      </c>
      <c r="AG323" t="inlineStr">
        <is>
          <t>drawing</t>
        </is>
      </c>
      <c r="AH323" t="inlineStr">
        <is>
          <t>stacked:isa</t>
        </is>
      </c>
      <c r="AI323" t="inlineStr">
        <is>
          <t>drawing zone; process page; mapped sheet; excel sheet match</t>
        </is>
      </c>
      <c r="AJ323" t="inlineStr">
        <is>
          <t>native</t>
        </is>
      </c>
      <c r="AK323" t="inlineStr">
        <is>
          <t>native-only</t>
        </is>
      </c>
      <c r="AM323" t="inlineStr">
        <is>
          <t>10</t>
        </is>
      </c>
      <c r="AN323" t="inlineStr">
        <is>
          <t>Yes</t>
        </is>
      </c>
      <c r="AO323" t="inlineStr">
        <is>
          <t>mapped sheet id</t>
        </is>
      </c>
      <c r="AP323" t="inlineStr">
        <is>
          <t>p10:native:276, p10:native:277</t>
        </is>
      </c>
      <c r="AQ323" t="n">
        <v>2</v>
      </c>
    </row>
    <row r="324">
      <c r="A324" s="203">
        <f>ROW()-1</f>
        <v/>
      </c>
      <c r="B324" s="128" t="inlineStr">
        <is>
          <t>RL7-MLT-105-PB-01</t>
        </is>
      </c>
      <c r="C324" s="314" t="inlineStr">
        <is>
          <t>RL7-MLT-105-PB-01</t>
        </is>
      </c>
      <c r="D324" s="262" t="inlineStr">
        <is>
          <t>PB806161</t>
        </is>
      </c>
      <c r="E324" s="128" t="inlineStr">
        <is>
          <t>OS10A</t>
        </is>
      </c>
      <c r="F324" s="138" t="inlineStr">
        <is>
          <t>FRESH AUGER CART 2 DUMPER E-STOP SAFETY INPUT CH1</t>
        </is>
      </c>
      <c r="G324" s="131" t="inlineStr">
        <is>
          <t>DG7011</t>
        </is>
      </c>
      <c r="H324" s="128" t="inlineStr">
        <is>
          <t>PROC</t>
        </is>
      </c>
      <c r="I324" s="132" t="inlineStr">
        <is>
          <t>RL7-FAGC2-RIO1</t>
        </is>
      </c>
      <c r="J324" s="133" t="n">
        <v>9</v>
      </c>
      <c r="K324" s="129" t="n">
        <v>2</v>
      </c>
      <c r="L324" s="129" t="n">
        <v>0</v>
      </c>
      <c r="M324" s="129" t="inlineStr">
        <is>
          <t>24 VDC SI</t>
        </is>
      </c>
      <c r="N324" s="129" t="inlineStr">
        <is>
          <t>5069-IB8S</t>
        </is>
      </c>
      <c r="O324" s="139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40" t="n"/>
      <c r="AA324" t="inlineStr">
        <is>
          <t>Matched</t>
        </is>
      </c>
      <c r="AB324" s="315" t="n">
        <v>0.99</v>
      </c>
      <c r="AC324" t="inlineStr">
        <is>
          <t>High</t>
        </is>
      </c>
      <c r="AD324" t="n">
        <v>1</v>
      </c>
      <c r="AE324" t="inlineStr">
        <is>
          <t>DG7011</t>
        </is>
      </c>
      <c r="AF324" t="n">
        <v>10</v>
      </c>
      <c r="AG324" t="inlineStr">
        <is>
          <t>drawing</t>
        </is>
      </c>
      <c r="AH324" t="inlineStr">
        <is>
          <t>stacked:isa</t>
        </is>
      </c>
      <c r="AI324" t="inlineStr">
        <is>
          <t>drawing zone; process page; mapped sheet; excel sheet match</t>
        </is>
      </c>
      <c r="AJ324" t="inlineStr">
        <is>
          <t>native</t>
        </is>
      </c>
      <c r="AK324" t="inlineStr">
        <is>
          <t>native-only</t>
        </is>
      </c>
      <c r="AM324" t="inlineStr">
        <is>
          <t>10</t>
        </is>
      </c>
      <c r="AN324" t="inlineStr">
        <is>
          <t>Yes</t>
        </is>
      </c>
      <c r="AO324" t="inlineStr">
        <is>
          <t>mapped sheet id</t>
        </is>
      </c>
      <c r="AP324" t="inlineStr">
        <is>
          <t>p10:native:203, p10:native:204</t>
        </is>
      </c>
      <c r="AQ324" t="n">
        <v>2</v>
      </c>
    </row>
    <row r="325">
      <c r="A325" s="203">
        <f>ROW()-1</f>
        <v/>
      </c>
      <c r="B325" s="128" t="inlineStr">
        <is>
          <t>RL7-MLT-105-PB-01</t>
        </is>
      </c>
      <c r="C325" s="314" t="inlineStr">
        <is>
          <t>RL7-MLT-105-PB-01</t>
        </is>
      </c>
      <c r="D325" s="262" t="inlineStr">
        <is>
          <t>PB806161</t>
        </is>
      </c>
      <c r="E325" s="128" t="inlineStr">
        <is>
          <t>OS10A</t>
        </is>
      </c>
      <c r="F325" s="138" t="inlineStr">
        <is>
          <t>FRESH AUGER CART 2 DUMPER E-STOP SAFETY INPUT CH2</t>
        </is>
      </c>
      <c r="G325" s="131" t="inlineStr">
        <is>
          <t>DG7011</t>
        </is>
      </c>
      <c r="H325" s="128" t="inlineStr">
        <is>
          <t>PROC</t>
        </is>
      </c>
      <c r="I325" s="132" t="inlineStr">
        <is>
          <t>RL7-FAGC2-RIO1</t>
        </is>
      </c>
      <c r="J325" s="133" t="n">
        <v>9</v>
      </c>
      <c r="K325" s="129" t="n">
        <v>2</v>
      </c>
      <c r="L325" s="129" t="n">
        <v>1</v>
      </c>
      <c r="M325" s="129" t="inlineStr">
        <is>
          <t>24 VDC SI</t>
        </is>
      </c>
      <c r="N325" s="129" t="inlineStr">
        <is>
          <t>5069-IB8S</t>
        </is>
      </c>
      <c r="O325" s="139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40" t="n"/>
      <c r="AA325" t="inlineStr">
        <is>
          <t>Matched</t>
        </is>
      </c>
      <c r="AB325" s="315" t="n">
        <v>0.99</v>
      </c>
      <c r="AC325" t="inlineStr">
        <is>
          <t>High</t>
        </is>
      </c>
      <c r="AD325" t="n">
        <v>1</v>
      </c>
      <c r="AE325" t="inlineStr">
        <is>
          <t>DG7011</t>
        </is>
      </c>
      <c r="AF325" t="n">
        <v>10</v>
      </c>
      <c r="AG325" t="inlineStr">
        <is>
          <t>drawing</t>
        </is>
      </c>
      <c r="AH325" t="inlineStr">
        <is>
          <t>stacked:isa</t>
        </is>
      </c>
      <c r="AI325" t="inlineStr">
        <is>
          <t>drawing zone; process page; mapped sheet; excel sheet match</t>
        </is>
      </c>
      <c r="AJ325" t="inlineStr">
        <is>
          <t>native</t>
        </is>
      </c>
      <c r="AK325" t="inlineStr">
        <is>
          <t>native-only</t>
        </is>
      </c>
      <c r="AM325" t="inlineStr">
        <is>
          <t>10</t>
        </is>
      </c>
      <c r="AN325" t="inlineStr">
        <is>
          <t>Yes</t>
        </is>
      </c>
      <c r="AO325" t="inlineStr">
        <is>
          <t>mapped sheet id</t>
        </is>
      </c>
      <c r="AP325" t="inlineStr">
        <is>
          <t>p10:native:203, p10:native:204</t>
        </is>
      </c>
      <c r="AQ325" t="n">
        <v>2</v>
      </c>
    </row>
    <row r="326">
      <c r="A326" s="203">
        <f>ROW()-1</f>
        <v/>
      </c>
      <c r="B326" s="128" t="inlineStr">
        <is>
          <t>RL7-MLT-105-PB-02</t>
        </is>
      </c>
      <c r="C326" s="314" t="inlineStr">
        <is>
          <t>RL7-MLT-105-PB-02</t>
        </is>
      </c>
      <c r="D326" s="262" t="inlineStr">
        <is>
          <t>PB805151</t>
        </is>
      </c>
      <c r="E326" s="128" t="inlineStr">
        <is>
          <t>OS10A</t>
        </is>
      </c>
      <c r="F326" s="138" t="inlineStr">
        <is>
          <t xml:space="preserve">FRESH AUGER CART 2 DUMPER UP PB  </t>
        </is>
      </c>
      <c r="G326" s="131" t="inlineStr">
        <is>
          <t>DG7011</t>
        </is>
      </c>
      <c r="H326" s="128" t="inlineStr">
        <is>
          <t>PROC</t>
        </is>
      </c>
      <c r="I326" s="132" t="inlineStr">
        <is>
          <t>RL7-FAGC2-RIO1</t>
        </is>
      </c>
      <c r="J326" s="133" t="n">
        <v>9</v>
      </c>
      <c r="K326" s="129" t="n">
        <v>4</v>
      </c>
      <c r="L326" s="129" t="n">
        <v>7</v>
      </c>
      <c r="M326" s="129" t="inlineStr">
        <is>
          <t>24 VDC DI</t>
        </is>
      </c>
      <c r="N326" s="129" t="inlineStr">
        <is>
          <t>5069-IB16</t>
        </is>
      </c>
      <c r="O326" s="139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40" t="n"/>
      <c r="AA326" t="inlineStr">
        <is>
          <t>Matched</t>
        </is>
      </c>
      <c r="AB326" s="315" t="n">
        <v>0.99</v>
      </c>
      <c r="AC326" t="inlineStr">
        <is>
          <t>High</t>
        </is>
      </c>
      <c r="AD326" t="n">
        <v>1</v>
      </c>
      <c r="AE326" t="inlineStr">
        <is>
          <t>DG7011</t>
        </is>
      </c>
      <c r="AF326" t="n">
        <v>10</v>
      </c>
      <c r="AG326" t="inlineStr">
        <is>
          <t>drawing</t>
        </is>
      </c>
      <c r="AH326" t="inlineStr">
        <is>
          <t>stacked:isa</t>
        </is>
      </c>
      <c r="AI326" t="inlineStr">
        <is>
          <t>drawing zone; process page; mapped sheet; excel sheet match</t>
        </is>
      </c>
      <c r="AJ326" t="inlineStr">
        <is>
          <t>native</t>
        </is>
      </c>
      <c r="AK326" t="inlineStr">
        <is>
          <t>native-only</t>
        </is>
      </c>
      <c r="AM326" t="inlineStr">
        <is>
          <t>10</t>
        </is>
      </c>
      <c r="AN326" t="inlineStr">
        <is>
          <t>Yes</t>
        </is>
      </c>
      <c r="AO326" t="inlineStr">
        <is>
          <t>mapped sheet id</t>
        </is>
      </c>
      <c r="AP326" t="inlineStr">
        <is>
          <t>p10:native:211, p10:native:212</t>
        </is>
      </c>
      <c r="AQ326" t="n">
        <v>2</v>
      </c>
    </row>
    <row r="327">
      <c r="A327" s="203">
        <f>ROW()-1</f>
        <v/>
      </c>
      <c r="B327" s="128" t="inlineStr">
        <is>
          <t>RL7-MLT-105-PB-03</t>
        </is>
      </c>
      <c r="C327" s="314" t="inlineStr">
        <is>
          <t>RL7-MLT-105-PB-03</t>
        </is>
      </c>
      <c r="D327" s="262" t="inlineStr">
        <is>
          <t>PB805161</t>
        </is>
      </c>
      <c r="E327" s="128" t="inlineStr">
        <is>
          <t>OS10A</t>
        </is>
      </c>
      <c r="F327" s="138" t="inlineStr">
        <is>
          <t xml:space="preserve">FRESH AUGER CART 2 DUMPER DOWN PB  </t>
        </is>
      </c>
      <c r="G327" s="131" t="inlineStr">
        <is>
          <t>DG7011</t>
        </is>
      </c>
      <c r="H327" s="128" t="inlineStr">
        <is>
          <t>PROC</t>
        </is>
      </c>
      <c r="I327" s="132" t="inlineStr">
        <is>
          <t>RL7-FAGC2-RIO1</t>
        </is>
      </c>
      <c r="J327" s="133" t="n">
        <v>9</v>
      </c>
      <c r="K327" s="129" t="n">
        <v>4</v>
      </c>
      <c r="L327" s="129" t="n">
        <v>8</v>
      </c>
      <c r="M327" s="129" t="inlineStr">
        <is>
          <t>24 VDC DI</t>
        </is>
      </c>
      <c r="N327" s="129" t="inlineStr">
        <is>
          <t>5069-IB16</t>
        </is>
      </c>
      <c r="O327" s="139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40" t="n"/>
      <c r="AA327" t="inlineStr">
        <is>
          <t>Matched</t>
        </is>
      </c>
      <c r="AB327" s="315" t="n">
        <v>0.99</v>
      </c>
      <c r="AC327" t="inlineStr">
        <is>
          <t>High</t>
        </is>
      </c>
      <c r="AD327" t="n">
        <v>1</v>
      </c>
      <c r="AE327" t="inlineStr">
        <is>
          <t>DG7011</t>
        </is>
      </c>
      <c r="AF327" t="n">
        <v>10</v>
      </c>
      <c r="AG327" t="inlineStr">
        <is>
          <t>drawing</t>
        </is>
      </c>
      <c r="AH327" t="inlineStr">
        <is>
          <t>stacked:isa</t>
        </is>
      </c>
      <c r="AI327" t="inlineStr">
        <is>
          <t>drawing zone; process page; mapped sheet; excel sheet match</t>
        </is>
      </c>
      <c r="AJ327" t="inlineStr">
        <is>
          <t>native</t>
        </is>
      </c>
      <c r="AK327" t="inlineStr">
        <is>
          <t>native-only</t>
        </is>
      </c>
      <c r="AM327" t="inlineStr">
        <is>
          <t>10</t>
        </is>
      </c>
      <c r="AN327" t="inlineStr">
        <is>
          <t>Yes</t>
        </is>
      </c>
      <c r="AO327" t="inlineStr">
        <is>
          <t>mapped sheet id</t>
        </is>
      </c>
      <c r="AP327" t="inlineStr">
        <is>
          <t>p10:native:213, p10:native:214</t>
        </is>
      </c>
      <c r="AQ327" t="n">
        <v>2</v>
      </c>
    </row>
    <row r="328">
      <c r="A328" s="203">
        <f>ROW()-1</f>
        <v/>
      </c>
      <c r="B328" s="128" t="inlineStr">
        <is>
          <t>RL7-MLT-105-PBL-01</t>
        </is>
      </c>
      <c r="C328" s="313" t="inlineStr">
        <is>
          <t>RL7-MLT-105-PBL-01</t>
        </is>
      </c>
      <c r="D328" s="262" t="inlineStr">
        <is>
          <t>PB806161</t>
        </is>
      </c>
      <c r="E328" s="128" t="inlineStr">
        <is>
          <t>OS10A</t>
        </is>
      </c>
      <c r="F328" s="138" t="inlineStr">
        <is>
          <t xml:space="preserve">FRESH AUGER CART 2 DUMPER E-STOP PB PILOT LIGHT </t>
        </is>
      </c>
      <c r="G328" s="131" t="inlineStr">
        <is>
          <t>DG7011</t>
        </is>
      </c>
      <c r="H328" s="128" t="inlineStr">
        <is>
          <t>PROC</t>
        </is>
      </c>
      <c r="I328" s="132" t="inlineStr">
        <is>
          <t>RL7-FAGC2-RIO1</t>
        </is>
      </c>
      <c r="J328" s="133" t="n">
        <v>9</v>
      </c>
      <c r="K328" s="129" t="n">
        <v>6</v>
      </c>
      <c r="L328" s="129" t="n">
        <v>0</v>
      </c>
      <c r="M328" s="129" t="inlineStr">
        <is>
          <t>24 VDC DO</t>
        </is>
      </c>
      <c r="N328" s="129" t="inlineStr">
        <is>
          <t>5069-OB16</t>
        </is>
      </c>
      <c r="O328" s="139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40" t="n"/>
      <c r="AA328" t="inlineStr">
        <is>
          <t>Not found in PDF</t>
        </is>
      </c>
      <c r="AC328" t="inlineStr">
        <is>
          <t>Low</t>
        </is>
      </c>
      <c r="AM328" t="inlineStr">
        <is>
          <t>10</t>
        </is>
      </c>
      <c r="AN328" t="inlineStr">
        <is>
          <t>Yes</t>
        </is>
      </c>
      <c r="AO328" t="inlineStr">
        <is>
          <t>mapped sheet id</t>
        </is>
      </c>
    </row>
    <row r="329">
      <c r="A329" s="203">
        <f>ROW()-1</f>
        <v/>
      </c>
      <c r="B329" s="128" t="inlineStr">
        <is>
          <t>RL7-MLT-105-PSL-01</t>
        </is>
      </c>
      <c r="C329" s="314" t="inlineStr">
        <is>
          <t>RL7-MLT-105-PSL-01</t>
        </is>
      </c>
      <c r="D329" s="262" t="inlineStr">
        <is>
          <t>PRG805171</t>
        </is>
      </c>
      <c r="E329" s="128" t="inlineStr">
        <is>
          <t>OS10A</t>
        </is>
      </c>
      <c r="F329" s="138" t="inlineStr">
        <is>
          <t>FRESH AUGER CART 2 REGULATOR LOW PRESSURE SWITCH</t>
        </is>
      </c>
      <c r="G329" s="131" t="inlineStr">
        <is>
          <t>DG7011</t>
        </is>
      </c>
      <c r="H329" s="128" t="inlineStr">
        <is>
          <t>PROC</t>
        </is>
      </c>
      <c r="I329" s="132" t="inlineStr">
        <is>
          <t>RL7-FAGC2-RIO1</t>
        </is>
      </c>
      <c r="J329" s="133" t="n">
        <v>9</v>
      </c>
      <c r="K329" s="129" t="n">
        <v>4</v>
      </c>
      <c r="L329" s="129" t="n">
        <v>3</v>
      </c>
      <c r="M329" s="129" t="inlineStr">
        <is>
          <t>24 VDC DI</t>
        </is>
      </c>
      <c r="N329" s="129" t="inlineStr">
        <is>
          <t>5069-IB16</t>
        </is>
      </c>
      <c r="O329" s="139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40" t="n"/>
      <c r="AA329" t="inlineStr">
        <is>
          <t>Matched</t>
        </is>
      </c>
      <c r="AB329" s="315" t="n">
        <v>0.99</v>
      </c>
      <c r="AC329" t="inlineStr">
        <is>
          <t>High</t>
        </is>
      </c>
      <c r="AD329" t="n">
        <v>1</v>
      </c>
      <c r="AE329" t="inlineStr">
        <is>
          <t>DG7011</t>
        </is>
      </c>
      <c r="AF329" t="n">
        <v>10</v>
      </c>
      <c r="AG329" t="inlineStr">
        <is>
          <t>drawing</t>
        </is>
      </c>
      <c r="AH329" t="inlineStr">
        <is>
          <t>stacked:isa</t>
        </is>
      </c>
      <c r="AI329" t="inlineStr">
        <is>
          <t>drawing zone; process page; mapped sheet; excel sheet match</t>
        </is>
      </c>
      <c r="AJ329" t="inlineStr">
        <is>
          <t>native</t>
        </is>
      </c>
      <c r="AK329" t="inlineStr">
        <is>
          <t>native-only</t>
        </is>
      </c>
      <c r="AM329" t="inlineStr">
        <is>
          <t>10</t>
        </is>
      </c>
      <c r="AN329" t="inlineStr">
        <is>
          <t>Yes</t>
        </is>
      </c>
      <c r="AO329" t="inlineStr">
        <is>
          <t>mapped sheet id</t>
        </is>
      </c>
      <c r="AP329" t="inlineStr">
        <is>
          <t>p10:native:344, p10:native:345</t>
        </is>
      </c>
      <c r="AQ329" t="n">
        <v>2</v>
      </c>
    </row>
    <row r="330">
      <c r="A330" s="203">
        <f>ROW()-1</f>
        <v/>
      </c>
      <c r="B330" s="128" t="inlineStr">
        <is>
          <t>RL7-MLT-105-XY-101A</t>
        </is>
      </c>
      <c r="C330" s="314" t="inlineStr">
        <is>
          <t>RL7-MLT-105-XY-101A</t>
        </is>
      </c>
      <c r="D330" s="262" t="inlineStr">
        <is>
          <t>SOL805041</t>
        </is>
      </c>
      <c r="E330" s="128" t="inlineStr">
        <is>
          <t>OS10A</t>
        </is>
      </c>
      <c r="F330" s="138" t="inlineStr">
        <is>
          <t>FRESH AUGER CART 2 DUMPER ENGAGE PALLET RETENTION SOLENOID</t>
        </is>
      </c>
      <c r="G330" s="131" t="inlineStr">
        <is>
          <t>DG7011</t>
        </is>
      </c>
      <c r="H330" s="128" t="inlineStr">
        <is>
          <t>PROC</t>
        </is>
      </c>
      <c r="I330" s="132" t="inlineStr">
        <is>
          <t>RL7-FAGC2-RIO1</t>
        </is>
      </c>
      <c r="J330" s="133" t="n">
        <v>9</v>
      </c>
      <c r="K330" s="129" t="n">
        <v>6</v>
      </c>
      <c r="L330" s="129" t="n">
        <v>4</v>
      </c>
      <c r="M330" s="129" t="inlineStr">
        <is>
          <t>24 VDC DO</t>
        </is>
      </c>
      <c r="N330" s="129" t="inlineStr">
        <is>
          <t>5069-OB16</t>
        </is>
      </c>
      <c r="O330" s="139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40" t="n"/>
      <c r="AA330" t="inlineStr">
        <is>
          <t>Matched</t>
        </is>
      </c>
      <c r="AB330" s="315" t="n">
        <v>0.99</v>
      </c>
      <c r="AC330" t="inlineStr">
        <is>
          <t>High</t>
        </is>
      </c>
      <c r="AD330" t="n">
        <v>1</v>
      </c>
      <c r="AE330" t="inlineStr">
        <is>
          <t>DG7011</t>
        </is>
      </c>
      <c r="AF330" t="n">
        <v>10</v>
      </c>
      <c r="AG330" t="inlineStr">
        <is>
          <t>drawing</t>
        </is>
      </c>
      <c r="AH330" t="inlineStr">
        <is>
          <t>stacked:isa</t>
        </is>
      </c>
      <c r="AI330" t="inlineStr">
        <is>
          <t>drawing zone; process page; mapped sheet; excel sheet match</t>
        </is>
      </c>
      <c r="AJ330" t="inlineStr">
        <is>
          <t>native</t>
        </is>
      </c>
      <c r="AK330" t="inlineStr">
        <is>
          <t>native-only</t>
        </is>
      </c>
      <c r="AM330" t="inlineStr">
        <is>
          <t>10</t>
        </is>
      </c>
      <c r="AN330" t="inlineStr">
        <is>
          <t>Yes</t>
        </is>
      </c>
      <c r="AO330" t="inlineStr">
        <is>
          <t>mapped sheet id</t>
        </is>
      </c>
      <c r="AP330" t="inlineStr">
        <is>
          <t>p10:native:230, p10:native:231</t>
        </is>
      </c>
      <c r="AQ330" t="n">
        <v>2</v>
      </c>
    </row>
    <row r="331">
      <c r="A331" s="203">
        <f>ROW()-1</f>
        <v/>
      </c>
      <c r="B331" s="128" t="inlineStr">
        <is>
          <t>RL7-MLT-105-XY-101B</t>
        </is>
      </c>
      <c r="C331" s="314" t="inlineStr">
        <is>
          <t>RL7-MLT-105-XY-101B</t>
        </is>
      </c>
      <c r="D331" s="262" t="inlineStr">
        <is>
          <t>SOL805041</t>
        </is>
      </c>
      <c r="E331" s="128" t="inlineStr">
        <is>
          <t>OS10A</t>
        </is>
      </c>
      <c r="F331" s="138" t="inlineStr">
        <is>
          <t>FRESH AUGER CART 2 DUMPER RELEASE PALLET RETENTION SOLENOID</t>
        </is>
      </c>
      <c r="G331" s="131" t="inlineStr">
        <is>
          <t>DG7011</t>
        </is>
      </c>
      <c r="H331" s="128" t="inlineStr">
        <is>
          <t>PROC</t>
        </is>
      </c>
      <c r="I331" s="132" t="inlineStr">
        <is>
          <t>RL7-FAGC2-RIO1</t>
        </is>
      </c>
      <c r="J331" s="133" t="n">
        <v>9</v>
      </c>
      <c r="K331" s="129" t="n">
        <v>6</v>
      </c>
      <c r="L331" s="129" t="n">
        <v>5</v>
      </c>
      <c r="M331" s="129" t="inlineStr">
        <is>
          <t>24 VDC DO</t>
        </is>
      </c>
      <c r="N331" s="129" t="inlineStr">
        <is>
          <t>5069-OB16</t>
        </is>
      </c>
      <c r="O331" s="139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40" t="n"/>
      <c r="AA331" t="inlineStr">
        <is>
          <t>Matched</t>
        </is>
      </c>
      <c r="AB331" s="315" t="n">
        <v>0.99</v>
      </c>
      <c r="AC331" t="inlineStr">
        <is>
          <t>High</t>
        </is>
      </c>
      <c r="AD331" t="n">
        <v>1</v>
      </c>
      <c r="AE331" t="inlineStr">
        <is>
          <t>DG7011</t>
        </is>
      </c>
      <c r="AF331" t="n">
        <v>10</v>
      </c>
      <c r="AG331" t="inlineStr">
        <is>
          <t>drawing</t>
        </is>
      </c>
      <c r="AH331" t="inlineStr">
        <is>
          <t>stacked:isa</t>
        </is>
      </c>
      <c r="AI331" t="inlineStr">
        <is>
          <t>drawing zone; process page; mapped sheet; excel sheet match</t>
        </is>
      </c>
      <c r="AJ331" t="inlineStr">
        <is>
          <t>native</t>
        </is>
      </c>
      <c r="AK331" t="inlineStr">
        <is>
          <t>native-only</t>
        </is>
      </c>
      <c r="AM331" t="inlineStr">
        <is>
          <t>10</t>
        </is>
      </c>
      <c r="AN331" t="inlineStr">
        <is>
          <t>Yes</t>
        </is>
      </c>
      <c r="AO331" t="inlineStr">
        <is>
          <t>mapped sheet id</t>
        </is>
      </c>
      <c r="AP331" t="inlineStr">
        <is>
          <t>p10:native:232, p10:native:233</t>
        </is>
      </c>
      <c r="AQ331" t="n">
        <v>2</v>
      </c>
    </row>
    <row r="332">
      <c r="A332" s="203">
        <f>ROW()-1</f>
        <v/>
      </c>
      <c r="B332" s="128" t="inlineStr">
        <is>
          <t>RL7-MLT-105-XY-102A</t>
        </is>
      </c>
      <c r="C332" s="314" t="inlineStr">
        <is>
          <t>RL7-MLT-105-XY-102A</t>
        </is>
      </c>
      <c r="D332" s="262" t="inlineStr">
        <is>
          <t>SOL805061</t>
        </is>
      </c>
      <c r="E332" s="128" t="inlineStr">
        <is>
          <t>OS10A</t>
        </is>
      </c>
      <c r="F332" s="138" t="inlineStr">
        <is>
          <t>FRESH AUGER CART 2 DUMPER ENGAGE BAG RETENTION SOLENOID</t>
        </is>
      </c>
      <c r="G332" s="131" t="inlineStr">
        <is>
          <t>DG7011</t>
        </is>
      </c>
      <c r="H332" s="128" t="inlineStr">
        <is>
          <t>PROC</t>
        </is>
      </c>
      <c r="I332" s="132" t="inlineStr">
        <is>
          <t>RL7-FAGC2-RIO1</t>
        </is>
      </c>
      <c r="J332" s="133" t="n">
        <v>9</v>
      </c>
      <c r="K332" s="129" t="n">
        <v>6</v>
      </c>
      <c r="L332" s="129" t="n">
        <v>6</v>
      </c>
      <c r="M332" s="129" t="inlineStr">
        <is>
          <t>24 VDC DO</t>
        </is>
      </c>
      <c r="N332" s="129" t="inlineStr">
        <is>
          <t>5069-OB16</t>
        </is>
      </c>
      <c r="O332" s="139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40" t="n"/>
      <c r="AA332" t="inlineStr">
        <is>
          <t>Matched</t>
        </is>
      </c>
      <c r="AB332" s="315" t="n">
        <v>0.99</v>
      </c>
      <c r="AC332" t="inlineStr">
        <is>
          <t>High</t>
        </is>
      </c>
      <c r="AD332" t="n">
        <v>1</v>
      </c>
      <c r="AE332" t="inlineStr">
        <is>
          <t>DG7011</t>
        </is>
      </c>
      <c r="AF332" t="n">
        <v>10</v>
      </c>
      <c r="AG332" t="inlineStr">
        <is>
          <t>drawing</t>
        </is>
      </c>
      <c r="AH332" t="inlineStr">
        <is>
          <t>stacked:isa</t>
        </is>
      </c>
      <c r="AI332" t="inlineStr">
        <is>
          <t>drawing zone; process page; mapped sheet; excel sheet match</t>
        </is>
      </c>
      <c r="AJ332" t="inlineStr">
        <is>
          <t>native</t>
        </is>
      </c>
      <c r="AK332" t="inlineStr">
        <is>
          <t>native-only</t>
        </is>
      </c>
      <c r="AM332" t="inlineStr">
        <is>
          <t>10</t>
        </is>
      </c>
      <c r="AN332" t="inlineStr">
        <is>
          <t>Yes</t>
        </is>
      </c>
      <c r="AO332" t="inlineStr">
        <is>
          <t>mapped sheet id</t>
        </is>
      </c>
      <c r="AP332" t="inlineStr">
        <is>
          <t>p10:native:236, p10:native:237</t>
        </is>
      </c>
      <c r="AQ332" t="n">
        <v>2</v>
      </c>
    </row>
    <row r="333">
      <c r="A333" s="203">
        <f>ROW()-1</f>
        <v/>
      </c>
      <c r="B333" s="128" t="inlineStr">
        <is>
          <t>RL7-MLT-105-XY-102B</t>
        </is>
      </c>
      <c r="C333" s="314" t="inlineStr">
        <is>
          <t>RL7-MLT-105-XY-102B</t>
        </is>
      </c>
      <c r="D333" s="262" t="inlineStr">
        <is>
          <t>SOL805061</t>
        </is>
      </c>
      <c r="E333" s="128" t="inlineStr">
        <is>
          <t>OS10A</t>
        </is>
      </c>
      <c r="F333" s="138" t="inlineStr">
        <is>
          <t>FRESH AUGER CART 2 DUMPER RELEASE BAG RETENTION SOLENOID</t>
        </is>
      </c>
      <c r="G333" s="131" t="inlineStr">
        <is>
          <t>DG7011</t>
        </is>
      </c>
      <c r="H333" s="128" t="inlineStr">
        <is>
          <t>PROC</t>
        </is>
      </c>
      <c r="I333" s="132" t="inlineStr">
        <is>
          <t>RL7-FAGC2-RIO1</t>
        </is>
      </c>
      <c r="J333" s="133" t="n">
        <v>9</v>
      </c>
      <c r="K333" s="129" t="n">
        <v>6</v>
      </c>
      <c r="L333" s="129" t="n">
        <v>7</v>
      </c>
      <c r="M333" s="129" t="inlineStr">
        <is>
          <t>24 VDC DO</t>
        </is>
      </c>
      <c r="N333" s="129" t="inlineStr">
        <is>
          <t>5069-OB16</t>
        </is>
      </c>
      <c r="O333" s="139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40" t="n"/>
      <c r="AA333" t="inlineStr">
        <is>
          <t>Matched</t>
        </is>
      </c>
      <c r="AB333" s="315" t="n">
        <v>0.99</v>
      </c>
      <c r="AC333" t="inlineStr">
        <is>
          <t>High</t>
        </is>
      </c>
      <c r="AD333" t="n">
        <v>1</v>
      </c>
      <c r="AE333" t="inlineStr">
        <is>
          <t>DG7011</t>
        </is>
      </c>
      <c r="AF333" t="n">
        <v>10</v>
      </c>
      <c r="AG333" t="inlineStr">
        <is>
          <t>drawing</t>
        </is>
      </c>
      <c r="AH333" t="inlineStr">
        <is>
          <t>stacked:isa</t>
        </is>
      </c>
      <c r="AI333" t="inlineStr">
        <is>
          <t>drawing zone; process page; mapped sheet; excel sheet match</t>
        </is>
      </c>
      <c r="AJ333" t="inlineStr">
        <is>
          <t>native</t>
        </is>
      </c>
      <c r="AK333" t="inlineStr">
        <is>
          <t>native-only</t>
        </is>
      </c>
      <c r="AM333" t="inlineStr">
        <is>
          <t>10</t>
        </is>
      </c>
      <c r="AN333" t="inlineStr">
        <is>
          <t>Yes</t>
        </is>
      </c>
      <c r="AO333" t="inlineStr">
        <is>
          <t>mapped sheet id</t>
        </is>
      </c>
      <c r="AP333" t="inlineStr">
        <is>
          <t>p10:native:238, p10:native:239</t>
        </is>
      </c>
      <c r="AQ333" t="n">
        <v>2</v>
      </c>
    </row>
    <row r="334">
      <c r="A334" s="203">
        <f>ROW()-1</f>
        <v/>
      </c>
      <c r="B334" s="128" t="inlineStr">
        <is>
          <t>RL7-MLT-105-XY-103A</t>
        </is>
      </c>
      <c r="C334" s="314" t="inlineStr">
        <is>
          <t>RL7-MLT-105-XY-103A</t>
        </is>
      </c>
      <c r="D334" s="262" t="inlineStr">
        <is>
          <t>SOL805021</t>
        </is>
      </c>
      <c r="E334" s="128" t="inlineStr">
        <is>
          <t>OS10A</t>
        </is>
      </c>
      <c r="F334" s="138" t="inlineStr">
        <is>
          <t>FRESH AUGER CART 2 DUMPER HYDRAULIC UP SOLENOID</t>
        </is>
      </c>
      <c r="G334" s="131" t="inlineStr">
        <is>
          <t>DG7011</t>
        </is>
      </c>
      <c r="H334" s="128" t="inlineStr">
        <is>
          <t>PROC</t>
        </is>
      </c>
      <c r="I334" s="132" t="inlineStr">
        <is>
          <t>RL7-FAGC2-RIO1</t>
        </is>
      </c>
      <c r="J334" s="133" t="n">
        <v>9</v>
      </c>
      <c r="K334" s="129" t="n">
        <v>6</v>
      </c>
      <c r="L334" s="129" t="n">
        <v>2</v>
      </c>
      <c r="M334" s="129" t="inlineStr">
        <is>
          <t>24 VDC DO</t>
        </is>
      </c>
      <c r="N334" s="129" t="inlineStr">
        <is>
          <t>5069-OB16</t>
        </is>
      </c>
      <c r="O334" s="139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45" t="n"/>
      <c r="AA334" t="inlineStr">
        <is>
          <t>Matched</t>
        </is>
      </c>
      <c r="AB334" s="315" t="n">
        <v>0.99</v>
      </c>
      <c r="AC334" t="inlineStr">
        <is>
          <t>High</t>
        </is>
      </c>
      <c r="AD334" t="n">
        <v>1</v>
      </c>
      <c r="AE334" t="inlineStr">
        <is>
          <t>DG7011</t>
        </is>
      </c>
      <c r="AF334" t="n">
        <v>10</v>
      </c>
      <c r="AG334" t="inlineStr">
        <is>
          <t>drawing</t>
        </is>
      </c>
      <c r="AH334" t="inlineStr">
        <is>
          <t>stacked:isa</t>
        </is>
      </c>
      <c r="AI334" t="inlineStr">
        <is>
          <t>drawing zone; process page; mapped sheet; excel sheet match</t>
        </is>
      </c>
      <c r="AJ334" t="inlineStr">
        <is>
          <t>native</t>
        </is>
      </c>
      <c r="AK334" t="inlineStr">
        <is>
          <t>native-only</t>
        </is>
      </c>
      <c r="AM334" t="inlineStr">
        <is>
          <t>10</t>
        </is>
      </c>
      <c r="AN334" t="inlineStr">
        <is>
          <t>Yes</t>
        </is>
      </c>
      <c r="AO334" t="inlineStr">
        <is>
          <t>mapped sheet id</t>
        </is>
      </c>
      <c r="AP334" t="inlineStr">
        <is>
          <t>p10:native:242, p10:native:243</t>
        </is>
      </c>
      <c r="AQ334" t="n">
        <v>2</v>
      </c>
    </row>
    <row r="335">
      <c r="A335" s="203">
        <f>ROW()-1</f>
        <v/>
      </c>
      <c r="B335" s="128" t="inlineStr">
        <is>
          <t>RL7-MLT-105-XY-103B</t>
        </is>
      </c>
      <c r="C335" s="314" t="inlineStr">
        <is>
          <t>RL7-MLT-105-XY-103B</t>
        </is>
      </c>
      <c r="D335" s="262" t="inlineStr">
        <is>
          <t>SOL805021</t>
        </is>
      </c>
      <c r="E335" s="128" t="inlineStr">
        <is>
          <t>OS10A</t>
        </is>
      </c>
      <c r="F335" s="138" t="inlineStr">
        <is>
          <t>FRESH AUGER CART 2 DUMPER HYDRAULIC DOWN SOLENOID</t>
        </is>
      </c>
      <c r="G335" s="131" t="inlineStr">
        <is>
          <t>DG7011</t>
        </is>
      </c>
      <c r="H335" s="128" t="inlineStr">
        <is>
          <t>PROC</t>
        </is>
      </c>
      <c r="I335" s="132" t="inlineStr">
        <is>
          <t>RL7-FAGC2-RIO1</t>
        </is>
      </c>
      <c r="J335" s="133" t="n">
        <v>9</v>
      </c>
      <c r="K335" s="129" t="n">
        <v>6</v>
      </c>
      <c r="L335" s="129" t="n">
        <v>3</v>
      </c>
      <c r="M335" s="129" t="inlineStr">
        <is>
          <t>24 VDC DO</t>
        </is>
      </c>
      <c r="N335" s="129" t="inlineStr">
        <is>
          <t>5069-OB16</t>
        </is>
      </c>
      <c r="O335" s="139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45" t="n"/>
      <c r="AA335" t="inlineStr">
        <is>
          <t>Matched</t>
        </is>
      </c>
      <c r="AB335" s="315" t="n">
        <v>0.99</v>
      </c>
      <c r="AC335" t="inlineStr">
        <is>
          <t>High</t>
        </is>
      </c>
      <c r="AD335" t="n">
        <v>1</v>
      </c>
      <c r="AE335" t="inlineStr">
        <is>
          <t>DG7011</t>
        </is>
      </c>
      <c r="AF335" t="n">
        <v>10</v>
      </c>
      <c r="AG335" t="inlineStr">
        <is>
          <t>drawing</t>
        </is>
      </c>
      <c r="AH335" t="inlineStr">
        <is>
          <t>stacked:isa</t>
        </is>
      </c>
      <c r="AI335" t="inlineStr">
        <is>
          <t>drawing zone; process page; mapped sheet; excel sheet match</t>
        </is>
      </c>
      <c r="AJ335" t="inlineStr">
        <is>
          <t>native</t>
        </is>
      </c>
      <c r="AK335" t="inlineStr">
        <is>
          <t>native-only</t>
        </is>
      </c>
      <c r="AM335" t="inlineStr">
        <is>
          <t>10</t>
        </is>
      </c>
      <c r="AN335" t="inlineStr">
        <is>
          <t>Yes</t>
        </is>
      </c>
      <c r="AO335" t="inlineStr">
        <is>
          <t>mapped sheet id</t>
        </is>
      </c>
      <c r="AP335" t="inlineStr">
        <is>
          <t>p10:native:244, p10:native:245</t>
        </is>
      </c>
      <c r="AQ335" t="n">
        <v>2</v>
      </c>
    </row>
    <row r="336">
      <c r="A336" s="203">
        <f>ROW()-1</f>
        <v/>
      </c>
      <c r="B336" s="128" t="inlineStr">
        <is>
          <t>RL7-MLT-105-ZSC-01</t>
        </is>
      </c>
      <c r="C336" s="314" t="inlineStr">
        <is>
          <t>RL7-MLT-105-ZSC-01</t>
        </is>
      </c>
      <c r="D336" s="262" t="inlineStr">
        <is>
          <t>PRS805151</t>
        </is>
      </c>
      <c r="E336" s="128" t="inlineStr">
        <is>
          <t>OS10A</t>
        </is>
      </c>
      <c r="F336" s="138" t="inlineStr">
        <is>
          <t xml:space="preserve">FRESH AUGER CART 2 DUMPER IN DOWN POSITION </t>
        </is>
      </c>
      <c r="G336" s="131" t="inlineStr">
        <is>
          <t>DG7011</t>
        </is>
      </c>
      <c r="H336" s="128" t="inlineStr">
        <is>
          <t>PROC</t>
        </is>
      </c>
      <c r="I336" s="132" t="inlineStr">
        <is>
          <t>RL7-FAGC2-RIO1</t>
        </is>
      </c>
      <c r="J336" s="133" t="n">
        <v>9</v>
      </c>
      <c r="K336" s="129" t="n">
        <v>4</v>
      </c>
      <c r="L336" s="129" t="n">
        <v>1</v>
      </c>
      <c r="M336" s="129" t="inlineStr">
        <is>
          <t>24 VDC DI</t>
        </is>
      </c>
      <c r="N336" s="129" t="inlineStr">
        <is>
          <t>5069-IB16</t>
        </is>
      </c>
      <c r="O336" s="139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47" t="n"/>
      <c r="AA336" t="inlineStr">
        <is>
          <t>Matched</t>
        </is>
      </c>
      <c r="AB336" s="315" t="n">
        <v>0.99</v>
      </c>
      <c r="AC336" t="inlineStr">
        <is>
          <t>High</t>
        </is>
      </c>
      <c r="AD336" t="n">
        <v>1</v>
      </c>
      <c r="AE336" t="inlineStr">
        <is>
          <t>DG7011</t>
        </is>
      </c>
      <c r="AF336" t="n">
        <v>10</v>
      </c>
      <c r="AG336" t="inlineStr">
        <is>
          <t>drawing</t>
        </is>
      </c>
      <c r="AH336" t="inlineStr">
        <is>
          <t>stacked:isa</t>
        </is>
      </c>
      <c r="AI336" t="inlineStr">
        <is>
          <t>drawing zone; process page; mapped sheet; excel sheet match</t>
        </is>
      </c>
      <c r="AJ336" t="inlineStr">
        <is>
          <t>native</t>
        </is>
      </c>
      <c r="AK336" t="inlineStr">
        <is>
          <t>native-only</t>
        </is>
      </c>
      <c r="AM336" t="inlineStr">
        <is>
          <t>10</t>
        </is>
      </c>
      <c r="AN336" t="inlineStr">
        <is>
          <t>Yes</t>
        </is>
      </c>
      <c r="AO336" t="inlineStr">
        <is>
          <t>mapped sheet id</t>
        </is>
      </c>
      <c r="AP336" t="inlineStr">
        <is>
          <t>p10:native:166, p10:native:167</t>
        </is>
      </c>
      <c r="AQ336" t="n">
        <v>2</v>
      </c>
    </row>
    <row r="337">
      <c r="A337" s="203">
        <f>ROW()-1</f>
        <v/>
      </c>
      <c r="B337" s="128" t="inlineStr">
        <is>
          <t>RL7-MLT-105-ZSS-01</t>
        </is>
      </c>
      <c r="C337" s="314" t="inlineStr">
        <is>
          <t>RL7-MLT-105-ZSS-01</t>
        </is>
      </c>
      <c r="D337" s="262" t="inlineStr">
        <is>
          <t>PRS806061</t>
        </is>
      </c>
      <c r="E337" s="128" t="inlineStr">
        <is>
          <t>OS10A</t>
        </is>
      </c>
      <c r="F337" s="138" t="inlineStr">
        <is>
          <t>FRESH AUGER CART 2 DUMPER SAFETY LOCK PIN 1 SAFETY INPUT CH1</t>
        </is>
      </c>
      <c r="G337" s="131" t="inlineStr">
        <is>
          <t>DG7011</t>
        </is>
      </c>
      <c r="H337" s="128" t="inlineStr">
        <is>
          <t>PROC</t>
        </is>
      </c>
      <c r="I337" s="132" t="inlineStr">
        <is>
          <t>RL7-FAGC2-RIO1</t>
        </is>
      </c>
      <c r="J337" s="133" t="n">
        <v>9</v>
      </c>
      <c r="K337" s="129" t="n">
        <v>2</v>
      </c>
      <c r="L337" s="129" t="n">
        <v>4</v>
      </c>
      <c r="M337" s="129" t="inlineStr">
        <is>
          <t>24 VDC SI</t>
        </is>
      </c>
      <c r="N337" s="129" t="inlineStr">
        <is>
          <t>5069-IB8S</t>
        </is>
      </c>
      <c r="O337" s="139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40" t="n"/>
      <c r="AA337" t="inlineStr">
        <is>
          <t>Matched</t>
        </is>
      </c>
      <c r="AB337" s="315" t="n">
        <v>0.99</v>
      </c>
      <c r="AC337" t="inlineStr">
        <is>
          <t>High</t>
        </is>
      </c>
      <c r="AD337" t="n">
        <v>1</v>
      </c>
      <c r="AE337" t="inlineStr">
        <is>
          <t>DG7011</t>
        </is>
      </c>
      <c r="AF337" t="n">
        <v>10</v>
      </c>
      <c r="AG337" t="inlineStr">
        <is>
          <t>drawing</t>
        </is>
      </c>
      <c r="AH337" t="inlineStr">
        <is>
          <t>stacked:isa</t>
        </is>
      </c>
      <c r="AI337" t="inlineStr">
        <is>
          <t>drawing zone; process page; mapped sheet; excel sheet match</t>
        </is>
      </c>
      <c r="AJ337" t="inlineStr">
        <is>
          <t>native</t>
        </is>
      </c>
      <c r="AK337" t="inlineStr">
        <is>
          <t>native-only</t>
        </is>
      </c>
      <c r="AM337" t="inlineStr">
        <is>
          <t>10</t>
        </is>
      </c>
      <c r="AN337" t="inlineStr">
        <is>
          <t>Yes</t>
        </is>
      </c>
      <c r="AO337" t="inlineStr">
        <is>
          <t>mapped sheet id</t>
        </is>
      </c>
      <c r="AP337" t="inlineStr">
        <is>
          <t>p10:native:126, p10:native:127</t>
        </is>
      </c>
      <c r="AQ337" t="n">
        <v>2</v>
      </c>
    </row>
    <row r="338">
      <c r="A338" s="203">
        <f>ROW()-1</f>
        <v/>
      </c>
      <c r="B338" s="128" t="inlineStr">
        <is>
          <t>RL7-MLT-105-ZSS-01</t>
        </is>
      </c>
      <c r="C338" s="314" t="inlineStr">
        <is>
          <t>RL7-MLT-105-ZSS-01</t>
        </is>
      </c>
      <c r="D338" s="262" t="inlineStr">
        <is>
          <t>PRS806061</t>
        </is>
      </c>
      <c r="E338" s="128" t="inlineStr">
        <is>
          <t>OS10A</t>
        </is>
      </c>
      <c r="F338" s="138" t="inlineStr">
        <is>
          <t>FRESH AUGER CART 2 DUMPER SAFETY LOCK PIN 1 SAFETY INPUT CH2</t>
        </is>
      </c>
      <c r="G338" s="131" t="inlineStr">
        <is>
          <t>DG7011</t>
        </is>
      </c>
      <c r="H338" s="128" t="inlineStr">
        <is>
          <t>PROC</t>
        </is>
      </c>
      <c r="I338" s="132" t="inlineStr">
        <is>
          <t>RL7-FAGC2-RIO1</t>
        </is>
      </c>
      <c r="J338" s="133" t="n">
        <v>9</v>
      </c>
      <c r="K338" s="129" t="n">
        <v>2</v>
      </c>
      <c r="L338" s="129" t="n">
        <v>5</v>
      </c>
      <c r="M338" s="129" t="inlineStr">
        <is>
          <t>24 VDC SI</t>
        </is>
      </c>
      <c r="N338" s="129" t="inlineStr">
        <is>
          <t>5069-IB8S</t>
        </is>
      </c>
      <c r="O338" s="139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40" t="n"/>
      <c r="AA338" t="inlineStr">
        <is>
          <t>Matched</t>
        </is>
      </c>
      <c r="AB338" s="315" t="n">
        <v>0.99</v>
      </c>
      <c r="AC338" t="inlineStr">
        <is>
          <t>High</t>
        </is>
      </c>
      <c r="AD338" t="n">
        <v>1</v>
      </c>
      <c r="AE338" t="inlineStr">
        <is>
          <t>DG7011</t>
        </is>
      </c>
      <c r="AF338" t="n">
        <v>10</v>
      </c>
      <c r="AG338" t="inlineStr">
        <is>
          <t>drawing</t>
        </is>
      </c>
      <c r="AH338" t="inlineStr">
        <is>
          <t>stacked:isa</t>
        </is>
      </c>
      <c r="AI338" t="inlineStr">
        <is>
          <t>drawing zone; process page; mapped sheet; excel sheet match</t>
        </is>
      </c>
      <c r="AJ338" t="inlineStr">
        <is>
          <t>native</t>
        </is>
      </c>
      <c r="AK338" t="inlineStr">
        <is>
          <t>native-only</t>
        </is>
      </c>
      <c r="AM338" t="inlineStr">
        <is>
          <t>10</t>
        </is>
      </c>
      <c r="AN338" t="inlineStr">
        <is>
          <t>Yes</t>
        </is>
      </c>
      <c r="AO338" t="inlineStr">
        <is>
          <t>mapped sheet id</t>
        </is>
      </c>
      <c r="AP338" t="inlineStr">
        <is>
          <t>p10:native:126, p10:native:127</t>
        </is>
      </c>
      <c r="AQ338" t="n">
        <v>2</v>
      </c>
    </row>
    <row r="339">
      <c r="A339" s="203">
        <f>ROW()-1</f>
        <v/>
      </c>
      <c r="B339" s="128" t="inlineStr">
        <is>
          <t>RL7-MLT-105-ZSS-02</t>
        </is>
      </c>
      <c r="C339" s="314" t="inlineStr">
        <is>
          <t>RL7-MLT-105-ZSS-02</t>
        </is>
      </c>
      <c r="D339" s="262" t="inlineStr">
        <is>
          <t>PRS806101</t>
        </is>
      </c>
      <c r="E339" s="128" t="inlineStr">
        <is>
          <t>OS10A</t>
        </is>
      </c>
      <c r="F339" s="138" t="inlineStr">
        <is>
          <t>FRESH AUGER CART 2 DUMPER SAFETY LOCK PIN 2 SAFETY INPUT CH1</t>
        </is>
      </c>
      <c r="G339" s="131" t="inlineStr">
        <is>
          <t>DG7011</t>
        </is>
      </c>
      <c r="H339" s="128" t="inlineStr">
        <is>
          <t>PROC</t>
        </is>
      </c>
      <c r="I339" s="132" t="inlineStr">
        <is>
          <t>RL7-FAGC2-RIO1</t>
        </is>
      </c>
      <c r="J339" s="133" t="n">
        <v>9</v>
      </c>
      <c r="K339" s="129" t="n">
        <v>2</v>
      </c>
      <c r="L339" s="129" t="n">
        <v>6</v>
      </c>
      <c r="M339" s="129" t="inlineStr">
        <is>
          <t>24 VDC SI</t>
        </is>
      </c>
      <c r="N339" s="129" t="inlineStr">
        <is>
          <t>5069-IB8S</t>
        </is>
      </c>
      <c r="O339" s="139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40" t="n"/>
      <c r="AA339" t="inlineStr">
        <is>
          <t>Matched</t>
        </is>
      </c>
      <c r="AB339" s="315" t="n">
        <v>0.99</v>
      </c>
      <c r="AC339" t="inlineStr">
        <is>
          <t>High</t>
        </is>
      </c>
      <c r="AD339" t="n">
        <v>1</v>
      </c>
      <c r="AE339" t="inlineStr">
        <is>
          <t>DG7011</t>
        </is>
      </c>
      <c r="AF339" t="n">
        <v>10</v>
      </c>
      <c r="AG339" t="inlineStr">
        <is>
          <t>drawing</t>
        </is>
      </c>
      <c r="AH339" t="inlineStr">
        <is>
          <t>stacked:isa</t>
        </is>
      </c>
      <c r="AI339" t="inlineStr">
        <is>
          <t>drawing zone; process page; mapped sheet; excel sheet match</t>
        </is>
      </c>
      <c r="AJ339" t="inlineStr">
        <is>
          <t>native</t>
        </is>
      </c>
      <c r="AK339" t="inlineStr">
        <is>
          <t>native-only</t>
        </is>
      </c>
      <c r="AM339" t="inlineStr">
        <is>
          <t>10</t>
        </is>
      </c>
      <c r="AN339" t="inlineStr">
        <is>
          <t>Yes</t>
        </is>
      </c>
      <c r="AO339" t="inlineStr">
        <is>
          <t>mapped sheet id</t>
        </is>
      </c>
      <c r="AP339" t="inlineStr">
        <is>
          <t>p10:native:128, p10:native:129</t>
        </is>
      </c>
      <c r="AQ339" t="n">
        <v>2</v>
      </c>
    </row>
    <row r="340">
      <c r="A340" s="203">
        <f>ROW()-1</f>
        <v/>
      </c>
      <c r="B340" s="128" t="inlineStr">
        <is>
          <t>RL7-MLT-105-ZSS-02</t>
        </is>
      </c>
      <c r="C340" s="314" t="inlineStr">
        <is>
          <t>RL7-MLT-105-ZSS-02</t>
        </is>
      </c>
      <c r="D340" s="262" t="inlineStr">
        <is>
          <t>PRS806101</t>
        </is>
      </c>
      <c r="E340" s="128" t="inlineStr">
        <is>
          <t>OS10A</t>
        </is>
      </c>
      <c r="F340" s="138" t="inlineStr">
        <is>
          <t>FRESH AUGER CART 2 DUMPER SAFETY LOCK PIN 2 SAFETY INPUT CH2</t>
        </is>
      </c>
      <c r="G340" s="131" t="inlineStr">
        <is>
          <t>DG7011</t>
        </is>
      </c>
      <c r="H340" s="128" t="inlineStr">
        <is>
          <t>PROC</t>
        </is>
      </c>
      <c r="I340" s="132" t="inlineStr">
        <is>
          <t>RL7-FAGC2-RIO1</t>
        </is>
      </c>
      <c r="J340" s="133" t="n">
        <v>9</v>
      </c>
      <c r="K340" s="129" t="n">
        <v>2</v>
      </c>
      <c r="L340" s="129" t="n">
        <v>7</v>
      </c>
      <c r="M340" s="129" t="inlineStr">
        <is>
          <t>24 VDC SI</t>
        </is>
      </c>
      <c r="N340" s="129" t="inlineStr">
        <is>
          <t>5069-IB8S</t>
        </is>
      </c>
      <c r="O340" s="139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40" t="n"/>
      <c r="AA340" t="inlineStr">
        <is>
          <t>Matched</t>
        </is>
      </c>
      <c r="AB340" s="315" t="n">
        <v>0.99</v>
      </c>
      <c r="AC340" t="inlineStr">
        <is>
          <t>High</t>
        </is>
      </c>
      <c r="AD340" t="n">
        <v>1</v>
      </c>
      <c r="AE340" t="inlineStr">
        <is>
          <t>DG7011</t>
        </is>
      </c>
      <c r="AF340" t="n">
        <v>10</v>
      </c>
      <c r="AG340" t="inlineStr">
        <is>
          <t>drawing</t>
        </is>
      </c>
      <c r="AH340" t="inlineStr">
        <is>
          <t>stacked:isa</t>
        </is>
      </c>
      <c r="AI340" t="inlineStr">
        <is>
          <t>drawing zone; process page; mapped sheet; excel sheet match</t>
        </is>
      </c>
      <c r="AJ340" t="inlineStr">
        <is>
          <t>native</t>
        </is>
      </c>
      <c r="AK340" t="inlineStr">
        <is>
          <t>native-only</t>
        </is>
      </c>
      <c r="AM340" t="inlineStr">
        <is>
          <t>10</t>
        </is>
      </c>
      <c r="AN340" t="inlineStr">
        <is>
          <t>Yes</t>
        </is>
      </c>
      <c r="AO340" t="inlineStr">
        <is>
          <t>mapped sheet id</t>
        </is>
      </c>
      <c r="AP340" t="inlineStr">
        <is>
          <t>p10:native:128, p10:native:129</t>
        </is>
      </c>
      <c r="AQ340" t="n">
        <v>2</v>
      </c>
    </row>
    <row r="341">
      <c r="A341" s="203">
        <f>ROW()-1</f>
        <v/>
      </c>
      <c r="B341" s="128" t="inlineStr">
        <is>
          <t>RL7-MLT-105-ZSS-03</t>
        </is>
      </c>
      <c r="C341" s="314" t="inlineStr">
        <is>
          <t>RL7-MLT-105-ZSS-03</t>
        </is>
      </c>
      <c r="D341" s="262" t="inlineStr">
        <is>
          <t>PRS806021</t>
        </is>
      </c>
      <c r="E341" s="128" t="inlineStr">
        <is>
          <t>OS10A</t>
        </is>
      </c>
      <c r="F341" s="138" t="inlineStr">
        <is>
          <t>FRESH AUGER CART 2 DUMPER SAFETY GATE SAFETY INPUT CH1</t>
        </is>
      </c>
      <c r="G341" s="131" t="inlineStr">
        <is>
          <t>DG7011</t>
        </is>
      </c>
      <c r="H341" s="128" t="inlineStr">
        <is>
          <t>PROC</t>
        </is>
      </c>
      <c r="I341" s="132" t="inlineStr">
        <is>
          <t>RL7-FAGC2-RIO1</t>
        </is>
      </c>
      <c r="J341" s="133" t="n">
        <v>9</v>
      </c>
      <c r="K341" s="129" t="n">
        <v>2</v>
      </c>
      <c r="L341" s="129" t="n">
        <v>2</v>
      </c>
      <c r="M341" s="129" t="inlineStr">
        <is>
          <t>24 VDC SI</t>
        </is>
      </c>
      <c r="N341" s="129" t="inlineStr">
        <is>
          <t>5069-IB8S</t>
        </is>
      </c>
      <c r="O341" s="139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40" t="n"/>
      <c r="AA341" t="inlineStr">
        <is>
          <t>Matched</t>
        </is>
      </c>
      <c r="AB341" s="315" t="n">
        <v>0.99</v>
      </c>
      <c r="AC341" t="inlineStr">
        <is>
          <t>High</t>
        </is>
      </c>
      <c r="AD341" t="n">
        <v>1</v>
      </c>
      <c r="AE341" t="inlineStr">
        <is>
          <t>DG7011</t>
        </is>
      </c>
      <c r="AF341" t="n">
        <v>10</v>
      </c>
      <c r="AG341" t="inlineStr">
        <is>
          <t>drawing</t>
        </is>
      </c>
      <c r="AH341" t="inlineStr">
        <is>
          <t>stacked:isa</t>
        </is>
      </c>
      <c r="AI341" t="inlineStr">
        <is>
          <t>drawing zone; process page; mapped sheet; excel sheet match</t>
        </is>
      </c>
      <c r="AJ341" t="inlineStr">
        <is>
          <t>native</t>
        </is>
      </c>
      <c r="AK341" t="inlineStr">
        <is>
          <t>native-only</t>
        </is>
      </c>
      <c r="AM341" t="inlineStr">
        <is>
          <t>10</t>
        </is>
      </c>
      <c r="AN341" t="inlineStr">
        <is>
          <t>Yes</t>
        </is>
      </c>
      <c r="AO341" t="inlineStr">
        <is>
          <t>mapped sheet id</t>
        </is>
      </c>
      <c r="AP341" t="inlineStr">
        <is>
          <t>p10:native:130, p10:native:131</t>
        </is>
      </c>
      <c r="AQ341" t="n">
        <v>2</v>
      </c>
    </row>
    <row r="342">
      <c r="A342" s="203">
        <f>ROW()-1</f>
        <v/>
      </c>
      <c r="B342" s="128" t="inlineStr">
        <is>
          <t>RL7-MLT-105-ZSS-03</t>
        </is>
      </c>
      <c r="C342" s="314" t="inlineStr">
        <is>
          <t>RL7-MLT-105-ZSS-03</t>
        </is>
      </c>
      <c r="D342" s="262" t="inlineStr">
        <is>
          <t>PRS806021</t>
        </is>
      </c>
      <c r="E342" s="128" t="inlineStr">
        <is>
          <t>OS10A</t>
        </is>
      </c>
      <c r="F342" s="138" t="inlineStr">
        <is>
          <t>FRESH AUGER CART 2 DUMPER SAFETY GATE SAFETY INPUT CH2</t>
        </is>
      </c>
      <c r="G342" s="131" t="inlineStr">
        <is>
          <t>DG7011</t>
        </is>
      </c>
      <c r="H342" s="128" t="inlineStr">
        <is>
          <t>PROC</t>
        </is>
      </c>
      <c r="I342" s="132" t="inlineStr">
        <is>
          <t>RL7-FAGC2-RIO1</t>
        </is>
      </c>
      <c r="J342" s="133" t="n">
        <v>9</v>
      </c>
      <c r="K342" s="129" t="n">
        <v>2</v>
      </c>
      <c r="L342" s="129" t="n">
        <v>3</v>
      </c>
      <c r="M342" s="129" t="inlineStr">
        <is>
          <t>24 VDC SI</t>
        </is>
      </c>
      <c r="N342" s="129" t="inlineStr">
        <is>
          <t>5069-IB8S</t>
        </is>
      </c>
      <c r="O342" s="139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40" t="n"/>
      <c r="AA342" t="inlineStr">
        <is>
          <t>Matched</t>
        </is>
      </c>
      <c r="AB342" s="315" t="n">
        <v>0.99</v>
      </c>
      <c r="AC342" t="inlineStr">
        <is>
          <t>High</t>
        </is>
      </c>
      <c r="AD342" t="n">
        <v>1</v>
      </c>
      <c r="AE342" t="inlineStr">
        <is>
          <t>DG7011</t>
        </is>
      </c>
      <c r="AF342" t="n">
        <v>10</v>
      </c>
      <c r="AG342" t="inlineStr">
        <is>
          <t>drawing</t>
        </is>
      </c>
      <c r="AH342" t="inlineStr">
        <is>
          <t>stacked:isa</t>
        </is>
      </c>
      <c r="AI342" t="inlineStr">
        <is>
          <t>drawing zone; process page; mapped sheet; excel sheet match</t>
        </is>
      </c>
      <c r="AJ342" t="inlineStr">
        <is>
          <t>native</t>
        </is>
      </c>
      <c r="AK342" t="inlineStr">
        <is>
          <t>native-only</t>
        </is>
      </c>
      <c r="AM342" t="inlineStr">
        <is>
          <t>10</t>
        </is>
      </c>
      <c r="AN342" t="inlineStr">
        <is>
          <t>Yes</t>
        </is>
      </c>
      <c r="AO342" t="inlineStr">
        <is>
          <t>mapped sheet id</t>
        </is>
      </c>
      <c r="AP342" t="inlineStr">
        <is>
          <t>p10:native:130, p10:native:131</t>
        </is>
      </c>
      <c r="AQ342" t="n">
        <v>2</v>
      </c>
    </row>
    <row r="343">
      <c r="A343" s="203">
        <f>ROW()-1</f>
        <v/>
      </c>
      <c r="B343" s="128" t="inlineStr">
        <is>
          <t>RL7-CNV-115-PBL-01</t>
        </is>
      </c>
      <c r="C343" s="313" t="inlineStr">
        <is>
          <t>RL7-CNV-108-PBL-01</t>
        </is>
      </c>
      <c r="D343" s="262" t="n"/>
      <c r="E343" s="128" t="n"/>
      <c r="F343" s="138" t="inlineStr">
        <is>
          <t>INCLINE BELT CONVEYOR E-STOP PUSHBUTTON PILOT LIGHT</t>
        </is>
      </c>
      <c r="G343" s="131" t="inlineStr">
        <is>
          <t>DG7012</t>
        </is>
      </c>
      <c r="H343" s="128" t="inlineStr">
        <is>
          <t>PROC</t>
        </is>
      </c>
      <c r="I343" s="142" t="inlineStr">
        <is>
          <t>RL7-IPA2-RIO1</t>
        </is>
      </c>
      <c r="J343" s="133" t="n">
        <v>7</v>
      </c>
      <c r="K343" s="129" t="n">
        <v>7</v>
      </c>
      <c r="L343" s="129" t="n">
        <v>1</v>
      </c>
      <c r="M343" s="129" t="inlineStr">
        <is>
          <t>24 VDC DO</t>
        </is>
      </c>
      <c r="N343" s="129" t="inlineStr">
        <is>
          <t>5069-OB16</t>
        </is>
      </c>
      <c r="O343" s="139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40" t="n"/>
      <c r="AA343" t="inlineStr">
        <is>
          <t>Not found in PDF</t>
        </is>
      </c>
      <c r="AC343" t="inlineStr">
        <is>
          <t>Low</t>
        </is>
      </c>
      <c r="AM343" t="inlineStr">
        <is>
          <t>11</t>
        </is>
      </c>
      <c r="AN343" t="inlineStr">
        <is>
          <t>Yes</t>
        </is>
      </c>
      <c r="AO343" t="inlineStr">
        <is>
          <t>mapped sheet id</t>
        </is>
      </c>
    </row>
    <row r="344">
      <c r="A344" s="203">
        <f>ROW()-1</f>
        <v/>
      </c>
      <c r="B344" s="128" t="inlineStr">
        <is>
          <t>RL7-GRR-101-PBL-01</t>
        </is>
      </c>
      <c r="C344" s="313" t="inlineStr">
        <is>
          <t>RL7-GRR-102-PBL-01</t>
        </is>
      </c>
      <c r="D344" s="262" t="n"/>
      <c r="E344" s="128" t="n"/>
      <c r="F344" s="138" t="inlineStr">
        <is>
          <t>GRINDER PLATFORM E-STOP PUSHBUTTON PILOT LIGHT</t>
        </is>
      </c>
      <c r="G344" s="131" t="inlineStr">
        <is>
          <t>DG7012</t>
        </is>
      </c>
      <c r="H344" s="128" t="inlineStr">
        <is>
          <t>PROC</t>
        </is>
      </c>
      <c r="I344" s="142" t="inlineStr">
        <is>
          <t>RL7-IPA2-RIO1</t>
        </is>
      </c>
      <c r="J344" s="133" t="n">
        <v>7</v>
      </c>
      <c r="K344" s="129" t="n">
        <v>7</v>
      </c>
      <c r="L344" s="129" t="n">
        <v>0</v>
      </c>
      <c r="M344" s="129" t="inlineStr">
        <is>
          <t>24 VDC DO</t>
        </is>
      </c>
      <c r="N344" s="129" t="inlineStr">
        <is>
          <t>5069-OB16</t>
        </is>
      </c>
      <c r="O344" s="139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45" t="n"/>
      <c r="AA344" t="inlineStr">
        <is>
          <t>Not found in PDF</t>
        </is>
      </c>
      <c r="AC344" t="inlineStr">
        <is>
          <t>Low</t>
        </is>
      </c>
      <c r="AM344" t="inlineStr">
        <is>
          <t>11</t>
        </is>
      </c>
      <c r="AN344" t="inlineStr">
        <is>
          <t>Yes</t>
        </is>
      </c>
      <c r="AO344" t="inlineStr">
        <is>
          <t>mapped sheet id</t>
        </is>
      </c>
    </row>
    <row r="345">
      <c r="A345" s="203">
        <f>ROW()-1</f>
        <v/>
      </c>
      <c r="B345" s="128" t="n"/>
      <c r="C345" s="313" t="inlineStr">
        <is>
          <t>RL7-MLT-106.M1</t>
        </is>
      </c>
      <c r="D345" s="277" t="n"/>
      <c r="E345" s="142" t="n"/>
      <c r="F345" s="141" t="inlineStr">
        <is>
          <t>PRE-MIXER COLUMN DUMPER</t>
        </is>
      </c>
      <c r="G345" s="142" t="inlineStr">
        <is>
          <t>DG7012</t>
        </is>
      </c>
      <c r="H345" s="133" t="inlineStr">
        <is>
          <t>MCC</t>
        </is>
      </c>
      <c r="I345" s="131" t="inlineStr">
        <is>
          <t>RL7-INTSL-RIO1</t>
        </is>
      </c>
      <c r="J345" s="133" t="n">
        <v>18</v>
      </c>
      <c r="K345" s="129" t="n">
        <v>14</v>
      </c>
      <c r="L345" s="129" t="n">
        <v>9</v>
      </c>
      <c r="M345" s="129" t="inlineStr">
        <is>
          <t>24 VDC DO</t>
        </is>
      </c>
      <c r="N345" s="129" t="inlineStr">
        <is>
          <t>5069-OB16</t>
        </is>
      </c>
      <c r="O345" s="146" t="n"/>
      <c r="P345" s="146" t="n"/>
      <c r="Q345" s="146" t="n"/>
      <c r="R345" s="146" t="n"/>
      <c r="S345" s="146" t="n"/>
      <c r="T345" s="146" t="n"/>
      <c r="U345" s="146" t="n"/>
      <c r="V345" s="146" t="n"/>
      <c r="W345" s="146" t="n"/>
      <c r="X345" s="146" t="n"/>
      <c r="Y345" s="146" t="n"/>
      <c r="Z345" s="143" t="n"/>
      <c r="AA345" t="inlineStr">
        <is>
          <t>Skipped - unrecognized tag</t>
        </is>
      </c>
      <c r="AC345" t="inlineStr">
        <is>
          <t>Low</t>
        </is>
      </c>
      <c r="AM345" t="inlineStr">
        <is>
          <t>11</t>
        </is>
      </c>
      <c r="AN345" t="inlineStr">
        <is>
          <t>Yes</t>
        </is>
      </c>
      <c r="AO345" t="inlineStr">
        <is>
          <t>unrecognized tag</t>
        </is>
      </c>
    </row>
    <row r="346">
      <c r="A346" s="203">
        <f>ROW()-1</f>
        <v/>
      </c>
      <c r="B346" s="128" t="inlineStr">
        <is>
          <t>RL7-PRM-101-ZSC-03</t>
        </is>
      </c>
      <c r="C346" s="314" t="inlineStr">
        <is>
          <t>RL7-MLT-106-PB-01</t>
        </is>
      </c>
      <c r="D346" s="264" t="inlineStr">
        <is>
          <t>PB2506011</t>
        </is>
      </c>
      <c r="E346" s="133" t="inlineStr">
        <is>
          <t>JIC3B</t>
        </is>
      </c>
      <c r="F346" s="141" t="inlineStr">
        <is>
          <t>PRE-MIXER COLUMN DUMPER RAISE PB</t>
        </is>
      </c>
      <c r="G346" s="133" t="inlineStr">
        <is>
          <t>DG7012</t>
        </is>
      </c>
      <c r="H346" s="133" t="inlineStr">
        <is>
          <t>PROC</t>
        </is>
      </c>
      <c r="I346" s="142" t="inlineStr">
        <is>
          <t>RL7-PRM-RIO1</t>
        </is>
      </c>
      <c r="J346" s="133" t="n">
        <v>10</v>
      </c>
      <c r="K346" s="129" t="n">
        <v>7</v>
      </c>
      <c r="L346" s="129" t="n">
        <v>1</v>
      </c>
      <c r="M346" s="129" t="inlineStr">
        <is>
          <t>24 VDC DI</t>
        </is>
      </c>
      <c r="N346" s="129" t="inlineStr">
        <is>
          <t>5069-IB16</t>
        </is>
      </c>
      <c r="O346" s="139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40" t="n"/>
      <c r="AA346" t="inlineStr">
        <is>
          <t>Matched</t>
        </is>
      </c>
      <c r="AB346" s="315" t="n">
        <v>0.99</v>
      </c>
      <c r="AC346" t="inlineStr">
        <is>
          <t>High</t>
        </is>
      </c>
      <c r="AD346" t="n">
        <v>1</v>
      </c>
      <c r="AE346" t="inlineStr">
        <is>
          <t>DG7012</t>
        </is>
      </c>
      <c r="AF346" t="n">
        <v>11</v>
      </c>
      <c r="AG346" t="inlineStr">
        <is>
          <t>drawing</t>
        </is>
      </c>
      <c r="AH346" t="inlineStr">
        <is>
          <t>stacked:isa</t>
        </is>
      </c>
      <c r="AI346" t="inlineStr">
        <is>
          <t>drawing zone; process page; mapped sheet; excel sheet match</t>
        </is>
      </c>
      <c r="AJ346" t="inlineStr">
        <is>
          <t>native</t>
        </is>
      </c>
      <c r="AK346" t="inlineStr">
        <is>
          <t>native-only</t>
        </is>
      </c>
      <c r="AM346" t="inlineStr">
        <is>
          <t>11</t>
        </is>
      </c>
      <c r="AN346" t="inlineStr">
        <is>
          <t>Yes</t>
        </is>
      </c>
      <c r="AO346" t="inlineStr">
        <is>
          <t>mapped sheet id</t>
        </is>
      </c>
      <c r="AP346" t="inlineStr">
        <is>
          <t>p11:native:167, p11:native:168</t>
        </is>
      </c>
      <c r="AQ346" t="n">
        <v>2</v>
      </c>
    </row>
    <row r="347">
      <c r="A347" s="203">
        <f>ROW()-1</f>
        <v/>
      </c>
      <c r="B347" s="128" t="inlineStr">
        <is>
          <t>RL7-PRM-101-ZSC-04</t>
        </is>
      </c>
      <c r="C347" s="314" t="inlineStr">
        <is>
          <t>RL7-MLT-106-PB-02</t>
        </is>
      </c>
      <c r="D347" s="264" t="inlineStr">
        <is>
          <t>PB2506021</t>
        </is>
      </c>
      <c r="E347" s="133" t="inlineStr">
        <is>
          <t>JIC3B</t>
        </is>
      </c>
      <c r="F347" s="141" t="inlineStr">
        <is>
          <t>PRE-MIXER COLUMN DUMPER LOWER PB</t>
        </is>
      </c>
      <c r="G347" s="133" t="inlineStr">
        <is>
          <t>DG7012</t>
        </is>
      </c>
      <c r="H347" s="133" t="inlineStr">
        <is>
          <t>PROC</t>
        </is>
      </c>
      <c r="I347" s="142" t="inlineStr">
        <is>
          <t>RL7-PRM-RIO1</t>
        </is>
      </c>
      <c r="J347" s="133" t="n">
        <v>10</v>
      </c>
      <c r="K347" s="129" t="n">
        <v>7</v>
      </c>
      <c r="L347" s="129" t="n">
        <v>2</v>
      </c>
      <c r="M347" s="129" t="inlineStr">
        <is>
          <t>24 VDC DI</t>
        </is>
      </c>
      <c r="N347" s="129" t="inlineStr">
        <is>
          <t>5069-IB16</t>
        </is>
      </c>
      <c r="O347" s="139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40" t="n"/>
      <c r="AA347" t="inlineStr">
        <is>
          <t>Matched</t>
        </is>
      </c>
      <c r="AB347" s="315" t="n">
        <v>0.99</v>
      </c>
      <c r="AC347" t="inlineStr">
        <is>
          <t>High</t>
        </is>
      </c>
      <c r="AD347" t="n">
        <v>1</v>
      </c>
      <c r="AE347" t="inlineStr">
        <is>
          <t>DG7012</t>
        </is>
      </c>
      <c r="AF347" t="n">
        <v>11</v>
      </c>
      <c r="AG347" t="inlineStr">
        <is>
          <t>drawing</t>
        </is>
      </c>
      <c r="AH347" t="inlineStr">
        <is>
          <t>stacked:isa</t>
        </is>
      </c>
      <c r="AI347" t="inlineStr">
        <is>
          <t>drawing zone; process page; mapped sheet; excel sheet match</t>
        </is>
      </c>
      <c r="AJ347" t="inlineStr">
        <is>
          <t>native</t>
        </is>
      </c>
      <c r="AK347" t="inlineStr">
        <is>
          <t>native-only</t>
        </is>
      </c>
      <c r="AM347" t="inlineStr">
        <is>
          <t>11</t>
        </is>
      </c>
      <c r="AN347" t="inlineStr">
        <is>
          <t>Yes</t>
        </is>
      </c>
      <c r="AO347" t="inlineStr">
        <is>
          <t>mapped sheet id</t>
        </is>
      </c>
      <c r="AP347" t="inlineStr">
        <is>
          <t>p11:native:169, p11:native:170</t>
        </is>
      </c>
      <c r="AQ347" t="n">
        <v>2</v>
      </c>
    </row>
    <row r="348">
      <c r="A348" s="203">
        <f>ROW()-1</f>
        <v/>
      </c>
      <c r="B348" s="128" t="inlineStr">
        <is>
          <t>RL7-MLT-106-PB-01</t>
        </is>
      </c>
      <c r="C348" s="314" t="inlineStr">
        <is>
          <t>RL7-MLT-106-PB-03</t>
        </is>
      </c>
      <c r="D348" s="264" t="inlineStr">
        <is>
          <t>PB2506031</t>
        </is>
      </c>
      <c r="E348" s="133" t="inlineStr">
        <is>
          <t>JIC3B</t>
        </is>
      </c>
      <c r="F348" s="141" t="inlineStr">
        <is>
          <t>PRE-MIXER COLUMN DUMPER STOP PB</t>
        </is>
      </c>
      <c r="G348" s="133" t="inlineStr">
        <is>
          <t>DG7012</t>
        </is>
      </c>
      <c r="H348" s="133" t="inlineStr">
        <is>
          <t>PROC</t>
        </is>
      </c>
      <c r="I348" s="142" t="inlineStr">
        <is>
          <t>RL7-PRM-RIO1</t>
        </is>
      </c>
      <c r="J348" s="133" t="n">
        <v>10</v>
      </c>
      <c r="K348" s="129" t="n">
        <v>7</v>
      </c>
      <c r="L348" s="129" t="n">
        <v>3</v>
      </c>
      <c r="M348" s="129" t="inlineStr">
        <is>
          <t>24 VDC DI</t>
        </is>
      </c>
      <c r="N348" s="129" t="inlineStr">
        <is>
          <t>5069-IB16</t>
        </is>
      </c>
      <c r="O348" s="139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40" t="n"/>
      <c r="AA348" t="inlineStr">
        <is>
          <t>Matched</t>
        </is>
      </c>
      <c r="AB348" s="315" t="n">
        <v>0.99</v>
      </c>
      <c r="AC348" t="inlineStr">
        <is>
          <t>High</t>
        </is>
      </c>
      <c r="AD348" t="n">
        <v>1</v>
      </c>
      <c r="AE348" t="inlineStr">
        <is>
          <t>DG7012</t>
        </is>
      </c>
      <c r="AF348" t="n">
        <v>11</v>
      </c>
      <c r="AG348" t="inlineStr">
        <is>
          <t>drawing</t>
        </is>
      </c>
      <c r="AH348" t="inlineStr">
        <is>
          <t>stacked:isa</t>
        </is>
      </c>
      <c r="AI348" t="inlineStr">
        <is>
          <t>drawing zone; process page; mapped sheet; excel sheet match</t>
        </is>
      </c>
      <c r="AJ348" t="inlineStr">
        <is>
          <t>native</t>
        </is>
      </c>
      <c r="AK348" t="inlineStr">
        <is>
          <t>native-only</t>
        </is>
      </c>
      <c r="AM348" t="inlineStr">
        <is>
          <t>11</t>
        </is>
      </c>
      <c r="AN348" t="inlineStr">
        <is>
          <t>Yes</t>
        </is>
      </c>
      <c r="AO348" t="inlineStr">
        <is>
          <t>mapped sheet id</t>
        </is>
      </c>
      <c r="AP348" t="inlineStr">
        <is>
          <t>p11:native:171, p11:native:172</t>
        </is>
      </c>
      <c r="AQ348" t="n">
        <v>2</v>
      </c>
    </row>
    <row r="349">
      <c r="A349" s="203">
        <f>ROW()-1</f>
        <v/>
      </c>
      <c r="B349" s="128" t="inlineStr">
        <is>
          <t>RL7-MLT-106-PB-04</t>
        </is>
      </c>
      <c r="C349" s="314" t="inlineStr">
        <is>
          <t>RL7-MLT-106-PB-04</t>
        </is>
      </c>
      <c r="D349" s="262" t="inlineStr">
        <is>
          <t>PB2505011</t>
        </is>
      </c>
      <c r="E349" s="128" t="inlineStr">
        <is>
          <t>JIC3B</t>
        </is>
      </c>
      <c r="F349" s="138" t="inlineStr">
        <is>
          <t>PRE-MIXER COLUMN DUMPER E-STOP PUSHBUTTON SAFETY INPUT CH1</t>
        </is>
      </c>
      <c r="G349" s="131" t="inlineStr">
        <is>
          <t>DG7012</t>
        </is>
      </c>
      <c r="H349" s="128" t="inlineStr">
        <is>
          <t>PROC</t>
        </is>
      </c>
      <c r="I349" s="142" t="inlineStr">
        <is>
          <t>RL7-PRM-RIO1</t>
        </is>
      </c>
      <c r="J349" s="133" t="n">
        <v>10</v>
      </c>
      <c r="K349" s="129" t="n">
        <v>4</v>
      </c>
      <c r="L349" s="129" t="n">
        <v>2</v>
      </c>
      <c r="M349" s="129" t="inlineStr">
        <is>
          <t>24 VDC SI</t>
        </is>
      </c>
      <c r="N349" s="129" t="inlineStr">
        <is>
          <t>5069-IB8S</t>
        </is>
      </c>
      <c r="O349" s="139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40" t="n"/>
      <c r="AA349" t="inlineStr">
        <is>
          <t>Matched</t>
        </is>
      </c>
      <c r="AB349" s="315" t="n">
        <v>0.99</v>
      </c>
      <c r="AC349" t="inlineStr">
        <is>
          <t>High</t>
        </is>
      </c>
      <c r="AD349" t="n">
        <v>1</v>
      </c>
      <c r="AE349" t="inlineStr">
        <is>
          <t>DG7012</t>
        </is>
      </c>
      <c r="AF349" t="n">
        <v>11</v>
      </c>
      <c r="AG349" t="inlineStr">
        <is>
          <t>drawing</t>
        </is>
      </c>
      <c r="AH349" t="inlineStr">
        <is>
          <t>stacked:isa</t>
        </is>
      </c>
      <c r="AI349" t="inlineStr">
        <is>
          <t>drawing zone; process page; mapped sheet; excel sheet match</t>
        </is>
      </c>
      <c r="AJ349" t="inlineStr">
        <is>
          <t>native</t>
        </is>
      </c>
      <c r="AK349" t="inlineStr">
        <is>
          <t>native-only</t>
        </is>
      </c>
      <c r="AM349" t="inlineStr">
        <is>
          <t>11</t>
        </is>
      </c>
      <c r="AN349" t="inlineStr">
        <is>
          <t>Yes</t>
        </is>
      </c>
      <c r="AO349" t="inlineStr">
        <is>
          <t>mapped sheet id</t>
        </is>
      </c>
      <c r="AP349" t="inlineStr">
        <is>
          <t>p11:native:165, p11:native:166</t>
        </is>
      </c>
      <c r="AQ349" t="n">
        <v>2</v>
      </c>
    </row>
    <row r="350">
      <c r="A350" s="203">
        <f>ROW()-1</f>
        <v/>
      </c>
      <c r="B350" s="128" t="inlineStr">
        <is>
          <t>RL7-MLT-106-PB-04</t>
        </is>
      </c>
      <c r="C350" s="314" t="inlineStr">
        <is>
          <t>RL7-MLT-106-PB-04</t>
        </is>
      </c>
      <c r="D350" s="262" t="inlineStr">
        <is>
          <t>PB2505011</t>
        </is>
      </c>
      <c r="E350" s="128" t="inlineStr">
        <is>
          <t>JIC3B</t>
        </is>
      </c>
      <c r="F350" s="138" t="inlineStr">
        <is>
          <t>PRE-MIXER COLUMN DUMPER E-STOP PUSHBUTTON SAFETY INPUT CH2</t>
        </is>
      </c>
      <c r="G350" s="131" t="inlineStr">
        <is>
          <t>DG7012</t>
        </is>
      </c>
      <c r="H350" s="128" t="inlineStr">
        <is>
          <t>PROC</t>
        </is>
      </c>
      <c r="I350" s="142" t="inlineStr">
        <is>
          <t>RL7-PRM-RIO1</t>
        </is>
      </c>
      <c r="J350" s="133" t="n">
        <v>10</v>
      </c>
      <c r="K350" s="129" t="n">
        <v>4</v>
      </c>
      <c r="L350" s="129" t="n">
        <v>3</v>
      </c>
      <c r="M350" s="129" t="inlineStr">
        <is>
          <t>24 VDC SI</t>
        </is>
      </c>
      <c r="N350" s="129" t="inlineStr">
        <is>
          <t>5069-IB8S</t>
        </is>
      </c>
      <c r="O350" s="139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40" t="n"/>
      <c r="AA350" t="inlineStr">
        <is>
          <t>Matched</t>
        </is>
      </c>
      <c r="AB350" s="315" t="n">
        <v>0.99</v>
      </c>
      <c r="AC350" t="inlineStr">
        <is>
          <t>High</t>
        </is>
      </c>
      <c r="AD350" t="n">
        <v>1</v>
      </c>
      <c r="AE350" t="inlineStr">
        <is>
          <t>DG7012</t>
        </is>
      </c>
      <c r="AF350" t="n">
        <v>11</v>
      </c>
      <c r="AG350" t="inlineStr">
        <is>
          <t>drawing</t>
        </is>
      </c>
      <c r="AH350" t="inlineStr">
        <is>
          <t>stacked:isa</t>
        </is>
      </c>
      <c r="AI350" t="inlineStr">
        <is>
          <t>drawing zone; process page; mapped sheet; excel sheet match</t>
        </is>
      </c>
      <c r="AJ350" t="inlineStr">
        <is>
          <t>native</t>
        </is>
      </c>
      <c r="AK350" t="inlineStr">
        <is>
          <t>native-only</t>
        </is>
      </c>
      <c r="AM350" t="inlineStr">
        <is>
          <t>11</t>
        </is>
      </c>
      <c r="AN350" t="inlineStr">
        <is>
          <t>Yes</t>
        </is>
      </c>
      <c r="AO350" t="inlineStr">
        <is>
          <t>mapped sheet id</t>
        </is>
      </c>
      <c r="AP350" t="inlineStr">
        <is>
          <t>p11:native:165, p11:native:166</t>
        </is>
      </c>
      <c r="AQ350" t="n">
        <v>2</v>
      </c>
    </row>
    <row r="351">
      <c r="A351" s="203">
        <f>ROW()-1</f>
        <v/>
      </c>
      <c r="B351" s="133" t="n"/>
      <c r="C351" s="313" t="inlineStr">
        <is>
          <t>RL7-MLT-106-PB-05</t>
        </is>
      </c>
      <c r="D351" s="264" t="inlineStr">
        <is>
          <t>PB505161</t>
        </is>
      </c>
      <c r="E351" s="133" t="inlineStr">
        <is>
          <t>OS7C</t>
        </is>
      </c>
      <c r="F351" s="141" t="inlineStr">
        <is>
          <t>PRE-MIXER COLUMN DUMPER ENTRY REQUEST PB</t>
        </is>
      </c>
      <c r="G351" s="142" t="inlineStr">
        <is>
          <t>DG7012</t>
        </is>
      </c>
      <c r="H351" s="133" t="inlineStr">
        <is>
          <t>PROC</t>
        </is>
      </c>
      <c r="I351" s="142" t="inlineStr">
        <is>
          <t>RL7-PRM-RIO1</t>
        </is>
      </c>
      <c r="J351" s="133" t="n">
        <v>10</v>
      </c>
      <c r="K351" s="129" t="n">
        <v>5</v>
      </c>
      <c r="L351" s="129" t="n">
        <v>0</v>
      </c>
      <c r="M351" s="129" t="inlineStr">
        <is>
          <t>24 VDC SI</t>
        </is>
      </c>
      <c r="N351" s="129" t="inlineStr">
        <is>
          <t>5069-IB8S</t>
        </is>
      </c>
      <c r="O351" s="146" t="n"/>
      <c r="P351" s="146" t="n"/>
      <c r="Q351" s="146" t="n"/>
      <c r="R351" s="146" t="n"/>
      <c r="S351" s="146" t="n"/>
      <c r="T351" s="146" t="n"/>
      <c r="U351" s="146" t="n"/>
      <c r="V351" s="146" t="n"/>
      <c r="W351" s="146" t="n"/>
      <c r="X351" s="146" t="n"/>
      <c r="Y351" s="146" t="n"/>
      <c r="Z351" s="143" t="n"/>
      <c r="AA351" t="inlineStr">
        <is>
          <t>Not found in PDF</t>
        </is>
      </c>
      <c r="AC351" t="inlineStr">
        <is>
          <t>Low</t>
        </is>
      </c>
      <c r="AM351" t="inlineStr">
        <is>
          <t>11</t>
        </is>
      </c>
      <c r="AN351" t="inlineStr">
        <is>
          <t>Yes</t>
        </is>
      </c>
      <c r="AO351" t="inlineStr">
        <is>
          <t>mapped sheet id</t>
        </is>
      </c>
    </row>
    <row r="352">
      <c r="A352" s="203">
        <f>ROW()-1</f>
        <v/>
      </c>
      <c r="B352" s="133" t="n"/>
      <c r="C352" s="313" t="inlineStr">
        <is>
          <t>RL7-MLT-106-PB-06</t>
        </is>
      </c>
      <c r="D352" s="264" t="inlineStr">
        <is>
          <t>PB505191</t>
        </is>
      </c>
      <c r="E352" s="133" t="inlineStr">
        <is>
          <t>OS7C</t>
        </is>
      </c>
      <c r="F352" s="141" t="inlineStr">
        <is>
          <t>PRE-MIXER COLUMN DUMPER RESET GATE LOCK PB</t>
        </is>
      </c>
      <c r="G352" s="142" t="inlineStr">
        <is>
          <t>DG7012</t>
        </is>
      </c>
      <c r="H352" s="133" t="inlineStr">
        <is>
          <t>PROC</t>
        </is>
      </c>
      <c r="I352" s="142" t="inlineStr">
        <is>
          <t>RL7-PRM-RIO1</t>
        </is>
      </c>
      <c r="J352" s="133" t="n">
        <v>10</v>
      </c>
      <c r="K352" s="129" t="n">
        <v>5</v>
      </c>
      <c r="L352" s="129" t="n">
        <v>1</v>
      </c>
      <c r="M352" s="129" t="inlineStr">
        <is>
          <t>24 VDC SI</t>
        </is>
      </c>
      <c r="N352" s="129" t="inlineStr">
        <is>
          <t>5069-IB8S</t>
        </is>
      </c>
      <c r="O352" s="146" t="n"/>
      <c r="P352" s="146" t="n"/>
      <c r="Q352" s="146" t="n"/>
      <c r="R352" s="146" t="n"/>
      <c r="S352" s="146" t="n"/>
      <c r="T352" s="146" t="n"/>
      <c r="U352" s="146" t="n"/>
      <c r="V352" s="146" t="n"/>
      <c r="W352" s="146" t="n"/>
      <c r="X352" s="146" t="n"/>
      <c r="Y352" s="146" t="n"/>
      <c r="Z352" s="143" t="n"/>
      <c r="AA352" t="inlineStr">
        <is>
          <t>Not found in PDF</t>
        </is>
      </c>
      <c r="AC352" t="inlineStr">
        <is>
          <t>Low</t>
        </is>
      </c>
      <c r="AM352" t="inlineStr">
        <is>
          <t>11</t>
        </is>
      </c>
      <c r="AN352" t="inlineStr">
        <is>
          <t>Yes</t>
        </is>
      </c>
      <c r="AO352" t="inlineStr">
        <is>
          <t>mapped sheet id</t>
        </is>
      </c>
    </row>
    <row r="353">
      <c r="A353" s="203">
        <f>ROW()-1</f>
        <v/>
      </c>
      <c r="B353" s="128" t="inlineStr">
        <is>
          <t>RL7-MLT-106-PBL-01</t>
        </is>
      </c>
      <c r="C353" s="313" t="inlineStr">
        <is>
          <t>RL7-MLT-106-PBL-04</t>
        </is>
      </c>
      <c r="D353" s="262" t="inlineStr">
        <is>
          <t>PB2505011</t>
        </is>
      </c>
      <c r="E353" s="128" t="inlineStr">
        <is>
          <t>JIC3B</t>
        </is>
      </c>
      <c r="F353" s="138" t="inlineStr">
        <is>
          <t>PRE-MIXER COLUMN DUMPER E-STOP PB PILOT LIGHT</t>
        </is>
      </c>
      <c r="G353" s="131" t="inlineStr">
        <is>
          <t>DG7012</t>
        </is>
      </c>
      <c r="H353" s="128" t="inlineStr">
        <is>
          <t>PROC</t>
        </is>
      </c>
      <c r="I353" s="142" t="inlineStr">
        <is>
          <t>RL7-PRM-RIO1</t>
        </is>
      </c>
      <c r="J353" s="133" t="n">
        <v>10</v>
      </c>
      <c r="K353" s="129" t="n">
        <v>9</v>
      </c>
      <c r="L353" s="129" t="n">
        <v>7</v>
      </c>
      <c r="M353" s="129" t="inlineStr">
        <is>
          <t>24 VDC DO</t>
        </is>
      </c>
      <c r="N353" s="129" t="inlineStr">
        <is>
          <t>5069-OB16</t>
        </is>
      </c>
      <c r="O353" s="139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40" t="n"/>
      <c r="AA353" t="inlineStr">
        <is>
          <t>Not found in PDF</t>
        </is>
      </c>
      <c r="AC353" t="inlineStr">
        <is>
          <t>Low</t>
        </is>
      </c>
      <c r="AM353" t="inlineStr">
        <is>
          <t>11</t>
        </is>
      </c>
      <c r="AN353" t="inlineStr">
        <is>
          <t>Yes</t>
        </is>
      </c>
      <c r="AO353" t="inlineStr">
        <is>
          <t>mapped sheet id</t>
        </is>
      </c>
    </row>
    <row r="354">
      <c r="A354" s="203">
        <f>ROW()-1</f>
        <v/>
      </c>
      <c r="B354" s="128" t="inlineStr">
        <is>
          <t>RL7-MLT-106-ZSC-03</t>
        </is>
      </c>
      <c r="C354" s="314" t="inlineStr">
        <is>
          <t>RL7-MLT-106-ZSC-01</t>
        </is>
      </c>
      <c r="D354" s="264" t="inlineStr">
        <is>
          <t>PRS2506111</t>
        </is>
      </c>
      <c r="E354" s="133" t="inlineStr">
        <is>
          <t>JIC3B</t>
        </is>
      </c>
      <c r="F354" s="141" t="inlineStr">
        <is>
          <t>PRE-MIXER COLUMN DUMPER LOWER LIMIT STOP</t>
        </is>
      </c>
      <c r="G354" s="133" t="inlineStr">
        <is>
          <t>DG7012</t>
        </is>
      </c>
      <c r="H354" s="133" t="inlineStr">
        <is>
          <t>PROC</t>
        </is>
      </c>
      <c r="I354" s="142" t="inlineStr">
        <is>
          <t>RL7-PRM-RIO1</t>
        </is>
      </c>
      <c r="J354" s="133" t="n">
        <v>10</v>
      </c>
      <c r="K354" s="129" t="n">
        <v>7</v>
      </c>
      <c r="L354" s="129" t="n">
        <v>6</v>
      </c>
      <c r="M354" s="129" t="inlineStr">
        <is>
          <t>24 VDC DI</t>
        </is>
      </c>
      <c r="N354" s="129" t="inlineStr">
        <is>
          <t>5069-IB16</t>
        </is>
      </c>
      <c r="O354" s="139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40" t="n"/>
      <c r="AA354" t="inlineStr">
        <is>
          <t>Matched</t>
        </is>
      </c>
      <c r="AB354" s="315" t="n">
        <v>0.99</v>
      </c>
      <c r="AC354" t="inlineStr">
        <is>
          <t>High</t>
        </is>
      </c>
      <c r="AD354" t="n">
        <v>1</v>
      </c>
      <c r="AE354" t="inlineStr">
        <is>
          <t>DG7012</t>
        </is>
      </c>
      <c r="AF354" t="n">
        <v>11</v>
      </c>
      <c r="AG354" t="inlineStr">
        <is>
          <t>drawing</t>
        </is>
      </c>
      <c r="AH354" t="inlineStr">
        <is>
          <t>stacked:isa</t>
        </is>
      </c>
      <c r="AI354" t="inlineStr">
        <is>
          <t>drawing zone; process page; mapped sheet; excel sheet match</t>
        </is>
      </c>
      <c r="AJ354" t="inlineStr">
        <is>
          <t>native</t>
        </is>
      </c>
      <c r="AK354" t="inlineStr">
        <is>
          <t>native-only</t>
        </is>
      </c>
      <c r="AM354" t="inlineStr">
        <is>
          <t>11</t>
        </is>
      </c>
      <c r="AN354" t="inlineStr">
        <is>
          <t>Yes</t>
        </is>
      </c>
      <c r="AO354" t="inlineStr">
        <is>
          <t>mapped sheet id</t>
        </is>
      </c>
      <c r="AP354" t="inlineStr">
        <is>
          <t>p11:native:93, p11:native:94</t>
        </is>
      </c>
      <c r="AQ354" t="n">
        <v>2</v>
      </c>
    </row>
    <row r="355">
      <c r="A355" s="203">
        <f>ROW()-1</f>
        <v/>
      </c>
      <c r="B355" s="128" t="inlineStr">
        <is>
          <t>RL7-MLT-106-PB-03</t>
        </is>
      </c>
      <c r="C355" s="314" t="inlineStr">
        <is>
          <t>RL7-MLT-106-ZSC-02</t>
        </is>
      </c>
      <c r="D355" s="264" t="inlineStr">
        <is>
          <t>PRS2506091</t>
        </is>
      </c>
      <c r="E355" s="133" t="inlineStr">
        <is>
          <t>JIC3B</t>
        </is>
      </c>
      <c r="F355" s="141" t="inlineStr">
        <is>
          <t>PRE-MIXER COLUMN DUMPER UPPER LIMIT STOP</t>
        </is>
      </c>
      <c r="G355" s="133" t="inlineStr">
        <is>
          <t>DG7012</t>
        </is>
      </c>
      <c r="H355" s="133" t="inlineStr">
        <is>
          <t>PROC</t>
        </is>
      </c>
      <c r="I355" s="142" t="inlineStr">
        <is>
          <t>RL7-PRM-RIO1</t>
        </is>
      </c>
      <c r="J355" s="133" t="n">
        <v>10</v>
      </c>
      <c r="K355" s="129" t="n">
        <v>7</v>
      </c>
      <c r="L355" s="129" t="n">
        <v>5</v>
      </c>
      <c r="M355" s="129" t="inlineStr">
        <is>
          <t>24 VDC DI</t>
        </is>
      </c>
      <c r="N355" s="129" t="inlineStr">
        <is>
          <t>5069-IB16</t>
        </is>
      </c>
      <c r="O355" s="139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40" t="n"/>
      <c r="AA355" t="inlineStr">
        <is>
          <t>Matched</t>
        </is>
      </c>
      <c r="AB355" s="315" t="n">
        <v>0.99</v>
      </c>
      <c r="AC355" t="inlineStr">
        <is>
          <t>High</t>
        </is>
      </c>
      <c r="AD355" t="n">
        <v>1</v>
      </c>
      <c r="AE355" t="inlineStr">
        <is>
          <t>DG7012</t>
        </is>
      </c>
      <c r="AF355" t="n">
        <v>11</v>
      </c>
      <c r="AG355" t="inlineStr">
        <is>
          <t>drawing</t>
        </is>
      </c>
      <c r="AH355" t="inlineStr">
        <is>
          <t>stacked:isa</t>
        </is>
      </c>
      <c r="AI355" t="inlineStr">
        <is>
          <t>drawing zone; process page; mapped sheet; excel sheet match</t>
        </is>
      </c>
      <c r="AJ355" t="inlineStr">
        <is>
          <t>native</t>
        </is>
      </c>
      <c r="AK355" t="inlineStr">
        <is>
          <t>native-only</t>
        </is>
      </c>
      <c r="AM355" t="inlineStr">
        <is>
          <t>11</t>
        </is>
      </c>
      <c r="AN355" t="inlineStr">
        <is>
          <t>Yes</t>
        </is>
      </c>
      <c r="AO355" t="inlineStr">
        <is>
          <t>mapped sheet id</t>
        </is>
      </c>
      <c r="AP355" t="inlineStr">
        <is>
          <t>p11:native:95, p11:native:96</t>
        </is>
      </c>
      <c r="AQ355" t="n">
        <v>2</v>
      </c>
    </row>
    <row r="356">
      <c r="A356" s="203">
        <f>ROW()-1</f>
        <v/>
      </c>
      <c r="B356" s="128" t="inlineStr">
        <is>
          <t>RL7-MLT-106-PB-02</t>
        </is>
      </c>
      <c r="C356" s="314" t="inlineStr">
        <is>
          <t>RL7-MLT-106-ZSC-03</t>
        </is>
      </c>
      <c r="D356" s="264" t="inlineStr">
        <is>
          <t>PRS2506071</t>
        </is>
      </c>
      <c r="E356" s="133" t="inlineStr">
        <is>
          <t>JIC3B</t>
        </is>
      </c>
      <c r="F356" s="141" t="inlineStr">
        <is>
          <t>PRE-MIXER COLUMN DUMPER OVER TRAVEL LIMIT</t>
        </is>
      </c>
      <c r="G356" s="133" t="inlineStr">
        <is>
          <t>DG7012</t>
        </is>
      </c>
      <c r="H356" s="133" t="inlineStr">
        <is>
          <t>PROC</t>
        </is>
      </c>
      <c r="I356" s="142" t="inlineStr">
        <is>
          <t>RL7-PRM-RIO1</t>
        </is>
      </c>
      <c r="J356" s="133" t="n">
        <v>10</v>
      </c>
      <c r="K356" s="129" t="n">
        <v>7</v>
      </c>
      <c r="L356" s="129" t="n">
        <v>4</v>
      </c>
      <c r="M356" s="129" t="inlineStr">
        <is>
          <t>24 VDC DI</t>
        </is>
      </c>
      <c r="N356" s="129" t="inlineStr">
        <is>
          <t>5069-IB16</t>
        </is>
      </c>
      <c r="O356" s="139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40" t="n"/>
      <c r="AA356" t="inlineStr">
        <is>
          <t>Matched</t>
        </is>
      </c>
      <c r="AB356" s="315" t="n">
        <v>0.99</v>
      </c>
      <c r="AC356" t="inlineStr">
        <is>
          <t>High</t>
        </is>
      </c>
      <c r="AD356" t="n">
        <v>1</v>
      </c>
      <c r="AE356" t="inlineStr">
        <is>
          <t>DG7012</t>
        </is>
      </c>
      <c r="AF356" t="n">
        <v>11</v>
      </c>
      <c r="AG356" t="inlineStr">
        <is>
          <t>drawing</t>
        </is>
      </c>
      <c r="AH356" t="inlineStr">
        <is>
          <t>stacked:isa</t>
        </is>
      </c>
      <c r="AI356" t="inlineStr">
        <is>
          <t>drawing zone; process page; mapped sheet; excel sheet match</t>
        </is>
      </c>
      <c r="AJ356" t="inlineStr">
        <is>
          <t>native</t>
        </is>
      </c>
      <c r="AK356" t="inlineStr">
        <is>
          <t>native-only</t>
        </is>
      </c>
      <c r="AM356" t="inlineStr">
        <is>
          <t>11</t>
        </is>
      </c>
      <c r="AN356" t="inlineStr">
        <is>
          <t>Yes</t>
        </is>
      </c>
      <c r="AO356" t="inlineStr">
        <is>
          <t>mapped sheet id</t>
        </is>
      </c>
      <c r="AP356" t="inlineStr">
        <is>
          <t>p11:native:97, p11:native:98</t>
        </is>
      </c>
      <c r="AQ356" t="n">
        <v>2</v>
      </c>
    </row>
    <row r="357">
      <c r="A357" s="203">
        <f>ROW()-1</f>
        <v/>
      </c>
      <c r="B357" s="133" t="n"/>
      <c r="C357" s="313" t="inlineStr">
        <is>
          <t>RL7-MLT-106-ZSS-04</t>
        </is>
      </c>
      <c r="D357" s="264" t="inlineStr">
        <is>
          <t>PRS306021</t>
        </is>
      </c>
      <c r="E357" s="133" t="inlineStr">
        <is>
          <t>OS9A/JIC9B</t>
        </is>
      </c>
      <c r="F357" s="141" t="inlineStr">
        <is>
          <t>PRE-MIXER COLUMN DUMPER IN DOWN POSITION SAFETY INPUT 1</t>
        </is>
      </c>
      <c r="G357" s="142" t="inlineStr">
        <is>
          <t>DG7012</t>
        </is>
      </c>
      <c r="H357" s="133" t="inlineStr">
        <is>
          <t>PROC</t>
        </is>
      </c>
      <c r="I357" s="142" t="inlineStr">
        <is>
          <t>RL7-PRM-RIO1</t>
        </is>
      </c>
      <c r="J357" s="133" t="n">
        <v>10</v>
      </c>
      <c r="K357" s="129" t="n">
        <v>5</v>
      </c>
      <c r="L357" s="129" t="n">
        <v>2</v>
      </c>
      <c r="M357" s="129" t="inlineStr">
        <is>
          <t>24 VDC SI</t>
        </is>
      </c>
      <c r="N357" s="129" t="inlineStr">
        <is>
          <t>5069-IB8S</t>
        </is>
      </c>
      <c r="O357" s="146" t="n"/>
      <c r="P357" s="146" t="n"/>
      <c r="Q357" s="146" t="n"/>
      <c r="R357" s="146" t="n"/>
      <c r="S357" s="146" t="n"/>
      <c r="T357" s="146" t="n"/>
      <c r="U357" s="146" t="n"/>
      <c r="V357" s="146" t="n"/>
      <c r="W357" s="146" t="n"/>
      <c r="X357" s="146" t="n"/>
      <c r="Y357" s="146" t="n"/>
      <c r="Z357" s="143" t="n"/>
      <c r="AA357" t="inlineStr">
        <is>
          <t>Matched - same-page inference</t>
        </is>
      </c>
      <c r="AB357" s="315" t="n">
        <v>0.77</v>
      </c>
      <c r="AC357" t="inlineStr">
        <is>
          <t>Medium</t>
        </is>
      </c>
      <c r="AD357" t="n">
        <v>1</v>
      </c>
      <c r="AE357" t="inlineStr">
        <is>
          <t>DG7012</t>
        </is>
      </c>
      <c r="AF357" t="n">
        <v>11</v>
      </c>
      <c r="AG357" t="inlineStr">
        <is>
          <t>drawing</t>
        </is>
      </c>
      <c r="AH357" t="inlineStr">
        <is>
          <t>samepage:root+comp</t>
        </is>
      </c>
      <c r="AI357" t="inlineStr">
        <is>
          <t>same-page inference: root and component detected separately on the same PDF page; pairing synthesized.; excel sheet match</t>
        </is>
      </c>
      <c r="AJ357" t="inlineStr">
        <is>
          <t>native</t>
        </is>
      </c>
      <c r="AK357" t="inlineStr">
        <is>
          <t>native-only</t>
        </is>
      </c>
      <c r="AM357" t="inlineStr">
        <is>
          <t>11</t>
        </is>
      </c>
      <c r="AN357" t="inlineStr">
        <is>
          <t>Yes</t>
        </is>
      </c>
      <c r="AO357" t="inlineStr">
        <is>
          <t>mapped sheet id</t>
        </is>
      </c>
      <c r="AP357" t="inlineStr">
        <is>
          <t>p11:native:145, p11:native:146</t>
        </is>
      </c>
      <c r="AQ357" t="n">
        <v>2</v>
      </c>
    </row>
    <row r="358">
      <c r="A358" s="203">
        <f>ROW()-1</f>
        <v/>
      </c>
      <c r="B358" s="133" t="n"/>
      <c r="C358" s="313" t="inlineStr">
        <is>
          <t>RL7-MLT-106-ZSS-04</t>
        </is>
      </c>
      <c r="D358" s="264" t="inlineStr">
        <is>
          <t>PRS306021</t>
        </is>
      </c>
      <c r="E358" s="133" t="inlineStr">
        <is>
          <t>OS9A/JIC9B</t>
        </is>
      </c>
      <c r="F358" s="141" t="inlineStr">
        <is>
          <t>PRE-MIXER COLUMN DUMPER IN DOWN POSITION SAFETY INPUT 2</t>
        </is>
      </c>
      <c r="G358" s="142" t="inlineStr">
        <is>
          <t>DG7012</t>
        </is>
      </c>
      <c r="H358" s="133" t="inlineStr">
        <is>
          <t>PROC</t>
        </is>
      </c>
      <c r="I358" s="142" t="inlineStr">
        <is>
          <t>RL7-PRM-RIO1</t>
        </is>
      </c>
      <c r="J358" s="133" t="n">
        <v>10</v>
      </c>
      <c r="K358" s="129" t="n">
        <v>5</v>
      </c>
      <c r="L358" s="129" t="n">
        <v>3</v>
      </c>
      <c r="M358" s="129" t="inlineStr">
        <is>
          <t>24 VDC SI</t>
        </is>
      </c>
      <c r="N358" s="129" t="inlineStr">
        <is>
          <t>5069-IB8S</t>
        </is>
      </c>
      <c r="O358" s="146" t="n"/>
      <c r="P358" s="146" t="n"/>
      <c r="Q358" s="146" t="n"/>
      <c r="R358" s="146" t="n"/>
      <c r="S358" s="146" t="n"/>
      <c r="T358" s="146" t="n"/>
      <c r="U358" s="146" t="n"/>
      <c r="V358" s="146" t="n"/>
      <c r="W358" s="146" t="n"/>
      <c r="X358" s="146" t="n"/>
      <c r="Y358" s="146" t="n"/>
      <c r="Z358" s="143" t="n"/>
      <c r="AA358" t="inlineStr">
        <is>
          <t>Matched - same-page inference</t>
        </is>
      </c>
      <c r="AB358" s="315" t="n">
        <v>0.77</v>
      </c>
      <c r="AC358" t="inlineStr">
        <is>
          <t>Medium</t>
        </is>
      </c>
      <c r="AD358" t="n">
        <v>1</v>
      </c>
      <c r="AE358" t="inlineStr">
        <is>
          <t>DG7012</t>
        </is>
      </c>
      <c r="AF358" t="n">
        <v>11</v>
      </c>
      <c r="AG358" t="inlineStr">
        <is>
          <t>drawing</t>
        </is>
      </c>
      <c r="AH358" t="inlineStr">
        <is>
          <t>samepage:root+comp</t>
        </is>
      </c>
      <c r="AI358" t="inlineStr">
        <is>
          <t>same-page inference: root and component detected separately on the same PDF page; pairing synthesized.; excel sheet match</t>
        </is>
      </c>
      <c r="AJ358" t="inlineStr">
        <is>
          <t>native</t>
        </is>
      </c>
      <c r="AK358" t="inlineStr">
        <is>
          <t>native-only</t>
        </is>
      </c>
      <c r="AM358" t="inlineStr">
        <is>
          <t>11</t>
        </is>
      </c>
      <c r="AN358" t="inlineStr">
        <is>
          <t>Yes</t>
        </is>
      </c>
      <c r="AO358" t="inlineStr">
        <is>
          <t>mapped sheet id</t>
        </is>
      </c>
      <c r="AP358" t="inlineStr">
        <is>
          <t>p11:native:145, p11:native:146</t>
        </is>
      </c>
      <c r="AQ358" t="n">
        <v>2</v>
      </c>
    </row>
    <row r="359">
      <c r="A359" s="203">
        <f>ROW()-1</f>
        <v/>
      </c>
      <c r="B359" s="133" t="n"/>
      <c r="C359" s="313" t="inlineStr">
        <is>
          <t>RL7-MLT-106-ZSS-05</t>
        </is>
      </c>
      <c r="D359" s="264" t="inlineStr">
        <is>
          <t>PRS306021</t>
        </is>
      </c>
      <c r="E359" s="133" t="inlineStr">
        <is>
          <t>OS9A/JIC9B</t>
        </is>
      </c>
      <c r="F359" s="141" t="inlineStr">
        <is>
          <t>PRE-MIXER COLUMN DUMPER SAFETY GATE ACTIVE SAFETY INPUT 1</t>
        </is>
      </c>
      <c r="G359" s="142" t="inlineStr">
        <is>
          <t>DG7012</t>
        </is>
      </c>
      <c r="H359" s="133" t="inlineStr">
        <is>
          <t>PROC</t>
        </is>
      </c>
      <c r="I359" s="142" t="inlineStr">
        <is>
          <t>RL7-PRM-RIO1</t>
        </is>
      </c>
      <c r="J359" s="133" t="n">
        <v>10</v>
      </c>
      <c r="K359" s="129" t="n">
        <v>5</v>
      </c>
      <c r="L359" s="129" t="n">
        <v>4</v>
      </c>
      <c r="M359" s="129" t="inlineStr">
        <is>
          <t>24 VDC SI</t>
        </is>
      </c>
      <c r="N359" s="129" t="inlineStr">
        <is>
          <t>5069-IB8S</t>
        </is>
      </c>
      <c r="O359" s="146" t="n"/>
      <c r="P359" s="146" t="n"/>
      <c r="Q359" s="146" t="n"/>
      <c r="R359" s="146" t="n"/>
      <c r="S359" s="146" t="n"/>
      <c r="T359" s="146" t="n"/>
      <c r="U359" s="146" t="n"/>
      <c r="V359" s="146" t="n"/>
      <c r="W359" s="146" t="n"/>
      <c r="X359" s="146" t="n"/>
      <c r="Y359" s="146" t="n"/>
      <c r="Z359" s="143" t="n"/>
      <c r="AA359" t="inlineStr">
        <is>
          <t>Not found in PDF</t>
        </is>
      </c>
      <c r="AC359" t="inlineStr">
        <is>
          <t>Low</t>
        </is>
      </c>
      <c r="AM359" t="inlineStr">
        <is>
          <t>11</t>
        </is>
      </c>
      <c r="AN359" t="inlineStr">
        <is>
          <t>Yes</t>
        </is>
      </c>
      <c r="AO359" t="inlineStr">
        <is>
          <t>mapped sheet id</t>
        </is>
      </c>
    </row>
    <row r="360">
      <c r="A360" s="203">
        <f>ROW()-1</f>
        <v/>
      </c>
      <c r="B360" s="133" t="n"/>
      <c r="C360" s="313" t="inlineStr">
        <is>
          <t>RL7-MLT-106-ZSS-05</t>
        </is>
      </c>
      <c r="D360" s="264" t="inlineStr">
        <is>
          <t>PRS306021</t>
        </is>
      </c>
      <c r="E360" s="133" t="inlineStr">
        <is>
          <t>OS9A/JIC9B</t>
        </is>
      </c>
      <c r="F360" s="141" t="inlineStr">
        <is>
          <t>PRE-MIXER COLUMN DUMPER SAFETY GATE ACTIVE SAFETY INPUT 2</t>
        </is>
      </c>
      <c r="G360" s="142" t="inlineStr">
        <is>
          <t>DG7012</t>
        </is>
      </c>
      <c r="H360" s="133" t="inlineStr">
        <is>
          <t>PROC</t>
        </is>
      </c>
      <c r="I360" s="142" t="inlineStr">
        <is>
          <t>RL7-PRM-RIO1</t>
        </is>
      </c>
      <c r="J360" s="133" t="n">
        <v>10</v>
      </c>
      <c r="K360" s="129" t="n">
        <v>5</v>
      </c>
      <c r="L360" s="129" t="n">
        <v>5</v>
      </c>
      <c r="M360" s="129" t="inlineStr">
        <is>
          <t>24 VDC SI</t>
        </is>
      </c>
      <c r="N360" s="129" t="inlineStr">
        <is>
          <t>5069-IB8S</t>
        </is>
      </c>
      <c r="O360" s="146" t="n"/>
      <c r="P360" s="146" t="n"/>
      <c r="Q360" s="146" t="n"/>
      <c r="R360" s="146" t="n"/>
      <c r="S360" s="146" t="n"/>
      <c r="T360" s="146" t="n"/>
      <c r="U360" s="146" t="n"/>
      <c r="V360" s="146" t="n"/>
      <c r="W360" s="146" t="n"/>
      <c r="X360" s="146" t="n"/>
      <c r="Y360" s="146" t="n"/>
      <c r="Z360" s="143" t="n"/>
      <c r="AA360" t="inlineStr">
        <is>
          <t>Not found in PDF</t>
        </is>
      </c>
      <c r="AC360" t="inlineStr">
        <is>
          <t>Low</t>
        </is>
      </c>
      <c r="AM360" t="inlineStr">
        <is>
          <t>11</t>
        </is>
      </c>
      <c r="AN360" t="inlineStr">
        <is>
          <t>Yes</t>
        </is>
      </c>
      <c r="AO360" t="inlineStr">
        <is>
          <t>mapped sheet id</t>
        </is>
      </c>
    </row>
    <row r="361">
      <c r="A361" s="203">
        <f>ROW()-1</f>
        <v/>
      </c>
      <c r="B361" s="128" t="n"/>
      <c r="C361" s="314" t="inlineStr">
        <is>
          <t>RL7-PRM-101-FCV-01</t>
        </is>
      </c>
      <c r="D361" s="264" t="n"/>
      <c r="E361" s="133" t="n"/>
      <c r="F361" s="141" t="inlineStr">
        <is>
          <t>PRE-MIXER CIPS FLOW CONTROL VALVE</t>
        </is>
      </c>
      <c r="G361" s="133" t="inlineStr">
        <is>
          <t>DG7012</t>
        </is>
      </c>
      <c r="H361" s="133" t="inlineStr">
        <is>
          <t>PROC</t>
        </is>
      </c>
      <c r="I361" s="142" t="inlineStr">
        <is>
          <t>RL7-PRM-RIO1</t>
        </is>
      </c>
      <c r="J361" s="133" t="n">
        <v>10</v>
      </c>
      <c r="K361" s="133" t="n">
        <v>11</v>
      </c>
      <c r="L361" s="133" t="n">
        <v>0</v>
      </c>
      <c r="M361" s="129" t="inlineStr">
        <is>
          <t>4-20 mA AO</t>
        </is>
      </c>
      <c r="N361" s="129" t="inlineStr">
        <is>
          <t>5069-OF8</t>
        </is>
      </c>
      <c r="O361" s="139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40" t="n"/>
      <c r="AA361" t="inlineStr">
        <is>
          <t>Matched</t>
        </is>
      </c>
      <c r="AB361" s="315" t="n">
        <v>0.99</v>
      </c>
      <c r="AC361" t="inlineStr">
        <is>
          <t>High</t>
        </is>
      </c>
      <c r="AD361" t="n">
        <v>1</v>
      </c>
      <c r="AE361" t="inlineStr">
        <is>
          <t>DG7012</t>
        </is>
      </c>
      <c r="AF361" t="n">
        <v>11</v>
      </c>
      <c r="AG361" t="inlineStr">
        <is>
          <t>drawing</t>
        </is>
      </c>
      <c r="AH361" t="inlineStr">
        <is>
          <t>stacked:isa</t>
        </is>
      </c>
      <c r="AI361" t="inlineStr">
        <is>
          <t>drawing zone; process page; mapped sheet; excel sheet match</t>
        </is>
      </c>
      <c r="AJ361" t="inlineStr">
        <is>
          <t>native</t>
        </is>
      </c>
      <c r="AK361" t="inlineStr">
        <is>
          <t>native-only</t>
        </is>
      </c>
      <c r="AM361" t="inlineStr">
        <is>
          <t>11</t>
        </is>
      </c>
      <c r="AN361" t="inlineStr">
        <is>
          <t>Yes</t>
        </is>
      </c>
      <c r="AO361" t="inlineStr">
        <is>
          <t>mapped sheet id</t>
        </is>
      </c>
      <c r="AP361" t="inlineStr">
        <is>
          <t>p11:native:219, p11:native:220</t>
        </is>
      </c>
      <c r="AQ361" t="n">
        <v>2</v>
      </c>
    </row>
    <row r="362">
      <c r="A362" s="203">
        <f>ROW()-1</f>
        <v/>
      </c>
      <c r="B362" s="128" t="inlineStr">
        <is>
          <t>RL7-AGC-201-TIT-01</t>
        </is>
      </c>
      <c r="C362" s="314" t="inlineStr">
        <is>
          <t>RL7-PRM-101-FIT-01</t>
        </is>
      </c>
      <c r="D362" s="264" t="n"/>
      <c r="E362" s="133" t="n"/>
      <c r="F362" s="141" t="inlineStr">
        <is>
          <t>PRE-MIXER CIPS FLOW</t>
        </is>
      </c>
      <c r="G362" s="142" t="inlineStr">
        <is>
          <t>DG7012</t>
        </is>
      </c>
      <c r="H362" s="133" t="inlineStr">
        <is>
          <t>PROC</t>
        </is>
      </c>
      <c r="I362" s="142" t="inlineStr">
        <is>
          <t>RL7-PRM-RIO1</t>
        </is>
      </c>
      <c r="J362" s="133" t="n">
        <v>10</v>
      </c>
      <c r="K362" s="133" t="n">
        <v>10</v>
      </c>
      <c r="L362" s="133" t="n">
        <v>0</v>
      </c>
      <c r="M362" s="129" t="inlineStr">
        <is>
          <t>4-20 mA AI</t>
        </is>
      </c>
      <c r="N362" s="129" t="inlineStr">
        <is>
          <t>5069-IF8</t>
        </is>
      </c>
      <c r="O362" s="139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40" t="n"/>
      <c r="AA362" t="inlineStr">
        <is>
          <t>Matched</t>
        </is>
      </c>
      <c r="AB362" s="315" t="n">
        <v>0.99</v>
      </c>
      <c r="AC362" t="inlineStr">
        <is>
          <t>High</t>
        </is>
      </c>
      <c r="AD362" t="n">
        <v>1</v>
      </c>
      <c r="AE362" t="inlineStr">
        <is>
          <t>DG7012</t>
        </is>
      </c>
      <c r="AF362" t="n">
        <v>11</v>
      </c>
      <c r="AG362" t="inlineStr">
        <is>
          <t>drawing</t>
        </is>
      </c>
      <c r="AH362" t="inlineStr">
        <is>
          <t>stacked:isa</t>
        </is>
      </c>
      <c r="AI362" t="inlineStr">
        <is>
          <t>drawing zone; process page; mapped sheet; excel sheet match</t>
        </is>
      </c>
      <c r="AJ362" t="inlineStr">
        <is>
          <t>native</t>
        </is>
      </c>
      <c r="AK362" t="inlineStr">
        <is>
          <t>native-only</t>
        </is>
      </c>
      <c r="AM362" t="inlineStr">
        <is>
          <t>11</t>
        </is>
      </c>
      <c r="AN362" t="inlineStr">
        <is>
          <t>Yes</t>
        </is>
      </c>
      <c r="AO362" t="inlineStr">
        <is>
          <t>mapped sheet id</t>
        </is>
      </c>
      <c r="AP362" t="inlineStr">
        <is>
          <t>p11:native:221, p11:native:222</t>
        </is>
      </c>
      <c r="AQ362" t="n">
        <v>2</v>
      </c>
    </row>
    <row r="363">
      <c r="A363" s="203">
        <f>ROW()-1</f>
        <v/>
      </c>
      <c r="B363" s="128" t="inlineStr">
        <is>
          <t>RL7-AGC-201-TIT-02</t>
        </is>
      </c>
      <c r="C363" s="314" t="inlineStr">
        <is>
          <t>RL7-PRM-101-FVI-01</t>
        </is>
      </c>
      <c r="D363" s="264" t="n"/>
      <c r="E363" s="133" t="n"/>
      <c r="F363" s="141" t="inlineStr">
        <is>
          <t>PRE-MIXER CIPS CONTROL VALVE POSITION FEEDBACK</t>
        </is>
      </c>
      <c r="G363" s="133" t="inlineStr">
        <is>
          <t>DG7012</t>
        </is>
      </c>
      <c r="H363" s="133" t="inlineStr">
        <is>
          <t>PROC</t>
        </is>
      </c>
      <c r="I363" s="142" t="inlineStr">
        <is>
          <t>RL7-PRM-RIO1</t>
        </is>
      </c>
      <c r="J363" s="133" t="n">
        <v>10</v>
      </c>
      <c r="K363" s="133" t="n">
        <v>10</v>
      </c>
      <c r="L363" s="133" t="n">
        <v>1</v>
      </c>
      <c r="M363" s="129" t="inlineStr">
        <is>
          <t>4-20 mA AI</t>
        </is>
      </c>
      <c r="N363" s="129" t="inlineStr">
        <is>
          <t>5069-IF8</t>
        </is>
      </c>
      <c r="O363" s="139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40" t="n"/>
      <c r="AA363" t="inlineStr">
        <is>
          <t>Matched</t>
        </is>
      </c>
      <c r="AB363" s="315" t="n">
        <v>0.99</v>
      </c>
      <c r="AC363" t="inlineStr">
        <is>
          <t>High</t>
        </is>
      </c>
      <c r="AD363" t="n">
        <v>1</v>
      </c>
      <c r="AE363" t="inlineStr">
        <is>
          <t>DG7012</t>
        </is>
      </c>
      <c r="AF363" t="n">
        <v>11</v>
      </c>
      <c r="AG363" t="inlineStr">
        <is>
          <t>drawing</t>
        </is>
      </c>
      <c r="AH363" t="inlineStr">
        <is>
          <t>stacked:isa</t>
        </is>
      </c>
      <c r="AI363" t="inlineStr">
        <is>
          <t>drawing zone; process page; mapped sheet; excel sheet match</t>
        </is>
      </c>
      <c r="AJ363" t="inlineStr">
        <is>
          <t>native</t>
        </is>
      </c>
      <c r="AK363" t="inlineStr">
        <is>
          <t>native-only</t>
        </is>
      </c>
      <c r="AM363" t="inlineStr">
        <is>
          <t>11</t>
        </is>
      </c>
      <c r="AN363" t="inlineStr">
        <is>
          <t>Yes</t>
        </is>
      </c>
      <c r="AO363" t="inlineStr">
        <is>
          <t>mapped sheet id</t>
        </is>
      </c>
      <c r="AP363" t="inlineStr">
        <is>
          <t>p11:native:229, p11:native:230</t>
        </is>
      </c>
      <c r="AQ363" t="n">
        <v>2</v>
      </c>
    </row>
    <row r="364">
      <c r="A364" s="203">
        <f>ROW()-1</f>
        <v/>
      </c>
      <c r="B364" s="128" t="inlineStr">
        <is>
          <t>RL7-PRM-101-PB-01</t>
        </is>
      </c>
      <c r="C364" s="314" t="inlineStr">
        <is>
          <t>RL7-PRM-101-PB-01</t>
        </is>
      </c>
      <c r="D364" s="262" t="n"/>
      <c r="E364" s="128" t="n"/>
      <c r="F364" s="138" t="inlineStr">
        <is>
          <t>PRE-MIXER E-STOP PB SAFETY INPUT CH1</t>
        </is>
      </c>
      <c r="G364" s="131" t="inlineStr">
        <is>
          <t>DG7012</t>
        </is>
      </c>
      <c r="H364" s="128" t="inlineStr">
        <is>
          <t>PROC</t>
        </is>
      </c>
      <c r="I364" s="142" t="inlineStr">
        <is>
          <t>RL7-PRM-RIO1</t>
        </is>
      </c>
      <c r="J364" s="133" t="n">
        <v>10</v>
      </c>
      <c r="K364" s="129" t="n">
        <v>4</v>
      </c>
      <c r="L364" s="129" t="n">
        <v>0</v>
      </c>
      <c r="M364" s="129" t="inlineStr">
        <is>
          <t>24 VDC SI</t>
        </is>
      </c>
      <c r="N364" s="129" t="inlineStr">
        <is>
          <t>5069-IB8S</t>
        </is>
      </c>
      <c r="O364" s="139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40" t="n"/>
      <c r="AA364" t="inlineStr">
        <is>
          <t>Matched</t>
        </is>
      </c>
      <c r="AB364" s="315" t="n">
        <v>0.99</v>
      </c>
      <c r="AC364" t="inlineStr">
        <is>
          <t>High</t>
        </is>
      </c>
      <c r="AD364" t="n">
        <v>1</v>
      </c>
      <c r="AE364" t="inlineStr">
        <is>
          <t>DG7012</t>
        </is>
      </c>
      <c r="AF364" t="n">
        <v>11</v>
      </c>
      <c r="AG364" t="inlineStr">
        <is>
          <t>drawing</t>
        </is>
      </c>
      <c r="AH364" t="inlineStr">
        <is>
          <t>stacked:isa</t>
        </is>
      </c>
      <c r="AI364" t="inlineStr">
        <is>
          <t>drawing zone; process page; mapped sheet; excel sheet match</t>
        </is>
      </c>
      <c r="AJ364" t="inlineStr">
        <is>
          <t>native</t>
        </is>
      </c>
      <c r="AK364" t="inlineStr">
        <is>
          <t>native-only</t>
        </is>
      </c>
      <c r="AM364" t="inlineStr">
        <is>
          <t>11</t>
        </is>
      </c>
      <c r="AN364" t="inlineStr">
        <is>
          <t>Yes</t>
        </is>
      </c>
      <c r="AO364" t="inlineStr">
        <is>
          <t>mapped sheet id</t>
        </is>
      </c>
      <c r="AP364" t="inlineStr">
        <is>
          <t>p11:native:211, p11:native:212</t>
        </is>
      </c>
      <c r="AQ364" t="n">
        <v>2</v>
      </c>
    </row>
    <row r="365">
      <c r="A365" s="203">
        <f>ROW()-1</f>
        <v/>
      </c>
      <c r="B365" s="128" t="inlineStr">
        <is>
          <t>RL7-PRM-101-PB-01</t>
        </is>
      </c>
      <c r="C365" s="314" t="inlineStr">
        <is>
          <t>RL7-PRM-101-PB-01</t>
        </is>
      </c>
      <c r="D365" s="262" t="n"/>
      <c r="E365" s="128" t="n"/>
      <c r="F365" s="138" t="inlineStr">
        <is>
          <t>PRE-MIXER E-STOP PB SAFETY INPUT CH2</t>
        </is>
      </c>
      <c r="G365" s="131" t="inlineStr">
        <is>
          <t>DG7012</t>
        </is>
      </c>
      <c r="H365" s="128" t="inlineStr">
        <is>
          <t>PROC</t>
        </is>
      </c>
      <c r="I365" s="142" t="inlineStr">
        <is>
          <t>RL7-PRM-RIO1</t>
        </is>
      </c>
      <c r="J365" s="133" t="n">
        <v>10</v>
      </c>
      <c r="K365" s="129" t="n">
        <v>4</v>
      </c>
      <c r="L365" s="129" t="n">
        <v>1</v>
      </c>
      <c r="M365" s="129" t="inlineStr">
        <is>
          <t>24 VDC SI</t>
        </is>
      </c>
      <c r="N365" s="129" t="inlineStr">
        <is>
          <t>5069-IB8S</t>
        </is>
      </c>
      <c r="O365" s="139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40" t="n"/>
      <c r="AA365" t="inlineStr">
        <is>
          <t>Matched</t>
        </is>
      </c>
      <c r="AB365" s="315" t="n">
        <v>0.99</v>
      </c>
      <c r="AC365" t="inlineStr">
        <is>
          <t>High</t>
        </is>
      </c>
      <c r="AD365" t="n">
        <v>1</v>
      </c>
      <c r="AE365" t="inlineStr">
        <is>
          <t>DG7012</t>
        </is>
      </c>
      <c r="AF365" t="n">
        <v>11</v>
      </c>
      <c r="AG365" t="inlineStr">
        <is>
          <t>drawing</t>
        </is>
      </c>
      <c r="AH365" t="inlineStr">
        <is>
          <t>stacked:isa</t>
        </is>
      </c>
      <c r="AI365" t="inlineStr">
        <is>
          <t>drawing zone; process page; mapped sheet; excel sheet match</t>
        </is>
      </c>
      <c r="AJ365" t="inlineStr">
        <is>
          <t>native</t>
        </is>
      </c>
      <c r="AK365" t="inlineStr">
        <is>
          <t>native-only</t>
        </is>
      </c>
      <c r="AM365" t="inlineStr">
        <is>
          <t>11</t>
        </is>
      </c>
      <c r="AN365" t="inlineStr">
        <is>
          <t>Yes</t>
        </is>
      </c>
      <c r="AO365" t="inlineStr">
        <is>
          <t>mapped sheet id</t>
        </is>
      </c>
      <c r="AP365" t="inlineStr">
        <is>
          <t>p11:native:211, p11:native:212</t>
        </is>
      </c>
      <c r="AQ365" t="n">
        <v>2</v>
      </c>
    </row>
    <row r="366">
      <c r="A366" s="203">
        <f>ROW()-1</f>
        <v/>
      </c>
      <c r="B366" s="128" t="inlineStr">
        <is>
          <t>RL7-PRM-101-PBL-01</t>
        </is>
      </c>
      <c r="C366" s="313" t="inlineStr">
        <is>
          <t>RL7-PRM-101-PBL-01</t>
        </is>
      </c>
      <c r="D366" s="262" t="n"/>
      <c r="E366" s="128" t="n"/>
      <c r="F366" s="138" t="inlineStr">
        <is>
          <t>PRE-MIXER E-STOP PB PILOT LIGHT</t>
        </is>
      </c>
      <c r="G366" s="131" t="inlineStr">
        <is>
          <t>DG7012</t>
        </is>
      </c>
      <c r="H366" s="128" t="inlineStr">
        <is>
          <t>PROC</t>
        </is>
      </c>
      <c r="I366" s="142" t="inlineStr">
        <is>
          <t>RL7-PRM-RIO1</t>
        </is>
      </c>
      <c r="J366" s="133" t="n">
        <v>10</v>
      </c>
      <c r="K366" s="129" t="n">
        <v>9</v>
      </c>
      <c r="L366" s="129" t="n">
        <v>6</v>
      </c>
      <c r="M366" s="129" t="inlineStr">
        <is>
          <t>24 VDC DO</t>
        </is>
      </c>
      <c r="N366" s="129" t="inlineStr">
        <is>
          <t>5069-OB16</t>
        </is>
      </c>
      <c r="O366" s="139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40" t="n"/>
      <c r="AA366" t="inlineStr">
        <is>
          <t>Not found in PDF</t>
        </is>
      </c>
      <c r="AC366" t="inlineStr">
        <is>
          <t>Low</t>
        </is>
      </c>
      <c r="AM366" t="inlineStr">
        <is>
          <t>11</t>
        </is>
      </c>
      <c r="AN366" t="inlineStr">
        <is>
          <t>Yes</t>
        </is>
      </c>
      <c r="AO366" t="inlineStr">
        <is>
          <t>mapped sheet id</t>
        </is>
      </c>
    </row>
    <row r="367">
      <c r="A367" s="203">
        <f>ROW()-1</f>
        <v/>
      </c>
      <c r="B367" s="128" t="inlineStr">
        <is>
          <t>RL7-PRM-101-PSL-01</t>
        </is>
      </c>
      <c r="C367" s="314" t="inlineStr">
        <is>
          <t>RL7-PRM-101-PSL-01</t>
        </is>
      </c>
      <c r="D367" s="262" t="inlineStr">
        <is>
          <t>PRG107011</t>
        </is>
      </c>
      <c r="E367" s="128" t="inlineStr">
        <is>
          <t>JIC2B</t>
        </is>
      </c>
      <c r="F367" s="138" t="inlineStr">
        <is>
          <t>PRE-MIXER PRESSURE REGULATOR</t>
        </is>
      </c>
      <c r="G367" s="131" t="inlineStr">
        <is>
          <t>DG7012</t>
        </is>
      </c>
      <c r="H367" s="128" t="inlineStr">
        <is>
          <t>PROC</t>
        </is>
      </c>
      <c r="I367" s="142" t="inlineStr">
        <is>
          <t>RL7-PRM-RIO1</t>
        </is>
      </c>
      <c r="J367" s="133" t="n">
        <v>10</v>
      </c>
      <c r="K367" s="129" t="n">
        <v>7</v>
      </c>
      <c r="L367" s="129" t="n">
        <v>0</v>
      </c>
      <c r="M367" s="129" t="inlineStr">
        <is>
          <t>24 VDC DI</t>
        </is>
      </c>
      <c r="N367" s="129" t="inlineStr">
        <is>
          <t>5069-IB16</t>
        </is>
      </c>
      <c r="O367" s="139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40" t="n"/>
      <c r="AA367" t="inlineStr">
        <is>
          <t>Matched</t>
        </is>
      </c>
      <c r="AB367" s="315" t="n">
        <v>0.99</v>
      </c>
      <c r="AC367" t="inlineStr">
        <is>
          <t>High</t>
        </is>
      </c>
      <c r="AD367" t="n">
        <v>1</v>
      </c>
      <c r="AE367" t="inlineStr">
        <is>
          <t>DG7012</t>
        </is>
      </c>
      <c r="AF367" t="n">
        <v>11</v>
      </c>
      <c r="AG367" t="inlineStr">
        <is>
          <t>drawing</t>
        </is>
      </c>
      <c r="AH367" t="inlineStr">
        <is>
          <t>stacked:isa</t>
        </is>
      </c>
      <c r="AI367" t="inlineStr">
        <is>
          <t>drawing zone; process page; mapped sheet; excel sheet match</t>
        </is>
      </c>
      <c r="AJ367" t="inlineStr">
        <is>
          <t>native</t>
        </is>
      </c>
      <c r="AK367" t="inlineStr">
        <is>
          <t>native-only</t>
        </is>
      </c>
      <c r="AM367" t="inlineStr">
        <is>
          <t>11</t>
        </is>
      </c>
      <c r="AN367" t="inlineStr">
        <is>
          <t>Yes</t>
        </is>
      </c>
      <c r="AO367" t="inlineStr">
        <is>
          <t>mapped sheet id</t>
        </is>
      </c>
      <c r="AP367" t="inlineStr">
        <is>
          <t>p11:native:279, p11:native:280</t>
        </is>
      </c>
      <c r="AQ367" t="n">
        <v>2</v>
      </c>
    </row>
    <row r="368">
      <c r="A368" s="203">
        <f>ROW()-1</f>
        <v/>
      </c>
      <c r="B368" s="133" t="n"/>
      <c r="C368" s="314" t="inlineStr">
        <is>
          <t>RL7-PRM-101-XV-05</t>
        </is>
      </c>
      <c r="D368" s="264" t="n"/>
      <c r="E368" s="133" t="n"/>
      <c r="F368" s="141" t="inlineStr">
        <is>
          <t>PRE-MIXER CIPS MIX PROOF VALVE OPEN SOLENOID</t>
        </is>
      </c>
      <c r="G368" s="131" t="inlineStr">
        <is>
          <t>DG7012</t>
        </is>
      </c>
      <c r="H368" s="128" t="inlineStr">
        <is>
          <t>PROC</t>
        </is>
      </c>
      <c r="I368" s="142" t="inlineStr">
        <is>
          <t>RL7-PRM-RIO1</t>
        </is>
      </c>
      <c r="J368" s="133" t="n">
        <v>10</v>
      </c>
      <c r="K368" s="129" t="n">
        <v>9</v>
      </c>
      <c r="L368" s="129" t="n">
        <v>14</v>
      </c>
      <c r="M368" s="129" t="inlineStr">
        <is>
          <t>24 VDC DO</t>
        </is>
      </c>
      <c r="N368" s="129" t="inlineStr">
        <is>
          <t>5069-OB16</t>
        </is>
      </c>
      <c r="O368" s="146" t="n"/>
      <c r="P368" s="146" t="n"/>
      <c r="Q368" s="146" t="n"/>
      <c r="R368" s="146" t="n"/>
      <c r="S368" s="146" t="n"/>
      <c r="T368" s="146" t="n"/>
      <c r="U368" s="146" t="n"/>
      <c r="V368" s="146" t="n"/>
      <c r="W368" s="146" t="n"/>
      <c r="X368" s="146" t="n"/>
      <c r="Y368" s="146" t="n"/>
      <c r="Z368" s="143" t="n"/>
      <c r="AA368" t="inlineStr">
        <is>
          <t>Matched</t>
        </is>
      </c>
      <c r="AB368" s="315" t="n">
        <v>0.99</v>
      </c>
      <c r="AC368" t="inlineStr">
        <is>
          <t>High</t>
        </is>
      </c>
      <c r="AD368" t="n">
        <v>1</v>
      </c>
      <c r="AE368" t="inlineStr">
        <is>
          <t>DG7012</t>
        </is>
      </c>
      <c r="AF368" t="n">
        <v>11</v>
      </c>
      <c r="AG368" t="inlineStr">
        <is>
          <t>drawing</t>
        </is>
      </c>
      <c r="AH368" t="inlineStr">
        <is>
          <t>stacked:isa</t>
        </is>
      </c>
      <c r="AI368" t="inlineStr">
        <is>
          <t>drawing zone; process page; mapped sheet; excel sheet match</t>
        </is>
      </c>
      <c r="AJ368" t="inlineStr">
        <is>
          <t>native</t>
        </is>
      </c>
      <c r="AK368" t="inlineStr">
        <is>
          <t>native-only</t>
        </is>
      </c>
      <c r="AM368" t="inlineStr">
        <is>
          <t>11</t>
        </is>
      </c>
      <c r="AN368" t="inlineStr">
        <is>
          <t>Yes</t>
        </is>
      </c>
      <c r="AO368" t="inlineStr">
        <is>
          <t>mapped sheet id</t>
        </is>
      </c>
      <c r="AP368" t="inlineStr">
        <is>
          <t>p11:native:223, p11:native:224</t>
        </is>
      </c>
      <c r="AQ368" t="n">
        <v>2</v>
      </c>
    </row>
    <row r="369">
      <c r="A369" s="203">
        <f>ROW()-1</f>
        <v/>
      </c>
      <c r="B369" s="128" t="inlineStr">
        <is>
          <t>RL7-PRM-101-XV-05</t>
        </is>
      </c>
      <c r="C369" s="314" t="inlineStr">
        <is>
          <t>RL7-PRM-101-XV-05</t>
        </is>
      </c>
      <c r="D369" s="262" t="n"/>
      <c r="E369" s="128" t="n"/>
      <c r="F369" s="138" t="inlineStr">
        <is>
          <t>PRE-MIXER SANITATION VALVE OPEN SOLENOID</t>
        </is>
      </c>
      <c r="G369" s="131" t="inlineStr">
        <is>
          <t>DG7012</t>
        </is>
      </c>
      <c r="H369" s="128" t="inlineStr">
        <is>
          <t>PROC</t>
        </is>
      </c>
      <c r="I369" s="132" t="inlineStr">
        <is>
          <t>RL7-CKR2-RIO1</t>
        </is>
      </c>
      <c r="J369" s="133" t="n">
        <v>13</v>
      </c>
      <c r="K369" s="129" t="n">
        <v>9</v>
      </c>
      <c r="L369" s="129" t="n">
        <v>11</v>
      </c>
      <c r="M369" s="129" t="inlineStr">
        <is>
          <t>24 VDC DO</t>
        </is>
      </c>
      <c r="N369" s="129" t="inlineStr">
        <is>
          <t>5069-OB16</t>
        </is>
      </c>
      <c r="O369" s="139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40" t="n"/>
      <c r="AA369" t="inlineStr">
        <is>
          <t>Matched</t>
        </is>
      </c>
      <c r="AB369" s="315" t="n">
        <v>0.99</v>
      </c>
      <c r="AC369" t="inlineStr">
        <is>
          <t>High</t>
        </is>
      </c>
      <c r="AD369" t="n">
        <v>1</v>
      </c>
      <c r="AE369" t="inlineStr">
        <is>
          <t>DG7012</t>
        </is>
      </c>
      <c r="AF369" t="n">
        <v>11</v>
      </c>
      <c r="AG369" t="inlineStr">
        <is>
          <t>drawing</t>
        </is>
      </c>
      <c r="AH369" t="inlineStr">
        <is>
          <t>stacked:isa</t>
        </is>
      </c>
      <c r="AI369" t="inlineStr">
        <is>
          <t>drawing zone; process page; mapped sheet; excel sheet match</t>
        </is>
      </c>
      <c r="AJ369" t="inlineStr">
        <is>
          <t>native</t>
        </is>
      </c>
      <c r="AK369" t="inlineStr">
        <is>
          <t>native-only</t>
        </is>
      </c>
      <c r="AM369" t="inlineStr">
        <is>
          <t>11</t>
        </is>
      </c>
      <c r="AN369" t="inlineStr">
        <is>
          <t>Yes</t>
        </is>
      </c>
      <c r="AO369" t="inlineStr">
        <is>
          <t>mapped sheet id</t>
        </is>
      </c>
      <c r="AP369" t="inlineStr">
        <is>
          <t>p11:native:223, p11:native:224</t>
        </is>
      </c>
      <c r="AQ369" t="n">
        <v>2</v>
      </c>
    </row>
    <row r="370">
      <c r="A370" s="203">
        <f>ROW()-1</f>
        <v/>
      </c>
      <c r="B370" s="133" t="n"/>
      <c r="C370" s="314" t="inlineStr">
        <is>
          <t>RL7-PRM-101-XV-06</t>
        </is>
      </c>
      <c r="D370" s="264" t="n"/>
      <c r="E370" s="133" t="n"/>
      <c r="F370" s="141" t="inlineStr">
        <is>
          <t xml:space="preserve">PRE-MIXER RAW PRODUCT COOKER 1 FILL VALVE OPEN SOLENOID </t>
        </is>
      </c>
      <c r="G370" s="142" t="inlineStr">
        <is>
          <t>DG7012</t>
        </is>
      </c>
      <c r="H370" s="133" t="inlineStr">
        <is>
          <t>PROC</t>
        </is>
      </c>
      <c r="I370" s="142" t="inlineStr">
        <is>
          <t>RL7-PRM-RIO1</t>
        </is>
      </c>
      <c r="J370" s="133" t="n">
        <v>10</v>
      </c>
      <c r="K370" s="129" t="n">
        <v>9</v>
      </c>
      <c r="L370" s="129" t="n">
        <v>8</v>
      </c>
      <c r="M370" s="129" t="inlineStr">
        <is>
          <t>24 VDC DO</t>
        </is>
      </c>
      <c r="N370" s="129" t="inlineStr">
        <is>
          <t>5069-OB16</t>
        </is>
      </c>
      <c r="O370" s="146" t="n"/>
      <c r="P370" s="146" t="n"/>
      <c r="Q370" s="146" t="n"/>
      <c r="R370" s="146" t="n"/>
      <c r="S370" s="146" t="n"/>
      <c r="T370" s="146" t="n"/>
      <c r="U370" s="146" t="n"/>
      <c r="V370" s="146" t="n"/>
      <c r="W370" s="146" t="n"/>
      <c r="X370" s="146" t="n"/>
      <c r="Y370" s="146" t="n"/>
      <c r="Z370" s="143" t="n"/>
      <c r="AA370" t="inlineStr">
        <is>
          <t>Matched</t>
        </is>
      </c>
      <c r="AB370" s="315" t="n">
        <v>0.99</v>
      </c>
      <c r="AC370" t="inlineStr">
        <is>
          <t>High</t>
        </is>
      </c>
      <c r="AD370" t="n">
        <v>1</v>
      </c>
      <c r="AE370" t="inlineStr">
        <is>
          <t>DG7012</t>
        </is>
      </c>
      <c r="AF370" t="n">
        <v>11</v>
      </c>
      <c r="AG370" t="inlineStr">
        <is>
          <t>drawing</t>
        </is>
      </c>
      <c r="AH370" t="inlineStr">
        <is>
          <t>stacked:isa</t>
        </is>
      </c>
      <c r="AI370" t="inlineStr">
        <is>
          <t>drawing zone; process page; mapped sheet; excel sheet match</t>
        </is>
      </c>
      <c r="AJ370" t="inlineStr">
        <is>
          <t>native</t>
        </is>
      </c>
      <c r="AK370" t="inlineStr">
        <is>
          <t>native-only</t>
        </is>
      </c>
      <c r="AM370" t="inlineStr">
        <is>
          <t>11</t>
        </is>
      </c>
      <c r="AN370" t="inlineStr">
        <is>
          <t>Yes</t>
        </is>
      </c>
      <c r="AO370" t="inlineStr">
        <is>
          <t>mapped sheet id</t>
        </is>
      </c>
      <c r="AP370" t="inlineStr">
        <is>
          <t>p11:native:232, p11:native:233</t>
        </is>
      </c>
      <c r="AQ370" t="n">
        <v>2</v>
      </c>
    </row>
    <row r="371">
      <c r="A371" s="203">
        <f>ROW()-1</f>
        <v/>
      </c>
      <c r="B371" s="133" t="n"/>
      <c r="C371" s="314" t="inlineStr">
        <is>
          <t>RL7-PRM-101-XV-07</t>
        </is>
      </c>
      <c r="D371" s="264" t="n"/>
      <c r="E371" s="133" t="n"/>
      <c r="F371" s="141" t="inlineStr">
        <is>
          <t xml:space="preserve">PRE-MIXER RAW PRODUCT COOKER 2 FILL VALVE OPEN SOLENOID </t>
        </is>
      </c>
      <c r="G371" s="142" t="inlineStr">
        <is>
          <t>DG7012</t>
        </is>
      </c>
      <c r="H371" s="133" t="inlineStr">
        <is>
          <t>PROC</t>
        </is>
      </c>
      <c r="I371" s="142" t="inlineStr">
        <is>
          <t>RL7-PRM-RIO1</t>
        </is>
      </c>
      <c r="J371" s="133" t="n">
        <v>10</v>
      </c>
      <c r="K371" s="129" t="n">
        <v>9</v>
      </c>
      <c r="L371" s="129" t="n">
        <v>9</v>
      </c>
      <c r="M371" s="129" t="inlineStr">
        <is>
          <t>24 VDC DO</t>
        </is>
      </c>
      <c r="N371" s="129" t="inlineStr">
        <is>
          <t>5069-OB16</t>
        </is>
      </c>
      <c r="O371" s="146" t="n"/>
      <c r="P371" s="146" t="n"/>
      <c r="Q371" s="146" t="n"/>
      <c r="R371" s="146" t="n"/>
      <c r="S371" s="146" t="n"/>
      <c r="T371" s="146" t="n"/>
      <c r="U371" s="146" t="n"/>
      <c r="V371" s="146" t="n"/>
      <c r="W371" s="146" t="n"/>
      <c r="X371" s="146" t="n"/>
      <c r="Y371" s="146" t="n"/>
      <c r="Z371" s="143" t="n"/>
      <c r="AA371" t="inlineStr">
        <is>
          <t>Matched</t>
        </is>
      </c>
      <c r="AB371" s="315" t="n">
        <v>0.99</v>
      </c>
      <c r="AC371" t="inlineStr">
        <is>
          <t>High</t>
        </is>
      </c>
      <c r="AD371" t="n">
        <v>1</v>
      </c>
      <c r="AE371" t="inlineStr">
        <is>
          <t>DG7012</t>
        </is>
      </c>
      <c r="AF371" t="n">
        <v>11</v>
      </c>
      <c r="AG371" t="inlineStr">
        <is>
          <t>drawing</t>
        </is>
      </c>
      <c r="AH371" t="inlineStr">
        <is>
          <t>stacked:isa</t>
        </is>
      </c>
      <c r="AI371" t="inlineStr">
        <is>
          <t>drawing zone; process page; mapped sheet; excel sheet match</t>
        </is>
      </c>
      <c r="AJ371" t="inlineStr">
        <is>
          <t>native</t>
        </is>
      </c>
      <c r="AK371" t="inlineStr">
        <is>
          <t>native-only</t>
        </is>
      </c>
      <c r="AM371" t="inlineStr">
        <is>
          <t>11</t>
        </is>
      </c>
      <c r="AN371" t="inlineStr">
        <is>
          <t>Yes</t>
        </is>
      </c>
      <c r="AO371" t="inlineStr">
        <is>
          <t>mapped sheet id</t>
        </is>
      </c>
      <c r="AP371" t="inlineStr">
        <is>
          <t>p11:native:238, p11:native:239</t>
        </is>
      </c>
      <c r="AQ371" t="n">
        <v>2</v>
      </c>
    </row>
    <row r="372">
      <c r="A372" s="203">
        <f>ROW()-1</f>
        <v/>
      </c>
      <c r="B372" s="133" t="n"/>
      <c r="C372" s="314" t="inlineStr">
        <is>
          <t>RL7-PRM-101-XV-08</t>
        </is>
      </c>
      <c r="D372" s="264" t="n"/>
      <c r="E372" s="133" t="n"/>
      <c r="F372" s="141" t="inlineStr">
        <is>
          <t>PRE-MIXER GUM / CIP SUPPLY MIX PROOF VALVE OPEN SOLENOID</t>
        </is>
      </c>
      <c r="G372" s="142" t="inlineStr">
        <is>
          <t>DG7012</t>
        </is>
      </c>
      <c r="H372" s="133" t="inlineStr">
        <is>
          <t>PROC</t>
        </is>
      </c>
      <c r="I372" s="142" t="inlineStr">
        <is>
          <t>RL7-PRM-RIO1</t>
        </is>
      </c>
      <c r="J372" s="133" t="n">
        <v>10</v>
      </c>
      <c r="K372" s="129" t="n">
        <v>9</v>
      </c>
      <c r="L372" s="129" t="n">
        <v>10</v>
      </c>
      <c r="M372" s="129" t="inlineStr">
        <is>
          <t>24 VDC DO</t>
        </is>
      </c>
      <c r="N372" s="129" t="inlineStr">
        <is>
          <t>5069-OB16</t>
        </is>
      </c>
      <c r="O372" s="146" t="n"/>
      <c r="P372" s="146" t="n"/>
      <c r="Q372" s="146" t="n"/>
      <c r="R372" s="146" t="n"/>
      <c r="S372" s="146" t="n"/>
      <c r="T372" s="146" t="n"/>
      <c r="U372" s="146" t="n"/>
      <c r="V372" s="146" t="n"/>
      <c r="W372" s="146" t="n"/>
      <c r="X372" s="146" t="n"/>
      <c r="Y372" s="146" t="n"/>
      <c r="Z372" s="143" t="n"/>
      <c r="AA372" t="inlineStr">
        <is>
          <t>Matched</t>
        </is>
      </c>
      <c r="AB372" s="315" t="n">
        <v>0.99</v>
      </c>
      <c r="AC372" t="inlineStr">
        <is>
          <t>High</t>
        </is>
      </c>
      <c r="AD372" t="n">
        <v>1</v>
      </c>
      <c r="AE372" t="inlineStr">
        <is>
          <t>DG7012</t>
        </is>
      </c>
      <c r="AF372" t="n">
        <v>11</v>
      </c>
      <c r="AG372" t="inlineStr">
        <is>
          <t>drawing</t>
        </is>
      </c>
      <c r="AH372" t="inlineStr">
        <is>
          <t>stacked:isa</t>
        </is>
      </c>
      <c r="AI372" t="inlineStr">
        <is>
          <t>drawing zone; process page; mapped sheet; excel sheet match</t>
        </is>
      </c>
      <c r="AJ372" t="inlineStr">
        <is>
          <t>native</t>
        </is>
      </c>
      <c r="AK372" t="inlineStr">
        <is>
          <t>native-only</t>
        </is>
      </c>
      <c r="AM372" t="inlineStr">
        <is>
          <t>11</t>
        </is>
      </c>
      <c r="AN372" t="inlineStr">
        <is>
          <t>Yes</t>
        </is>
      </c>
      <c r="AO372" t="inlineStr">
        <is>
          <t>mapped sheet id</t>
        </is>
      </c>
      <c r="AP372" t="inlineStr">
        <is>
          <t>p11:native:262, p11:native:263</t>
        </is>
      </c>
      <c r="AQ372" t="n">
        <v>2</v>
      </c>
    </row>
    <row r="373">
      <c r="A373" s="203">
        <f>ROW()-1</f>
        <v/>
      </c>
      <c r="B373" s="133" t="n"/>
      <c r="C373" s="314" t="inlineStr">
        <is>
          <t>RL7-PRM-101-XV-09</t>
        </is>
      </c>
      <c r="D373" s="264" t="n"/>
      <c r="E373" s="133" t="n"/>
      <c r="F373" s="141" t="inlineStr">
        <is>
          <t>PRE-MIXER CIP RETURN MIX PROOF VALVE OPEN SOLENOID</t>
        </is>
      </c>
      <c r="G373" s="133" t="inlineStr">
        <is>
          <t>DG7012</t>
        </is>
      </c>
      <c r="H373" s="133" t="inlineStr">
        <is>
          <t>PROC</t>
        </is>
      </c>
      <c r="I373" s="142" t="inlineStr">
        <is>
          <t>RL7-PRM-RIO1</t>
        </is>
      </c>
      <c r="J373" s="133" t="n">
        <v>10</v>
      </c>
      <c r="K373" s="129" t="n">
        <v>9</v>
      </c>
      <c r="L373" s="129" t="n">
        <v>11</v>
      </c>
      <c r="M373" s="129" t="inlineStr">
        <is>
          <t>24 VDC DO</t>
        </is>
      </c>
      <c r="N373" s="129" t="inlineStr">
        <is>
          <t>5069-OB16</t>
        </is>
      </c>
      <c r="O373" s="146" t="n"/>
      <c r="P373" s="146" t="n"/>
      <c r="Q373" s="146" t="n"/>
      <c r="R373" s="146" t="n"/>
      <c r="S373" s="146" t="n"/>
      <c r="T373" s="146" t="n"/>
      <c r="U373" s="146" t="n"/>
      <c r="V373" s="146" t="n"/>
      <c r="W373" s="146" t="n"/>
      <c r="X373" s="146" t="n"/>
      <c r="Y373" s="146" t="n"/>
      <c r="Z373" s="143" t="n"/>
      <c r="AA373" t="inlineStr">
        <is>
          <t>Matched</t>
        </is>
      </c>
      <c r="AB373" s="315" t="n">
        <v>0.99</v>
      </c>
      <c r="AC373" t="inlineStr">
        <is>
          <t>High</t>
        </is>
      </c>
      <c r="AD373" t="n">
        <v>1</v>
      </c>
      <c r="AE373" t="inlineStr">
        <is>
          <t>DG7012</t>
        </is>
      </c>
      <c r="AF373" t="n">
        <v>11</v>
      </c>
      <c r="AG373" t="inlineStr">
        <is>
          <t>drawing</t>
        </is>
      </c>
      <c r="AH373" t="inlineStr">
        <is>
          <t>stacked:isa</t>
        </is>
      </c>
      <c r="AI373" t="inlineStr">
        <is>
          <t>drawing zone; process page; mapped sheet; excel sheet match</t>
        </is>
      </c>
      <c r="AJ373" t="inlineStr">
        <is>
          <t>native</t>
        </is>
      </c>
      <c r="AK373" t="inlineStr">
        <is>
          <t>native-only</t>
        </is>
      </c>
      <c r="AM373" t="inlineStr">
        <is>
          <t>11</t>
        </is>
      </c>
      <c r="AN373" t="inlineStr">
        <is>
          <t>Yes</t>
        </is>
      </c>
      <c r="AO373" t="inlineStr">
        <is>
          <t>mapped sheet id</t>
        </is>
      </c>
      <c r="AP373" t="inlineStr">
        <is>
          <t>p11:native:268, p11:native:269</t>
        </is>
      </c>
      <c r="AQ373" t="n">
        <v>2</v>
      </c>
    </row>
    <row r="374">
      <c r="A374" s="203">
        <f>ROW()-1</f>
        <v/>
      </c>
      <c r="B374" s="128" t="inlineStr">
        <is>
          <t>RL7-PRM-101-XY-01A</t>
        </is>
      </c>
      <c r="C374" s="314" t="inlineStr">
        <is>
          <t>RL7-PRM-101-XY-01A</t>
        </is>
      </c>
      <c r="D374" s="262" t="inlineStr">
        <is>
          <t>SOL107041</t>
        </is>
      </c>
      <c r="E374" s="128" t="inlineStr">
        <is>
          <t>JIC2B</t>
        </is>
      </c>
      <c r="F374" s="138" t="inlineStr">
        <is>
          <t>PRE-MIXER MIXER COVER OPEN SOLENOID</t>
        </is>
      </c>
      <c r="G374" s="131" t="inlineStr">
        <is>
          <t>DG7012</t>
        </is>
      </c>
      <c r="H374" s="128" t="inlineStr">
        <is>
          <t>PROC</t>
        </is>
      </c>
      <c r="I374" s="142" t="inlineStr">
        <is>
          <t>RL7-PRM-RIO1</t>
        </is>
      </c>
      <c r="J374" s="133" t="n">
        <v>10</v>
      </c>
      <c r="K374" s="129" t="n">
        <v>9</v>
      </c>
      <c r="L374" s="129" t="n">
        <v>2</v>
      </c>
      <c r="M374" s="129" t="inlineStr">
        <is>
          <t>24 VDC DO</t>
        </is>
      </c>
      <c r="N374" s="129" t="inlineStr">
        <is>
          <t>5069-OB16</t>
        </is>
      </c>
      <c r="O374" s="139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40" t="n"/>
      <c r="AA374" t="inlineStr">
        <is>
          <t>Matched</t>
        </is>
      </c>
      <c r="AB374" s="315" t="n">
        <v>0.99</v>
      </c>
      <c r="AC374" t="inlineStr">
        <is>
          <t>High</t>
        </is>
      </c>
      <c r="AD374" t="n">
        <v>1</v>
      </c>
      <c r="AE374" t="inlineStr">
        <is>
          <t>DG7012</t>
        </is>
      </c>
      <c r="AF374" t="n">
        <v>11</v>
      </c>
      <c r="AG374" t="inlineStr">
        <is>
          <t>drawing</t>
        </is>
      </c>
      <c r="AH374" t="inlineStr">
        <is>
          <t>stacked:isa</t>
        </is>
      </c>
      <c r="AI374" t="inlineStr">
        <is>
          <t>drawing zone; process page; mapped sheet; excel sheet match</t>
        </is>
      </c>
      <c r="AJ374" t="inlineStr">
        <is>
          <t>native</t>
        </is>
      </c>
      <c r="AK374" t="inlineStr">
        <is>
          <t>native-only</t>
        </is>
      </c>
      <c r="AM374" t="inlineStr">
        <is>
          <t>11</t>
        </is>
      </c>
      <c r="AN374" t="inlineStr">
        <is>
          <t>Yes</t>
        </is>
      </c>
      <c r="AO374" t="inlineStr">
        <is>
          <t>mapped sheet id</t>
        </is>
      </c>
      <c r="AP374" t="inlineStr">
        <is>
          <t>p11:native:159, p11:native:160</t>
        </is>
      </c>
      <c r="AQ374" t="n">
        <v>2</v>
      </c>
    </row>
    <row r="375">
      <c r="A375" s="203">
        <f>ROW()-1</f>
        <v/>
      </c>
      <c r="B375" s="128" t="inlineStr">
        <is>
          <t>RL7-PRM-101-XY-01B</t>
        </is>
      </c>
      <c r="C375" s="314" t="inlineStr">
        <is>
          <t>RL7-PRM-101-XY-01B</t>
        </is>
      </c>
      <c r="D375" s="262" t="inlineStr">
        <is>
          <t>SOL107041</t>
        </is>
      </c>
      <c r="E375" s="128" t="inlineStr">
        <is>
          <t>JIC2B</t>
        </is>
      </c>
      <c r="F375" s="138" t="inlineStr">
        <is>
          <t>PRE-MIXER MIXER COVER CLOSE SOLENOID</t>
        </is>
      </c>
      <c r="G375" s="131" t="inlineStr">
        <is>
          <t>DG7012</t>
        </is>
      </c>
      <c r="H375" s="128" t="inlineStr">
        <is>
          <t>PROC</t>
        </is>
      </c>
      <c r="I375" s="142" t="inlineStr">
        <is>
          <t>RL7-PRM-RIO1</t>
        </is>
      </c>
      <c r="J375" s="133" t="n">
        <v>10</v>
      </c>
      <c r="K375" s="129" t="n">
        <v>9</v>
      </c>
      <c r="L375" s="129" t="n">
        <v>3</v>
      </c>
      <c r="M375" s="129" t="inlineStr">
        <is>
          <t>24 VDC DO</t>
        </is>
      </c>
      <c r="N375" s="129" t="inlineStr">
        <is>
          <t>5069-OB16</t>
        </is>
      </c>
      <c r="O375" s="139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40" t="n"/>
      <c r="AA375" t="inlineStr">
        <is>
          <t>Matched</t>
        </is>
      </c>
      <c r="AB375" s="315" t="n">
        <v>0.99</v>
      </c>
      <c r="AC375" t="inlineStr">
        <is>
          <t>High</t>
        </is>
      </c>
      <c r="AD375" t="n">
        <v>1</v>
      </c>
      <c r="AE375" t="inlineStr">
        <is>
          <t>DG7012</t>
        </is>
      </c>
      <c r="AF375" t="n">
        <v>11</v>
      </c>
      <c r="AG375" t="inlineStr">
        <is>
          <t>drawing</t>
        </is>
      </c>
      <c r="AH375" t="inlineStr">
        <is>
          <t>stacked:isa</t>
        </is>
      </c>
      <c r="AI375" t="inlineStr">
        <is>
          <t>drawing zone; process page; mapped sheet; excel sheet match</t>
        </is>
      </c>
      <c r="AJ375" t="inlineStr">
        <is>
          <t>native</t>
        </is>
      </c>
      <c r="AK375" t="inlineStr">
        <is>
          <t>native-only</t>
        </is>
      </c>
      <c r="AM375" t="inlineStr">
        <is>
          <t>11</t>
        </is>
      </c>
      <c r="AN375" t="inlineStr">
        <is>
          <t>Yes</t>
        </is>
      </c>
      <c r="AO375" t="inlineStr">
        <is>
          <t>mapped sheet id</t>
        </is>
      </c>
      <c r="AP375" t="inlineStr">
        <is>
          <t>p11:native:161, p11:native:162</t>
        </is>
      </c>
      <c r="AQ375" t="n">
        <v>2</v>
      </c>
    </row>
    <row r="376">
      <c r="A376" s="203">
        <f>ROW()-1</f>
        <v/>
      </c>
      <c r="B376" s="128" t="inlineStr">
        <is>
          <t>RL7-PRM-101-XY-02A</t>
        </is>
      </c>
      <c r="C376" s="314" t="inlineStr">
        <is>
          <t>RL7-PRM-101-XY-02A</t>
        </is>
      </c>
      <c r="D376" s="262" t="inlineStr">
        <is>
          <t>SOL107061</t>
        </is>
      </c>
      <c r="E376" s="128" t="inlineStr">
        <is>
          <t>JIC2B</t>
        </is>
      </c>
      <c r="F376" s="138" t="inlineStr">
        <is>
          <t>PRE-MIXER SAFETY GRATE ENGAGE SOLENOID</t>
        </is>
      </c>
      <c r="G376" s="131" t="inlineStr">
        <is>
          <t>DG7012</t>
        </is>
      </c>
      <c r="H376" s="128" t="inlineStr">
        <is>
          <t>PROC</t>
        </is>
      </c>
      <c r="I376" s="142" t="inlineStr">
        <is>
          <t>RL7-PRM-RIO1</t>
        </is>
      </c>
      <c r="J376" s="133" t="n">
        <v>10</v>
      </c>
      <c r="K376" s="129" t="n">
        <v>9</v>
      </c>
      <c r="L376" s="129" t="n">
        <v>4</v>
      </c>
      <c r="M376" s="129" t="inlineStr">
        <is>
          <t>24 VDC DO</t>
        </is>
      </c>
      <c r="N376" s="129" t="inlineStr">
        <is>
          <t>5069-OB16</t>
        </is>
      </c>
      <c r="O376" s="139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40" t="n"/>
      <c r="AA376" t="inlineStr">
        <is>
          <t>Matched</t>
        </is>
      </c>
      <c r="AB376" s="315" t="n">
        <v>0.99</v>
      </c>
      <c r="AC376" t="inlineStr">
        <is>
          <t>High</t>
        </is>
      </c>
      <c r="AD376" t="n">
        <v>1</v>
      </c>
      <c r="AE376" t="inlineStr">
        <is>
          <t>DG7012</t>
        </is>
      </c>
      <c r="AF376" t="n">
        <v>11</v>
      </c>
      <c r="AG376" t="inlineStr">
        <is>
          <t>drawing</t>
        </is>
      </c>
      <c r="AH376" t="inlineStr">
        <is>
          <t>stacked:isa</t>
        </is>
      </c>
      <c r="AI376" t="inlineStr">
        <is>
          <t>drawing zone; process page; mapped sheet; excel sheet match</t>
        </is>
      </c>
      <c r="AJ376" t="inlineStr">
        <is>
          <t>native</t>
        </is>
      </c>
      <c r="AK376" t="inlineStr">
        <is>
          <t>native-only</t>
        </is>
      </c>
      <c r="AM376" t="inlineStr">
        <is>
          <t>11</t>
        </is>
      </c>
      <c r="AN376" t="inlineStr">
        <is>
          <t>Yes</t>
        </is>
      </c>
      <c r="AO376" t="inlineStr">
        <is>
          <t>mapped sheet id</t>
        </is>
      </c>
      <c r="AP376" t="inlineStr">
        <is>
          <t>p11:native:153, p11:native:154</t>
        </is>
      </c>
      <c r="AQ376" t="n">
        <v>2</v>
      </c>
    </row>
    <row r="377">
      <c r="A377" s="203">
        <f>ROW()-1</f>
        <v/>
      </c>
      <c r="B377" s="128" t="inlineStr">
        <is>
          <t>RL7-PRM-101-XY-02B</t>
        </is>
      </c>
      <c r="C377" s="314" t="inlineStr">
        <is>
          <t>RL7-PRM-101-XY-02B</t>
        </is>
      </c>
      <c r="D377" s="262" t="inlineStr">
        <is>
          <t>SOL107061</t>
        </is>
      </c>
      <c r="E377" s="128" t="inlineStr">
        <is>
          <t>JIC2B</t>
        </is>
      </c>
      <c r="F377" s="138" t="inlineStr">
        <is>
          <t>PRE-MIXER SAFETY GRATE RELEASE SOLENOID</t>
        </is>
      </c>
      <c r="G377" s="131" t="inlineStr">
        <is>
          <t>DG7012</t>
        </is>
      </c>
      <c r="H377" s="128" t="inlineStr">
        <is>
          <t>PROC</t>
        </is>
      </c>
      <c r="I377" s="142" t="inlineStr">
        <is>
          <t>RL7-PRM-RIO1</t>
        </is>
      </c>
      <c r="J377" s="133" t="n">
        <v>10</v>
      </c>
      <c r="K377" s="129" t="n">
        <v>9</v>
      </c>
      <c r="L377" s="129" t="n">
        <v>5</v>
      </c>
      <c r="M377" s="129" t="inlineStr">
        <is>
          <t>24 VDC DO</t>
        </is>
      </c>
      <c r="N377" s="129" t="inlineStr">
        <is>
          <t>5069-OB16</t>
        </is>
      </c>
      <c r="O377" s="139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40" t="n"/>
      <c r="AA377" t="inlineStr">
        <is>
          <t>Matched</t>
        </is>
      </c>
      <c r="AB377" s="315" t="n">
        <v>0.99</v>
      </c>
      <c r="AC377" t="inlineStr">
        <is>
          <t>High</t>
        </is>
      </c>
      <c r="AD377" t="n">
        <v>1</v>
      </c>
      <c r="AE377" t="inlineStr">
        <is>
          <t>DG7012</t>
        </is>
      </c>
      <c r="AF377" t="n">
        <v>11</v>
      </c>
      <c r="AG377" t="inlineStr">
        <is>
          <t>drawing</t>
        </is>
      </c>
      <c r="AH377" t="inlineStr">
        <is>
          <t>stacked:isa</t>
        </is>
      </c>
      <c r="AI377" t="inlineStr">
        <is>
          <t>drawing zone; process page; mapped sheet; excel sheet match</t>
        </is>
      </c>
      <c r="AJ377" t="inlineStr">
        <is>
          <t>native</t>
        </is>
      </c>
      <c r="AK377" t="inlineStr">
        <is>
          <t>native-only</t>
        </is>
      </c>
      <c r="AM377" t="inlineStr">
        <is>
          <t>11</t>
        </is>
      </c>
      <c r="AN377" t="inlineStr">
        <is>
          <t>Yes</t>
        </is>
      </c>
      <c r="AO377" t="inlineStr">
        <is>
          <t>mapped sheet id</t>
        </is>
      </c>
      <c r="AP377" t="inlineStr">
        <is>
          <t>p11:native:155, p11:native:156</t>
        </is>
      </c>
      <c r="AQ377" t="n">
        <v>2</v>
      </c>
    </row>
    <row r="378">
      <c r="A378" s="203">
        <f>ROW()-1</f>
        <v/>
      </c>
      <c r="B378" s="128" t="inlineStr">
        <is>
          <t>RL7-PRM-101-XYS-01A</t>
        </is>
      </c>
      <c r="C378" s="314" t="inlineStr">
        <is>
          <t>RL7-PRM-101-XYS-04A</t>
        </is>
      </c>
      <c r="D378" s="262" t="inlineStr">
        <is>
          <t>SOL106171</t>
        </is>
      </c>
      <c r="E378" s="128" t="inlineStr">
        <is>
          <t>JIC2B</t>
        </is>
      </c>
      <c r="F378" s="138" t="inlineStr">
        <is>
          <t>PRE-MIXER SAFETY AIR DUMP SOLENOID A</t>
        </is>
      </c>
      <c r="G378" s="131" t="inlineStr">
        <is>
          <t>DG7012</t>
        </is>
      </c>
      <c r="H378" s="128" t="inlineStr">
        <is>
          <t>PROC</t>
        </is>
      </c>
      <c r="I378" s="142" t="inlineStr">
        <is>
          <t>RL7-PRM-RIO1</t>
        </is>
      </c>
      <c r="J378" s="133" t="n">
        <v>10</v>
      </c>
      <c r="K378" s="129" t="n">
        <v>6</v>
      </c>
      <c r="L378" s="129" t="n">
        <v>0</v>
      </c>
      <c r="M378" s="129" t="inlineStr">
        <is>
          <t>24 VDC SO</t>
        </is>
      </c>
      <c r="N378" s="129" t="inlineStr">
        <is>
          <t>5069-OBV8S</t>
        </is>
      </c>
      <c r="O378" s="139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40" t="n"/>
      <c r="AA378" t="inlineStr">
        <is>
          <t>Matched</t>
        </is>
      </c>
      <c r="AB378" s="315" t="n">
        <v>0.99</v>
      </c>
      <c r="AC378" t="inlineStr">
        <is>
          <t>High</t>
        </is>
      </c>
      <c r="AD378" t="n">
        <v>1</v>
      </c>
      <c r="AE378" t="inlineStr">
        <is>
          <t>DG7012</t>
        </is>
      </c>
      <c r="AF378" t="n">
        <v>11</v>
      </c>
      <c r="AG378" t="inlineStr">
        <is>
          <t>drawing</t>
        </is>
      </c>
      <c r="AH378" t="inlineStr">
        <is>
          <t>stacked:isa</t>
        </is>
      </c>
      <c r="AI378" t="inlineStr">
        <is>
          <t>drawing zone; process page; mapped sheet; excel sheet match</t>
        </is>
      </c>
      <c r="AJ378" t="inlineStr">
        <is>
          <t>native</t>
        </is>
      </c>
      <c r="AK378" t="inlineStr">
        <is>
          <t>native-only</t>
        </is>
      </c>
      <c r="AM378" t="inlineStr">
        <is>
          <t>11</t>
        </is>
      </c>
      <c r="AN378" t="inlineStr">
        <is>
          <t>Yes</t>
        </is>
      </c>
      <c r="AO378" t="inlineStr">
        <is>
          <t>mapped sheet id</t>
        </is>
      </c>
      <c r="AP378" t="inlineStr">
        <is>
          <t>p11:native:133, p11:native:134</t>
        </is>
      </c>
      <c r="AQ378" t="n">
        <v>2</v>
      </c>
    </row>
    <row r="379">
      <c r="A379" s="203">
        <f>ROW()-1</f>
        <v/>
      </c>
      <c r="B379" s="128" t="inlineStr">
        <is>
          <t>RL7-PRM-101-XYS-01B</t>
        </is>
      </c>
      <c r="C379" s="314" t="inlineStr">
        <is>
          <t>RL7-PRM-101-XYS-04B</t>
        </is>
      </c>
      <c r="D379" s="262" t="inlineStr">
        <is>
          <t>SOL106171</t>
        </is>
      </c>
      <c r="E379" s="128" t="inlineStr">
        <is>
          <t>JIC2B</t>
        </is>
      </c>
      <c r="F379" s="138" t="inlineStr">
        <is>
          <t>PRE-MIXER SAFETY AIR DUMP SOLENOID B</t>
        </is>
      </c>
      <c r="G379" s="131" t="inlineStr">
        <is>
          <t>DG7012</t>
        </is>
      </c>
      <c r="H379" s="128" t="inlineStr">
        <is>
          <t>PROC</t>
        </is>
      </c>
      <c r="I379" s="142" t="inlineStr">
        <is>
          <t>RL7-PRM-RIO1</t>
        </is>
      </c>
      <c r="J379" s="133" t="n">
        <v>10</v>
      </c>
      <c r="K379" s="129" t="n">
        <v>6</v>
      </c>
      <c r="L379" s="129" t="n">
        <v>1</v>
      </c>
      <c r="M379" s="129" t="inlineStr">
        <is>
          <t>24 VDC SO</t>
        </is>
      </c>
      <c r="N379" s="129" t="inlineStr">
        <is>
          <t>5069-OBV8S</t>
        </is>
      </c>
      <c r="O379" s="139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40" t="n"/>
      <c r="AA379" t="inlineStr">
        <is>
          <t>Matched</t>
        </is>
      </c>
      <c r="AB379" s="315" t="n">
        <v>0.99</v>
      </c>
      <c r="AC379" t="inlineStr">
        <is>
          <t>High</t>
        </is>
      </c>
      <c r="AD379" t="n">
        <v>1</v>
      </c>
      <c r="AE379" t="inlineStr">
        <is>
          <t>DG7012</t>
        </is>
      </c>
      <c r="AF379" t="n">
        <v>11</v>
      </c>
      <c r="AG379" t="inlineStr">
        <is>
          <t>drawing</t>
        </is>
      </c>
      <c r="AH379" t="inlineStr">
        <is>
          <t>stacked:isa</t>
        </is>
      </c>
      <c r="AI379" t="inlineStr">
        <is>
          <t>drawing zone; process page; mapped sheet; excel sheet match</t>
        </is>
      </c>
      <c r="AJ379" t="inlineStr">
        <is>
          <t>native</t>
        </is>
      </c>
      <c r="AK379" t="inlineStr">
        <is>
          <t>native-only</t>
        </is>
      </c>
      <c r="AM379" t="inlineStr">
        <is>
          <t>11</t>
        </is>
      </c>
      <c r="AN379" t="inlineStr">
        <is>
          <t>Yes</t>
        </is>
      </c>
      <c r="AO379" t="inlineStr">
        <is>
          <t>mapped sheet id</t>
        </is>
      </c>
      <c r="AP379" t="inlineStr">
        <is>
          <t>p11:native:135, p11:native:136</t>
        </is>
      </c>
      <c r="AQ379" t="n">
        <v>2</v>
      </c>
    </row>
    <row r="380">
      <c r="A380" s="203">
        <f>ROW()-1</f>
        <v/>
      </c>
      <c r="B380" s="128" t="inlineStr">
        <is>
          <t>RL7-PRM-101-ZSC-01</t>
        </is>
      </c>
      <c r="C380" s="314" t="inlineStr">
        <is>
          <t>RL7-PRM-101-ZSC-01</t>
        </is>
      </c>
      <c r="D380" s="262" t="inlineStr">
        <is>
          <t>PRS107171</t>
        </is>
      </c>
      <c r="E380" s="128" t="inlineStr">
        <is>
          <t>JIC2B</t>
        </is>
      </c>
      <c r="F380" s="138" t="inlineStr">
        <is>
          <t>PRE-MIXER LOCKBAR ENGAGED</t>
        </is>
      </c>
      <c r="G380" s="131" t="inlineStr">
        <is>
          <t>DG7012</t>
        </is>
      </c>
      <c r="H380" s="128" t="inlineStr">
        <is>
          <t>PROC</t>
        </is>
      </c>
      <c r="I380" s="142" t="inlineStr">
        <is>
          <t>RL7-PRM-RIO1</t>
        </is>
      </c>
      <c r="J380" s="133" t="n">
        <v>10</v>
      </c>
      <c r="K380" s="129" t="n">
        <v>8</v>
      </c>
      <c r="L380" s="129" t="n">
        <v>7</v>
      </c>
      <c r="M380" s="129" t="inlineStr">
        <is>
          <t>24 VDC DI</t>
        </is>
      </c>
      <c r="N380" s="129" t="inlineStr">
        <is>
          <t>5069-IB16</t>
        </is>
      </c>
      <c r="O380" s="139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40" t="n"/>
      <c r="AA380" t="inlineStr">
        <is>
          <t>Matched</t>
        </is>
      </c>
      <c r="AB380" s="315" t="n">
        <v>0.99</v>
      </c>
      <c r="AC380" t="inlineStr">
        <is>
          <t>High</t>
        </is>
      </c>
      <c r="AD380" t="n">
        <v>1</v>
      </c>
      <c r="AE380" t="inlineStr">
        <is>
          <t>DG7012</t>
        </is>
      </c>
      <c r="AF380" t="n">
        <v>11</v>
      </c>
      <c r="AG380" t="inlineStr">
        <is>
          <t>drawing</t>
        </is>
      </c>
      <c r="AH380" t="inlineStr">
        <is>
          <t>stacked:isa</t>
        </is>
      </c>
      <c r="AI380" t="inlineStr">
        <is>
          <t>drawing zone; process page; mapped sheet; excel sheet match</t>
        </is>
      </c>
      <c r="AJ380" t="inlineStr">
        <is>
          <t>native</t>
        </is>
      </c>
      <c r="AK380" t="inlineStr">
        <is>
          <t>native-only</t>
        </is>
      </c>
      <c r="AM380" t="inlineStr">
        <is>
          <t>11</t>
        </is>
      </c>
      <c r="AN380" t="inlineStr">
        <is>
          <t>Yes</t>
        </is>
      </c>
      <c r="AO380" t="inlineStr">
        <is>
          <t>mapped sheet id</t>
        </is>
      </c>
      <c r="AP380" t="inlineStr">
        <is>
          <t>p11:native:119, p11:native:120</t>
        </is>
      </c>
      <c r="AQ380" t="n">
        <v>2</v>
      </c>
    </row>
    <row r="381">
      <c r="A381" s="203">
        <f>ROW()-1</f>
        <v/>
      </c>
      <c r="B381" s="128" t="inlineStr">
        <is>
          <t>RL7-PRM-101-ZSC-02</t>
        </is>
      </c>
      <c r="C381" s="314" t="inlineStr">
        <is>
          <t>RL7-PRM-101-ZSC-02</t>
        </is>
      </c>
      <c r="D381" s="262" t="inlineStr">
        <is>
          <t>VLV107221</t>
        </is>
      </c>
      <c r="E381" s="128" t="inlineStr">
        <is>
          <t>JIC2B</t>
        </is>
      </c>
      <c r="F381" s="138" t="inlineStr">
        <is>
          <t>PRE-MIXER SAFETY GRATE LOCKED</t>
        </is>
      </c>
      <c r="G381" s="131" t="inlineStr">
        <is>
          <t>DG7012</t>
        </is>
      </c>
      <c r="H381" s="128" t="inlineStr">
        <is>
          <t>PROC</t>
        </is>
      </c>
      <c r="I381" s="142" t="inlineStr">
        <is>
          <t>RL7-PRM-RIO1</t>
        </is>
      </c>
      <c r="J381" s="133" t="n">
        <v>10</v>
      </c>
      <c r="K381" s="129" t="n">
        <v>8</v>
      </c>
      <c r="L381" s="129" t="n">
        <v>10</v>
      </c>
      <c r="M381" s="129" t="inlineStr">
        <is>
          <t>24 VDC DI</t>
        </is>
      </c>
      <c r="N381" s="129" t="inlineStr">
        <is>
          <t>5069-IB16</t>
        </is>
      </c>
      <c r="O381" s="139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40" t="n"/>
      <c r="AA381" t="inlineStr">
        <is>
          <t>Matched</t>
        </is>
      </c>
      <c r="AB381" s="315" t="n">
        <v>0.99</v>
      </c>
      <c r="AC381" t="inlineStr">
        <is>
          <t>High</t>
        </is>
      </c>
      <c r="AD381" t="n">
        <v>1</v>
      </c>
      <c r="AE381" t="inlineStr">
        <is>
          <t>DG7012</t>
        </is>
      </c>
      <c r="AF381" t="n">
        <v>11</v>
      </c>
      <c r="AG381" t="inlineStr">
        <is>
          <t>drawing</t>
        </is>
      </c>
      <c r="AH381" t="inlineStr">
        <is>
          <t>stacked:isa</t>
        </is>
      </c>
      <c r="AI381" t="inlineStr">
        <is>
          <t>drawing zone; process page; mapped sheet; excel sheet match</t>
        </is>
      </c>
      <c r="AJ381" t="inlineStr">
        <is>
          <t>native</t>
        </is>
      </c>
      <c r="AK381" t="inlineStr">
        <is>
          <t>native-only</t>
        </is>
      </c>
      <c r="AM381" t="inlineStr">
        <is>
          <t>11</t>
        </is>
      </c>
      <c r="AN381" t="inlineStr">
        <is>
          <t>Yes</t>
        </is>
      </c>
      <c r="AO381" t="inlineStr">
        <is>
          <t>mapped sheet id</t>
        </is>
      </c>
      <c r="AP381" t="inlineStr">
        <is>
          <t>p11:native:149, p11:native:150</t>
        </is>
      </c>
      <c r="AQ381" t="n">
        <v>2</v>
      </c>
    </row>
    <row r="382">
      <c r="A382" s="203">
        <f>ROW()-1</f>
        <v/>
      </c>
      <c r="B382" s="128" t="inlineStr">
        <is>
          <t>RL7-PRM-101-ZSC-01A</t>
        </is>
      </c>
      <c r="C382" s="314" t="inlineStr">
        <is>
          <t>RL7-PRM-101-ZSC-04A</t>
        </is>
      </c>
      <c r="D382" s="262" t="inlineStr">
        <is>
          <t>SOL106171</t>
        </is>
      </c>
      <c r="E382" s="128" t="inlineStr">
        <is>
          <t>JIC2B</t>
        </is>
      </c>
      <c r="F382" s="138" t="inlineStr">
        <is>
          <t>PRE-MIXER AIR DUMP SOLENOID A LIMIT SWITCH SAFETY INPUT CH1</t>
        </is>
      </c>
      <c r="G382" s="131" t="inlineStr">
        <is>
          <t>DG7012</t>
        </is>
      </c>
      <c r="H382" s="128" t="inlineStr">
        <is>
          <t>PROC</t>
        </is>
      </c>
      <c r="I382" s="142" t="inlineStr">
        <is>
          <t>RL7-PRM-RIO1</t>
        </is>
      </c>
      <c r="J382" s="133" t="n">
        <v>10</v>
      </c>
      <c r="K382" s="129" t="n">
        <v>3</v>
      </c>
      <c r="L382" s="129" t="n">
        <v>4</v>
      </c>
      <c r="M382" s="129" t="inlineStr">
        <is>
          <t>24 VDC SI</t>
        </is>
      </c>
      <c r="N382" s="129" t="inlineStr">
        <is>
          <t>5069-IB8S</t>
        </is>
      </c>
      <c r="O382" s="139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40" t="n"/>
      <c r="AA382" t="inlineStr">
        <is>
          <t>Matched</t>
        </is>
      </c>
      <c r="AB382" s="315" t="n">
        <v>0.99</v>
      </c>
      <c r="AC382" t="inlineStr">
        <is>
          <t>High</t>
        </is>
      </c>
      <c r="AD382" t="n">
        <v>1</v>
      </c>
      <c r="AE382" t="inlineStr">
        <is>
          <t>DG7012</t>
        </is>
      </c>
      <c r="AF382" t="n">
        <v>11</v>
      </c>
      <c r="AG382" t="inlineStr">
        <is>
          <t>drawing</t>
        </is>
      </c>
      <c r="AH382" t="inlineStr">
        <is>
          <t>stacked:isa</t>
        </is>
      </c>
      <c r="AI382" t="inlineStr">
        <is>
          <t>drawing zone; process page; mapped sheet; excel sheet match</t>
        </is>
      </c>
      <c r="AJ382" t="inlineStr">
        <is>
          <t>native</t>
        </is>
      </c>
      <c r="AK382" t="inlineStr">
        <is>
          <t>native-only</t>
        </is>
      </c>
      <c r="AM382" t="inlineStr">
        <is>
          <t>11</t>
        </is>
      </c>
      <c r="AN382" t="inlineStr">
        <is>
          <t>Yes</t>
        </is>
      </c>
      <c r="AO382" t="inlineStr">
        <is>
          <t>mapped sheet id</t>
        </is>
      </c>
      <c r="AP382" t="inlineStr">
        <is>
          <t>p11:native:139, p11:native:140</t>
        </is>
      </c>
      <c r="AQ382" t="n">
        <v>2</v>
      </c>
    </row>
    <row r="383">
      <c r="A383" s="203">
        <f>ROW()-1</f>
        <v/>
      </c>
      <c r="B383" s="128" t="inlineStr">
        <is>
          <t>RL7-PRM-101-ZSC-01B</t>
        </is>
      </c>
      <c r="C383" s="314" t="inlineStr">
        <is>
          <t>RL7-PRM-101-ZSC-04B</t>
        </is>
      </c>
      <c r="D383" s="262" t="inlineStr">
        <is>
          <t>SOL106171</t>
        </is>
      </c>
      <c r="E383" s="128" t="inlineStr">
        <is>
          <t>JIC2B</t>
        </is>
      </c>
      <c r="F383" s="138" t="inlineStr">
        <is>
          <t>PRE-MIXER AIR DUMP SOLENOID B LIMIT SWITCH SAFETY INPUT CH2</t>
        </is>
      </c>
      <c r="G383" s="131" t="inlineStr">
        <is>
          <t>DG7012</t>
        </is>
      </c>
      <c r="H383" s="128" t="inlineStr">
        <is>
          <t>PROC</t>
        </is>
      </c>
      <c r="I383" s="142" t="inlineStr">
        <is>
          <t>RL7-PRM-RIO1</t>
        </is>
      </c>
      <c r="J383" s="133" t="n">
        <v>10</v>
      </c>
      <c r="K383" s="129" t="n">
        <v>3</v>
      </c>
      <c r="L383" s="129" t="n">
        <v>5</v>
      </c>
      <c r="M383" s="129" t="inlineStr">
        <is>
          <t>24 VDC SI</t>
        </is>
      </c>
      <c r="N383" s="129" t="inlineStr">
        <is>
          <t>5069-IB8S</t>
        </is>
      </c>
      <c r="O383" s="139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40" t="n"/>
      <c r="AA383" t="inlineStr">
        <is>
          <t>Matched</t>
        </is>
      </c>
      <c r="AB383" s="315" t="n">
        <v>0.99</v>
      </c>
      <c r="AC383" t="inlineStr">
        <is>
          <t>High</t>
        </is>
      </c>
      <c r="AD383" t="n">
        <v>1</v>
      </c>
      <c r="AE383" t="inlineStr">
        <is>
          <t>DG7012</t>
        </is>
      </c>
      <c r="AF383" t="n">
        <v>11</v>
      </c>
      <c r="AG383" t="inlineStr">
        <is>
          <t>drawing</t>
        </is>
      </c>
      <c r="AH383" t="inlineStr">
        <is>
          <t>stacked:isa</t>
        </is>
      </c>
      <c r="AI383" t="inlineStr">
        <is>
          <t>drawing zone; process page; mapped sheet; excel sheet match</t>
        </is>
      </c>
      <c r="AJ383" t="inlineStr">
        <is>
          <t>native</t>
        </is>
      </c>
      <c r="AK383" t="inlineStr">
        <is>
          <t>native-only</t>
        </is>
      </c>
      <c r="AM383" t="inlineStr">
        <is>
          <t>11</t>
        </is>
      </c>
      <c r="AN383" t="inlineStr">
        <is>
          <t>Yes</t>
        </is>
      </c>
      <c r="AO383" t="inlineStr">
        <is>
          <t>mapped sheet id</t>
        </is>
      </c>
      <c r="AP383" t="inlineStr">
        <is>
          <t>p11:native:141, p11:native:142</t>
        </is>
      </c>
      <c r="AQ383" t="n">
        <v>2</v>
      </c>
    </row>
    <row r="384">
      <c r="A384" s="203">
        <f>ROW()-1</f>
        <v/>
      </c>
      <c r="B384" s="133" t="n"/>
      <c r="C384" s="314" t="inlineStr">
        <is>
          <t>RL7-PRM-101-ZSC-05</t>
        </is>
      </c>
      <c r="D384" s="264" t="n"/>
      <c r="E384" s="133" t="n"/>
      <c r="F384" s="141" t="inlineStr">
        <is>
          <t>PRE-MIXER CIPS MIX PROOF VALVE CLOSED LIMIT SWITCH</t>
        </is>
      </c>
      <c r="G384" s="131" t="inlineStr">
        <is>
          <t>DG7012</t>
        </is>
      </c>
      <c r="H384" s="128" t="inlineStr">
        <is>
          <t>PROC</t>
        </is>
      </c>
      <c r="I384" s="142" t="inlineStr">
        <is>
          <t>RL7-PRM-RIO1</t>
        </is>
      </c>
      <c r="J384" s="133" t="n">
        <v>10</v>
      </c>
      <c r="K384" s="129" t="n">
        <v>8</v>
      </c>
      <c r="L384" s="129" t="n">
        <v>12</v>
      </c>
      <c r="M384" s="129" t="inlineStr">
        <is>
          <t>24 VDC DI</t>
        </is>
      </c>
      <c r="N384" s="129" t="inlineStr">
        <is>
          <t>5069-IB16</t>
        </is>
      </c>
      <c r="O384" s="146" t="n"/>
      <c r="P384" s="146" t="n"/>
      <c r="Q384" s="146" t="n"/>
      <c r="R384" s="146" t="n"/>
      <c r="S384" s="146" t="n"/>
      <c r="T384" s="146" t="n"/>
      <c r="U384" s="146" t="n"/>
      <c r="V384" s="146" t="n"/>
      <c r="W384" s="146" t="n"/>
      <c r="X384" s="146" t="n"/>
      <c r="Y384" s="146" t="n"/>
      <c r="Z384" s="143" t="n"/>
      <c r="AA384" t="inlineStr">
        <is>
          <t>Matched</t>
        </is>
      </c>
      <c r="AB384" s="315" t="n">
        <v>0.99</v>
      </c>
      <c r="AC384" t="inlineStr">
        <is>
          <t>High</t>
        </is>
      </c>
      <c r="AD384" t="n">
        <v>1</v>
      </c>
      <c r="AE384" t="inlineStr">
        <is>
          <t>DG7012</t>
        </is>
      </c>
      <c r="AF384" t="n">
        <v>11</v>
      </c>
      <c r="AG384" t="inlineStr">
        <is>
          <t>drawing</t>
        </is>
      </c>
      <c r="AH384" t="inlineStr">
        <is>
          <t>stacked:isa</t>
        </is>
      </c>
      <c r="AI384" t="inlineStr">
        <is>
          <t>drawing zone; process page; mapped sheet; excel sheet match</t>
        </is>
      </c>
      <c r="AJ384" t="inlineStr">
        <is>
          <t>native</t>
        </is>
      </c>
      <c r="AK384" t="inlineStr">
        <is>
          <t>native-only</t>
        </is>
      </c>
      <c r="AM384" t="inlineStr">
        <is>
          <t>11</t>
        </is>
      </c>
      <c r="AN384" t="inlineStr">
        <is>
          <t>Yes</t>
        </is>
      </c>
      <c r="AO384" t="inlineStr">
        <is>
          <t>mapped sheet id</t>
        </is>
      </c>
      <c r="AP384" t="inlineStr">
        <is>
          <t>p11:native:227, p11:native:228</t>
        </is>
      </c>
      <c r="AQ384" t="n">
        <v>2</v>
      </c>
    </row>
    <row r="385">
      <c r="A385" s="203">
        <f>ROW()-1</f>
        <v/>
      </c>
      <c r="B385" s="128" t="inlineStr">
        <is>
          <t>RL7-PRM-101-ZSC-05</t>
        </is>
      </c>
      <c r="C385" s="314" t="inlineStr">
        <is>
          <t>RL7-PRM-101-ZSC-05</t>
        </is>
      </c>
      <c r="D385" s="262" t="n"/>
      <c r="E385" s="128" t="n"/>
      <c r="F385" s="138" t="inlineStr">
        <is>
          <t>PRE-MIXER SANITATION VALVE CLOSED LIMIT SWITCH</t>
        </is>
      </c>
      <c r="G385" s="131" t="inlineStr">
        <is>
          <t>DG7012</t>
        </is>
      </c>
      <c r="H385" s="128" t="inlineStr">
        <is>
          <t>PROC</t>
        </is>
      </c>
      <c r="I385" s="132" t="inlineStr">
        <is>
          <t>RL7-CKR2-RIO1</t>
        </is>
      </c>
      <c r="J385" s="133" t="n">
        <v>13</v>
      </c>
      <c r="K385" s="129" t="n">
        <v>5</v>
      </c>
      <c r="L385" s="129" t="n">
        <v>13</v>
      </c>
      <c r="M385" s="129" t="inlineStr">
        <is>
          <t>24 VDC DI</t>
        </is>
      </c>
      <c r="N385" s="129" t="inlineStr">
        <is>
          <t>5069-IB16</t>
        </is>
      </c>
      <c r="O385" s="139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40" t="n"/>
      <c r="AA385" t="inlineStr">
        <is>
          <t>Matched</t>
        </is>
      </c>
      <c r="AB385" s="315" t="n">
        <v>0.99</v>
      </c>
      <c r="AC385" t="inlineStr">
        <is>
          <t>High</t>
        </is>
      </c>
      <c r="AD385" t="n">
        <v>1</v>
      </c>
      <c r="AE385" t="inlineStr">
        <is>
          <t>DG7012</t>
        </is>
      </c>
      <c r="AF385" t="n">
        <v>11</v>
      </c>
      <c r="AG385" t="inlineStr">
        <is>
          <t>drawing</t>
        </is>
      </c>
      <c r="AH385" t="inlineStr">
        <is>
          <t>stacked:isa</t>
        </is>
      </c>
      <c r="AI385" t="inlineStr">
        <is>
          <t>drawing zone; process page; mapped sheet; excel sheet match</t>
        </is>
      </c>
      <c r="AJ385" t="inlineStr">
        <is>
          <t>native</t>
        </is>
      </c>
      <c r="AK385" t="inlineStr">
        <is>
          <t>native-only</t>
        </is>
      </c>
      <c r="AM385" t="inlineStr">
        <is>
          <t>11</t>
        </is>
      </c>
      <c r="AN385" t="inlineStr">
        <is>
          <t>Yes</t>
        </is>
      </c>
      <c r="AO385" t="inlineStr">
        <is>
          <t>mapped sheet id</t>
        </is>
      </c>
      <c r="AP385" t="inlineStr">
        <is>
          <t>p11:native:227, p11:native:228</t>
        </is>
      </c>
      <c r="AQ385" t="n">
        <v>2</v>
      </c>
    </row>
    <row r="386">
      <c r="A386" s="203">
        <f>ROW()-1</f>
        <v/>
      </c>
      <c r="B386" s="133" t="n"/>
      <c r="C386" s="314" t="inlineStr">
        <is>
          <t>RL7-PRM-101-ZSC-06</t>
        </is>
      </c>
      <c r="D386" s="264" t="n"/>
      <c r="E386" s="133" t="n"/>
      <c r="F386" s="141" t="inlineStr">
        <is>
          <t xml:space="preserve">PRE-MIXER RAW PRODUCT COOKER 1 FILL VALVE CLOSED LIMIT SWITCH </t>
        </is>
      </c>
      <c r="G386" s="142" t="inlineStr">
        <is>
          <t>DG7012</t>
        </is>
      </c>
      <c r="H386" s="133" t="inlineStr">
        <is>
          <t>PROC</t>
        </is>
      </c>
      <c r="I386" s="142" t="inlineStr">
        <is>
          <t>RL7-PRM-RIO1</t>
        </is>
      </c>
      <c r="J386" s="133" t="n">
        <v>10</v>
      </c>
      <c r="K386" s="129" t="n">
        <v>7</v>
      </c>
      <c r="L386" s="129" t="n">
        <v>9</v>
      </c>
      <c r="M386" s="129" t="inlineStr">
        <is>
          <t>24 VDC DI</t>
        </is>
      </c>
      <c r="N386" s="129" t="inlineStr">
        <is>
          <t>5069-IB16</t>
        </is>
      </c>
      <c r="O386" s="146" t="n"/>
      <c r="P386" s="146" t="n"/>
      <c r="Q386" s="146" t="n"/>
      <c r="R386" s="146" t="n"/>
      <c r="S386" s="146" t="n"/>
      <c r="T386" s="146" t="n"/>
      <c r="U386" s="146" t="n"/>
      <c r="V386" s="146" t="n"/>
      <c r="W386" s="146" t="n"/>
      <c r="X386" s="146" t="n"/>
      <c r="Y386" s="146" t="n"/>
      <c r="Z386" s="143" t="n"/>
      <c r="AA386" t="inlineStr">
        <is>
          <t>Matched</t>
        </is>
      </c>
      <c r="AB386" s="315" t="n">
        <v>0.99</v>
      </c>
      <c r="AC386" t="inlineStr">
        <is>
          <t>High</t>
        </is>
      </c>
      <c r="AD386" t="n">
        <v>1</v>
      </c>
      <c r="AE386" t="inlineStr">
        <is>
          <t>DG7012</t>
        </is>
      </c>
      <c r="AF386" t="n">
        <v>11</v>
      </c>
      <c r="AG386" t="inlineStr">
        <is>
          <t>drawing</t>
        </is>
      </c>
      <c r="AH386" t="inlineStr">
        <is>
          <t>stacked:isa</t>
        </is>
      </c>
      <c r="AI386" t="inlineStr">
        <is>
          <t>drawing zone; process page; mapped sheet; excel sheet match</t>
        </is>
      </c>
      <c r="AJ386" t="inlineStr">
        <is>
          <t>native</t>
        </is>
      </c>
      <c r="AK386" t="inlineStr">
        <is>
          <t>native-only</t>
        </is>
      </c>
      <c r="AM386" t="inlineStr">
        <is>
          <t>11</t>
        </is>
      </c>
      <c r="AN386" t="inlineStr">
        <is>
          <t>Yes</t>
        </is>
      </c>
      <c r="AO386" t="inlineStr">
        <is>
          <t>mapped sheet id</t>
        </is>
      </c>
      <c r="AP386" t="inlineStr">
        <is>
          <t>p11:native:236, p11:native:237</t>
        </is>
      </c>
      <c r="AQ386" t="n">
        <v>2</v>
      </c>
    </row>
    <row r="387">
      <c r="A387" s="203">
        <f>ROW()-1</f>
        <v/>
      </c>
      <c r="B387" s="133" t="n"/>
      <c r="C387" s="314" t="inlineStr">
        <is>
          <t>RL7-PRM-101-ZSC-07</t>
        </is>
      </c>
      <c r="D387" s="264" t="n"/>
      <c r="E387" s="133" t="n"/>
      <c r="F387" s="141" t="inlineStr">
        <is>
          <t xml:space="preserve">PRE-MIXER RAW PRODUCT COOKER 2 FILL VALVE CLOSED LIMIT SWITCH </t>
        </is>
      </c>
      <c r="G387" s="133" t="inlineStr">
        <is>
          <t>DG7012</t>
        </is>
      </c>
      <c r="H387" s="133" t="inlineStr">
        <is>
          <t>PROC</t>
        </is>
      </c>
      <c r="I387" s="142" t="inlineStr">
        <is>
          <t>RL7-PRM-RIO1</t>
        </is>
      </c>
      <c r="J387" s="133" t="n">
        <v>10</v>
      </c>
      <c r="K387" s="129" t="n">
        <v>7</v>
      </c>
      <c r="L387" s="129" t="n">
        <v>11</v>
      </c>
      <c r="M387" s="129" t="inlineStr">
        <is>
          <t>24 VDC DI</t>
        </is>
      </c>
      <c r="N387" s="129" t="inlineStr">
        <is>
          <t>5069-IB16</t>
        </is>
      </c>
      <c r="O387" s="146" t="n"/>
      <c r="P387" s="146" t="n"/>
      <c r="Q387" s="146" t="n"/>
      <c r="R387" s="146" t="n"/>
      <c r="S387" s="146" t="n"/>
      <c r="T387" s="146" t="n"/>
      <c r="U387" s="146" t="n"/>
      <c r="V387" s="146" t="n"/>
      <c r="W387" s="146" t="n"/>
      <c r="X387" s="146" t="n"/>
      <c r="Y387" s="146" t="n"/>
      <c r="Z387" s="143" t="n"/>
      <c r="AA387" t="inlineStr">
        <is>
          <t>Matched</t>
        </is>
      </c>
      <c r="AB387" s="315" t="n">
        <v>0.99</v>
      </c>
      <c r="AC387" t="inlineStr">
        <is>
          <t>High</t>
        </is>
      </c>
      <c r="AD387" t="n">
        <v>1</v>
      </c>
      <c r="AE387" t="inlineStr">
        <is>
          <t>DG7012</t>
        </is>
      </c>
      <c r="AF387" t="n">
        <v>11</v>
      </c>
      <c r="AG387" t="inlineStr">
        <is>
          <t>drawing</t>
        </is>
      </c>
      <c r="AH387" t="inlineStr">
        <is>
          <t>stacked:isa</t>
        </is>
      </c>
      <c r="AI387" t="inlineStr">
        <is>
          <t>drawing zone; process page; mapped sheet; excel sheet match</t>
        </is>
      </c>
      <c r="AJ387" t="inlineStr">
        <is>
          <t>native</t>
        </is>
      </c>
      <c r="AK387" t="inlineStr">
        <is>
          <t>native-only</t>
        </is>
      </c>
      <c r="AM387" t="inlineStr">
        <is>
          <t>11</t>
        </is>
      </c>
      <c r="AN387" t="inlineStr">
        <is>
          <t>Yes</t>
        </is>
      </c>
      <c r="AO387" t="inlineStr">
        <is>
          <t>mapped sheet id</t>
        </is>
      </c>
      <c r="AP387" t="inlineStr">
        <is>
          <t>p11:native:242, p11:native:243</t>
        </is>
      </c>
      <c r="AQ387" t="n">
        <v>2</v>
      </c>
    </row>
    <row r="388">
      <c r="A388" s="203">
        <f>ROW()-1</f>
        <v/>
      </c>
      <c r="B388" s="133" t="n"/>
      <c r="C388" s="314" t="inlineStr">
        <is>
          <t>RL7-PRM-101-ZSC-08</t>
        </is>
      </c>
      <c r="D388" s="264" t="n"/>
      <c r="E388" s="133" t="n"/>
      <c r="F388" s="141" t="inlineStr">
        <is>
          <t xml:space="preserve">PRE-MIXER GUM / CIP SUPPLY MIX PROOF VALVE CLOSED LIMIT SWITCH </t>
        </is>
      </c>
      <c r="G388" s="142" t="inlineStr">
        <is>
          <t>DG7012</t>
        </is>
      </c>
      <c r="H388" s="133" t="inlineStr">
        <is>
          <t>PROC</t>
        </is>
      </c>
      <c r="I388" s="142" t="inlineStr">
        <is>
          <t>RL7-PRM-RIO1</t>
        </is>
      </c>
      <c r="J388" s="133" t="n">
        <v>10</v>
      </c>
      <c r="K388" s="129" t="n">
        <v>7</v>
      </c>
      <c r="L388" s="129" t="n">
        <v>13</v>
      </c>
      <c r="M388" s="129" t="inlineStr">
        <is>
          <t>24 VDC DI</t>
        </is>
      </c>
      <c r="N388" s="129" t="inlineStr">
        <is>
          <t>5069-IB16</t>
        </is>
      </c>
      <c r="O388" s="146" t="n"/>
      <c r="P388" s="146" t="n"/>
      <c r="Q388" s="146" t="n"/>
      <c r="R388" s="146" t="n"/>
      <c r="S388" s="146" t="n"/>
      <c r="T388" s="146" t="n"/>
      <c r="U388" s="146" t="n"/>
      <c r="V388" s="146" t="n"/>
      <c r="W388" s="146" t="n"/>
      <c r="X388" s="146" t="n"/>
      <c r="Y388" s="146" t="n"/>
      <c r="Z388" s="143" t="n"/>
      <c r="AA388" t="inlineStr">
        <is>
          <t>Matched</t>
        </is>
      </c>
      <c r="AB388" s="315" t="n">
        <v>0.99</v>
      </c>
      <c r="AC388" t="inlineStr">
        <is>
          <t>High</t>
        </is>
      </c>
      <c r="AD388" t="n">
        <v>1</v>
      </c>
      <c r="AE388" t="inlineStr">
        <is>
          <t>DG7012</t>
        </is>
      </c>
      <c r="AF388" t="n">
        <v>11</v>
      </c>
      <c r="AG388" t="inlineStr">
        <is>
          <t>drawing</t>
        </is>
      </c>
      <c r="AH388" t="inlineStr">
        <is>
          <t>stacked:isa</t>
        </is>
      </c>
      <c r="AI388" t="inlineStr">
        <is>
          <t>drawing zone; process page; mapped sheet; excel sheet match</t>
        </is>
      </c>
      <c r="AJ388" t="inlineStr">
        <is>
          <t>native</t>
        </is>
      </c>
      <c r="AK388" t="inlineStr">
        <is>
          <t>native-only</t>
        </is>
      </c>
      <c r="AM388" t="inlineStr">
        <is>
          <t>11</t>
        </is>
      </c>
      <c r="AN388" t="inlineStr">
        <is>
          <t>Yes</t>
        </is>
      </c>
      <c r="AO388" t="inlineStr">
        <is>
          <t>mapped sheet id</t>
        </is>
      </c>
      <c r="AP388" t="inlineStr">
        <is>
          <t>p11:native:266, p11:native:267</t>
        </is>
      </c>
      <c r="AQ388" t="n">
        <v>2</v>
      </c>
    </row>
    <row r="389">
      <c r="A389" s="203">
        <f>ROW()-1</f>
        <v/>
      </c>
      <c r="B389" s="133" t="n"/>
      <c r="C389" s="314" t="inlineStr">
        <is>
          <t>RL7-PRM-101-ZSC-09</t>
        </is>
      </c>
      <c r="D389" s="264" t="n"/>
      <c r="E389" s="133" t="n"/>
      <c r="F389" s="141" t="inlineStr">
        <is>
          <t>PRE-MIXER CIP RETURN MIX PROOF VALVE CLOSED LIMIT SWITCH</t>
        </is>
      </c>
      <c r="G389" s="133" t="inlineStr">
        <is>
          <t>DG7012</t>
        </is>
      </c>
      <c r="H389" s="133" t="inlineStr">
        <is>
          <t>PROC</t>
        </is>
      </c>
      <c r="I389" s="142" t="inlineStr">
        <is>
          <t>RL7-PRM-RIO1</t>
        </is>
      </c>
      <c r="J389" s="133" t="n">
        <v>10</v>
      </c>
      <c r="K389" s="129" t="n">
        <v>7</v>
      </c>
      <c r="L389" s="129" t="n">
        <v>15</v>
      </c>
      <c r="M389" s="129" t="inlineStr">
        <is>
          <t>24 VDC DI</t>
        </is>
      </c>
      <c r="N389" s="129" t="inlineStr">
        <is>
          <t>5069-IB16</t>
        </is>
      </c>
      <c r="O389" s="146" t="n"/>
      <c r="P389" s="146" t="n"/>
      <c r="Q389" s="146" t="n"/>
      <c r="R389" s="146" t="n"/>
      <c r="S389" s="146" t="n"/>
      <c r="T389" s="146" t="n"/>
      <c r="U389" s="146" t="n"/>
      <c r="V389" s="146" t="n"/>
      <c r="W389" s="146" t="n"/>
      <c r="X389" s="146" t="n"/>
      <c r="Y389" s="146" t="n"/>
      <c r="Z389" s="143" t="n"/>
      <c r="AA389" t="inlineStr">
        <is>
          <t>Matched</t>
        </is>
      </c>
      <c r="AB389" s="315" t="n">
        <v>0.99</v>
      </c>
      <c r="AC389" t="inlineStr">
        <is>
          <t>High</t>
        </is>
      </c>
      <c r="AD389" t="n">
        <v>1</v>
      </c>
      <c r="AE389" t="inlineStr">
        <is>
          <t>DG7012</t>
        </is>
      </c>
      <c r="AF389" t="n">
        <v>11</v>
      </c>
      <c r="AG389" t="inlineStr">
        <is>
          <t>drawing</t>
        </is>
      </c>
      <c r="AH389" t="inlineStr">
        <is>
          <t>stacked:isa</t>
        </is>
      </c>
      <c r="AI389" t="inlineStr">
        <is>
          <t>drawing zone; process page; mapped sheet; excel sheet match</t>
        </is>
      </c>
      <c r="AJ389" t="inlineStr">
        <is>
          <t>native</t>
        </is>
      </c>
      <c r="AK389" t="inlineStr">
        <is>
          <t>native-only</t>
        </is>
      </c>
      <c r="AM389" t="inlineStr">
        <is>
          <t>11</t>
        </is>
      </c>
      <c r="AN389" t="inlineStr">
        <is>
          <t>Yes</t>
        </is>
      </c>
      <c r="AO389" t="inlineStr">
        <is>
          <t>mapped sheet id</t>
        </is>
      </c>
      <c r="AP389" t="inlineStr">
        <is>
          <t>p11:native:272, p11:native:273</t>
        </is>
      </c>
      <c r="AQ389" t="n">
        <v>2</v>
      </c>
    </row>
    <row r="390">
      <c r="A390" s="203">
        <f>ROW()-1</f>
        <v/>
      </c>
      <c r="B390" s="128" t="inlineStr">
        <is>
          <t>RL7-PRM-101-ZSO-01</t>
        </is>
      </c>
      <c r="C390" s="314" t="inlineStr">
        <is>
          <t>RL7-PRM-101-ZSO-01</t>
        </is>
      </c>
      <c r="D390" s="262" t="inlineStr">
        <is>
          <t>PRS107191</t>
        </is>
      </c>
      <c r="E390" s="128" t="inlineStr">
        <is>
          <t>JIC2B</t>
        </is>
      </c>
      <c r="F390" s="138" t="inlineStr">
        <is>
          <t>PRE-MIXER LOCKBAR RELEASED</t>
        </is>
      </c>
      <c r="G390" s="131" t="inlineStr">
        <is>
          <t>DG7012</t>
        </is>
      </c>
      <c r="H390" s="128" t="inlineStr">
        <is>
          <t>PROC</t>
        </is>
      </c>
      <c r="I390" s="142" t="inlineStr">
        <is>
          <t>RL7-PRM-RIO1</t>
        </is>
      </c>
      <c r="J390" s="133" t="n">
        <v>10</v>
      </c>
      <c r="K390" s="129" t="n">
        <v>8</v>
      </c>
      <c r="L390" s="129" t="n">
        <v>8</v>
      </c>
      <c r="M390" s="129" t="inlineStr">
        <is>
          <t>24 VDC DI</t>
        </is>
      </c>
      <c r="N390" s="129" t="inlineStr">
        <is>
          <t>5069-IB16</t>
        </is>
      </c>
      <c r="O390" s="139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40" t="n"/>
      <c r="AA390" t="inlineStr">
        <is>
          <t>Matched</t>
        </is>
      </c>
      <c r="AB390" s="315" t="n">
        <v>0.99</v>
      </c>
      <c r="AC390" t="inlineStr">
        <is>
          <t>High</t>
        </is>
      </c>
      <c r="AD390" t="n">
        <v>1</v>
      </c>
      <c r="AE390" t="inlineStr">
        <is>
          <t>DG7012</t>
        </is>
      </c>
      <c r="AF390" t="n">
        <v>11</v>
      </c>
      <c r="AG390" t="inlineStr">
        <is>
          <t>drawing</t>
        </is>
      </c>
      <c r="AH390" t="inlineStr">
        <is>
          <t>stacked:isa</t>
        </is>
      </c>
      <c r="AI390" t="inlineStr">
        <is>
          <t>drawing zone; process page; mapped sheet; excel sheet match</t>
        </is>
      </c>
      <c r="AJ390" t="inlineStr">
        <is>
          <t>native</t>
        </is>
      </c>
      <c r="AK390" t="inlineStr">
        <is>
          <t>native-only</t>
        </is>
      </c>
      <c r="AM390" t="inlineStr">
        <is>
          <t>11</t>
        </is>
      </c>
      <c r="AN390" t="inlineStr">
        <is>
          <t>Yes</t>
        </is>
      </c>
      <c r="AO390" t="inlineStr">
        <is>
          <t>mapped sheet id</t>
        </is>
      </c>
      <c r="AP390" t="inlineStr">
        <is>
          <t>p11:native:121, p11:native:122</t>
        </is>
      </c>
      <c r="AQ390" t="n">
        <v>2</v>
      </c>
    </row>
    <row r="391">
      <c r="A391" s="203">
        <f>ROW()-1</f>
        <v/>
      </c>
      <c r="B391" s="128" t="inlineStr">
        <is>
          <t>RL7-PRM-101-ZSO-02</t>
        </is>
      </c>
      <c r="C391" s="314" t="inlineStr">
        <is>
          <t>RL7-PRM-101-ZSO-02</t>
        </is>
      </c>
      <c r="D391" s="262" t="inlineStr">
        <is>
          <t>VLV107221</t>
        </is>
      </c>
      <c r="E391" s="128" t="inlineStr">
        <is>
          <t>JIC2B</t>
        </is>
      </c>
      <c r="F391" s="138" t="inlineStr">
        <is>
          <t>PRE-MIXER SAFETY GRATE RELEASED</t>
        </is>
      </c>
      <c r="G391" s="131" t="inlineStr">
        <is>
          <t>DG7012</t>
        </is>
      </c>
      <c r="H391" s="128" t="inlineStr">
        <is>
          <t>PROC</t>
        </is>
      </c>
      <c r="I391" s="142" t="inlineStr">
        <is>
          <t>RL7-PRM-RIO1</t>
        </is>
      </c>
      <c r="J391" s="133" t="n">
        <v>10</v>
      </c>
      <c r="K391" s="129" t="n">
        <v>8</v>
      </c>
      <c r="L391" s="129" t="n">
        <v>9</v>
      </c>
      <c r="M391" s="129" t="inlineStr">
        <is>
          <t>24 VDC DI</t>
        </is>
      </c>
      <c r="N391" s="129" t="inlineStr">
        <is>
          <t>5069-IB16</t>
        </is>
      </c>
      <c r="O391" s="139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40" t="n"/>
      <c r="AA391" t="inlineStr">
        <is>
          <t>Matched</t>
        </is>
      </c>
      <c r="AB391" s="315" t="n">
        <v>0.99</v>
      </c>
      <c r="AC391" t="inlineStr">
        <is>
          <t>High</t>
        </is>
      </c>
      <c r="AD391" t="n">
        <v>1</v>
      </c>
      <c r="AE391" t="inlineStr">
        <is>
          <t>DG7012</t>
        </is>
      </c>
      <c r="AF391" t="n">
        <v>11</v>
      </c>
      <c r="AG391" t="inlineStr">
        <is>
          <t>drawing</t>
        </is>
      </c>
      <c r="AH391" t="inlineStr">
        <is>
          <t>stacked:isa</t>
        </is>
      </c>
      <c r="AI391" t="inlineStr">
        <is>
          <t>drawing zone; process page; mapped sheet; excel sheet match</t>
        </is>
      </c>
      <c r="AJ391" t="inlineStr">
        <is>
          <t>native</t>
        </is>
      </c>
      <c r="AK391" t="inlineStr">
        <is>
          <t>native-only</t>
        </is>
      </c>
      <c r="AM391" t="inlineStr">
        <is>
          <t>11</t>
        </is>
      </c>
      <c r="AN391" t="inlineStr">
        <is>
          <t>Yes</t>
        </is>
      </c>
      <c r="AO391" t="inlineStr">
        <is>
          <t>mapped sheet id</t>
        </is>
      </c>
      <c r="AP391" t="inlineStr">
        <is>
          <t>p11:native:151, p11:native:152</t>
        </is>
      </c>
      <c r="AQ391" t="n">
        <v>2</v>
      </c>
    </row>
    <row r="392">
      <c r="A392" s="203">
        <f>ROW()-1</f>
        <v/>
      </c>
      <c r="B392" s="128" t="inlineStr">
        <is>
          <t>RL7-PRM-101-ZSS-01</t>
        </is>
      </c>
      <c r="C392" s="314" t="inlineStr">
        <is>
          <t>RL7-PRM-101-ZSO-03</t>
        </is>
      </c>
      <c r="D392" s="262" t="inlineStr">
        <is>
          <t>PRS107151</t>
        </is>
      </c>
      <c r="E392" s="128" t="inlineStr">
        <is>
          <t>JIC2B</t>
        </is>
      </c>
      <c r="F392" s="141" t="inlineStr">
        <is>
          <t>PRE-MIXER COVER OPEN</t>
        </is>
      </c>
      <c r="G392" s="131" t="inlineStr">
        <is>
          <t>DG7012</t>
        </is>
      </c>
      <c r="H392" s="128" t="inlineStr">
        <is>
          <t>PROC</t>
        </is>
      </c>
      <c r="I392" s="142" t="inlineStr">
        <is>
          <t>RL7-PRM-RIO1</t>
        </is>
      </c>
      <c r="J392" s="133" t="n">
        <v>10</v>
      </c>
      <c r="K392" s="129" t="n">
        <v>8</v>
      </c>
      <c r="L392" s="129" t="n">
        <v>6</v>
      </c>
      <c r="M392" s="129" t="inlineStr">
        <is>
          <t>24 VDC DI</t>
        </is>
      </c>
      <c r="N392" s="129" t="inlineStr">
        <is>
          <t>5069-IB16</t>
        </is>
      </c>
      <c r="O392" s="139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40" t="n"/>
      <c r="AA392" t="inlineStr">
        <is>
          <t>Matched</t>
        </is>
      </c>
      <c r="AB392" s="315" t="n">
        <v>0.99</v>
      </c>
      <c r="AC392" t="inlineStr">
        <is>
          <t>High</t>
        </is>
      </c>
      <c r="AD392" t="n">
        <v>1</v>
      </c>
      <c r="AE392" t="inlineStr">
        <is>
          <t>DG7012</t>
        </is>
      </c>
      <c r="AF392" t="n">
        <v>11</v>
      </c>
      <c r="AG392" t="inlineStr">
        <is>
          <t>drawing</t>
        </is>
      </c>
      <c r="AH392" t="inlineStr">
        <is>
          <t>stacked:isa</t>
        </is>
      </c>
      <c r="AI392" t="inlineStr">
        <is>
          <t>drawing zone; process page; mapped sheet; excel sheet match</t>
        </is>
      </c>
      <c r="AJ392" t="inlineStr">
        <is>
          <t>native</t>
        </is>
      </c>
      <c r="AK392" t="inlineStr">
        <is>
          <t>native-only</t>
        </is>
      </c>
      <c r="AM392" t="inlineStr">
        <is>
          <t>11</t>
        </is>
      </c>
      <c r="AN392" t="inlineStr">
        <is>
          <t>Yes</t>
        </is>
      </c>
      <c r="AO392" t="inlineStr">
        <is>
          <t>mapped sheet id</t>
        </is>
      </c>
      <c r="AP392" t="inlineStr">
        <is>
          <t>p11:native:175, p11:native:176</t>
        </is>
      </c>
      <c r="AQ392" t="n">
        <v>2</v>
      </c>
    </row>
    <row r="393">
      <c r="A393" s="203">
        <f>ROW()-1</f>
        <v/>
      </c>
      <c r="B393" s="133" t="n"/>
      <c r="C393" s="314" t="inlineStr">
        <is>
          <t>RL7-PRM-101-ZSO-05</t>
        </is>
      </c>
      <c r="D393" s="264" t="n"/>
      <c r="E393" s="133" t="n"/>
      <c r="F393" s="141" t="inlineStr">
        <is>
          <t>PRE-MIXER CIPS MIX PROOF VALVE OPEN LIMIT SWITCH</t>
        </is>
      </c>
      <c r="G393" s="131" t="inlineStr">
        <is>
          <t>DG7012</t>
        </is>
      </c>
      <c r="H393" s="128" t="inlineStr">
        <is>
          <t>PROC</t>
        </is>
      </c>
      <c r="I393" s="142" t="inlineStr">
        <is>
          <t>RL7-PRM-RIO1</t>
        </is>
      </c>
      <c r="J393" s="133" t="n">
        <v>10</v>
      </c>
      <c r="K393" s="129" t="n">
        <v>8</v>
      </c>
      <c r="L393" s="129" t="n">
        <v>11</v>
      </c>
      <c r="M393" s="129" t="inlineStr">
        <is>
          <t>24 VDC DI</t>
        </is>
      </c>
      <c r="N393" s="129" t="inlineStr">
        <is>
          <t>5069-IB16</t>
        </is>
      </c>
      <c r="O393" s="146" t="n"/>
      <c r="P393" s="146" t="n"/>
      <c r="Q393" s="146" t="n"/>
      <c r="R393" s="146" t="n"/>
      <c r="S393" s="146" t="n"/>
      <c r="T393" s="146" t="n"/>
      <c r="U393" s="146" t="n"/>
      <c r="V393" s="146" t="n"/>
      <c r="W393" s="146" t="n"/>
      <c r="X393" s="146" t="n"/>
      <c r="Y393" s="146" t="n"/>
      <c r="Z393" s="143" t="n"/>
      <c r="AA393" t="inlineStr">
        <is>
          <t>Matched</t>
        </is>
      </c>
      <c r="AB393" s="315" t="n">
        <v>0.99</v>
      </c>
      <c r="AC393" t="inlineStr">
        <is>
          <t>High</t>
        </is>
      </c>
      <c r="AD393" t="n">
        <v>1</v>
      </c>
      <c r="AE393" t="inlineStr">
        <is>
          <t>DG7012</t>
        </is>
      </c>
      <c r="AF393" t="n">
        <v>11</v>
      </c>
      <c r="AG393" t="inlineStr">
        <is>
          <t>drawing</t>
        </is>
      </c>
      <c r="AH393" t="inlineStr">
        <is>
          <t>stacked:isa</t>
        </is>
      </c>
      <c r="AI393" t="inlineStr">
        <is>
          <t>drawing zone; process page; mapped sheet; excel sheet match</t>
        </is>
      </c>
      <c r="AJ393" t="inlineStr">
        <is>
          <t>native</t>
        </is>
      </c>
      <c r="AK393" t="inlineStr">
        <is>
          <t>native-only</t>
        </is>
      </c>
      <c r="AM393" t="inlineStr">
        <is>
          <t>11</t>
        </is>
      </c>
      <c r="AN393" t="inlineStr">
        <is>
          <t>Yes</t>
        </is>
      </c>
      <c r="AO393" t="inlineStr">
        <is>
          <t>mapped sheet id</t>
        </is>
      </c>
      <c r="AP393" t="inlineStr">
        <is>
          <t>p11:native:225, p11:native:226</t>
        </is>
      </c>
      <c r="AQ393" t="n">
        <v>2</v>
      </c>
    </row>
    <row r="394">
      <c r="A394" s="203">
        <f>ROW()-1</f>
        <v/>
      </c>
      <c r="B394" s="128" t="inlineStr">
        <is>
          <t>RL7-PRM-101-ZSO-05</t>
        </is>
      </c>
      <c r="C394" s="314" t="inlineStr">
        <is>
          <t>RL7-PRM-101-ZSO-05</t>
        </is>
      </c>
      <c r="D394" s="262" t="n"/>
      <c r="E394" s="128" t="n"/>
      <c r="F394" s="138" t="inlineStr">
        <is>
          <t>PRE-MIXER SANITATION VALVE OPEN LIMIT SWITCH</t>
        </is>
      </c>
      <c r="G394" s="131" t="inlineStr">
        <is>
          <t>DG7012</t>
        </is>
      </c>
      <c r="H394" s="128" t="inlineStr">
        <is>
          <t>PROC</t>
        </is>
      </c>
      <c r="I394" s="132" t="inlineStr">
        <is>
          <t>RL7-CKR2-RIO1</t>
        </is>
      </c>
      <c r="J394" s="133" t="n">
        <v>13</v>
      </c>
      <c r="K394" s="129" t="n">
        <v>5</v>
      </c>
      <c r="L394" s="129" t="n">
        <v>12</v>
      </c>
      <c r="M394" s="129" t="inlineStr">
        <is>
          <t>24 VDC DI</t>
        </is>
      </c>
      <c r="N394" s="129" t="inlineStr">
        <is>
          <t>5069-IB16</t>
        </is>
      </c>
      <c r="O394" s="139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40" t="n"/>
      <c r="AA394" t="inlineStr">
        <is>
          <t>Matched</t>
        </is>
      </c>
      <c r="AB394" s="315" t="n">
        <v>0.99</v>
      </c>
      <c r="AC394" t="inlineStr">
        <is>
          <t>High</t>
        </is>
      </c>
      <c r="AD394" t="n">
        <v>1</v>
      </c>
      <c r="AE394" t="inlineStr">
        <is>
          <t>DG7012</t>
        </is>
      </c>
      <c r="AF394" t="n">
        <v>11</v>
      </c>
      <c r="AG394" t="inlineStr">
        <is>
          <t>drawing</t>
        </is>
      </c>
      <c r="AH394" t="inlineStr">
        <is>
          <t>stacked:isa</t>
        </is>
      </c>
      <c r="AI394" t="inlineStr">
        <is>
          <t>drawing zone; process page; mapped sheet; excel sheet match</t>
        </is>
      </c>
      <c r="AJ394" t="inlineStr">
        <is>
          <t>native</t>
        </is>
      </c>
      <c r="AK394" t="inlineStr">
        <is>
          <t>native-only</t>
        </is>
      </c>
      <c r="AM394" t="inlineStr">
        <is>
          <t>11</t>
        </is>
      </c>
      <c r="AN394" t="inlineStr">
        <is>
          <t>Yes</t>
        </is>
      </c>
      <c r="AO394" t="inlineStr">
        <is>
          <t>mapped sheet id</t>
        </is>
      </c>
      <c r="AP394" t="inlineStr">
        <is>
          <t>p11:native:225, p11:native:226</t>
        </is>
      </c>
      <c r="AQ394" t="n">
        <v>2</v>
      </c>
    </row>
    <row r="395">
      <c r="A395" s="203">
        <f>ROW()-1</f>
        <v/>
      </c>
      <c r="B395" s="128" t="inlineStr">
        <is>
          <t>RL7-MLT-106-ZSC-01</t>
        </is>
      </c>
      <c r="C395" s="314" t="inlineStr">
        <is>
          <t>RL7-PRM-101-ZSO-06</t>
        </is>
      </c>
      <c r="D395" s="262" t="n"/>
      <c r="E395" s="128" t="n"/>
      <c r="F395" s="141" t="inlineStr">
        <is>
          <t xml:space="preserve">PRE-MIXER RAW PRODUCT COOKER 1 FILL VALVE OPEN LIMIT SWITCH </t>
        </is>
      </c>
      <c r="G395" s="142" t="inlineStr">
        <is>
          <t>DG7012</t>
        </is>
      </c>
      <c r="H395" s="133" t="inlineStr">
        <is>
          <t>PROC</t>
        </is>
      </c>
      <c r="I395" s="142" t="inlineStr">
        <is>
          <t>RL7-PRM-RIO1</t>
        </is>
      </c>
      <c r="J395" s="133" t="n">
        <v>10</v>
      </c>
      <c r="K395" s="129" t="n">
        <v>7</v>
      </c>
      <c r="L395" s="129" t="n">
        <v>8</v>
      </c>
      <c r="M395" s="129" t="inlineStr">
        <is>
          <t>24 VDC DI</t>
        </is>
      </c>
      <c r="N395" s="129" t="inlineStr">
        <is>
          <t>5069-IB16</t>
        </is>
      </c>
      <c r="O395" s="139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40" t="n"/>
      <c r="AA395" t="inlineStr">
        <is>
          <t>Matched</t>
        </is>
      </c>
      <c r="AB395" s="315" t="n">
        <v>0.99</v>
      </c>
      <c r="AC395" t="inlineStr">
        <is>
          <t>High</t>
        </is>
      </c>
      <c r="AD395" t="n">
        <v>1</v>
      </c>
      <c r="AE395" t="inlineStr">
        <is>
          <t>DG7012</t>
        </is>
      </c>
      <c r="AF395" t="n">
        <v>11</v>
      </c>
      <c r="AG395" t="inlineStr">
        <is>
          <t>drawing</t>
        </is>
      </c>
      <c r="AH395" t="inlineStr">
        <is>
          <t>stacked:isa</t>
        </is>
      </c>
      <c r="AI395" t="inlineStr">
        <is>
          <t>drawing zone; process page; mapped sheet; excel sheet match</t>
        </is>
      </c>
      <c r="AJ395" t="inlineStr">
        <is>
          <t>native</t>
        </is>
      </c>
      <c r="AK395" t="inlineStr">
        <is>
          <t>native-only</t>
        </is>
      </c>
      <c r="AM395" t="inlineStr">
        <is>
          <t>11</t>
        </is>
      </c>
      <c r="AN395" t="inlineStr">
        <is>
          <t>Yes</t>
        </is>
      </c>
      <c r="AO395" t="inlineStr">
        <is>
          <t>mapped sheet id</t>
        </is>
      </c>
      <c r="AP395" t="inlineStr">
        <is>
          <t>p11:native:234, p11:native:235</t>
        </is>
      </c>
      <c r="AQ395" t="n">
        <v>2</v>
      </c>
    </row>
    <row r="396">
      <c r="A396" s="203">
        <f>ROW()-1</f>
        <v/>
      </c>
      <c r="B396" s="133" t="n"/>
      <c r="C396" s="314" t="inlineStr">
        <is>
          <t>RL7-PRM-101-ZSO-07</t>
        </is>
      </c>
      <c r="D396" s="264" t="n"/>
      <c r="E396" s="133" t="n"/>
      <c r="F396" s="141" t="inlineStr">
        <is>
          <t xml:space="preserve">PRE-MIXER RAW PRODUCT COOKER 2 FILL VALVE OPEN LIMIT SWITCH </t>
        </is>
      </c>
      <c r="G396" s="142" t="inlineStr">
        <is>
          <t>DG7012</t>
        </is>
      </c>
      <c r="H396" s="133" t="inlineStr">
        <is>
          <t>PROC</t>
        </is>
      </c>
      <c r="I396" s="142" t="inlineStr">
        <is>
          <t>RL7-PRM-RIO1</t>
        </is>
      </c>
      <c r="J396" s="133" t="n">
        <v>10</v>
      </c>
      <c r="K396" s="129" t="n">
        <v>7</v>
      </c>
      <c r="L396" s="129" t="n">
        <v>10</v>
      </c>
      <c r="M396" s="129" t="inlineStr">
        <is>
          <t>24 VDC DI</t>
        </is>
      </c>
      <c r="N396" s="129" t="inlineStr">
        <is>
          <t>5069-IB16</t>
        </is>
      </c>
      <c r="O396" s="146" t="n"/>
      <c r="P396" s="146" t="n"/>
      <c r="Q396" s="146" t="n"/>
      <c r="R396" s="146" t="n"/>
      <c r="S396" s="146" t="n"/>
      <c r="T396" s="146" t="n"/>
      <c r="U396" s="146" t="n"/>
      <c r="V396" s="146" t="n"/>
      <c r="W396" s="146" t="n"/>
      <c r="X396" s="146" t="n"/>
      <c r="Y396" s="146" t="n"/>
      <c r="Z396" s="143" t="n"/>
      <c r="AA396" t="inlineStr">
        <is>
          <t>Matched</t>
        </is>
      </c>
      <c r="AB396" s="315" t="n">
        <v>0.99</v>
      </c>
      <c r="AC396" t="inlineStr">
        <is>
          <t>High</t>
        </is>
      </c>
      <c r="AD396" t="n">
        <v>1</v>
      </c>
      <c r="AE396" t="inlineStr">
        <is>
          <t>DG7012</t>
        </is>
      </c>
      <c r="AF396" t="n">
        <v>11</v>
      </c>
      <c r="AG396" t="inlineStr">
        <is>
          <t>drawing</t>
        </is>
      </c>
      <c r="AH396" t="inlineStr">
        <is>
          <t>stacked:isa</t>
        </is>
      </c>
      <c r="AI396" t="inlineStr">
        <is>
          <t>drawing zone; process page; mapped sheet; excel sheet match</t>
        </is>
      </c>
      <c r="AJ396" t="inlineStr">
        <is>
          <t>native</t>
        </is>
      </c>
      <c r="AK396" t="inlineStr">
        <is>
          <t>native-only</t>
        </is>
      </c>
      <c r="AM396" t="inlineStr">
        <is>
          <t>11</t>
        </is>
      </c>
      <c r="AN396" t="inlineStr">
        <is>
          <t>Yes</t>
        </is>
      </c>
      <c r="AO396" t="inlineStr">
        <is>
          <t>mapped sheet id</t>
        </is>
      </c>
      <c r="AP396" t="inlineStr">
        <is>
          <t>p11:native:240, p11:native:241</t>
        </is>
      </c>
      <c r="AQ396" t="n">
        <v>2</v>
      </c>
    </row>
    <row r="397">
      <c r="A397" s="203">
        <f>ROW()-1</f>
        <v/>
      </c>
      <c r="B397" s="133" t="n"/>
      <c r="C397" s="314" t="inlineStr">
        <is>
          <t>RL7-PRM-101-ZSO-08</t>
        </is>
      </c>
      <c r="D397" s="264" t="n"/>
      <c r="E397" s="133" t="n"/>
      <c r="F397" s="141" t="inlineStr">
        <is>
          <t xml:space="preserve">PRE-MIXER GUM / CIP SUPPLY MIX PROOF VALVE OPEN LIMIT SWITCH </t>
        </is>
      </c>
      <c r="G397" s="142" t="inlineStr">
        <is>
          <t>DG7012</t>
        </is>
      </c>
      <c r="H397" s="133" t="inlineStr">
        <is>
          <t>PROC</t>
        </is>
      </c>
      <c r="I397" s="142" t="inlineStr">
        <is>
          <t>RL7-PRM-RIO1</t>
        </is>
      </c>
      <c r="J397" s="133" t="n">
        <v>10</v>
      </c>
      <c r="K397" s="129" t="n">
        <v>7</v>
      </c>
      <c r="L397" s="129" t="n">
        <v>12</v>
      </c>
      <c r="M397" s="129" t="inlineStr">
        <is>
          <t>24 VDC DI</t>
        </is>
      </c>
      <c r="N397" s="129" t="inlineStr">
        <is>
          <t>5069-IB16</t>
        </is>
      </c>
      <c r="O397" s="146" t="n"/>
      <c r="P397" s="146" t="n"/>
      <c r="Q397" s="146" t="n"/>
      <c r="R397" s="146" t="n"/>
      <c r="S397" s="146" t="n"/>
      <c r="T397" s="146" t="n"/>
      <c r="U397" s="146" t="n"/>
      <c r="V397" s="146" t="n"/>
      <c r="W397" s="146" t="n"/>
      <c r="X397" s="146" t="n"/>
      <c r="Y397" s="146" t="n"/>
      <c r="Z397" s="143" t="n"/>
      <c r="AA397" t="inlineStr">
        <is>
          <t>Matched</t>
        </is>
      </c>
      <c r="AB397" s="315" t="n">
        <v>0.99</v>
      </c>
      <c r="AC397" t="inlineStr">
        <is>
          <t>High</t>
        </is>
      </c>
      <c r="AD397" t="n">
        <v>1</v>
      </c>
      <c r="AE397" t="inlineStr">
        <is>
          <t>DG7012</t>
        </is>
      </c>
      <c r="AF397" t="n">
        <v>11</v>
      </c>
      <c r="AG397" t="inlineStr">
        <is>
          <t>drawing</t>
        </is>
      </c>
      <c r="AH397" t="inlineStr">
        <is>
          <t>stacked:isa</t>
        </is>
      </c>
      <c r="AI397" t="inlineStr">
        <is>
          <t>drawing zone; process page; mapped sheet; excel sheet match</t>
        </is>
      </c>
      <c r="AJ397" t="inlineStr">
        <is>
          <t>native</t>
        </is>
      </c>
      <c r="AK397" t="inlineStr">
        <is>
          <t>native-only</t>
        </is>
      </c>
      <c r="AM397" t="inlineStr">
        <is>
          <t>11</t>
        </is>
      </c>
      <c r="AN397" t="inlineStr">
        <is>
          <t>Yes</t>
        </is>
      </c>
      <c r="AO397" t="inlineStr">
        <is>
          <t>mapped sheet id</t>
        </is>
      </c>
      <c r="AP397" t="inlineStr">
        <is>
          <t>p11:native:264, p11:native:265</t>
        </is>
      </c>
      <c r="AQ397" t="n">
        <v>2</v>
      </c>
    </row>
    <row r="398">
      <c r="A398" s="203">
        <f>ROW()-1</f>
        <v/>
      </c>
      <c r="B398" s="133" t="n"/>
      <c r="C398" s="314" t="inlineStr">
        <is>
          <t>RL7-PRM-101-ZSO-09</t>
        </is>
      </c>
      <c r="D398" s="264" t="n"/>
      <c r="E398" s="133" t="n"/>
      <c r="F398" s="141" t="inlineStr">
        <is>
          <t>PRE-MIXER CIP RETURN MIX PROOF VALVE OPEN LIMIT SWITCH</t>
        </is>
      </c>
      <c r="G398" s="142" t="inlineStr">
        <is>
          <t>DG7012</t>
        </is>
      </c>
      <c r="H398" s="133" t="inlineStr">
        <is>
          <t>PROC</t>
        </is>
      </c>
      <c r="I398" s="142" t="inlineStr">
        <is>
          <t>RL7-PRM-RIO1</t>
        </is>
      </c>
      <c r="J398" s="133" t="n">
        <v>10</v>
      </c>
      <c r="K398" s="129" t="n">
        <v>7</v>
      </c>
      <c r="L398" s="129" t="n">
        <v>14</v>
      </c>
      <c r="M398" s="129" t="inlineStr">
        <is>
          <t>24 VDC DI</t>
        </is>
      </c>
      <c r="N398" s="129" t="inlineStr">
        <is>
          <t>5069-IB16</t>
        </is>
      </c>
      <c r="O398" s="146" t="n"/>
      <c r="P398" s="146" t="n"/>
      <c r="Q398" s="146" t="n"/>
      <c r="R398" s="146" t="n"/>
      <c r="S398" s="146" t="n"/>
      <c r="T398" s="146" t="n"/>
      <c r="U398" s="146" t="n"/>
      <c r="V398" s="146" t="n"/>
      <c r="W398" s="146" t="n"/>
      <c r="X398" s="146" t="n"/>
      <c r="Y398" s="146" t="n"/>
      <c r="Z398" s="143" t="n"/>
      <c r="AA398" t="inlineStr">
        <is>
          <t>Matched</t>
        </is>
      </c>
      <c r="AB398" s="315" t="n">
        <v>0.99</v>
      </c>
      <c r="AC398" t="inlineStr">
        <is>
          <t>High</t>
        </is>
      </c>
      <c r="AD398" t="n">
        <v>1</v>
      </c>
      <c r="AE398" t="inlineStr">
        <is>
          <t>DG7012</t>
        </is>
      </c>
      <c r="AF398" t="n">
        <v>11</v>
      </c>
      <c r="AG398" t="inlineStr">
        <is>
          <t>drawing</t>
        </is>
      </c>
      <c r="AH398" t="inlineStr">
        <is>
          <t>stacked:isa</t>
        </is>
      </c>
      <c r="AI398" t="inlineStr">
        <is>
          <t>drawing zone; process page; mapped sheet; excel sheet match</t>
        </is>
      </c>
      <c r="AJ398" t="inlineStr">
        <is>
          <t>native</t>
        </is>
      </c>
      <c r="AK398" t="inlineStr">
        <is>
          <t>native-only</t>
        </is>
      </c>
      <c r="AM398" t="inlineStr">
        <is>
          <t>11</t>
        </is>
      </c>
      <c r="AN398" t="inlineStr">
        <is>
          <t>Yes</t>
        </is>
      </c>
      <c r="AO398" t="inlineStr">
        <is>
          <t>mapped sheet id</t>
        </is>
      </c>
      <c r="AP398" t="inlineStr">
        <is>
          <t>p11:native:270, p11:native:271</t>
        </is>
      </c>
      <c r="AQ398" t="n">
        <v>2</v>
      </c>
    </row>
    <row r="399">
      <c r="A399" s="203">
        <f>ROW()-1</f>
        <v/>
      </c>
      <c r="B399" s="128" t="inlineStr">
        <is>
          <t>RL7-PRM-101-ZSS-01</t>
        </is>
      </c>
      <c r="C399" s="314" t="inlineStr">
        <is>
          <t>RL7-PRM-101-ZSS-01</t>
        </is>
      </c>
      <c r="D399" s="262" t="inlineStr">
        <is>
          <t>PRS106021</t>
        </is>
      </c>
      <c r="E399" s="128" t="inlineStr">
        <is>
          <t>JIC2B</t>
        </is>
      </c>
      <c r="F399" s="138" t="inlineStr">
        <is>
          <t>PRE-MIXER MIXER COVER CLOSED SAFETY INPUT CH1</t>
        </is>
      </c>
      <c r="G399" s="131" t="inlineStr">
        <is>
          <t>DG7012</t>
        </is>
      </c>
      <c r="H399" s="128" t="inlineStr">
        <is>
          <t>PROC</t>
        </is>
      </c>
      <c r="I399" s="142" t="inlineStr">
        <is>
          <t>RL7-PRM-RIO1</t>
        </is>
      </c>
      <c r="J399" s="133" t="n">
        <v>10</v>
      </c>
      <c r="K399" s="129" t="n">
        <v>4</v>
      </c>
      <c r="L399" s="129" t="n">
        <v>4</v>
      </c>
      <c r="M399" s="129" t="inlineStr">
        <is>
          <t>24 VDC SI</t>
        </is>
      </c>
      <c r="N399" s="129" t="inlineStr">
        <is>
          <t>5069-IB8S</t>
        </is>
      </c>
      <c r="O399" s="139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40" t="n"/>
      <c r="AA399" t="inlineStr">
        <is>
          <t>Matched</t>
        </is>
      </c>
      <c r="AB399" s="315" t="n">
        <v>0.99</v>
      </c>
      <c r="AC399" t="inlineStr">
        <is>
          <t>High</t>
        </is>
      </c>
      <c r="AD399" t="n">
        <v>1</v>
      </c>
      <c r="AE399" t="inlineStr">
        <is>
          <t>DG7012</t>
        </is>
      </c>
      <c r="AF399" t="n">
        <v>11</v>
      </c>
      <c r="AG399" t="inlineStr">
        <is>
          <t>drawing</t>
        </is>
      </c>
      <c r="AH399" t="inlineStr">
        <is>
          <t>stacked:isa</t>
        </is>
      </c>
      <c r="AI399" t="inlineStr">
        <is>
          <t>drawing zone; process page; mapped sheet; excel sheet match</t>
        </is>
      </c>
      <c r="AJ399" t="inlineStr">
        <is>
          <t>native</t>
        </is>
      </c>
      <c r="AK399" t="inlineStr">
        <is>
          <t>native-only</t>
        </is>
      </c>
      <c r="AM399" t="inlineStr">
        <is>
          <t>11</t>
        </is>
      </c>
      <c r="AN399" t="inlineStr">
        <is>
          <t>Yes</t>
        </is>
      </c>
      <c r="AO399" t="inlineStr">
        <is>
          <t>mapped sheet id</t>
        </is>
      </c>
      <c r="AP399" t="inlineStr">
        <is>
          <t>p11:native:103, p11:native:104</t>
        </is>
      </c>
      <c r="AQ399" t="n">
        <v>2</v>
      </c>
    </row>
    <row r="400">
      <c r="A400" s="203">
        <f>ROW()-1</f>
        <v/>
      </c>
      <c r="B400" s="128" t="inlineStr">
        <is>
          <t>RL7-PRM-101-ZSS-01</t>
        </is>
      </c>
      <c r="C400" s="314" t="inlineStr">
        <is>
          <t>RL7-PRM-101-ZSS-01</t>
        </is>
      </c>
      <c r="D400" s="262" t="inlineStr">
        <is>
          <t>PRS106021</t>
        </is>
      </c>
      <c r="E400" s="128" t="inlineStr">
        <is>
          <t>JIC2B</t>
        </is>
      </c>
      <c r="F400" s="138" t="inlineStr">
        <is>
          <t>PRE-MIXER MIXER COVER CLOSED SAFETY INPUT CH2</t>
        </is>
      </c>
      <c r="G400" s="131" t="inlineStr">
        <is>
          <t>DG7012</t>
        </is>
      </c>
      <c r="H400" s="128" t="inlineStr">
        <is>
          <t>PROC</t>
        </is>
      </c>
      <c r="I400" s="142" t="inlineStr">
        <is>
          <t>RL7-PRM-RIO1</t>
        </is>
      </c>
      <c r="J400" s="133" t="n">
        <v>10</v>
      </c>
      <c r="K400" s="129" t="n">
        <v>4</v>
      </c>
      <c r="L400" s="129" t="n">
        <v>5</v>
      </c>
      <c r="M400" s="129" t="inlineStr">
        <is>
          <t>24 VDC SI</t>
        </is>
      </c>
      <c r="N400" s="129" t="inlineStr">
        <is>
          <t>5069-IB8S</t>
        </is>
      </c>
      <c r="O400" s="139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40" t="n"/>
      <c r="AA400" t="inlineStr">
        <is>
          <t>Matched</t>
        </is>
      </c>
      <c r="AB400" s="315" t="n">
        <v>0.99</v>
      </c>
      <c r="AC400" t="inlineStr">
        <is>
          <t>High</t>
        </is>
      </c>
      <c r="AD400" t="n">
        <v>1</v>
      </c>
      <c r="AE400" t="inlineStr">
        <is>
          <t>DG7012</t>
        </is>
      </c>
      <c r="AF400" t="n">
        <v>11</v>
      </c>
      <c r="AG400" t="inlineStr">
        <is>
          <t>drawing</t>
        </is>
      </c>
      <c r="AH400" t="inlineStr">
        <is>
          <t>stacked:isa</t>
        </is>
      </c>
      <c r="AI400" t="inlineStr">
        <is>
          <t>drawing zone; process page; mapped sheet; excel sheet match</t>
        </is>
      </c>
      <c r="AJ400" t="inlineStr">
        <is>
          <t>native</t>
        </is>
      </c>
      <c r="AK400" t="inlineStr">
        <is>
          <t>native-only</t>
        </is>
      </c>
      <c r="AM400" t="inlineStr">
        <is>
          <t>11</t>
        </is>
      </c>
      <c r="AN400" t="inlineStr">
        <is>
          <t>Yes</t>
        </is>
      </c>
      <c r="AO400" t="inlineStr">
        <is>
          <t>mapped sheet id</t>
        </is>
      </c>
      <c r="AP400" t="inlineStr">
        <is>
          <t>p11:native:103, p11:native:104</t>
        </is>
      </c>
      <c r="AQ400" t="n">
        <v>2</v>
      </c>
    </row>
    <row r="401">
      <c r="A401" s="203">
        <f>ROW()-1</f>
        <v/>
      </c>
      <c r="B401" s="128" t="inlineStr">
        <is>
          <t>RL7-PRM-101-ZSS-02</t>
        </is>
      </c>
      <c r="C401" s="314" t="inlineStr">
        <is>
          <t>RL7-PRM-101-ZSS-02</t>
        </is>
      </c>
      <c r="D401" s="262" t="inlineStr">
        <is>
          <t>PRS106061</t>
        </is>
      </c>
      <c r="E401" s="128" t="inlineStr">
        <is>
          <t>JIC2B</t>
        </is>
      </c>
      <c r="F401" s="138" t="inlineStr">
        <is>
          <t>PRE-MIXER SAFETY GRATE SAFETY INPUT CH1</t>
        </is>
      </c>
      <c r="G401" s="131" t="inlineStr">
        <is>
          <t>DG7012</t>
        </is>
      </c>
      <c r="H401" s="128" t="inlineStr">
        <is>
          <t>PROC</t>
        </is>
      </c>
      <c r="I401" s="142" t="inlineStr">
        <is>
          <t>RL7-PRM-RIO1</t>
        </is>
      </c>
      <c r="J401" s="133" t="n">
        <v>10</v>
      </c>
      <c r="K401" s="129" t="n">
        <v>3</v>
      </c>
      <c r="L401" s="129" t="n">
        <v>0</v>
      </c>
      <c r="M401" s="129" t="inlineStr">
        <is>
          <t>24 VDC SI</t>
        </is>
      </c>
      <c r="N401" s="129" t="inlineStr">
        <is>
          <t>5069-IB8S</t>
        </is>
      </c>
      <c r="O401" s="139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40" t="n"/>
      <c r="AA401" t="inlineStr">
        <is>
          <t>Matched</t>
        </is>
      </c>
      <c r="AB401" s="315" t="n">
        <v>0.99</v>
      </c>
      <c r="AC401" t="inlineStr">
        <is>
          <t>High</t>
        </is>
      </c>
      <c r="AD401" t="n">
        <v>1</v>
      </c>
      <c r="AE401" t="inlineStr">
        <is>
          <t>DG7012</t>
        </is>
      </c>
      <c r="AF401" t="n">
        <v>11</v>
      </c>
      <c r="AG401" t="inlineStr">
        <is>
          <t>drawing</t>
        </is>
      </c>
      <c r="AH401" t="inlineStr">
        <is>
          <t>stacked:isa</t>
        </is>
      </c>
      <c r="AI401" t="inlineStr">
        <is>
          <t>drawing zone; process page; mapped sheet; excel sheet match</t>
        </is>
      </c>
      <c r="AJ401" t="inlineStr">
        <is>
          <t>native</t>
        </is>
      </c>
      <c r="AK401" t="inlineStr">
        <is>
          <t>native-only</t>
        </is>
      </c>
      <c r="AM401" t="inlineStr">
        <is>
          <t>11</t>
        </is>
      </c>
      <c r="AN401" t="inlineStr">
        <is>
          <t>Yes</t>
        </is>
      </c>
      <c r="AO401" t="inlineStr">
        <is>
          <t>mapped sheet id</t>
        </is>
      </c>
      <c r="AP401" t="inlineStr">
        <is>
          <t>p11:native:101, p11:native:102</t>
        </is>
      </c>
      <c r="AQ401" t="n">
        <v>2</v>
      </c>
    </row>
    <row r="402">
      <c r="A402" s="203">
        <f>ROW()-1</f>
        <v/>
      </c>
      <c r="B402" s="128" t="inlineStr">
        <is>
          <t>RL7-PRM-101-ZSS-02</t>
        </is>
      </c>
      <c r="C402" s="314" t="inlineStr">
        <is>
          <t>RL7-PRM-101-ZSS-02</t>
        </is>
      </c>
      <c r="D402" s="262" t="inlineStr">
        <is>
          <t>PRS106061</t>
        </is>
      </c>
      <c r="E402" s="128" t="inlineStr">
        <is>
          <t>JIC2B</t>
        </is>
      </c>
      <c r="F402" s="138" t="inlineStr">
        <is>
          <t>PRE-MIXER SAFETY GRATE SAFETY INPUT CH2</t>
        </is>
      </c>
      <c r="G402" s="131" t="inlineStr">
        <is>
          <t>DG7012</t>
        </is>
      </c>
      <c r="H402" s="128" t="inlineStr">
        <is>
          <t>PROC</t>
        </is>
      </c>
      <c r="I402" s="142" t="inlineStr">
        <is>
          <t>RL7-PRM-RIO1</t>
        </is>
      </c>
      <c r="J402" s="133" t="n">
        <v>10</v>
      </c>
      <c r="K402" s="129" t="n">
        <v>3</v>
      </c>
      <c r="L402" s="129" t="n">
        <v>1</v>
      </c>
      <c r="M402" s="129" t="inlineStr">
        <is>
          <t>24 VDC SI</t>
        </is>
      </c>
      <c r="N402" s="129" t="inlineStr">
        <is>
          <t>5069-IB8S</t>
        </is>
      </c>
      <c r="O402" s="139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40" t="n"/>
      <c r="AA402" t="inlineStr">
        <is>
          <t>Matched</t>
        </is>
      </c>
      <c r="AB402" s="315" t="n">
        <v>0.99</v>
      </c>
      <c r="AC402" t="inlineStr">
        <is>
          <t>High</t>
        </is>
      </c>
      <c r="AD402" t="n">
        <v>1</v>
      </c>
      <c r="AE402" t="inlineStr">
        <is>
          <t>DG7012</t>
        </is>
      </c>
      <c r="AF402" t="n">
        <v>11</v>
      </c>
      <c r="AG402" t="inlineStr">
        <is>
          <t>drawing</t>
        </is>
      </c>
      <c r="AH402" t="inlineStr">
        <is>
          <t>stacked:isa</t>
        </is>
      </c>
      <c r="AI402" t="inlineStr">
        <is>
          <t>drawing zone; process page; mapped sheet; excel sheet match</t>
        </is>
      </c>
      <c r="AJ402" t="inlineStr">
        <is>
          <t>native</t>
        </is>
      </c>
      <c r="AK402" t="inlineStr">
        <is>
          <t>native-only</t>
        </is>
      </c>
      <c r="AM402" t="inlineStr">
        <is>
          <t>11</t>
        </is>
      </c>
      <c r="AN402" t="inlineStr">
        <is>
          <t>Yes</t>
        </is>
      </c>
      <c r="AO402" t="inlineStr">
        <is>
          <t>mapped sheet id</t>
        </is>
      </c>
      <c r="AP402" t="inlineStr">
        <is>
          <t>p11:native:101, p11:native:102</t>
        </is>
      </c>
      <c r="AQ402" t="n">
        <v>2</v>
      </c>
    </row>
    <row r="403">
      <c r="A403" s="203">
        <f>ROW()-1</f>
        <v/>
      </c>
      <c r="B403" s="128" t="inlineStr">
        <is>
          <t>RL7-PRM-101-ZSS-03</t>
        </is>
      </c>
      <c r="C403" s="314" t="inlineStr">
        <is>
          <t>RL7-PRM-101-ZSS-03</t>
        </is>
      </c>
      <c r="D403" s="262" t="inlineStr">
        <is>
          <t>PRS106091</t>
        </is>
      </c>
      <c r="E403" s="128" t="inlineStr">
        <is>
          <t>JIC2B</t>
        </is>
      </c>
      <c r="F403" s="138" t="inlineStr">
        <is>
          <t>PRE-MIXER DISCHARGE SCREW GUARD SAFETY INPUT CH1</t>
        </is>
      </c>
      <c r="G403" s="131" t="inlineStr">
        <is>
          <t>DG7012</t>
        </is>
      </c>
      <c r="H403" s="128" t="inlineStr">
        <is>
          <t>PROC</t>
        </is>
      </c>
      <c r="I403" s="142" t="inlineStr">
        <is>
          <t>RL7-PRM-RIO1</t>
        </is>
      </c>
      <c r="J403" s="133" t="n">
        <v>10</v>
      </c>
      <c r="K403" s="129" t="n">
        <v>3</v>
      </c>
      <c r="L403" s="129" t="n">
        <v>2</v>
      </c>
      <c r="M403" s="129" t="inlineStr">
        <is>
          <t>24 VDC SI</t>
        </is>
      </c>
      <c r="N403" s="129" t="inlineStr">
        <is>
          <t>5069-IB8S</t>
        </is>
      </c>
      <c r="O403" s="139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40" t="n"/>
      <c r="AA403" t="inlineStr">
        <is>
          <t>Matched</t>
        </is>
      </c>
      <c r="AB403" s="315" t="n">
        <v>0.99</v>
      </c>
      <c r="AC403" t="inlineStr">
        <is>
          <t>High</t>
        </is>
      </c>
      <c r="AD403" t="n">
        <v>1</v>
      </c>
      <c r="AE403" t="inlineStr">
        <is>
          <t>DG7012</t>
        </is>
      </c>
      <c r="AF403" t="n">
        <v>11</v>
      </c>
      <c r="AG403" t="inlineStr">
        <is>
          <t>drawing</t>
        </is>
      </c>
      <c r="AH403" t="inlineStr">
        <is>
          <t>stacked:isa</t>
        </is>
      </c>
      <c r="AI403" t="inlineStr">
        <is>
          <t>drawing zone; process page; mapped sheet; excel sheet match</t>
        </is>
      </c>
      <c r="AJ403" t="inlineStr">
        <is>
          <t>native</t>
        </is>
      </c>
      <c r="AK403" t="inlineStr">
        <is>
          <t>native-only</t>
        </is>
      </c>
      <c r="AM403" t="inlineStr">
        <is>
          <t>11</t>
        </is>
      </c>
      <c r="AN403" t="inlineStr">
        <is>
          <t>Yes</t>
        </is>
      </c>
      <c r="AO403" t="inlineStr">
        <is>
          <t>mapped sheet id</t>
        </is>
      </c>
      <c r="AP403" t="inlineStr">
        <is>
          <t>p11:native:204, p11:native:205</t>
        </is>
      </c>
      <c r="AQ403" t="n">
        <v>2</v>
      </c>
    </row>
    <row r="404">
      <c r="A404" s="203">
        <f>ROW()-1</f>
        <v/>
      </c>
      <c r="B404" s="128" t="inlineStr">
        <is>
          <t>RL7-PRM-101-ZSS-03</t>
        </is>
      </c>
      <c r="C404" s="314" t="inlineStr">
        <is>
          <t>RL7-PRM-101-ZSS-03</t>
        </is>
      </c>
      <c r="D404" s="262" t="inlineStr">
        <is>
          <t>PRS106091</t>
        </is>
      </c>
      <c r="E404" s="128" t="inlineStr">
        <is>
          <t>JIC2B</t>
        </is>
      </c>
      <c r="F404" s="138" t="inlineStr">
        <is>
          <t>PRE-MIXER DISCHARGE SCREW GUARD SAFETY INPUT CH2</t>
        </is>
      </c>
      <c r="G404" s="131" t="inlineStr">
        <is>
          <t>DG7012</t>
        </is>
      </c>
      <c r="H404" s="128" t="inlineStr">
        <is>
          <t>PROC</t>
        </is>
      </c>
      <c r="I404" s="142" t="inlineStr">
        <is>
          <t>RL7-PRM-RIO1</t>
        </is>
      </c>
      <c r="J404" s="133" t="n">
        <v>10</v>
      </c>
      <c r="K404" s="129" t="n">
        <v>3</v>
      </c>
      <c r="L404" s="129" t="n">
        <v>3</v>
      </c>
      <c r="M404" s="129" t="inlineStr">
        <is>
          <t>24 VDC SI</t>
        </is>
      </c>
      <c r="N404" s="129" t="inlineStr">
        <is>
          <t>5069-IB8S</t>
        </is>
      </c>
      <c r="O404" s="139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40" t="n"/>
      <c r="AA404" t="inlineStr">
        <is>
          <t>Matched</t>
        </is>
      </c>
      <c r="AB404" s="315" t="n">
        <v>0.99</v>
      </c>
      <c r="AC404" t="inlineStr">
        <is>
          <t>High</t>
        </is>
      </c>
      <c r="AD404" t="n">
        <v>1</v>
      </c>
      <c r="AE404" t="inlineStr">
        <is>
          <t>DG7012</t>
        </is>
      </c>
      <c r="AF404" t="n">
        <v>11</v>
      </c>
      <c r="AG404" t="inlineStr">
        <is>
          <t>drawing</t>
        </is>
      </c>
      <c r="AH404" t="inlineStr">
        <is>
          <t>stacked:isa</t>
        </is>
      </c>
      <c r="AI404" t="inlineStr">
        <is>
          <t>drawing zone; process page; mapped sheet; excel sheet match</t>
        </is>
      </c>
      <c r="AJ404" t="inlineStr">
        <is>
          <t>native</t>
        </is>
      </c>
      <c r="AK404" t="inlineStr">
        <is>
          <t>native-only</t>
        </is>
      </c>
      <c r="AM404" t="inlineStr">
        <is>
          <t>11</t>
        </is>
      </c>
      <c r="AN404" t="inlineStr">
        <is>
          <t>Yes</t>
        </is>
      </c>
      <c r="AO404" t="inlineStr">
        <is>
          <t>mapped sheet id</t>
        </is>
      </c>
      <c r="AP404" t="inlineStr">
        <is>
          <t>p11:native:204, p11:native:205</t>
        </is>
      </c>
      <c r="AQ404" t="n">
        <v>2</v>
      </c>
    </row>
    <row r="405">
      <c r="A405" s="203">
        <f>ROW()-1</f>
        <v/>
      </c>
      <c r="B405" s="128" t="inlineStr">
        <is>
          <t>RL7-PRM-101-ZSS-04</t>
        </is>
      </c>
      <c r="C405" s="314" t="inlineStr">
        <is>
          <t>RL7-PRM-101-ZSS-04</t>
        </is>
      </c>
      <c r="D405" s="262" t="inlineStr">
        <is>
          <t>PRS106221</t>
        </is>
      </c>
      <c r="E405" s="128" t="inlineStr">
        <is>
          <t>JIC2B</t>
        </is>
      </c>
      <c r="F405" s="138" t="inlineStr">
        <is>
          <t>PRE-MIXER HATCH COVER CLOSED SAFETY INPUT CH1</t>
        </is>
      </c>
      <c r="G405" s="131" t="inlineStr">
        <is>
          <t>DG7012</t>
        </is>
      </c>
      <c r="H405" s="128" t="inlineStr">
        <is>
          <t>PROC</t>
        </is>
      </c>
      <c r="I405" s="142" t="inlineStr">
        <is>
          <t>RL7-PRM-RIO1</t>
        </is>
      </c>
      <c r="J405" s="133" t="n">
        <v>10</v>
      </c>
      <c r="K405" s="129" t="n">
        <v>3</v>
      </c>
      <c r="L405" s="129" t="n">
        <v>6</v>
      </c>
      <c r="M405" s="129" t="inlineStr">
        <is>
          <t>24 VDC SI</t>
        </is>
      </c>
      <c r="N405" s="129" t="inlineStr">
        <is>
          <t>5069-IB8S</t>
        </is>
      </c>
      <c r="O405" s="139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40" t="n"/>
      <c r="AA405" t="inlineStr">
        <is>
          <t>Matched</t>
        </is>
      </c>
      <c r="AB405" s="315" t="n">
        <v>0.99</v>
      </c>
      <c r="AC405" t="inlineStr">
        <is>
          <t>High</t>
        </is>
      </c>
      <c r="AD405" t="n">
        <v>1</v>
      </c>
      <c r="AE405" t="inlineStr">
        <is>
          <t>DG7012</t>
        </is>
      </c>
      <c r="AF405" t="n">
        <v>11</v>
      </c>
      <c r="AG405" t="inlineStr">
        <is>
          <t>drawing</t>
        </is>
      </c>
      <c r="AH405" t="inlineStr">
        <is>
          <t>stacked:isa</t>
        </is>
      </c>
      <c r="AI405" t="inlineStr">
        <is>
          <t>drawing zone; process page; mapped sheet; excel sheet match</t>
        </is>
      </c>
      <c r="AJ405" t="inlineStr">
        <is>
          <t>native</t>
        </is>
      </c>
      <c r="AK405" t="inlineStr">
        <is>
          <t>native-only</t>
        </is>
      </c>
      <c r="AM405" t="inlineStr">
        <is>
          <t>11</t>
        </is>
      </c>
      <c r="AN405" t="inlineStr">
        <is>
          <t>Yes</t>
        </is>
      </c>
      <c r="AO405" t="inlineStr">
        <is>
          <t>mapped sheet id</t>
        </is>
      </c>
      <c r="AP405" t="inlineStr">
        <is>
          <t>p11:native:145, p11:native:146</t>
        </is>
      </c>
      <c r="AQ405" t="n">
        <v>2</v>
      </c>
    </row>
    <row r="406">
      <c r="A406" s="203">
        <f>ROW()-1</f>
        <v/>
      </c>
      <c r="B406" s="128" t="inlineStr">
        <is>
          <t>RL7-PRM-101-ZSS-04</t>
        </is>
      </c>
      <c r="C406" s="314" t="inlineStr">
        <is>
          <t>RL7-PRM-101-ZSS-04</t>
        </is>
      </c>
      <c r="D406" s="262" t="inlineStr">
        <is>
          <t>PRS106221</t>
        </is>
      </c>
      <c r="E406" s="128" t="inlineStr">
        <is>
          <t>JIC2B</t>
        </is>
      </c>
      <c r="F406" s="138" t="inlineStr">
        <is>
          <t>PRE-MIXER HATCH COVER CLOSED SAFETY INPUT CH2</t>
        </is>
      </c>
      <c r="G406" s="131" t="inlineStr">
        <is>
          <t>DG7012</t>
        </is>
      </c>
      <c r="H406" s="128" t="inlineStr">
        <is>
          <t>PROC</t>
        </is>
      </c>
      <c r="I406" s="142" t="inlineStr">
        <is>
          <t>RL7-PRM-RIO1</t>
        </is>
      </c>
      <c r="J406" s="133" t="n">
        <v>10</v>
      </c>
      <c r="K406" s="129" t="n">
        <v>3</v>
      </c>
      <c r="L406" s="129" t="n">
        <v>7</v>
      </c>
      <c r="M406" s="129" t="inlineStr">
        <is>
          <t>24 VDC SI</t>
        </is>
      </c>
      <c r="N406" s="129" t="inlineStr">
        <is>
          <t>5069-IB8S</t>
        </is>
      </c>
      <c r="O406" s="139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40" t="n"/>
      <c r="AA406" t="inlineStr">
        <is>
          <t>Matched</t>
        </is>
      </c>
      <c r="AB406" s="315" t="n">
        <v>0.99</v>
      </c>
      <c r="AC406" t="inlineStr">
        <is>
          <t>High</t>
        </is>
      </c>
      <c r="AD406" t="n">
        <v>1</v>
      </c>
      <c r="AE406" t="inlineStr">
        <is>
          <t>DG7012</t>
        </is>
      </c>
      <c r="AF406" t="n">
        <v>11</v>
      </c>
      <c r="AG406" t="inlineStr">
        <is>
          <t>drawing</t>
        </is>
      </c>
      <c r="AH406" t="inlineStr">
        <is>
          <t>stacked:isa</t>
        </is>
      </c>
      <c r="AI406" t="inlineStr">
        <is>
          <t>drawing zone; process page; mapped sheet; excel sheet match</t>
        </is>
      </c>
      <c r="AJ406" t="inlineStr">
        <is>
          <t>native</t>
        </is>
      </c>
      <c r="AK406" t="inlineStr">
        <is>
          <t>native-only</t>
        </is>
      </c>
      <c r="AM406" t="inlineStr">
        <is>
          <t>11</t>
        </is>
      </c>
      <c r="AN406" t="inlineStr">
        <is>
          <t>Yes</t>
        </is>
      </c>
      <c r="AO406" t="inlineStr">
        <is>
          <t>mapped sheet id</t>
        </is>
      </c>
      <c r="AP406" t="inlineStr">
        <is>
          <t>p11:native:145, p11:native:146</t>
        </is>
      </c>
      <c r="AQ406" t="n">
        <v>2</v>
      </c>
    </row>
    <row r="407">
      <c r="A407" s="203">
        <f>ROW()-1</f>
        <v/>
      </c>
      <c r="B407" s="133" t="n"/>
      <c r="C407" s="313" t="inlineStr">
        <is>
          <t>RL7-MLT-106-PBL-04</t>
        </is>
      </c>
      <c r="D407" s="264" t="inlineStr">
        <is>
          <t>PB505161</t>
        </is>
      </c>
      <c r="E407" s="133" t="inlineStr">
        <is>
          <t>OS7C</t>
        </is>
      </c>
      <c r="F407" s="141" t="inlineStr">
        <is>
          <t>PRE-MIXER COLUMN DUMPER ENTRY REQUEST PB PILOT LIGHT</t>
        </is>
      </c>
      <c r="G407" s="133" t="inlineStr">
        <is>
          <t>DG7013</t>
        </is>
      </c>
      <c r="H407" s="133" t="inlineStr">
        <is>
          <t>PROC</t>
        </is>
      </c>
      <c r="I407" s="142" t="inlineStr">
        <is>
          <t>RL7-PRM-RIO1</t>
        </is>
      </c>
      <c r="J407" s="133" t="n">
        <v>10</v>
      </c>
      <c r="K407" s="129" t="n">
        <v>9</v>
      </c>
      <c r="L407" s="129" t="n">
        <v>12</v>
      </c>
      <c r="M407" s="129" t="inlineStr">
        <is>
          <t>24 VDC DO</t>
        </is>
      </c>
      <c r="N407" s="129" t="inlineStr">
        <is>
          <t>5069-OB16</t>
        </is>
      </c>
      <c r="O407" s="146" t="n"/>
      <c r="P407" s="146" t="n"/>
      <c r="Q407" s="146" t="n"/>
      <c r="R407" s="146" t="n"/>
      <c r="S407" s="146" t="n"/>
      <c r="T407" s="146" t="n"/>
      <c r="U407" s="146" t="n"/>
      <c r="V407" s="146" t="n"/>
      <c r="W407" s="146" t="n"/>
      <c r="X407" s="146" t="n"/>
      <c r="Y407" s="146" t="n"/>
      <c r="Z407" s="143" t="n"/>
      <c r="AA407" t="inlineStr">
        <is>
          <t>No mapped PDF sheet</t>
        </is>
      </c>
      <c r="AC407" t="inlineStr">
        <is>
          <t>Low</t>
        </is>
      </c>
      <c r="AN407" t="inlineStr">
        <is>
          <t>Yes</t>
        </is>
      </c>
      <c r="AO407" t="inlineStr">
        <is>
          <t>sheet value not mapped to PDF</t>
        </is>
      </c>
    </row>
    <row r="408">
      <c r="A408" s="203">
        <f>ROW()-1</f>
        <v/>
      </c>
      <c r="B408" s="133" t="n"/>
      <c r="C408" s="313" t="inlineStr">
        <is>
          <t>RL7-MLT-106-PBL-05</t>
        </is>
      </c>
      <c r="D408" s="264" t="inlineStr">
        <is>
          <t>PB505191</t>
        </is>
      </c>
      <c r="E408" s="133" t="inlineStr">
        <is>
          <t>OS7C</t>
        </is>
      </c>
      <c r="F408" s="141" t="inlineStr">
        <is>
          <t>PRE-MIXER COLUMN DUMPER RESET GATE LOCK PB PILOT LIGHT</t>
        </is>
      </c>
      <c r="G408" s="133" t="inlineStr">
        <is>
          <t>DG7014</t>
        </is>
      </c>
      <c r="H408" s="133" t="inlineStr">
        <is>
          <t>PROC</t>
        </is>
      </c>
      <c r="I408" s="142" t="inlineStr">
        <is>
          <t>RL7-PRM-RIO1</t>
        </is>
      </c>
      <c r="J408" s="133" t="n">
        <v>10</v>
      </c>
      <c r="K408" s="129" t="n">
        <v>9</v>
      </c>
      <c r="L408" s="129" t="n">
        <v>13</v>
      </c>
      <c r="M408" s="129" t="inlineStr">
        <is>
          <t>24 VDC DO</t>
        </is>
      </c>
      <c r="N408" s="129" t="inlineStr">
        <is>
          <t>5069-OB16</t>
        </is>
      </c>
      <c r="O408" s="146" t="n"/>
      <c r="P408" s="146" t="n"/>
      <c r="Q408" s="146" t="n"/>
      <c r="R408" s="146" t="n"/>
      <c r="S408" s="146" t="n"/>
      <c r="T408" s="146" t="n"/>
      <c r="U408" s="146" t="n"/>
      <c r="V408" s="146" t="n"/>
      <c r="W408" s="146" t="n"/>
      <c r="X408" s="146" t="n"/>
      <c r="Y408" s="146" t="n"/>
      <c r="Z408" s="143" t="n"/>
      <c r="AA408" t="inlineStr">
        <is>
          <t>No mapped PDF sheet</t>
        </is>
      </c>
      <c r="AC408" t="inlineStr">
        <is>
          <t>Low</t>
        </is>
      </c>
      <c r="AN408" t="inlineStr">
        <is>
          <t>Yes</t>
        </is>
      </c>
      <c r="AO408" t="inlineStr">
        <is>
          <t>sheet value not mapped to PDF</t>
        </is>
      </c>
    </row>
    <row r="409">
      <c r="A409" s="203">
        <f>ROW()-1</f>
        <v/>
      </c>
      <c r="B409" s="128" t="inlineStr">
        <is>
          <t>RL7-CKR-101-FCV-02</t>
        </is>
      </c>
      <c r="C409" s="314" t="inlineStr">
        <is>
          <t>RL7-CKR-101-FCV-02</t>
        </is>
      </c>
      <c r="D409" s="262" t="n"/>
      <c r="E409" s="128" t="n"/>
      <c r="F409" s="138" t="inlineStr">
        <is>
          <t>COOKER 1 CONTROL VALVE</t>
        </is>
      </c>
      <c r="G409" s="131" t="inlineStr">
        <is>
          <t>DG7020</t>
        </is>
      </c>
      <c r="H409" s="128" t="inlineStr">
        <is>
          <t>INTSL</t>
        </is>
      </c>
      <c r="I409" s="131" t="inlineStr">
        <is>
          <t>RL7-INTSL-RIO1</t>
        </is>
      </c>
      <c r="J409" s="133" t="n">
        <v>18</v>
      </c>
      <c r="K409" s="129" t="n">
        <v>12</v>
      </c>
      <c r="L409" s="129" t="n">
        <v>2</v>
      </c>
      <c r="M409" s="129" t="inlineStr">
        <is>
          <t>4-20 mA AO</t>
        </is>
      </c>
      <c r="N409" s="129" t="inlineStr">
        <is>
          <t>5069-OF8</t>
        </is>
      </c>
      <c r="O409" s="134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40" t="n"/>
      <c r="AA409" t="inlineStr">
        <is>
          <t>Matched</t>
        </is>
      </c>
      <c r="AB409" s="315" t="n">
        <v>0.99</v>
      </c>
      <c r="AC409" t="inlineStr">
        <is>
          <t>High</t>
        </is>
      </c>
      <c r="AD409" t="n">
        <v>1</v>
      </c>
      <c r="AE409" t="inlineStr">
        <is>
          <t>DG7020</t>
        </is>
      </c>
      <c r="AF409" t="n">
        <v>12</v>
      </c>
      <c r="AG409" t="inlineStr">
        <is>
          <t>drawing</t>
        </is>
      </c>
      <c r="AH409" t="inlineStr">
        <is>
          <t>stacked:isa</t>
        </is>
      </c>
      <c r="AI409" t="inlineStr">
        <is>
          <t>drawing zone; process page; mapped sheet; excel sheet match</t>
        </is>
      </c>
      <c r="AJ409" t="inlineStr">
        <is>
          <t>native</t>
        </is>
      </c>
      <c r="AK409" t="inlineStr">
        <is>
          <t>native-only</t>
        </is>
      </c>
      <c r="AM409" t="inlineStr">
        <is>
          <t>12</t>
        </is>
      </c>
      <c r="AN409" t="inlineStr">
        <is>
          <t>Yes</t>
        </is>
      </c>
      <c r="AO409" t="inlineStr">
        <is>
          <t>mapped sheet id</t>
        </is>
      </c>
      <c r="AP409" t="inlineStr">
        <is>
          <t>p12:native:212, p12:native:213</t>
        </is>
      </c>
      <c r="AQ409" t="n">
        <v>2</v>
      </c>
    </row>
    <row r="410">
      <c r="A410" s="203">
        <f>ROW()-1</f>
        <v/>
      </c>
      <c r="B410" s="128" t="inlineStr">
        <is>
          <t>RL7-CKR-101-FIT-02</t>
        </is>
      </c>
      <c r="C410" s="314" t="inlineStr">
        <is>
          <t>RL7-CKR-101-FIT-02</t>
        </is>
      </c>
      <c r="D410" s="262" t="n"/>
      <c r="E410" s="128" t="n"/>
      <c r="F410" s="138" t="inlineStr">
        <is>
          <t>COOKER 1 CIPS FLOW</t>
        </is>
      </c>
      <c r="G410" s="131" t="inlineStr">
        <is>
          <t>DG7020</t>
        </is>
      </c>
      <c r="H410" s="128" t="inlineStr">
        <is>
          <t>INTSL</t>
        </is>
      </c>
      <c r="I410" s="131" t="inlineStr">
        <is>
          <t>RL7-INTSL-RIO1</t>
        </is>
      </c>
      <c r="J410" s="133" t="n">
        <v>18</v>
      </c>
      <c r="K410" s="129" t="n">
        <v>9</v>
      </c>
      <c r="L410" s="129" t="n">
        <v>2</v>
      </c>
      <c r="M410" s="129" t="inlineStr">
        <is>
          <t>4-20 mA AI</t>
        </is>
      </c>
      <c r="N410" s="129" t="inlineStr">
        <is>
          <t>5069-IF8</t>
        </is>
      </c>
      <c r="O410" s="134" t="inlineStr">
        <is>
          <t>0 - 300 GPM</t>
        </is>
      </c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40" t="n"/>
      <c r="AA410" t="inlineStr">
        <is>
          <t>Matched</t>
        </is>
      </c>
      <c r="AB410" s="315" t="n">
        <v>0.99</v>
      </c>
      <c r="AC410" t="inlineStr">
        <is>
          <t>High</t>
        </is>
      </c>
      <c r="AD410" t="n">
        <v>1</v>
      </c>
      <c r="AE410" t="inlineStr">
        <is>
          <t>DG7020</t>
        </is>
      </c>
      <c r="AF410" t="n">
        <v>12</v>
      </c>
      <c r="AG410" t="inlineStr">
        <is>
          <t>drawing</t>
        </is>
      </c>
      <c r="AH410" t="inlineStr">
        <is>
          <t>stacked:isa</t>
        </is>
      </c>
      <c r="AI410" t="inlineStr">
        <is>
          <t>drawing zone; process page; mapped sheet; excel sheet match</t>
        </is>
      </c>
      <c r="AJ410" t="inlineStr">
        <is>
          <t>native</t>
        </is>
      </c>
      <c r="AK410" t="inlineStr">
        <is>
          <t>native-only</t>
        </is>
      </c>
      <c r="AM410" t="inlineStr">
        <is>
          <t>12</t>
        </is>
      </c>
      <c r="AN410" t="inlineStr">
        <is>
          <t>Yes</t>
        </is>
      </c>
      <c r="AO410" t="inlineStr">
        <is>
          <t>mapped sheet id</t>
        </is>
      </c>
      <c r="AP410" t="inlineStr">
        <is>
          <t>p12:native:214, p12:native:215</t>
        </is>
      </c>
      <c r="AQ410" t="n">
        <v>2</v>
      </c>
    </row>
    <row r="411">
      <c r="A411" s="203">
        <f>ROW()-1</f>
        <v/>
      </c>
      <c r="B411" s="128" t="inlineStr">
        <is>
          <t>RL7-CKR-101-FVI-02</t>
        </is>
      </c>
      <c r="C411" s="314" t="inlineStr">
        <is>
          <t>RL7-CKR-101-FVI-02</t>
        </is>
      </c>
      <c r="D411" s="262" t="n"/>
      <c r="E411" s="128" t="n"/>
      <c r="F411" s="138" t="inlineStr">
        <is>
          <t>COOKER 1 CIPS CONTROL VALVE POSITION FEEDBACK</t>
        </is>
      </c>
      <c r="G411" s="131" t="inlineStr">
        <is>
          <t>DG7020</t>
        </is>
      </c>
      <c r="H411" s="128" t="inlineStr">
        <is>
          <t>INTSL</t>
        </is>
      </c>
      <c r="I411" s="131" t="inlineStr">
        <is>
          <t>RL7-INTSL-RIO1</t>
        </is>
      </c>
      <c r="J411" s="133" t="n">
        <v>18</v>
      </c>
      <c r="K411" s="129" t="n">
        <v>6</v>
      </c>
      <c r="L411" s="129" t="n">
        <v>4</v>
      </c>
      <c r="M411" s="129" t="inlineStr">
        <is>
          <t>4-20 mA AI</t>
        </is>
      </c>
      <c r="N411" s="129" t="inlineStr">
        <is>
          <t>5069-IF8</t>
        </is>
      </c>
      <c r="O411" s="134" t="inlineStr">
        <is>
          <t>0 - 10 BAR</t>
        </is>
      </c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33" t="inlineStr">
        <is>
          <t>RL7-HTX-101C-TT-02</t>
        </is>
      </c>
      <c r="AA411" t="inlineStr">
        <is>
          <t>Matched</t>
        </is>
      </c>
      <c r="AB411" s="315" t="n">
        <v>0.99</v>
      </c>
      <c r="AC411" t="inlineStr">
        <is>
          <t>High</t>
        </is>
      </c>
      <c r="AD411" t="n">
        <v>1</v>
      </c>
      <c r="AE411" t="inlineStr">
        <is>
          <t>DG7020</t>
        </is>
      </c>
      <c r="AF411" t="n">
        <v>12</v>
      </c>
      <c r="AG411" t="inlineStr">
        <is>
          <t>drawing</t>
        </is>
      </c>
      <c r="AH411" t="inlineStr">
        <is>
          <t>stacked:isa</t>
        </is>
      </c>
      <c r="AI411" t="inlineStr">
        <is>
          <t>drawing zone; process page; mapped sheet; excel sheet match</t>
        </is>
      </c>
      <c r="AJ411" t="inlineStr">
        <is>
          <t>native</t>
        </is>
      </c>
      <c r="AK411" t="inlineStr">
        <is>
          <t>native-only</t>
        </is>
      </c>
      <c r="AM411" t="inlineStr">
        <is>
          <t>12</t>
        </is>
      </c>
      <c r="AN411" t="inlineStr">
        <is>
          <t>Yes</t>
        </is>
      </c>
      <c r="AO411" t="inlineStr">
        <is>
          <t>mapped sheet id</t>
        </is>
      </c>
      <c r="AP411" t="inlineStr">
        <is>
          <t>p12:native:289, p12:native:290</t>
        </is>
      </c>
      <c r="AQ411" t="n">
        <v>2</v>
      </c>
    </row>
    <row r="412">
      <c r="A412" s="203">
        <f>ROW()-1</f>
        <v/>
      </c>
      <c r="B412" s="128" t="inlineStr">
        <is>
          <t>RL7-CKR-101-PB-01</t>
        </is>
      </c>
      <c r="C412" s="314" t="inlineStr">
        <is>
          <t>RL7-CKR-101-PB-01</t>
        </is>
      </c>
      <c r="D412" s="262" t="n"/>
      <c r="E412" s="128" t="n"/>
      <c r="F412" s="138" t="inlineStr">
        <is>
          <t>COOKER 1 E-STOP PB SAFETY INPUT CH1</t>
        </is>
      </c>
      <c r="G412" s="131" t="inlineStr">
        <is>
          <t>DG7020</t>
        </is>
      </c>
      <c r="H412" s="128" t="inlineStr">
        <is>
          <t>PROC</t>
        </is>
      </c>
      <c r="I412" s="132" t="inlineStr">
        <is>
          <t>RL7-CKR1-RIO1</t>
        </is>
      </c>
      <c r="J412" s="133" t="n">
        <v>12</v>
      </c>
      <c r="K412" s="129" t="n">
        <v>2</v>
      </c>
      <c r="L412" s="129" t="n">
        <v>2</v>
      </c>
      <c r="M412" s="129" t="inlineStr">
        <is>
          <t>24 VDC SI</t>
        </is>
      </c>
      <c r="N412" s="129" t="inlineStr">
        <is>
          <t>5069-IB8S</t>
        </is>
      </c>
      <c r="O412" s="139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40" t="n"/>
      <c r="AA412" t="inlineStr">
        <is>
          <t>Matched</t>
        </is>
      </c>
      <c r="AB412" s="315" t="n">
        <v>0.99</v>
      </c>
      <c r="AC412" t="inlineStr">
        <is>
          <t>High</t>
        </is>
      </c>
      <c r="AD412" t="n">
        <v>1</v>
      </c>
      <c r="AE412" t="inlineStr">
        <is>
          <t>DG7020</t>
        </is>
      </c>
      <c r="AF412" t="n">
        <v>12</v>
      </c>
      <c r="AG412" t="inlineStr">
        <is>
          <t>drawing</t>
        </is>
      </c>
      <c r="AH412" t="inlineStr">
        <is>
          <t>stacked:isa</t>
        </is>
      </c>
      <c r="AI412" t="inlineStr">
        <is>
          <t>drawing zone; process page; mapped sheet; excel sheet match</t>
        </is>
      </c>
      <c r="AJ412" t="inlineStr">
        <is>
          <t>native</t>
        </is>
      </c>
      <c r="AK412" t="inlineStr">
        <is>
          <t>native-only</t>
        </is>
      </c>
      <c r="AM412" t="inlineStr">
        <is>
          <t>12</t>
        </is>
      </c>
      <c r="AN412" t="inlineStr">
        <is>
          <t>Yes</t>
        </is>
      </c>
      <c r="AO412" t="inlineStr">
        <is>
          <t>mapped sheet id</t>
        </is>
      </c>
      <c r="AP412" t="inlineStr">
        <is>
          <t>p12:native:235, p12:native:236</t>
        </is>
      </c>
      <c r="AQ412" t="n">
        <v>2</v>
      </c>
    </row>
    <row r="413">
      <c r="A413" s="203">
        <f>ROW()-1</f>
        <v/>
      </c>
      <c r="B413" s="128" t="inlineStr">
        <is>
          <t>RL7-CKR-101-PB-01</t>
        </is>
      </c>
      <c r="C413" s="314" t="inlineStr">
        <is>
          <t>RL7-CKR-101-PB-01</t>
        </is>
      </c>
      <c r="D413" s="262" t="n"/>
      <c r="E413" s="128" t="n"/>
      <c r="F413" s="138" t="inlineStr">
        <is>
          <t>COOKER 1 E-STOP PB SAFETY INPUT CH2</t>
        </is>
      </c>
      <c r="G413" s="131" t="inlineStr">
        <is>
          <t>DG7020</t>
        </is>
      </c>
      <c r="H413" s="128" t="inlineStr">
        <is>
          <t>PROC</t>
        </is>
      </c>
      <c r="I413" s="132" t="inlineStr">
        <is>
          <t>RL7-CKR1-RIO1</t>
        </is>
      </c>
      <c r="J413" s="133" t="n">
        <v>12</v>
      </c>
      <c r="K413" s="129" t="n">
        <v>2</v>
      </c>
      <c r="L413" s="129" t="n">
        <v>3</v>
      </c>
      <c r="M413" s="129" t="inlineStr">
        <is>
          <t>24 VDC SI</t>
        </is>
      </c>
      <c r="N413" s="129" t="inlineStr">
        <is>
          <t>5069-IB8S</t>
        </is>
      </c>
      <c r="O413" s="139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40" t="n"/>
      <c r="AA413" t="inlineStr">
        <is>
          <t>Matched</t>
        </is>
      </c>
      <c r="AB413" s="315" t="n">
        <v>0.99</v>
      </c>
      <c r="AC413" t="inlineStr">
        <is>
          <t>High</t>
        </is>
      </c>
      <c r="AD413" t="n">
        <v>1</v>
      </c>
      <c r="AE413" t="inlineStr">
        <is>
          <t>DG7020</t>
        </is>
      </c>
      <c r="AF413" t="n">
        <v>12</v>
      </c>
      <c r="AG413" t="inlineStr">
        <is>
          <t>drawing</t>
        </is>
      </c>
      <c r="AH413" t="inlineStr">
        <is>
          <t>stacked:isa</t>
        </is>
      </c>
      <c r="AI413" t="inlineStr">
        <is>
          <t>drawing zone; process page; mapped sheet; excel sheet match</t>
        </is>
      </c>
      <c r="AJ413" t="inlineStr">
        <is>
          <t>native</t>
        </is>
      </c>
      <c r="AK413" t="inlineStr">
        <is>
          <t>native-only</t>
        </is>
      </c>
      <c r="AM413" t="inlineStr">
        <is>
          <t>12</t>
        </is>
      </c>
      <c r="AN413" t="inlineStr">
        <is>
          <t>Yes</t>
        </is>
      </c>
      <c r="AO413" t="inlineStr">
        <is>
          <t>mapped sheet id</t>
        </is>
      </c>
      <c r="AP413" t="inlineStr">
        <is>
          <t>p12:native:235, p12:native:236</t>
        </is>
      </c>
      <c r="AQ413" t="n">
        <v>2</v>
      </c>
    </row>
    <row r="414">
      <c r="A414" s="203">
        <f>ROW()-1</f>
        <v/>
      </c>
      <c r="B414" s="128" t="n"/>
      <c r="C414" s="317" t="inlineStr">
        <is>
          <t>RL7-CKR-101-PB-02</t>
        </is>
      </c>
      <c r="D414" s="264" t="inlineStr">
        <is>
          <t>PB505161</t>
        </is>
      </c>
      <c r="E414" s="133" t="inlineStr">
        <is>
          <t>OS7C</t>
        </is>
      </c>
      <c r="F414" s="141" t="inlineStr">
        <is>
          <t>COOKER 1 COLUMN DUMPER ENTRY REQUEST PB</t>
        </is>
      </c>
      <c r="G414" s="142" t="inlineStr">
        <is>
          <t>DG7020</t>
        </is>
      </c>
      <c r="H414" s="133" t="inlineStr">
        <is>
          <t>PROC</t>
        </is>
      </c>
      <c r="I414" s="142" t="inlineStr">
        <is>
          <t>RL7-CKR1-RIO1</t>
        </is>
      </c>
      <c r="J414" s="133" t="n">
        <v>12</v>
      </c>
      <c r="K414" s="133" t="n">
        <v>3</v>
      </c>
      <c r="L414" s="133" t="n">
        <v>0</v>
      </c>
      <c r="M414" s="133" t="inlineStr">
        <is>
          <t>24 VDC SI</t>
        </is>
      </c>
      <c r="N414" s="133" t="inlineStr">
        <is>
          <t>5069-IB8S</t>
        </is>
      </c>
      <c r="O414" s="139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40" t="n"/>
      <c r="AA414" t="inlineStr">
        <is>
          <t>Matched - same-page inference</t>
        </is>
      </c>
      <c r="AB414" s="315" t="n">
        <v>0.77</v>
      </c>
      <c r="AC414" t="inlineStr">
        <is>
          <t>Medium</t>
        </is>
      </c>
      <c r="AD414" t="n">
        <v>1</v>
      </c>
      <c r="AE414" t="inlineStr">
        <is>
          <t>DG7020</t>
        </is>
      </c>
      <c r="AF414" t="n">
        <v>12</v>
      </c>
      <c r="AG414" t="inlineStr">
        <is>
          <t>drawing</t>
        </is>
      </c>
      <c r="AH414" t="inlineStr">
        <is>
          <t>samepage:root+comp</t>
        </is>
      </c>
      <c r="AI414" t="inlineStr">
        <is>
          <t>same-page inference: root and component detected separately on the same PDF page; pairing synthesized.; excel sheet match</t>
        </is>
      </c>
      <c r="AJ414" t="inlineStr">
        <is>
          <t>native</t>
        </is>
      </c>
      <c r="AK414" t="inlineStr">
        <is>
          <t>native-only</t>
        </is>
      </c>
      <c r="AM414" t="inlineStr">
        <is>
          <t>12</t>
        </is>
      </c>
      <c r="AN414" t="inlineStr">
        <is>
          <t>Yes</t>
        </is>
      </c>
      <c r="AO414" t="inlineStr">
        <is>
          <t>mapped sheet id</t>
        </is>
      </c>
      <c r="AP414" t="inlineStr">
        <is>
          <t>p12:native:238, p12:native:239</t>
        </is>
      </c>
      <c r="AQ414" t="n">
        <v>2</v>
      </c>
    </row>
    <row r="415">
      <c r="A415" s="203">
        <f>ROW()-1</f>
        <v/>
      </c>
      <c r="B415" s="128" t="n"/>
      <c r="C415" s="317" t="inlineStr">
        <is>
          <t>RL7-CKR-101-PB-03</t>
        </is>
      </c>
      <c r="D415" s="264" t="inlineStr">
        <is>
          <t>PB505191</t>
        </is>
      </c>
      <c r="E415" s="133" t="inlineStr">
        <is>
          <t>OS7C</t>
        </is>
      </c>
      <c r="F415" s="141" t="inlineStr">
        <is>
          <t>COOKER 1 COLUMN DUMPER RESET GATE LOCK PB</t>
        </is>
      </c>
      <c r="G415" s="142" t="inlineStr">
        <is>
          <t>DG7020</t>
        </is>
      </c>
      <c r="H415" s="133" t="inlineStr">
        <is>
          <t>PROC</t>
        </is>
      </c>
      <c r="I415" s="142" t="inlineStr">
        <is>
          <t>RL7-CKR1-RIO1</t>
        </is>
      </c>
      <c r="J415" s="133" t="n">
        <v>12</v>
      </c>
      <c r="K415" s="133" t="n">
        <v>3</v>
      </c>
      <c r="L415" s="133" t="n">
        <v>1</v>
      </c>
      <c r="M415" s="133" t="inlineStr">
        <is>
          <t>24 VDC SI</t>
        </is>
      </c>
      <c r="N415" s="133" t="inlineStr">
        <is>
          <t>5069-IB8S</t>
        </is>
      </c>
      <c r="O415" s="139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40" t="n"/>
      <c r="AA415" t="inlineStr">
        <is>
          <t>Matched - same-page inference</t>
        </is>
      </c>
      <c r="AB415" s="315" t="n">
        <v>0.77</v>
      </c>
      <c r="AC415" t="inlineStr">
        <is>
          <t>Medium</t>
        </is>
      </c>
      <c r="AD415" t="n">
        <v>1</v>
      </c>
      <c r="AE415" t="inlineStr">
        <is>
          <t>DG7020</t>
        </is>
      </c>
      <c r="AF415" t="n">
        <v>12</v>
      </c>
      <c r="AG415" t="inlineStr">
        <is>
          <t>drawing</t>
        </is>
      </c>
      <c r="AH415" t="inlineStr">
        <is>
          <t>samepage:root+comp</t>
        </is>
      </c>
      <c r="AI415" t="inlineStr">
        <is>
          <t>same-page inference: root and component detected separately on the same PDF page; pairing synthesized.; excel sheet match</t>
        </is>
      </c>
      <c r="AJ415" t="inlineStr">
        <is>
          <t>native</t>
        </is>
      </c>
      <c r="AK415" t="inlineStr">
        <is>
          <t>native-only</t>
        </is>
      </c>
      <c r="AM415" t="inlineStr">
        <is>
          <t>12</t>
        </is>
      </c>
      <c r="AN415" t="inlineStr">
        <is>
          <t>Yes</t>
        </is>
      </c>
      <c r="AO415" t="inlineStr">
        <is>
          <t>mapped sheet id</t>
        </is>
      </c>
      <c r="AP415" t="inlineStr">
        <is>
          <t>p12:native:240, p12:native:241</t>
        </is>
      </c>
      <c r="AQ415" t="n">
        <v>2</v>
      </c>
    </row>
    <row r="416">
      <c r="A416" s="203">
        <f>ROW()-1</f>
        <v/>
      </c>
      <c r="B416" s="128" t="inlineStr">
        <is>
          <t>RL7-CKR-101-PBL-01</t>
        </is>
      </c>
      <c r="C416" s="313" t="inlineStr">
        <is>
          <t>RL7-CKR-101-PBL-01</t>
        </is>
      </c>
      <c r="D416" s="262" t="n"/>
      <c r="E416" s="128" t="n"/>
      <c r="F416" s="138" t="inlineStr">
        <is>
          <t>COOKER 1 E-STOP PB PILOT LIGHT</t>
        </is>
      </c>
      <c r="G416" s="131" t="inlineStr">
        <is>
          <t>DG7020</t>
        </is>
      </c>
      <c r="H416" s="128" t="inlineStr">
        <is>
          <t>PROC</t>
        </is>
      </c>
      <c r="I416" s="132" t="inlineStr">
        <is>
          <t>RL7-CKR1-RIO1</t>
        </is>
      </c>
      <c r="J416" s="133" t="n">
        <v>12</v>
      </c>
      <c r="K416" s="129" t="n">
        <v>8</v>
      </c>
      <c r="L416" s="129" t="n">
        <v>4</v>
      </c>
      <c r="M416" s="129" t="inlineStr">
        <is>
          <t>24 VDC DO</t>
        </is>
      </c>
      <c r="N416" s="129" t="inlineStr">
        <is>
          <t>5069-OB16</t>
        </is>
      </c>
      <c r="O416" s="139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40" t="n"/>
      <c r="AA416" t="inlineStr">
        <is>
          <t>Not found in PDF</t>
        </is>
      </c>
      <c r="AC416" t="inlineStr">
        <is>
          <t>Low</t>
        </is>
      </c>
      <c r="AM416" t="inlineStr">
        <is>
          <t>12</t>
        </is>
      </c>
      <c r="AN416" t="inlineStr">
        <is>
          <t>Yes</t>
        </is>
      </c>
      <c r="AO416" t="inlineStr">
        <is>
          <t>mapped sheet id</t>
        </is>
      </c>
    </row>
    <row r="417" customFormat="1" s="136">
      <c r="A417" s="203">
        <f>ROW()-1</f>
        <v/>
      </c>
      <c r="B417" s="128" t="n"/>
      <c r="C417" s="317" t="inlineStr">
        <is>
          <t>RL7-CKR-101-PBL-02</t>
        </is>
      </c>
      <c r="D417" s="264" t="inlineStr">
        <is>
          <t>PB505161</t>
        </is>
      </c>
      <c r="E417" s="133" t="inlineStr">
        <is>
          <t>OS7C</t>
        </is>
      </c>
      <c r="F417" s="141" t="inlineStr">
        <is>
          <t>COOKER 1 COLUMN DUMPER ENTRY REQUEST PB PILOT LIGHT</t>
        </is>
      </c>
      <c r="G417" s="142" t="inlineStr">
        <is>
          <t>DG7020</t>
        </is>
      </c>
      <c r="H417" s="133" t="inlineStr">
        <is>
          <t>PROC</t>
        </is>
      </c>
      <c r="I417" s="132" t="inlineStr">
        <is>
          <t>RL7-CKR1-RIO1</t>
        </is>
      </c>
      <c r="J417" s="133" t="n">
        <v>12</v>
      </c>
      <c r="K417" s="129" t="n">
        <v>5</v>
      </c>
      <c r="L417" s="129" t="n">
        <v>7</v>
      </c>
      <c r="M417" s="129" t="inlineStr">
        <is>
          <t>24 VDC DI</t>
        </is>
      </c>
      <c r="N417" s="129" t="inlineStr">
        <is>
          <t>5069-IB16</t>
        </is>
      </c>
      <c r="O417" s="139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40" t="n"/>
      <c r="AA417" t="inlineStr">
        <is>
          <t>Not found in PDF</t>
        </is>
      </c>
      <c r="AC417" t="inlineStr">
        <is>
          <t>Low</t>
        </is>
      </c>
      <c r="AM417" t="inlineStr">
        <is>
          <t>12</t>
        </is>
      </c>
      <c r="AN417" t="inlineStr">
        <is>
          <t>Yes</t>
        </is>
      </c>
      <c r="AO417" t="inlineStr">
        <is>
          <t>mapped sheet id</t>
        </is>
      </c>
    </row>
    <row r="418">
      <c r="A418" s="203">
        <f>ROW()-1</f>
        <v/>
      </c>
      <c r="B418" s="128" t="n"/>
      <c r="C418" s="317" t="inlineStr">
        <is>
          <t>RL7-CKR-101-PBL-03</t>
        </is>
      </c>
      <c r="D418" s="264" t="inlineStr">
        <is>
          <t>PB505191</t>
        </is>
      </c>
      <c r="E418" s="133" t="inlineStr">
        <is>
          <t>OS7C</t>
        </is>
      </c>
      <c r="F418" s="141" t="inlineStr">
        <is>
          <t>COOKER 1 COLUMN DUMPER RESET GATE LOCK PB PILOT LIGHT</t>
        </is>
      </c>
      <c r="G418" s="142" t="inlineStr">
        <is>
          <t>DG7020</t>
        </is>
      </c>
      <c r="H418" s="133" t="inlineStr">
        <is>
          <t>PROC</t>
        </is>
      </c>
      <c r="I418" s="132" t="inlineStr">
        <is>
          <t>RL7-CKR1-RIO1</t>
        </is>
      </c>
      <c r="J418" s="133" t="n">
        <v>12</v>
      </c>
      <c r="K418" s="129" t="n">
        <v>5</v>
      </c>
      <c r="L418" s="129" t="n">
        <v>8</v>
      </c>
      <c r="M418" s="129" t="inlineStr">
        <is>
          <t>24 VDC DI</t>
        </is>
      </c>
      <c r="N418" s="129" t="inlineStr">
        <is>
          <t>5069-IB16</t>
        </is>
      </c>
      <c r="O418" s="139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40" t="n"/>
      <c r="AA418" t="inlineStr">
        <is>
          <t>Not found in PDF</t>
        </is>
      </c>
      <c r="AC418" t="inlineStr">
        <is>
          <t>Low</t>
        </is>
      </c>
      <c r="AM418" t="inlineStr">
        <is>
          <t>12</t>
        </is>
      </c>
      <c r="AN418" t="inlineStr">
        <is>
          <t>Yes</t>
        </is>
      </c>
      <c r="AO418" t="inlineStr">
        <is>
          <t>mapped sheet id</t>
        </is>
      </c>
    </row>
    <row r="419">
      <c r="A419" s="203">
        <f>ROW()-1</f>
        <v/>
      </c>
      <c r="B419" s="128" t="inlineStr">
        <is>
          <t>RL7-CKR-101-PL-01G</t>
        </is>
      </c>
      <c r="C419" s="314" t="inlineStr">
        <is>
          <t>RL7-CKR-101-PL-01G</t>
        </is>
      </c>
      <c r="D419" s="262" t="n"/>
      <c r="E419" s="128" t="n"/>
      <c r="F419" s="138" t="inlineStr">
        <is>
          <t xml:space="preserve">COOKER 1 GREEN PILOT LIGHT  </t>
        </is>
      </c>
      <c r="G419" s="131" t="inlineStr">
        <is>
          <t>DG7020</t>
        </is>
      </c>
      <c r="H419" s="128" t="inlineStr">
        <is>
          <t>PROC</t>
        </is>
      </c>
      <c r="I419" s="132" t="inlineStr">
        <is>
          <t>RL7-CKR1-RIO1</t>
        </is>
      </c>
      <c r="J419" s="133" t="n">
        <v>12</v>
      </c>
      <c r="K419" s="129" t="n">
        <v>8</v>
      </c>
      <c r="L419" s="129" t="n">
        <v>7</v>
      </c>
      <c r="M419" s="129" t="inlineStr">
        <is>
          <t>24 VDC DO</t>
        </is>
      </c>
      <c r="N419" s="129" t="inlineStr">
        <is>
          <t>5069-OB16</t>
        </is>
      </c>
      <c r="O419" s="139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40" t="n"/>
      <c r="AA419" t="inlineStr">
        <is>
          <t>Matched</t>
        </is>
      </c>
      <c r="AB419" s="315" t="n">
        <v>0.99</v>
      </c>
      <c r="AC419" t="inlineStr">
        <is>
          <t>High</t>
        </is>
      </c>
      <c r="AD419" t="n">
        <v>1</v>
      </c>
      <c r="AE419" t="inlineStr">
        <is>
          <t>DG7020</t>
        </is>
      </c>
      <c r="AF419" t="n">
        <v>12</v>
      </c>
      <c r="AG419" t="inlineStr">
        <is>
          <t>drawing</t>
        </is>
      </c>
      <c r="AH419" t="inlineStr">
        <is>
          <t>stacked:isa</t>
        </is>
      </c>
      <c r="AI419" t="inlineStr">
        <is>
          <t>drawing zone; process page; mapped sheet; excel sheet match</t>
        </is>
      </c>
      <c r="AJ419" t="inlineStr">
        <is>
          <t>native</t>
        </is>
      </c>
      <c r="AK419" t="inlineStr">
        <is>
          <t>native-only</t>
        </is>
      </c>
      <c r="AM419" t="inlineStr">
        <is>
          <t>12</t>
        </is>
      </c>
      <c r="AN419" t="inlineStr">
        <is>
          <t>Yes</t>
        </is>
      </c>
      <c r="AO419" t="inlineStr">
        <is>
          <t>mapped sheet id</t>
        </is>
      </c>
      <c r="AP419" t="inlineStr">
        <is>
          <t>p12:native:274, p12:native:275</t>
        </is>
      </c>
      <c r="AQ419" t="n">
        <v>2</v>
      </c>
    </row>
    <row r="420">
      <c r="A420" s="203">
        <f>ROW()-1</f>
        <v/>
      </c>
      <c r="B420" s="128" t="inlineStr">
        <is>
          <t>RL7-CKR-101-PL-01R</t>
        </is>
      </c>
      <c r="C420" s="314" t="inlineStr">
        <is>
          <t>RL7-CKR-101-PL-01R</t>
        </is>
      </c>
      <c r="D420" s="262" t="n"/>
      <c r="E420" s="128" t="n"/>
      <c r="F420" s="138" t="inlineStr">
        <is>
          <t xml:space="preserve">COOKER 1 RED PILOT LIGHT  </t>
        </is>
      </c>
      <c r="G420" s="131" t="inlineStr">
        <is>
          <t>DG7020</t>
        </is>
      </c>
      <c r="H420" s="128" t="inlineStr">
        <is>
          <t>PROC</t>
        </is>
      </c>
      <c r="I420" s="132" t="inlineStr">
        <is>
          <t>RL7-CKR1-RIO1</t>
        </is>
      </c>
      <c r="J420" s="133" t="n">
        <v>12</v>
      </c>
      <c r="K420" s="129" t="n">
        <v>8</v>
      </c>
      <c r="L420" s="129" t="n">
        <v>5</v>
      </c>
      <c r="M420" s="129" t="inlineStr">
        <is>
          <t>24 VDC DO</t>
        </is>
      </c>
      <c r="N420" s="129" t="inlineStr">
        <is>
          <t>5069-OB16</t>
        </is>
      </c>
      <c r="O420" s="139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40" t="n"/>
      <c r="AA420" t="inlineStr">
        <is>
          <t>Matched</t>
        </is>
      </c>
      <c r="AB420" s="315" t="n">
        <v>0.99</v>
      </c>
      <c r="AC420" t="inlineStr">
        <is>
          <t>High</t>
        </is>
      </c>
      <c r="AD420" t="n">
        <v>1</v>
      </c>
      <c r="AE420" t="inlineStr">
        <is>
          <t>DG7020</t>
        </is>
      </c>
      <c r="AF420" t="n">
        <v>12</v>
      </c>
      <c r="AG420" t="inlineStr">
        <is>
          <t>drawing</t>
        </is>
      </c>
      <c r="AH420" t="inlineStr">
        <is>
          <t>stacked:isa</t>
        </is>
      </c>
      <c r="AI420" t="inlineStr">
        <is>
          <t>drawing zone; process page; mapped sheet; excel sheet match</t>
        </is>
      </c>
      <c r="AJ420" t="inlineStr">
        <is>
          <t>native</t>
        </is>
      </c>
      <c r="AK420" t="inlineStr">
        <is>
          <t>native-only</t>
        </is>
      </c>
      <c r="AM420" t="inlineStr">
        <is>
          <t>12</t>
        </is>
      </c>
      <c r="AN420" t="inlineStr">
        <is>
          <t>Yes</t>
        </is>
      </c>
      <c r="AO420" t="inlineStr">
        <is>
          <t>mapped sheet id</t>
        </is>
      </c>
      <c r="AP420" t="inlineStr">
        <is>
          <t>p12:native:270, p12:native:271</t>
        </is>
      </c>
      <c r="AQ420" t="n">
        <v>2</v>
      </c>
    </row>
    <row r="421">
      <c r="A421" s="203">
        <f>ROW()-1</f>
        <v/>
      </c>
      <c r="B421" s="128" t="inlineStr">
        <is>
          <t>RL7-CKR-101-PL-01Y</t>
        </is>
      </c>
      <c r="C421" s="314" t="inlineStr">
        <is>
          <t>RL7-CKR-101-PL-01Y</t>
        </is>
      </c>
      <c r="D421" s="262" t="n"/>
      <c r="E421" s="128" t="n"/>
      <c r="F421" s="138" t="inlineStr">
        <is>
          <t xml:space="preserve">COOKER 1 YELLOW PILOT LIGHT  </t>
        </is>
      </c>
      <c r="G421" s="131" t="inlineStr">
        <is>
          <t>DG7020</t>
        </is>
      </c>
      <c r="H421" s="128" t="inlineStr">
        <is>
          <t>PROC</t>
        </is>
      </c>
      <c r="I421" s="132" t="inlineStr">
        <is>
          <t>RL7-CKR1-RIO1</t>
        </is>
      </c>
      <c r="J421" s="133" t="n">
        <v>12</v>
      </c>
      <c r="K421" s="129" t="n">
        <v>8</v>
      </c>
      <c r="L421" s="129" t="n">
        <v>6</v>
      </c>
      <c r="M421" s="129" t="inlineStr">
        <is>
          <t>24 VDC DO</t>
        </is>
      </c>
      <c r="N421" s="129" t="inlineStr">
        <is>
          <t>5069-OB16</t>
        </is>
      </c>
      <c r="O421" s="139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40" t="n"/>
      <c r="AA421" t="inlineStr">
        <is>
          <t>Matched</t>
        </is>
      </c>
      <c r="AB421" s="315" t="n">
        <v>0.99</v>
      </c>
      <c r="AC421" t="inlineStr">
        <is>
          <t>High</t>
        </is>
      </c>
      <c r="AD421" t="n">
        <v>1</v>
      </c>
      <c r="AE421" t="inlineStr">
        <is>
          <t>DG7020</t>
        </is>
      </c>
      <c r="AF421" t="n">
        <v>12</v>
      </c>
      <c r="AG421" t="inlineStr">
        <is>
          <t>drawing</t>
        </is>
      </c>
      <c r="AH421" t="inlineStr">
        <is>
          <t>stacked:isa</t>
        </is>
      </c>
      <c r="AI421" t="inlineStr">
        <is>
          <t>drawing zone; process page; mapped sheet; excel sheet match</t>
        </is>
      </c>
      <c r="AJ421" t="inlineStr">
        <is>
          <t>native</t>
        </is>
      </c>
      <c r="AK421" t="inlineStr">
        <is>
          <t>native-only</t>
        </is>
      </c>
      <c r="AM421" t="inlineStr">
        <is>
          <t>12</t>
        </is>
      </c>
      <c r="AN421" t="inlineStr">
        <is>
          <t>Yes</t>
        </is>
      </c>
      <c r="AO421" t="inlineStr">
        <is>
          <t>mapped sheet id</t>
        </is>
      </c>
      <c r="AP421" t="inlineStr">
        <is>
          <t>p12:native:272, p12:native:273</t>
        </is>
      </c>
      <c r="AQ421" t="n">
        <v>2</v>
      </c>
    </row>
    <row r="422">
      <c r="A422" s="203">
        <f>ROW()-1</f>
        <v/>
      </c>
      <c r="B422" s="128" t="inlineStr">
        <is>
          <t>RL7-CKR-101-PSL-01</t>
        </is>
      </c>
      <c r="C422" s="314" t="inlineStr">
        <is>
          <t>RL7-CKR-101-PSL-01</t>
        </is>
      </c>
      <c r="D422" s="262" t="inlineStr">
        <is>
          <t>PRG307011</t>
        </is>
      </c>
      <c r="E422" s="128" t="inlineStr">
        <is>
          <t>JIC5B</t>
        </is>
      </c>
      <c r="F422" s="138" t="inlineStr">
        <is>
          <t>COOKER 1 REGULATOR LOW PRESSURE SWITCH</t>
        </is>
      </c>
      <c r="G422" s="131" t="inlineStr">
        <is>
          <t>DG7020</t>
        </is>
      </c>
      <c r="H422" s="128" t="inlineStr">
        <is>
          <t>PROC</t>
        </is>
      </c>
      <c r="I422" s="132" t="inlineStr">
        <is>
          <t>RL7-CKR1-RIO1</t>
        </is>
      </c>
      <c r="J422" s="133" t="n">
        <v>12</v>
      </c>
      <c r="K422" s="129" t="n">
        <v>5</v>
      </c>
      <c r="L422" s="129" t="n">
        <v>2</v>
      </c>
      <c r="M422" s="129" t="inlineStr">
        <is>
          <t>24 VDC DI</t>
        </is>
      </c>
      <c r="N422" s="129" t="inlineStr">
        <is>
          <t>5069-IB16</t>
        </is>
      </c>
      <c r="O422" s="139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40" t="n"/>
      <c r="AA422" t="inlineStr">
        <is>
          <t>Matched</t>
        </is>
      </c>
      <c r="AB422" s="315" t="n">
        <v>0.99</v>
      </c>
      <c r="AC422" t="inlineStr">
        <is>
          <t>High</t>
        </is>
      </c>
      <c r="AD422" t="n">
        <v>1</v>
      </c>
      <c r="AE422" t="inlineStr">
        <is>
          <t>DG7020</t>
        </is>
      </c>
      <c r="AF422" t="n">
        <v>12</v>
      </c>
      <c r="AG422" t="inlineStr">
        <is>
          <t>drawing</t>
        </is>
      </c>
      <c r="AH422" t="inlineStr">
        <is>
          <t>stacked:isa</t>
        </is>
      </c>
      <c r="AI422" t="inlineStr">
        <is>
          <t>drawing zone; process page; mapped sheet; excel sheet match</t>
        </is>
      </c>
      <c r="AJ422" t="inlineStr">
        <is>
          <t>native</t>
        </is>
      </c>
      <c r="AK422" t="inlineStr">
        <is>
          <t>native-only</t>
        </is>
      </c>
      <c r="AM422" t="inlineStr">
        <is>
          <t>12</t>
        </is>
      </c>
      <c r="AN422" t="inlineStr">
        <is>
          <t>Yes</t>
        </is>
      </c>
      <c r="AO422" t="inlineStr">
        <is>
          <t>mapped sheet id</t>
        </is>
      </c>
      <c r="AP422" t="inlineStr">
        <is>
          <t>p12:native:453, p12:native:454</t>
        </is>
      </c>
      <c r="AQ422" t="n">
        <v>2</v>
      </c>
    </row>
    <row r="423">
      <c r="A423" s="203">
        <f>ROW()-1</f>
        <v/>
      </c>
      <c r="B423" s="128" t="inlineStr">
        <is>
          <t>RL7-CKR-101-TIT-01</t>
        </is>
      </c>
      <c r="C423" s="314" t="inlineStr">
        <is>
          <t>RL7-CKR-101-TIT-01</t>
        </is>
      </c>
      <c r="D423" s="262" t="n"/>
      <c r="E423" s="128" t="n"/>
      <c r="F423" s="138" t="inlineStr">
        <is>
          <t xml:space="preserve">COOKER 1 MIXER SIDE TEMPERATURE TRANSMITTER  </t>
        </is>
      </c>
      <c r="G423" s="131" t="inlineStr">
        <is>
          <t>DG7020</t>
        </is>
      </c>
      <c r="H423" s="128" t="inlineStr">
        <is>
          <t>PROC</t>
        </is>
      </c>
      <c r="I423" s="132" t="inlineStr">
        <is>
          <t>RL7-CKR1-RIO1</t>
        </is>
      </c>
      <c r="J423" s="133" t="n">
        <v>12</v>
      </c>
      <c r="K423" s="129" t="n">
        <v>10</v>
      </c>
      <c r="L423" s="129" t="n">
        <v>0</v>
      </c>
      <c r="M423" s="129" t="inlineStr">
        <is>
          <t>4-20 mA AI</t>
        </is>
      </c>
      <c r="N423" s="129" t="inlineStr">
        <is>
          <t>5069-IF8</t>
        </is>
      </c>
      <c r="O423" s="139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40" t="n"/>
      <c r="AA423" t="inlineStr">
        <is>
          <t>Matched</t>
        </is>
      </c>
      <c r="AB423" s="315" t="n">
        <v>0.99</v>
      </c>
      <c r="AC423" t="inlineStr">
        <is>
          <t>High</t>
        </is>
      </c>
      <c r="AD423" t="n">
        <v>1</v>
      </c>
      <c r="AE423" t="inlineStr">
        <is>
          <t>DG7020</t>
        </is>
      </c>
      <c r="AF423" t="n">
        <v>12</v>
      </c>
      <c r="AG423" t="inlineStr">
        <is>
          <t>drawing</t>
        </is>
      </c>
      <c r="AH423" t="inlineStr">
        <is>
          <t>stacked:isa</t>
        </is>
      </c>
      <c r="AI423" t="inlineStr">
        <is>
          <t>drawing zone; process page; mapped sheet; excel sheet match</t>
        </is>
      </c>
      <c r="AJ423" t="inlineStr">
        <is>
          <t>native</t>
        </is>
      </c>
      <c r="AK423" t="inlineStr">
        <is>
          <t>native-only</t>
        </is>
      </c>
      <c r="AM423" t="inlineStr">
        <is>
          <t>12</t>
        </is>
      </c>
      <c r="AN423" t="inlineStr">
        <is>
          <t>Yes</t>
        </is>
      </c>
      <c r="AO423" t="inlineStr">
        <is>
          <t>mapped sheet id</t>
        </is>
      </c>
      <c r="AP423" t="inlineStr">
        <is>
          <t>p12:native:55, p12:native:56</t>
        </is>
      </c>
      <c r="AQ423" t="n">
        <v>2</v>
      </c>
    </row>
    <row r="424">
      <c r="A424" s="203">
        <f>ROW()-1</f>
        <v/>
      </c>
      <c r="B424" s="128" t="inlineStr">
        <is>
          <t>RL7-CKR-101-TIT-02</t>
        </is>
      </c>
      <c r="C424" s="314" t="inlineStr">
        <is>
          <t>RL7-CKR-101-TIT-02</t>
        </is>
      </c>
      <c r="D424" s="262" t="n"/>
      <c r="E424" s="128" t="n"/>
      <c r="F424" s="138" t="inlineStr">
        <is>
          <t xml:space="preserve">COOKER 1 MIXER SIDE TEMPERATURE TRANSMITTER  </t>
        </is>
      </c>
      <c r="G424" s="131" t="inlineStr">
        <is>
          <t>DG7020</t>
        </is>
      </c>
      <c r="H424" s="128" t="inlineStr">
        <is>
          <t>PROC</t>
        </is>
      </c>
      <c r="I424" s="132" t="inlineStr">
        <is>
          <t>RL7-CKR1-RIO1</t>
        </is>
      </c>
      <c r="J424" s="133" t="n">
        <v>12</v>
      </c>
      <c r="K424" s="129" t="n">
        <v>10</v>
      </c>
      <c r="L424" s="129" t="n">
        <v>1</v>
      </c>
      <c r="M424" s="129" t="inlineStr">
        <is>
          <t>4-20 mA AI</t>
        </is>
      </c>
      <c r="N424" s="129" t="inlineStr">
        <is>
          <t>5069-IF8</t>
        </is>
      </c>
      <c r="O424" s="139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40" t="n"/>
      <c r="AA424" t="inlineStr">
        <is>
          <t>Matched</t>
        </is>
      </c>
      <c r="AB424" s="315" t="n">
        <v>0.99</v>
      </c>
      <c r="AC424" t="inlineStr">
        <is>
          <t>High</t>
        </is>
      </c>
      <c r="AD424" t="n">
        <v>1</v>
      </c>
      <c r="AE424" t="inlineStr">
        <is>
          <t>DG7020</t>
        </is>
      </c>
      <c r="AF424" t="n">
        <v>12</v>
      </c>
      <c r="AG424" t="inlineStr">
        <is>
          <t>drawing</t>
        </is>
      </c>
      <c r="AH424" t="inlineStr">
        <is>
          <t>stacked:isa</t>
        </is>
      </c>
      <c r="AI424" t="inlineStr">
        <is>
          <t>drawing zone; process page; mapped sheet; excel sheet match</t>
        </is>
      </c>
      <c r="AJ424" t="inlineStr">
        <is>
          <t>native</t>
        </is>
      </c>
      <c r="AK424" t="inlineStr">
        <is>
          <t>native-only</t>
        </is>
      </c>
      <c r="AM424" t="inlineStr">
        <is>
          <t>12</t>
        </is>
      </c>
      <c r="AN424" t="inlineStr">
        <is>
          <t>Yes</t>
        </is>
      </c>
      <c r="AO424" t="inlineStr">
        <is>
          <t>mapped sheet id</t>
        </is>
      </c>
      <c r="AP424" t="inlineStr">
        <is>
          <t>p12:native:11, p12:native:12</t>
        </is>
      </c>
      <c r="AQ424" t="n">
        <v>2</v>
      </c>
    </row>
    <row r="425">
      <c r="A425" s="203">
        <f>ROW()-1</f>
        <v/>
      </c>
      <c r="B425" s="128" t="inlineStr">
        <is>
          <t>RL7-CKR-101-XY-18A</t>
        </is>
      </c>
      <c r="C425" s="313" t="inlineStr">
        <is>
          <t>RL7-CKR-101-XV-18A</t>
        </is>
      </c>
      <c r="D425" s="262" t="inlineStr">
        <is>
          <t>SOL307071</t>
        </is>
      </c>
      <c r="E425" s="128" t="inlineStr">
        <is>
          <t>JIC5B</t>
        </is>
      </c>
      <c r="F425" s="138" t="inlineStr">
        <is>
          <t>COOKER 1 LEFT DISHCHARGE VALVE OPEN SOLENOID</t>
        </is>
      </c>
      <c r="G425" s="131" t="inlineStr">
        <is>
          <t>DG7020</t>
        </is>
      </c>
      <c r="H425" s="128" t="inlineStr">
        <is>
          <t>PROC</t>
        </is>
      </c>
      <c r="I425" s="132" t="inlineStr">
        <is>
          <t>RL7-CKR1-RIO1</t>
        </is>
      </c>
      <c r="J425" s="133" t="n">
        <v>12</v>
      </c>
      <c r="K425" s="129" t="n">
        <v>9</v>
      </c>
      <c r="L425" s="129" t="n">
        <v>4</v>
      </c>
      <c r="M425" s="129" t="inlineStr">
        <is>
          <t>24 VDC DO</t>
        </is>
      </c>
      <c r="N425" s="129" t="inlineStr">
        <is>
          <t>5069-OB16</t>
        </is>
      </c>
      <c r="O425" s="139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40" t="n"/>
      <c r="AA425" t="inlineStr">
        <is>
          <t>Not found in PDF</t>
        </is>
      </c>
      <c r="AC425" t="inlineStr">
        <is>
          <t>Low</t>
        </is>
      </c>
      <c r="AM425" t="inlineStr">
        <is>
          <t>12</t>
        </is>
      </c>
      <c r="AN425" t="inlineStr">
        <is>
          <t>Yes</t>
        </is>
      </c>
      <c r="AO425" t="inlineStr">
        <is>
          <t>mapped sheet id</t>
        </is>
      </c>
    </row>
    <row r="426">
      <c r="A426" s="203">
        <f>ROW()-1</f>
        <v/>
      </c>
      <c r="B426" s="128" t="inlineStr">
        <is>
          <t>RL7-CKR-101-XY-18B</t>
        </is>
      </c>
      <c r="C426" s="313" t="inlineStr">
        <is>
          <t>RL7-CKR-101-XV-18B</t>
        </is>
      </c>
      <c r="D426" s="262" t="inlineStr">
        <is>
          <t>SOL307071</t>
        </is>
      </c>
      <c r="E426" s="128" t="inlineStr">
        <is>
          <t>JIC5B</t>
        </is>
      </c>
      <c r="F426" s="138" t="inlineStr">
        <is>
          <t>COOKER 1 LEFT DISHCHARGE VALVE CLOSE SOLENOID</t>
        </is>
      </c>
      <c r="G426" s="131" t="inlineStr">
        <is>
          <t>DG7020</t>
        </is>
      </c>
      <c r="H426" s="128" t="inlineStr">
        <is>
          <t>PROC</t>
        </is>
      </c>
      <c r="I426" s="132" t="inlineStr">
        <is>
          <t>RL7-CKR1-RIO1</t>
        </is>
      </c>
      <c r="J426" s="133" t="n">
        <v>12</v>
      </c>
      <c r="K426" s="129" t="n">
        <v>9</v>
      </c>
      <c r="L426" s="129" t="n">
        <v>5</v>
      </c>
      <c r="M426" s="129" t="inlineStr">
        <is>
          <t>24 VDC DO</t>
        </is>
      </c>
      <c r="N426" s="129" t="inlineStr">
        <is>
          <t>5069-OB16</t>
        </is>
      </c>
      <c r="O426" s="139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40" t="n"/>
      <c r="AA426" t="inlineStr">
        <is>
          <t>Not found in PDF</t>
        </is>
      </c>
      <c r="AC426" t="inlineStr">
        <is>
          <t>Low</t>
        </is>
      </c>
      <c r="AM426" t="inlineStr">
        <is>
          <t>12</t>
        </is>
      </c>
      <c r="AN426" t="inlineStr">
        <is>
          <t>Yes</t>
        </is>
      </c>
      <c r="AO426" t="inlineStr">
        <is>
          <t>mapped sheet id</t>
        </is>
      </c>
    </row>
    <row r="427">
      <c r="A427" s="203">
        <f>ROW()-1</f>
        <v/>
      </c>
      <c r="B427" s="128" t="inlineStr">
        <is>
          <t>RL7-CKR-101-XY-19A</t>
        </is>
      </c>
      <c r="C427" s="313" t="inlineStr">
        <is>
          <t>RL7-CKR-101-XV-19A</t>
        </is>
      </c>
      <c r="D427" s="262" t="inlineStr">
        <is>
          <t>SOL307161</t>
        </is>
      </c>
      <c r="E427" s="128" t="inlineStr">
        <is>
          <t>JIC5B</t>
        </is>
      </c>
      <c r="F427" s="138" t="inlineStr">
        <is>
          <t>COOKER 1 RIGHT DISCHARGE VALVE OPEN SOLENOID</t>
        </is>
      </c>
      <c r="G427" s="131" t="inlineStr">
        <is>
          <t>DG7020</t>
        </is>
      </c>
      <c r="H427" s="128" t="inlineStr">
        <is>
          <t>PROC</t>
        </is>
      </c>
      <c r="I427" s="132" t="inlineStr">
        <is>
          <t>RL7-CKR1-RIO1</t>
        </is>
      </c>
      <c r="J427" s="133" t="n">
        <v>12</v>
      </c>
      <c r="K427" s="129" t="n">
        <v>9</v>
      </c>
      <c r="L427" s="129" t="n">
        <v>6</v>
      </c>
      <c r="M427" s="129" t="inlineStr">
        <is>
          <t>24 VDC DO</t>
        </is>
      </c>
      <c r="N427" s="129" t="inlineStr">
        <is>
          <t>5069-OB16</t>
        </is>
      </c>
      <c r="O427" s="139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40" t="n"/>
      <c r="AA427" t="inlineStr">
        <is>
          <t>Not found in PDF</t>
        </is>
      </c>
      <c r="AC427" t="inlineStr">
        <is>
          <t>Low</t>
        </is>
      </c>
      <c r="AM427" t="inlineStr">
        <is>
          <t>12</t>
        </is>
      </c>
      <c r="AN427" t="inlineStr">
        <is>
          <t>Yes</t>
        </is>
      </c>
      <c r="AO427" t="inlineStr">
        <is>
          <t>mapped sheet id</t>
        </is>
      </c>
    </row>
    <row r="428">
      <c r="A428" s="203">
        <f>ROW()-1</f>
        <v/>
      </c>
      <c r="B428" s="128" t="inlineStr">
        <is>
          <t>RL7-CKR-101-XY-19B</t>
        </is>
      </c>
      <c r="C428" s="313" t="inlineStr">
        <is>
          <t>RL7-CKR-101-XV-19B</t>
        </is>
      </c>
      <c r="D428" s="262" t="inlineStr">
        <is>
          <t>SOL307161</t>
        </is>
      </c>
      <c r="E428" s="128" t="inlineStr">
        <is>
          <t>JIC5B</t>
        </is>
      </c>
      <c r="F428" s="138" t="inlineStr">
        <is>
          <t>COOKER 1 RIGHT DISCHARGE VALVE CLOSE SOLENOID</t>
        </is>
      </c>
      <c r="G428" s="131" t="inlineStr">
        <is>
          <t>DG7020</t>
        </is>
      </c>
      <c r="H428" s="128" t="inlineStr">
        <is>
          <t>PROC</t>
        </is>
      </c>
      <c r="I428" s="132" t="inlineStr">
        <is>
          <t>RL7-CKR1-RIO1</t>
        </is>
      </c>
      <c r="J428" s="133" t="n">
        <v>12</v>
      </c>
      <c r="K428" s="129" t="n">
        <v>9</v>
      </c>
      <c r="L428" s="129" t="n">
        <v>7</v>
      </c>
      <c r="M428" s="129" t="inlineStr">
        <is>
          <t>24 VDC DO</t>
        </is>
      </c>
      <c r="N428" s="129" t="inlineStr">
        <is>
          <t>5069-OB16</t>
        </is>
      </c>
      <c r="O428" s="139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40" t="n"/>
      <c r="AA428" t="inlineStr">
        <is>
          <t>Not found in PDF</t>
        </is>
      </c>
      <c r="AC428" t="inlineStr">
        <is>
          <t>Low</t>
        </is>
      </c>
      <c r="AM428" t="inlineStr">
        <is>
          <t>12</t>
        </is>
      </c>
      <c r="AN428" t="inlineStr">
        <is>
          <t>Yes</t>
        </is>
      </c>
      <c r="AO428" t="inlineStr">
        <is>
          <t>mapped sheet id</t>
        </is>
      </c>
    </row>
    <row r="429">
      <c r="A429" s="203">
        <f>ROW()-1</f>
        <v/>
      </c>
      <c r="B429" s="128" t="inlineStr">
        <is>
          <t>RL7-CKR-101-XV-25</t>
        </is>
      </c>
      <c r="C429" s="314" t="inlineStr">
        <is>
          <t>RL7-CKR-101-XV-25</t>
        </is>
      </c>
      <c r="D429" s="262" t="n"/>
      <c r="E429" s="128" t="n"/>
      <c r="F429" s="138" t="inlineStr">
        <is>
          <t>COOKER 1 CIPS MIX PROOF VALVE OPEN SOLENOID</t>
        </is>
      </c>
      <c r="G429" s="131" t="inlineStr">
        <is>
          <t>DG7020</t>
        </is>
      </c>
      <c r="H429" s="128" t="inlineStr">
        <is>
          <t>INTSL</t>
        </is>
      </c>
      <c r="I429" s="131" t="inlineStr">
        <is>
          <t>RL7-INTSL-RIO1</t>
        </is>
      </c>
      <c r="J429" s="133" t="n">
        <v>18</v>
      </c>
      <c r="K429" s="129" t="n">
        <v>3</v>
      </c>
      <c r="L429" s="129" t="n">
        <v>2</v>
      </c>
      <c r="M429" s="129" t="inlineStr">
        <is>
          <t>24 VDC DO</t>
        </is>
      </c>
      <c r="N429" s="129" t="inlineStr">
        <is>
          <t>5069-OB16</t>
        </is>
      </c>
      <c r="O429" s="139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40" t="n"/>
      <c r="AA429" t="inlineStr">
        <is>
          <t>Matched</t>
        </is>
      </c>
      <c r="AB429" s="315" t="n">
        <v>0.99</v>
      </c>
      <c r="AC429" t="inlineStr">
        <is>
          <t>High</t>
        </is>
      </c>
      <c r="AD429" t="n">
        <v>1</v>
      </c>
      <c r="AE429" t="inlineStr">
        <is>
          <t>DG7020</t>
        </is>
      </c>
      <c r="AF429" t="n">
        <v>12</v>
      </c>
      <c r="AG429" t="inlineStr">
        <is>
          <t>drawing</t>
        </is>
      </c>
      <c r="AH429" t="inlineStr">
        <is>
          <t>stacked:isa</t>
        </is>
      </c>
      <c r="AI429" t="inlineStr">
        <is>
          <t>drawing zone; process page; mapped sheet; excel sheet match</t>
        </is>
      </c>
      <c r="AJ429" t="inlineStr">
        <is>
          <t>native</t>
        </is>
      </c>
      <c r="AK429" t="inlineStr">
        <is>
          <t>native-only</t>
        </is>
      </c>
      <c r="AM429" t="inlineStr">
        <is>
          <t>12</t>
        </is>
      </c>
      <c r="AN429" t="inlineStr">
        <is>
          <t>Yes</t>
        </is>
      </c>
      <c r="AO429" t="inlineStr">
        <is>
          <t>mapped sheet id</t>
        </is>
      </c>
      <c r="AP429" t="inlineStr">
        <is>
          <t>p12:native:216, p12:native:217</t>
        </is>
      </c>
      <c r="AQ429" t="n">
        <v>2</v>
      </c>
    </row>
    <row r="430">
      <c r="A430" s="203">
        <f>ROW()-1</f>
        <v/>
      </c>
      <c r="B430" s="128" t="inlineStr">
        <is>
          <t>RL7-CKR-101-XY-20A</t>
        </is>
      </c>
      <c r="C430" s="314" t="inlineStr">
        <is>
          <t>RL7-CKR-101-XY-20A</t>
        </is>
      </c>
      <c r="D430" s="262" t="inlineStr">
        <is>
          <t>SOL307061</t>
        </is>
      </c>
      <c r="E430" s="128" t="inlineStr">
        <is>
          <t>JIC5B</t>
        </is>
      </c>
      <c r="F430" s="138" t="inlineStr">
        <is>
          <t xml:space="preserve">COOKER 1 SAFETY GRATE ENGAGE SOLENOID   </t>
        </is>
      </c>
      <c r="G430" s="131" t="inlineStr">
        <is>
          <t>DG7020</t>
        </is>
      </c>
      <c r="H430" s="128" t="inlineStr">
        <is>
          <t>PROC</t>
        </is>
      </c>
      <c r="I430" s="132" t="inlineStr">
        <is>
          <t>RL7-CKR1-RIO1</t>
        </is>
      </c>
      <c r="J430" s="133" t="n">
        <v>12</v>
      </c>
      <c r="K430" s="129" t="n">
        <v>9</v>
      </c>
      <c r="L430" s="129" t="n">
        <v>2</v>
      </c>
      <c r="M430" s="129" t="inlineStr">
        <is>
          <t>24 VDC DO</t>
        </is>
      </c>
      <c r="N430" s="129" t="inlineStr">
        <is>
          <t>5069-OB16</t>
        </is>
      </c>
      <c r="O430" s="139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40" t="n"/>
      <c r="AA430" t="inlineStr">
        <is>
          <t>Matched</t>
        </is>
      </c>
      <c r="AB430" s="315" t="n">
        <v>0.99</v>
      </c>
      <c r="AC430" t="inlineStr">
        <is>
          <t>High</t>
        </is>
      </c>
      <c r="AD430" t="n">
        <v>1</v>
      </c>
      <c r="AE430" t="inlineStr">
        <is>
          <t>DG7020</t>
        </is>
      </c>
      <c r="AF430" t="n">
        <v>12</v>
      </c>
      <c r="AG430" t="inlineStr">
        <is>
          <t>drawing</t>
        </is>
      </c>
      <c r="AH430" t="inlineStr">
        <is>
          <t>stacked:isa</t>
        </is>
      </c>
      <c r="AI430" t="inlineStr">
        <is>
          <t>drawing zone; process page; mapped sheet; excel sheet match</t>
        </is>
      </c>
      <c r="AJ430" t="inlineStr">
        <is>
          <t>native</t>
        </is>
      </c>
      <c r="AK430" t="inlineStr">
        <is>
          <t>native-only</t>
        </is>
      </c>
      <c r="AM430" t="inlineStr">
        <is>
          <t>12</t>
        </is>
      </c>
      <c r="AN430" t="inlineStr">
        <is>
          <t>Yes</t>
        </is>
      </c>
      <c r="AO430" t="inlineStr">
        <is>
          <t>mapped sheet id</t>
        </is>
      </c>
      <c r="AP430" t="inlineStr">
        <is>
          <t>p12:native:432, p12:native:433</t>
        </is>
      </c>
      <c r="AQ430" t="n">
        <v>2</v>
      </c>
    </row>
    <row r="431">
      <c r="A431" s="203">
        <f>ROW()-1</f>
        <v/>
      </c>
      <c r="B431" s="128" t="inlineStr">
        <is>
          <t>RL7-CKR-101-XY-20B</t>
        </is>
      </c>
      <c r="C431" s="314" t="inlineStr">
        <is>
          <t>RL7-CKR-101-XY-20B</t>
        </is>
      </c>
      <c r="D431" s="262" t="inlineStr">
        <is>
          <t>SOL307061</t>
        </is>
      </c>
      <c r="E431" s="128" t="inlineStr">
        <is>
          <t>JIC5B</t>
        </is>
      </c>
      <c r="F431" s="138" t="inlineStr">
        <is>
          <t xml:space="preserve">COOKER 1 SAFETY GRATE RELEASE SOLENOID   </t>
        </is>
      </c>
      <c r="G431" s="131" t="inlineStr">
        <is>
          <t>DG7020</t>
        </is>
      </c>
      <c r="H431" s="128" t="inlineStr">
        <is>
          <t>PROC</t>
        </is>
      </c>
      <c r="I431" s="132" t="inlineStr">
        <is>
          <t>RL7-CKR1-RIO1</t>
        </is>
      </c>
      <c r="J431" s="133" t="n">
        <v>12</v>
      </c>
      <c r="K431" s="129" t="n">
        <v>9</v>
      </c>
      <c r="L431" s="129" t="n">
        <v>3</v>
      </c>
      <c r="M431" s="129" t="inlineStr">
        <is>
          <t>24 VDC DO</t>
        </is>
      </c>
      <c r="N431" s="129" t="inlineStr">
        <is>
          <t>5069-OB16</t>
        </is>
      </c>
      <c r="O431" s="139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40" t="n"/>
      <c r="AA431" t="inlineStr">
        <is>
          <t>Matched</t>
        </is>
      </c>
      <c r="AB431" s="315" t="n">
        <v>0.99</v>
      </c>
      <c r="AC431" t="inlineStr">
        <is>
          <t>High</t>
        </is>
      </c>
      <c r="AD431" t="n">
        <v>1</v>
      </c>
      <c r="AE431" t="inlineStr">
        <is>
          <t>DG7020</t>
        </is>
      </c>
      <c r="AF431" t="n">
        <v>12</v>
      </c>
      <c r="AG431" t="inlineStr">
        <is>
          <t>drawing</t>
        </is>
      </c>
      <c r="AH431" t="inlineStr">
        <is>
          <t>stacked:isa</t>
        </is>
      </c>
      <c r="AI431" t="inlineStr">
        <is>
          <t>drawing zone; process page; mapped sheet; excel sheet match</t>
        </is>
      </c>
      <c r="AJ431" t="inlineStr">
        <is>
          <t>native</t>
        </is>
      </c>
      <c r="AK431" t="inlineStr">
        <is>
          <t>native-only</t>
        </is>
      </c>
      <c r="AM431" t="inlineStr">
        <is>
          <t>12</t>
        </is>
      </c>
      <c r="AN431" t="inlineStr">
        <is>
          <t>Yes</t>
        </is>
      </c>
      <c r="AO431" t="inlineStr">
        <is>
          <t>mapped sheet id</t>
        </is>
      </c>
      <c r="AP431" t="inlineStr">
        <is>
          <t>p12:native:438, p12:native:439</t>
        </is>
      </c>
      <c r="AQ431" t="n">
        <v>2</v>
      </c>
    </row>
    <row r="432">
      <c r="A432" s="203">
        <f>ROW()-1</f>
        <v/>
      </c>
      <c r="B432" s="128" t="inlineStr">
        <is>
          <t>RL7-CKR-101-XY-22A</t>
        </is>
      </c>
      <c r="C432" s="314" t="inlineStr">
        <is>
          <t>RL7-CKR-101-XY-22A</t>
        </is>
      </c>
      <c r="D432" s="264" t="inlineStr">
        <is>
          <t>SOL307041</t>
        </is>
      </c>
      <c r="E432" s="128" t="inlineStr">
        <is>
          <t>JIC5B</t>
        </is>
      </c>
      <c r="F432" s="138" t="inlineStr">
        <is>
          <t>COOKER 1 COVER OPEN SOLENOID</t>
        </is>
      </c>
      <c r="G432" s="131" t="inlineStr">
        <is>
          <t>DG7020</t>
        </is>
      </c>
      <c r="H432" s="128" t="inlineStr">
        <is>
          <t>PROC</t>
        </is>
      </c>
      <c r="I432" s="132" t="inlineStr">
        <is>
          <t>RL7-CKR1-RIO1</t>
        </is>
      </c>
      <c r="J432" s="133" t="n">
        <v>12</v>
      </c>
      <c r="K432" s="129" t="n">
        <v>9</v>
      </c>
      <c r="L432" s="129" t="n">
        <v>0</v>
      </c>
      <c r="M432" s="129" t="inlineStr">
        <is>
          <t>24 VDC DO</t>
        </is>
      </c>
      <c r="N432" s="129" t="inlineStr">
        <is>
          <t>5069-OB16</t>
        </is>
      </c>
      <c r="O432" s="139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40" t="n"/>
      <c r="AA432" t="inlineStr">
        <is>
          <t>Matched</t>
        </is>
      </c>
      <c r="AB432" s="315" t="n">
        <v>0.99</v>
      </c>
      <c r="AC432" t="inlineStr">
        <is>
          <t>High</t>
        </is>
      </c>
      <c r="AD432" t="n">
        <v>1</v>
      </c>
      <c r="AE432" t="inlineStr">
        <is>
          <t>DG7020</t>
        </is>
      </c>
      <c r="AF432" t="n">
        <v>12</v>
      </c>
      <c r="AG432" t="inlineStr">
        <is>
          <t>drawing</t>
        </is>
      </c>
      <c r="AH432" t="inlineStr">
        <is>
          <t>stacked:isa</t>
        </is>
      </c>
      <c r="AI432" t="inlineStr">
        <is>
          <t>drawing zone; process page; mapped sheet; excel sheet match</t>
        </is>
      </c>
      <c r="AJ432" t="inlineStr">
        <is>
          <t>native</t>
        </is>
      </c>
      <c r="AK432" t="inlineStr">
        <is>
          <t>native-only</t>
        </is>
      </c>
      <c r="AM432" t="inlineStr">
        <is>
          <t>12</t>
        </is>
      </c>
      <c r="AN432" t="inlineStr">
        <is>
          <t>Yes</t>
        </is>
      </c>
      <c r="AO432" t="inlineStr">
        <is>
          <t>mapped sheet id</t>
        </is>
      </c>
      <c r="AP432" t="inlineStr">
        <is>
          <t>p12:native:285, p12:native:286</t>
        </is>
      </c>
      <c r="AQ432" t="n">
        <v>2</v>
      </c>
    </row>
    <row r="433">
      <c r="A433" s="203">
        <f>ROW()-1</f>
        <v/>
      </c>
      <c r="B433" s="128" t="inlineStr">
        <is>
          <t>RL7-CKR-101-XY-22B</t>
        </is>
      </c>
      <c r="C433" s="314" t="inlineStr">
        <is>
          <t>RL7-CKR-101-XY-22B</t>
        </is>
      </c>
      <c r="D433" s="264" t="inlineStr">
        <is>
          <t>SOL307041</t>
        </is>
      </c>
      <c r="E433" s="128" t="inlineStr">
        <is>
          <t>JIC5B</t>
        </is>
      </c>
      <c r="F433" s="138" t="inlineStr">
        <is>
          <t>COOKER 1 COVER CLOSE SOLENOID</t>
        </is>
      </c>
      <c r="G433" s="131" t="inlineStr">
        <is>
          <t>DG7020</t>
        </is>
      </c>
      <c r="H433" s="128" t="inlineStr">
        <is>
          <t>PROC</t>
        </is>
      </c>
      <c r="I433" s="132" t="inlineStr">
        <is>
          <t>RL7-CKR1-RIO1</t>
        </is>
      </c>
      <c r="J433" s="133" t="n">
        <v>12</v>
      </c>
      <c r="K433" s="129" t="n">
        <v>9</v>
      </c>
      <c r="L433" s="129" t="n">
        <v>1</v>
      </c>
      <c r="M433" s="129" t="inlineStr">
        <is>
          <t>24 VDC DO</t>
        </is>
      </c>
      <c r="N433" s="129" t="inlineStr">
        <is>
          <t>5069-OB16</t>
        </is>
      </c>
      <c r="O433" s="139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40" t="n"/>
      <c r="AA433" t="inlineStr">
        <is>
          <t>Matched</t>
        </is>
      </c>
      <c r="AB433" s="315" t="n">
        <v>0.99</v>
      </c>
      <c r="AC433" t="inlineStr">
        <is>
          <t>High</t>
        </is>
      </c>
      <c r="AD433" t="n">
        <v>1</v>
      </c>
      <c r="AE433" t="inlineStr">
        <is>
          <t>DG7020</t>
        </is>
      </c>
      <c r="AF433" t="n">
        <v>12</v>
      </c>
      <c r="AG433" t="inlineStr">
        <is>
          <t>drawing</t>
        </is>
      </c>
      <c r="AH433" t="inlineStr">
        <is>
          <t>stacked:isa</t>
        </is>
      </c>
      <c r="AI433" t="inlineStr">
        <is>
          <t>drawing zone; process page; mapped sheet; excel sheet match</t>
        </is>
      </c>
      <c r="AJ433" t="inlineStr">
        <is>
          <t>native</t>
        </is>
      </c>
      <c r="AK433" t="inlineStr">
        <is>
          <t>native-only</t>
        </is>
      </c>
      <c r="AM433" t="inlineStr">
        <is>
          <t>12</t>
        </is>
      </c>
      <c r="AN433" t="inlineStr">
        <is>
          <t>Yes</t>
        </is>
      </c>
      <c r="AO433" t="inlineStr">
        <is>
          <t>mapped sheet id</t>
        </is>
      </c>
      <c r="AP433" t="inlineStr">
        <is>
          <t>p12:native:281, p12:native:282</t>
        </is>
      </c>
      <c r="AQ433" t="n">
        <v>2</v>
      </c>
    </row>
    <row r="434">
      <c r="A434" s="203">
        <f>ROW()-1</f>
        <v/>
      </c>
      <c r="B434" s="128" t="n"/>
      <c r="C434" s="316" t="inlineStr">
        <is>
          <t>RL7-CKR-101-XY-24</t>
        </is>
      </c>
      <c r="D434" s="264" t="n"/>
      <c r="E434" s="133" t="n"/>
      <c r="F434" s="141" t="inlineStr">
        <is>
          <t>COOKER 1 AIR PURGE SOLENOID VALVE</t>
        </is>
      </c>
      <c r="G434" s="142" t="inlineStr">
        <is>
          <t>DG7020</t>
        </is>
      </c>
      <c r="H434" s="133" t="inlineStr">
        <is>
          <t>PROC</t>
        </is>
      </c>
      <c r="I434" s="132" t="inlineStr">
        <is>
          <t>RL7-CKR1-RIO1</t>
        </is>
      </c>
      <c r="J434" s="133" t="n">
        <v>12</v>
      </c>
      <c r="K434" s="129" t="n">
        <v>9</v>
      </c>
      <c r="L434" s="129" t="n">
        <v>15</v>
      </c>
      <c r="M434" s="129" t="inlineStr">
        <is>
          <t>24 VDC DO</t>
        </is>
      </c>
      <c r="N434" s="129" t="inlineStr">
        <is>
          <t>5069-OB16</t>
        </is>
      </c>
      <c r="O434" s="139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40" t="n"/>
      <c r="AA434" t="inlineStr">
        <is>
          <t>Matched</t>
        </is>
      </c>
      <c r="AB434" s="315" t="n">
        <v>0.99</v>
      </c>
      <c r="AC434" t="inlineStr">
        <is>
          <t>High</t>
        </is>
      </c>
      <c r="AD434" t="n">
        <v>1</v>
      </c>
      <c r="AE434" t="inlineStr">
        <is>
          <t>DG7020</t>
        </is>
      </c>
      <c r="AF434" t="n">
        <v>12</v>
      </c>
      <c r="AG434" t="inlineStr">
        <is>
          <t>drawing</t>
        </is>
      </c>
      <c r="AH434" t="inlineStr">
        <is>
          <t>stacked:isa</t>
        </is>
      </c>
      <c r="AI434" t="inlineStr">
        <is>
          <t>drawing zone; process page; mapped sheet; excel sheet match</t>
        </is>
      </c>
      <c r="AJ434" t="inlineStr">
        <is>
          <t>native</t>
        </is>
      </c>
      <c r="AK434" t="inlineStr">
        <is>
          <t>native-only</t>
        </is>
      </c>
      <c r="AM434" t="inlineStr">
        <is>
          <t>12</t>
        </is>
      </c>
      <c r="AN434" t="inlineStr">
        <is>
          <t>Yes</t>
        </is>
      </c>
      <c r="AO434" t="inlineStr">
        <is>
          <t>mapped sheet id</t>
        </is>
      </c>
      <c r="AP434" t="inlineStr">
        <is>
          <t>p12:native:136, p12:native:137</t>
        </is>
      </c>
      <c r="AQ434" t="n">
        <v>2</v>
      </c>
    </row>
    <row r="435">
      <c r="A435" s="203">
        <f>ROW()-1</f>
        <v/>
      </c>
      <c r="B435" s="128" t="inlineStr">
        <is>
          <t>RL7-CKR-101-XYS-23A</t>
        </is>
      </c>
      <c r="C435" s="314" t="inlineStr">
        <is>
          <t>RL7-CKR-101-XYS-23A</t>
        </is>
      </c>
      <c r="D435" s="262" t="inlineStr">
        <is>
          <t>SOL306171</t>
        </is>
      </c>
      <c r="E435" s="128" t="inlineStr">
        <is>
          <t>JIC5B</t>
        </is>
      </c>
      <c r="F435" s="138" t="inlineStr">
        <is>
          <t xml:space="preserve">COOKER 1 SAFETY AIR DUMP SOLENOID A  </t>
        </is>
      </c>
      <c r="G435" s="131" t="inlineStr">
        <is>
          <t>DG7020</t>
        </is>
      </c>
      <c r="H435" s="128" t="inlineStr">
        <is>
          <t>PROC</t>
        </is>
      </c>
      <c r="I435" s="132" t="inlineStr">
        <is>
          <t>RL7-CKR1-RIO1</t>
        </is>
      </c>
      <c r="J435" s="133" t="n">
        <v>12</v>
      </c>
      <c r="K435" s="129" t="n">
        <v>4</v>
      </c>
      <c r="L435" s="129" t="n">
        <v>0</v>
      </c>
      <c r="M435" s="129" t="inlineStr">
        <is>
          <t>24 VDC SO</t>
        </is>
      </c>
      <c r="N435" s="129" t="inlineStr">
        <is>
          <t>5069-OBV8S</t>
        </is>
      </c>
      <c r="O435" s="139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40" t="n"/>
      <c r="AA435" t="inlineStr">
        <is>
          <t>Matched</t>
        </is>
      </c>
      <c r="AB435" s="315" t="n">
        <v>0.99</v>
      </c>
      <c r="AC435" t="inlineStr">
        <is>
          <t>High</t>
        </is>
      </c>
      <c r="AD435" t="n">
        <v>1</v>
      </c>
      <c r="AE435" t="inlineStr">
        <is>
          <t>DG7020</t>
        </is>
      </c>
      <c r="AF435" t="n">
        <v>12</v>
      </c>
      <c r="AG435" t="inlineStr">
        <is>
          <t>drawing</t>
        </is>
      </c>
      <c r="AH435" t="inlineStr">
        <is>
          <t>stacked:isa</t>
        </is>
      </c>
      <c r="AI435" t="inlineStr">
        <is>
          <t>drawing zone; process page; mapped sheet; excel sheet match</t>
        </is>
      </c>
      <c r="AJ435" t="inlineStr">
        <is>
          <t>native</t>
        </is>
      </c>
      <c r="AK435" t="inlineStr">
        <is>
          <t>native-only</t>
        </is>
      </c>
      <c r="AM435" t="inlineStr">
        <is>
          <t>12</t>
        </is>
      </c>
      <c r="AN435" t="inlineStr">
        <is>
          <t>Yes</t>
        </is>
      </c>
      <c r="AO435" t="inlineStr">
        <is>
          <t>mapped sheet id</t>
        </is>
      </c>
      <c r="AP435" t="inlineStr">
        <is>
          <t>p12:native:254, p12:native:255</t>
        </is>
      </c>
      <c r="AQ435" t="n">
        <v>2</v>
      </c>
    </row>
    <row r="436">
      <c r="A436" s="203">
        <f>ROW()-1</f>
        <v/>
      </c>
      <c r="B436" s="128" t="inlineStr">
        <is>
          <t>RL7-CKR-101-XYS-23B</t>
        </is>
      </c>
      <c r="C436" s="314" t="inlineStr">
        <is>
          <t>RL7-CKR-101-XYS-23B</t>
        </is>
      </c>
      <c r="D436" s="262" t="inlineStr">
        <is>
          <t>SOL306171</t>
        </is>
      </c>
      <c r="E436" s="128" t="inlineStr">
        <is>
          <t>JIC5B</t>
        </is>
      </c>
      <c r="F436" s="138" t="inlineStr">
        <is>
          <t xml:space="preserve">COOKER 1 SAFETY AIR DUMP SOLENOID B  </t>
        </is>
      </c>
      <c r="G436" s="131" t="inlineStr">
        <is>
          <t>DG7020</t>
        </is>
      </c>
      <c r="H436" s="128" t="inlineStr">
        <is>
          <t>PROC</t>
        </is>
      </c>
      <c r="I436" s="132" t="inlineStr">
        <is>
          <t>RL7-CKR1-RIO1</t>
        </is>
      </c>
      <c r="J436" s="133" t="n">
        <v>12</v>
      </c>
      <c r="K436" s="129" t="n">
        <v>4</v>
      </c>
      <c r="L436" s="129" t="n">
        <v>1</v>
      </c>
      <c r="M436" s="129" t="inlineStr">
        <is>
          <t>24 VDC SO</t>
        </is>
      </c>
      <c r="N436" s="129" t="inlineStr">
        <is>
          <t>5069-OBV8S</t>
        </is>
      </c>
      <c r="O436" s="139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40" t="n"/>
      <c r="AA436" t="inlineStr">
        <is>
          <t>Matched</t>
        </is>
      </c>
      <c r="AB436" s="315" t="n">
        <v>0.99</v>
      </c>
      <c r="AC436" t="inlineStr">
        <is>
          <t>High</t>
        </is>
      </c>
      <c r="AD436" t="n">
        <v>1</v>
      </c>
      <c r="AE436" t="inlineStr">
        <is>
          <t>DG7020</t>
        </is>
      </c>
      <c r="AF436" t="n">
        <v>12</v>
      </c>
      <c r="AG436" t="inlineStr">
        <is>
          <t>drawing</t>
        </is>
      </c>
      <c r="AH436" t="inlineStr">
        <is>
          <t>stacked:isa</t>
        </is>
      </c>
      <c r="AI436" t="inlineStr">
        <is>
          <t>drawing zone; process page; mapped sheet; excel sheet match</t>
        </is>
      </c>
      <c r="AJ436" t="inlineStr">
        <is>
          <t>native</t>
        </is>
      </c>
      <c r="AK436" t="inlineStr">
        <is>
          <t>native-only</t>
        </is>
      </c>
      <c r="AM436" t="inlineStr">
        <is>
          <t>12</t>
        </is>
      </c>
      <c r="AN436" t="inlineStr">
        <is>
          <t>Yes</t>
        </is>
      </c>
      <c r="AO436" t="inlineStr">
        <is>
          <t>mapped sheet id</t>
        </is>
      </c>
      <c r="AP436" t="inlineStr">
        <is>
          <t>p12:native:256, p12:native:257</t>
        </is>
      </c>
      <c r="AQ436" t="n">
        <v>2</v>
      </c>
    </row>
    <row r="437">
      <c r="A437" s="203">
        <f>ROW()-1</f>
        <v/>
      </c>
      <c r="B437" s="128" t="inlineStr">
        <is>
          <t>RL7-CKR-101-ZSC-18</t>
        </is>
      </c>
      <c r="C437" s="314" t="inlineStr">
        <is>
          <t>RL7-CKR-101-ZSC-18</t>
        </is>
      </c>
      <c r="D437" s="262" t="inlineStr">
        <is>
          <t>SOL307111</t>
        </is>
      </c>
      <c r="E437" s="128" t="n"/>
      <c r="F437" s="138" t="inlineStr">
        <is>
          <t>COOKER 1 LEFT DISCHARGE VALVE CLOSED</t>
        </is>
      </c>
      <c r="G437" s="131" t="inlineStr">
        <is>
          <t>DG7020</t>
        </is>
      </c>
      <c r="H437" s="128" t="inlineStr">
        <is>
          <t>PROC</t>
        </is>
      </c>
      <c r="I437" s="132" t="inlineStr">
        <is>
          <t>RL7-CKR1-RIO1</t>
        </is>
      </c>
      <c r="J437" s="133" t="n">
        <v>12</v>
      </c>
      <c r="K437" s="129" t="n">
        <v>6</v>
      </c>
      <c r="L437" s="129" t="n">
        <v>7</v>
      </c>
      <c r="M437" s="129" t="inlineStr">
        <is>
          <t>24 VDC DI</t>
        </is>
      </c>
      <c r="N437" s="129" t="inlineStr">
        <is>
          <t>5069-IB16</t>
        </is>
      </c>
      <c r="O437" s="139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40" t="n"/>
      <c r="AA437" t="inlineStr">
        <is>
          <t>Matched</t>
        </is>
      </c>
      <c r="AB437" s="315" t="n">
        <v>0.99</v>
      </c>
      <c r="AC437" t="inlineStr">
        <is>
          <t>High</t>
        </is>
      </c>
      <c r="AD437" t="n">
        <v>1</v>
      </c>
      <c r="AE437" t="inlineStr">
        <is>
          <t>DG7020</t>
        </is>
      </c>
      <c r="AF437" t="n">
        <v>12</v>
      </c>
      <c r="AG437" t="inlineStr">
        <is>
          <t>drawing</t>
        </is>
      </c>
      <c r="AH437" t="inlineStr">
        <is>
          <t>stacked:isa</t>
        </is>
      </c>
      <c r="AI437" t="inlineStr">
        <is>
          <t>drawing zone; process page; mapped sheet; excel sheet match</t>
        </is>
      </c>
      <c r="AJ437" t="inlineStr">
        <is>
          <t>native</t>
        </is>
      </c>
      <c r="AK437" t="inlineStr">
        <is>
          <t>native-only</t>
        </is>
      </c>
      <c r="AM437" t="inlineStr">
        <is>
          <t>12</t>
        </is>
      </c>
      <c r="AN437" t="inlineStr">
        <is>
          <t>Yes</t>
        </is>
      </c>
      <c r="AO437" t="inlineStr">
        <is>
          <t>mapped sheet id</t>
        </is>
      </c>
      <c r="AP437" t="inlineStr">
        <is>
          <t>p12:native:197, p12:native:198</t>
        </is>
      </c>
      <c r="AQ437" t="n">
        <v>2</v>
      </c>
    </row>
    <row r="438">
      <c r="A438" s="203">
        <f>ROW()-1</f>
        <v/>
      </c>
      <c r="B438" s="128" t="inlineStr">
        <is>
          <t>RL7-CKR-101-ZSC-19</t>
        </is>
      </c>
      <c r="C438" s="314" t="inlineStr">
        <is>
          <t>RL7-CKR-101-ZSC-19</t>
        </is>
      </c>
      <c r="D438" s="262" t="inlineStr">
        <is>
          <t>SOL307131</t>
        </is>
      </c>
      <c r="E438" s="128" t="n"/>
      <c r="F438" s="138" t="inlineStr">
        <is>
          <t>COOKER 1 RIGHT DISCHARGE VALVE CLOSED</t>
        </is>
      </c>
      <c r="G438" s="131" t="inlineStr">
        <is>
          <t>DG7020</t>
        </is>
      </c>
      <c r="H438" s="128" t="inlineStr">
        <is>
          <t>PROC</t>
        </is>
      </c>
      <c r="I438" s="132" t="inlineStr">
        <is>
          <t>RL7-CKR1-RIO1</t>
        </is>
      </c>
      <c r="J438" s="133" t="n">
        <v>12</v>
      </c>
      <c r="K438" s="129" t="n">
        <v>6</v>
      </c>
      <c r="L438" s="129" t="n">
        <v>9</v>
      </c>
      <c r="M438" s="129" t="inlineStr">
        <is>
          <t>24 VDC DI</t>
        </is>
      </c>
      <c r="N438" s="129" t="inlineStr">
        <is>
          <t>5069-IB16</t>
        </is>
      </c>
      <c r="O438" s="139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40" t="n"/>
      <c r="AA438" t="inlineStr">
        <is>
          <t>Matched</t>
        </is>
      </c>
      <c r="AB438" s="315" t="n">
        <v>0.99</v>
      </c>
      <c r="AC438" t="inlineStr">
        <is>
          <t>High</t>
        </is>
      </c>
      <c r="AD438" t="n">
        <v>1</v>
      </c>
      <c r="AE438" t="inlineStr">
        <is>
          <t>DG7020</t>
        </is>
      </c>
      <c r="AF438" t="n">
        <v>12</v>
      </c>
      <c r="AG438" t="inlineStr">
        <is>
          <t>drawing</t>
        </is>
      </c>
      <c r="AH438" t="inlineStr">
        <is>
          <t>stacked:isa</t>
        </is>
      </c>
      <c r="AI438" t="inlineStr">
        <is>
          <t>drawing zone; process page; mapped sheet; excel sheet match</t>
        </is>
      </c>
      <c r="AJ438" t="inlineStr">
        <is>
          <t>native</t>
        </is>
      </c>
      <c r="AK438" t="inlineStr">
        <is>
          <t>native-only</t>
        </is>
      </c>
      <c r="AM438" t="inlineStr">
        <is>
          <t>12</t>
        </is>
      </c>
      <c r="AN438" t="inlineStr">
        <is>
          <t>Yes</t>
        </is>
      </c>
      <c r="AO438" t="inlineStr">
        <is>
          <t>mapped sheet id</t>
        </is>
      </c>
      <c r="AP438" t="inlineStr">
        <is>
          <t>p12:native:201, p12:native:202</t>
        </is>
      </c>
      <c r="AQ438" t="n">
        <v>2</v>
      </c>
    </row>
    <row r="439">
      <c r="A439" s="203">
        <f>ROW()-1</f>
        <v/>
      </c>
      <c r="B439" s="128" t="inlineStr">
        <is>
          <t>RL7-CKR-101-ZSC-20</t>
        </is>
      </c>
      <c r="C439" s="314" t="inlineStr">
        <is>
          <t>RL7-CKR-101-ZSC-20</t>
        </is>
      </c>
      <c r="D439" s="262" t="inlineStr">
        <is>
          <t>VLV307261</t>
        </is>
      </c>
      <c r="E439" s="128" t="n"/>
      <c r="F439" s="138" t="inlineStr">
        <is>
          <t>COOKER 1 SAFETY GRATE ENGAGED</t>
        </is>
      </c>
      <c r="G439" s="131" t="inlineStr">
        <is>
          <t>DG7020</t>
        </is>
      </c>
      <c r="H439" s="128" t="inlineStr">
        <is>
          <t>PROC</t>
        </is>
      </c>
      <c r="I439" s="132" t="inlineStr">
        <is>
          <t>RL7-CKR1-RIO1</t>
        </is>
      </c>
      <c r="J439" s="133" t="n">
        <v>12</v>
      </c>
      <c r="K439" s="129" t="n">
        <v>6</v>
      </c>
      <c r="L439" s="129" t="n">
        <v>1</v>
      </c>
      <c r="M439" s="129" t="inlineStr">
        <is>
          <t>24 VDC DI</t>
        </is>
      </c>
      <c r="N439" s="129" t="inlineStr">
        <is>
          <t>5069-IB16</t>
        </is>
      </c>
      <c r="O439" s="139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40" t="n"/>
      <c r="AA439" t="inlineStr">
        <is>
          <t>Matched</t>
        </is>
      </c>
      <c r="AB439" s="315" t="n">
        <v>0.99</v>
      </c>
      <c r="AC439" t="inlineStr">
        <is>
          <t>High</t>
        </is>
      </c>
      <c r="AD439" t="n">
        <v>1</v>
      </c>
      <c r="AE439" t="inlineStr">
        <is>
          <t>DG7020</t>
        </is>
      </c>
      <c r="AF439" t="n">
        <v>12</v>
      </c>
      <c r="AG439" t="inlineStr">
        <is>
          <t>drawing</t>
        </is>
      </c>
      <c r="AH439" t="inlineStr">
        <is>
          <t>stacked:isa</t>
        </is>
      </c>
      <c r="AI439" t="inlineStr">
        <is>
          <t>drawing zone; process page; mapped sheet; excel sheet match</t>
        </is>
      </c>
      <c r="AJ439" t="inlineStr">
        <is>
          <t>native</t>
        </is>
      </c>
      <c r="AK439" t="inlineStr">
        <is>
          <t>native-only</t>
        </is>
      </c>
      <c r="AM439" t="inlineStr">
        <is>
          <t>12</t>
        </is>
      </c>
      <c r="AN439" t="inlineStr">
        <is>
          <t>Yes</t>
        </is>
      </c>
      <c r="AO439" t="inlineStr">
        <is>
          <t>mapped sheet id</t>
        </is>
      </c>
      <c r="AP439" t="inlineStr">
        <is>
          <t>p12:native:436, p12:native:437</t>
        </is>
      </c>
      <c r="AQ439" t="n">
        <v>2</v>
      </c>
    </row>
    <row r="440">
      <c r="A440" s="203">
        <f>ROW()-1</f>
        <v/>
      </c>
      <c r="B440" s="128" t="inlineStr">
        <is>
          <t>RL7-CKR-101-ZSC-21</t>
        </is>
      </c>
      <c r="C440" s="314" t="inlineStr">
        <is>
          <t>RL7-CKR-101-ZSC-21</t>
        </is>
      </c>
      <c r="D440" s="262" t="inlineStr">
        <is>
          <t>PRS307211</t>
        </is>
      </c>
      <c r="E440" s="128" t="n"/>
      <c r="F440" s="138" t="inlineStr">
        <is>
          <t>COOKER 1 LOCKBAR ENGAGED</t>
        </is>
      </c>
      <c r="G440" s="131" t="inlineStr">
        <is>
          <t>DG7020</t>
        </is>
      </c>
      <c r="H440" s="128" t="inlineStr">
        <is>
          <t>PROC</t>
        </is>
      </c>
      <c r="I440" s="132" t="inlineStr">
        <is>
          <t>RL7-CKR1-RIO1</t>
        </is>
      </c>
      <c r="J440" s="133" t="n">
        <v>12</v>
      </c>
      <c r="K440" s="129" t="n">
        <v>5</v>
      </c>
      <c r="L440" s="129" t="n">
        <v>0</v>
      </c>
      <c r="M440" s="129" t="inlineStr">
        <is>
          <t>24 VDC DI</t>
        </is>
      </c>
      <c r="N440" s="129" t="inlineStr">
        <is>
          <t>5069-IB16</t>
        </is>
      </c>
      <c r="O440" s="139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40" t="n"/>
      <c r="AA440" t="inlineStr">
        <is>
          <t>Matched</t>
        </is>
      </c>
      <c r="AB440" s="315" t="n">
        <v>0.99</v>
      </c>
      <c r="AC440" t="inlineStr">
        <is>
          <t>High</t>
        </is>
      </c>
      <c r="AD440" t="n">
        <v>1</v>
      </c>
      <c r="AE440" t="inlineStr">
        <is>
          <t>DG7020</t>
        </is>
      </c>
      <c r="AF440" t="n">
        <v>12</v>
      </c>
      <c r="AG440" t="inlineStr">
        <is>
          <t>drawing</t>
        </is>
      </c>
      <c r="AH440" t="inlineStr">
        <is>
          <t>stacked:isa</t>
        </is>
      </c>
      <c r="AI440" t="inlineStr">
        <is>
          <t>drawing zone; process page; mapped sheet; excel sheet match</t>
        </is>
      </c>
      <c r="AJ440" t="inlineStr">
        <is>
          <t>native</t>
        </is>
      </c>
      <c r="AK440" t="inlineStr">
        <is>
          <t>native-only</t>
        </is>
      </c>
      <c r="AM440" t="inlineStr">
        <is>
          <t>12</t>
        </is>
      </c>
      <c r="AN440" t="inlineStr">
        <is>
          <t>Yes</t>
        </is>
      </c>
      <c r="AO440" t="inlineStr">
        <is>
          <t>mapped sheet id</t>
        </is>
      </c>
      <c r="AP440" t="inlineStr">
        <is>
          <t>p12:native:166, p12:native:167</t>
        </is>
      </c>
      <c r="AQ440" t="n">
        <v>2</v>
      </c>
    </row>
    <row r="441">
      <c r="A441" s="203">
        <f>ROW()-1</f>
        <v/>
      </c>
      <c r="B441" s="128" t="inlineStr">
        <is>
          <t>RL7-CKR-101-ZSS-23A</t>
        </is>
      </c>
      <c r="C441" s="314" t="inlineStr">
        <is>
          <t>RL7-CKR-101-ZSC-23A</t>
        </is>
      </c>
      <c r="D441" s="262" t="inlineStr">
        <is>
          <t>SOL306171</t>
        </is>
      </c>
      <c r="E441" s="128" t="inlineStr">
        <is>
          <t>JIC5B</t>
        </is>
      </c>
      <c r="F441" s="138" t="inlineStr">
        <is>
          <t xml:space="preserve">COOKER 1 SAFETY AIR DUMP SOLENOID A STATUS </t>
        </is>
      </c>
      <c r="G441" s="131" t="inlineStr">
        <is>
          <t>DG7020</t>
        </is>
      </c>
      <c r="H441" s="128" t="inlineStr">
        <is>
          <t>PROC</t>
        </is>
      </c>
      <c r="I441" s="132" t="inlineStr">
        <is>
          <t>RL7-CKR1-RIO1</t>
        </is>
      </c>
      <c r="J441" s="133" t="n">
        <v>12</v>
      </c>
      <c r="K441" s="129" t="n">
        <v>2</v>
      </c>
      <c r="L441" s="129" t="n">
        <v>6</v>
      </c>
      <c r="M441" s="129" t="inlineStr">
        <is>
          <t>24 VDC SI</t>
        </is>
      </c>
      <c r="N441" s="129" t="inlineStr">
        <is>
          <t>5069-IB8S</t>
        </is>
      </c>
      <c r="O441" s="139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40" t="n"/>
      <c r="AA441" t="inlineStr">
        <is>
          <t>Matched</t>
        </is>
      </c>
      <c r="AB441" s="315" t="n">
        <v>0.99</v>
      </c>
      <c r="AC441" t="inlineStr">
        <is>
          <t>High</t>
        </is>
      </c>
      <c r="AD441" t="n">
        <v>1</v>
      </c>
      <c r="AE441" t="inlineStr">
        <is>
          <t>DG7020</t>
        </is>
      </c>
      <c r="AF441" t="n">
        <v>12</v>
      </c>
      <c r="AG441" t="inlineStr">
        <is>
          <t>drawing</t>
        </is>
      </c>
      <c r="AH441" t="inlineStr">
        <is>
          <t>stacked:isa</t>
        </is>
      </c>
      <c r="AI441" t="inlineStr">
        <is>
          <t>drawing zone; process page; mapped sheet; excel sheet match</t>
        </is>
      </c>
      <c r="AJ441" t="inlineStr">
        <is>
          <t>native</t>
        </is>
      </c>
      <c r="AK441" t="inlineStr">
        <is>
          <t>native-only</t>
        </is>
      </c>
      <c r="AM441" t="inlineStr">
        <is>
          <t>12</t>
        </is>
      </c>
      <c r="AN441" t="inlineStr">
        <is>
          <t>Yes</t>
        </is>
      </c>
      <c r="AO441" t="inlineStr">
        <is>
          <t>mapped sheet id</t>
        </is>
      </c>
      <c r="AP441" t="inlineStr">
        <is>
          <t>p12:native:260, p12:native:261</t>
        </is>
      </c>
      <c r="AQ441" t="n">
        <v>2</v>
      </c>
    </row>
    <row r="442">
      <c r="A442" s="203">
        <f>ROW()-1</f>
        <v/>
      </c>
      <c r="B442" s="128" t="inlineStr">
        <is>
          <t>RL7-CKR-101-ZSS-23A</t>
        </is>
      </c>
      <c r="C442" s="314" t="inlineStr">
        <is>
          <t>RL7-CKR-101-ZSC-23B</t>
        </is>
      </c>
      <c r="D442" s="262" t="inlineStr">
        <is>
          <t>SOL306171</t>
        </is>
      </c>
      <c r="E442" s="128" t="inlineStr">
        <is>
          <t>JIC5B</t>
        </is>
      </c>
      <c r="F442" s="138" t="inlineStr">
        <is>
          <t xml:space="preserve">COOKER 1 SAFETY AIR DUMP SOLENOID B STATUS </t>
        </is>
      </c>
      <c r="G442" s="131" t="inlineStr">
        <is>
          <t>DG7020</t>
        </is>
      </c>
      <c r="H442" s="128" t="inlineStr">
        <is>
          <t>PROC</t>
        </is>
      </c>
      <c r="I442" s="132" t="inlineStr">
        <is>
          <t>RL7-CKR1-RIO1</t>
        </is>
      </c>
      <c r="J442" s="133" t="n">
        <v>12</v>
      </c>
      <c r="K442" s="129" t="n">
        <v>2</v>
      </c>
      <c r="L442" s="129" t="n">
        <v>7</v>
      </c>
      <c r="M442" s="129" t="inlineStr">
        <is>
          <t>24 VDC SI</t>
        </is>
      </c>
      <c r="N442" s="129" t="inlineStr">
        <is>
          <t>5069-IB8S</t>
        </is>
      </c>
      <c r="O442" s="139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40" t="n"/>
      <c r="AA442" t="inlineStr">
        <is>
          <t>Matched</t>
        </is>
      </c>
      <c r="AB442" s="315" t="n">
        <v>0.99</v>
      </c>
      <c r="AC442" t="inlineStr">
        <is>
          <t>High</t>
        </is>
      </c>
      <c r="AD442" t="n">
        <v>1</v>
      </c>
      <c r="AE442" t="inlineStr">
        <is>
          <t>DG7020</t>
        </is>
      </c>
      <c r="AF442" t="n">
        <v>12</v>
      </c>
      <c r="AG442" t="inlineStr">
        <is>
          <t>drawing</t>
        </is>
      </c>
      <c r="AH442" t="inlineStr">
        <is>
          <t>stacked:isa</t>
        </is>
      </c>
      <c r="AI442" t="inlineStr">
        <is>
          <t>drawing zone; process page; mapped sheet; excel sheet match</t>
        </is>
      </c>
      <c r="AJ442" t="inlineStr">
        <is>
          <t>native</t>
        </is>
      </c>
      <c r="AK442" t="inlineStr">
        <is>
          <t>native-only</t>
        </is>
      </c>
      <c r="AM442" t="inlineStr">
        <is>
          <t>12</t>
        </is>
      </c>
      <c r="AN442" t="inlineStr">
        <is>
          <t>Yes</t>
        </is>
      </c>
      <c r="AO442" t="inlineStr">
        <is>
          <t>mapped sheet id</t>
        </is>
      </c>
      <c r="AP442" t="inlineStr">
        <is>
          <t>p12:native:262, p12:native:263</t>
        </is>
      </c>
      <c r="AQ442" t="n">
        <v>2</v>
      </c>
    </row>
    <row r="443">
      <c r="A443" s="203">
        <f>ROW()-1</f>
        <v/>
      </c>
      <c r="B443" s="128" t="inlineStr">
        <is>
          <t>RL7-CKR-101-ZSC-25</t>
        </is>
      </c>
      <c r="C443" s="314" t="inlineStr">
        <is>
          <t>RL7-CKR-101-ZSC-25</t>
        </is>
      </c>
      <c r="D443" s="262" t="n"/>
      <c r="E443" s="128" t="n"/>
      <c r="F443" s="138" t="inlineStr">
        <is>
          <t>COOKER 1 CIPS MIX PROOF VALVE CLOSED LIMIT SWITCH</t>
        </is>
      </c>
      <c r="G443" s="131" t="inlineStr">
        <is>
          <t>DG7020</t>
        </is>
      </c>
      <c r="H443" s="128" t="inlineStr">
        <is>
          <t>INTSL</t>
        </is>
      </c>
      <c r="I443" s="131" t="inlineStr">
        <is>
          <t>RL7-INTSL-RIO1</t>
        </is>
      </c>
      <c r="J443" s="133" t="n">
        <v>18</v>
      </c>
      <c r="K443" s="129" t="n">
        <v>1</v>
      </c>
      <c r="L443" s="129" t="n">
        <v>1</v>
      </c>
      <c r="M443" s="129" t="inlineStr">
        <is>
          <t>24 VDC DI</t>
        </is>
      </c>
      <c r="N443" s="129" t="inlineStr">
        <is>
          <t>5069-IB16</t>
        </is>
      </c>
      <c r="O443" s="139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59" t="n"/>
      <c r="AA443" t="inlineStr">
        <is>
          <t>Matched</t>
        </is>
      </c>
      <c r="AB443" s="315" t="n">
        <v>0.99</v>
      </c>
      <c r="AC443" t="inlineStr">
        <is>
          <t>High</t>
        </is>
      </c>
      <c r="AD443" t="n">
        <v>1</v>
      </c>
      <c r="AE443" t="inlineStr">
        <is>
          <t>DG7020</t>
        </is>
      </c>
      <c r="AF443" t="n">
        <v>12</v>
      </c>
      <c r="AG443" t="inlineStr">
        <is>
          <t>drawing</t>
        </is>
      </c>
      <c r="AH443" t="inlineStr">
        <is>
          <t>stacked:isa</t>
        </is>
      </c>
      <c r="AI443" t="inlineStr">
        <is>
          <t>drawing zone; process page; mapped sheet; excel sheet match</t>
        </is>
      </c>
      <c r="AJ443" t="inlineStr">
        <is>
          <t>native</t>
        </is>
      </c>
      <c r="AK443" t="inlineStr">
        <is>
          <t>native-only</t>
        </is>
      </c>
      <c r="AM443" t="inlineStr">
        <is>
          <t>12</t>
        </is>
      </c>
      <c r="AN443" t="inlineStr">
        <is>
          <t>Yes</t>
        </is>
      </c>
      <c r="AO443" t="inlineStr">
        <is>
          <t>mapped sheet id</t>
        </is>
      </c>
      <c r="AP443" t="inlineStr">
        <is>
          <t>p12:native:220, p12:native:221</t>
        </is>
      </c>
      <c r="AQ443" t="n">
        <v>2</v>
      </c>
    </row>
    <row r="444">
      <c r="A444" s="203">
        <f>ROW()-1</f>
        <v/>
      </c>
      <c r="B444" s="128" t="inlineStr">
        <is>
          <t>RL7-CKR-101-ZSO-18</t>
        </is>
      </c>
      <c r="C444" s="314" t="inlineStr">
        <is>
          <t>RL7-CKR-101-ZSO-18</t>
        </is>
      </c>
      <c r="D444" s="262" t="inlineStr">
        <is>
          <t>SOL307111</t>
        </is>
      </c>
      <c r="E444" s="128" t="n"/>
      <c r="F444" s="138" t="inlineStr">
        <is>
          <t>COOKER 1 LEFT DISCHARGE VALVE OPEN</t>
        </is>
      </c>
      <c r="G444" s="131" t="inlineStr">
        <is>
          <t>DG7020</t>
        </is>
      </c>
      <c r="H444" s="128" t="inlineStr">
        <is>
          <t>PROC</t>
        </is>
      </c>
      <c r="I444" s="132" t="inlineStr">
        <is>
          <t>RL7-CKR1-RIO1</t>
        </is>
      </c>
      <c r="J444" s="133" t="n">
        <v>12</v>
      </c>
      <c r="K444" s="129" t="n">
        <v>6</v>
      </c>
      <c r="L444" s="129" t="n">
        <v>6</v>
      </c>
      <c r="M444" s="129" t="inlineStr">
        <is>
          <t>24 VDC DI</t>
        </is>
      </c>
      <c r="N444" s="129" t="inlineStr">
        <is>
          <t>5069-IB16</t>
        </is>
      </c>
      <c r="O444" s="139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40" t="n"/>
      <c r="AA444" t="inlineStr">
        <is>
          <t>Matched</t>
        </is>
      </c>
      <c r="AB444" s="315" t="n">
        <v>0.99</v>
      </c>
      <c r="AC444" t="inlineStr">
        <is>
          <t>High</t>
        </is>
      </c>
      <c r="AD444" t="n">
        <v>1</v>
      </c>
      <c r="AE444" t="inlineStr">
        <is>
          <t>DG7020</t>
        </is>
      </c>
      <c r="AF444" t="n">
        <v>12</v>
      </c>
      <c r="AG444" t="inlineStr">
        <is>
          <t>drawing</t>
        </is>
      </c>
      <c r="AH444" t="inlineStr">
        <is>
          <t>stacked:isa</t>
        </is>
      </c>
      <c r="AI444" t="inlineStr">
        <is>
          <t>drawing zone; process page; mapped sheet; excel sheet match</t>
        </is>
      </c>
      <c r="AJ444" t="inlineStr">
        <is>
          <t>native</t>
        </is>
      </c>
      <c r="AK444" t="inlineStr">
        <is>
          <t>native-only</t>
        </is>
      </c>
      <c r="AM444" t="inlineStr">
        <is>
          <t>12</t>
        </is>
      </c>
      <c r="AN444" t="inlineStr">
        <is>
          <t>Yes</t>
        </is>
      </c>
      <c r="AO444" t="inlineStr">
        <is>
          <t>mapped sheet id</t>
        </is>
      </c>
      <c r="AP444" t="inlineStr">
        <is>
          <t>p12:native:195, p12:native:196</t>
        </is>
      </c>
      <c r="AQ444" t="n">
        <v>2</v>
      </c>
    </row>
    <row r="445">
      <c r="A445" s="203">
        <f>ROW()-1</f>
        <v/>
      </c>
      <c r="B445" s="128" t="inlineStr">
        <is>
          <t>RL7-CKR-101-ZSO-19</t>
        </is>
      </c>
      <c r="C445" s="314" t="inlineStr">
        <is>
          <t>RL7-CKR-101-ZSO-19</t>
        </is>
      </c>
      <c r="D445" s="262" t="inlineStr">
        <is>
          <t>SOL307131</t>
        </is>
      </c>
      <c r="E445" s="128" t="n"/>
      <c r="F445" s="138" t="inlineStr">
        <is>
          <t>COOKER 1 RIGHT DISCHARGE VALVE OPEN</t>
        </is>
      </c>
      <c r="G445" s="131" t="inlineStr">
        <is>
          <t>DG7020</t>
        </is>
      </c>
      <c r="H445" s="128" t="inlineStr">
        <is>
          <t>PROC</t>
        </is>
      </c>
      <c r="I445" s="132" t="inlineStr">
        <is>
          <t>RL7-CKR1-RIO1</t>
        </is>
      </c>
      <c r="J445" s="133" t="n">
        <v>12</v>
      </c>
      <c r="K445" s="129" t="n">
        <v>6</v>
      </c>
      <c r="L445" s="129" t="n">
        <v>8</v>
      </c>
      <c r="M445" s="129" t="inlineStr">
        <is>
          <t>24 VDC DI</t>
        </is>
      </c>
      <c r="N445" s="129" t="inlineStr">
        <is>
          <t>5069-IB16</t>
        </is>
      </c>
      <c r="O445" s="139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40" t="n"/>
      <c r="AA445" t="inlineStr">
        <is>
          <t>Matched</t>
        </is>
      </c>
      <c r="AB445" s="315" t="n">
        <v>0.99</v>
      </c>
      <c r="AC445" t="inlineStr">
        <is>
          <t>High</t>
        </is>
      </c>
      <c r="AD445" t="n">
        <v>1</v>
      </c>
      <c r="AE445" t="inlineStr">
        <is>
          <t>DG7020</t>
        </is>
      </c>
      <c r="AF445" t="n">
        <v>12</v>
      </c>
      <c r="AG445" t="inlineStr">
        <is>
          <t>drawing</t>
        </is>
      </c>
      <c r="AH445" t="inlineStr">
        <is>
          <t>stacked:isa</t>
        </is>
      </c>
      <c r="AI445" t="inlineStr">
        <is>
          <t>drawing zone; process page; mapped sheet; excel sheet match</t>
        </is>
      </c>
      <c r="AJ445" t="inlineStr">
        <is>
          <t>native</t>
        </is>
      </c>
      <c r="AK445" t="inlineStr">
        <is>
          <t>native-only</t>
        </is>
      </c>
      <c r="AM445" t="inlineStr">
        <is>
          <t>12</t>
        </is>
      </c>
      <c r="AN445" t="inlineStr">
        <is>
          <t>Yes</t>
        </is>
      </c>
      <c r="AO445" t="inlineStr">
        <is>
          <t>mapped sheet id</t>
        </is>
      </c>
      <c r="AP445" t="inlineStr">
        <is>
          <t>p12:native:199, p12:native:200</t>
        </is>
      </c>
      <c r="AQ445" t="n">
        <v>2</v>
      </c>
    </row>
    <row r="446">
      <c r="A446" s="203">
        <f>ROW()-1</f>
        <v/>
      </c>
      <c r="B446" s="128" t="inlineStr">
        <is>
          <t>RL7-CKR-101-ZSO-20</t>
        </is>
      </c>
      <c r="C446" s="314" t="inlineStr">
        <is>
          <t>RL7-CKR-101-ZSO-20</t>
        </is>
      </c>
      <c r="D446" s="262" t="inlineStr">
        <is>
          <t>VLV307261</t>
        </is>
      </c>
      <c r="E446" s="128" t="n"/>
      <c r="F446" s="138" t="inlineStr">
        <is>
          <t>COOKER 1 SAFETY GRATE RELEASED</t>
        </is>
      </c>
      <c r="G446" s="131" t="inlineStr">
        <is>
          <t>DG7020</t>
        </is>
      </c>
      <c r="H446" s="128" t="inlineStr">
        <is>
          <t>PROC</t>
        </is>
      </c>
      <c r="I446" s="132" t="inlineStr">
        <is>
          <t>RL7-CKR1-RIO1</t>
        </is>
      </c>
      <c r="J446" s="133" t="n">
        <v>12</v>
      </c>
      <c r="K446" s="129" t="n">
        <v>6</v>
      </c>
      <c r="L446" s="129" t="n">
        <v>0</v>
      </c>
      <c r="M446" s="129" t="inlineStr">
        <is>
          <t>24 VDC DI</t>
        </is>
      </c>
      <c r="N446" s="129" t="inlineStr">
        <is>
          <t>5069-IB16</t>
        </is>
      </c>
      <c r="O446" s="139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40" t="n"/>
      <c r="AA446" t="inlineStr">
        <is>
          <t>Matched</t>
        </is>
      </c>
      <c r="AB446" s="315" t="n">
        <v>0.99</v>
      </c>
      <c r="AC446" t="inlineStr">
        <is>
          <t>High</t>
        </is>
      </c>
      <c r="AD446" t="n">
        <v>1</v>
      </c>
      <c r="AE446" t="inlineStr">
        <is>
          <t>DG7020</t>
        </is>
      </c>
      <c r="AF446" t="n">
        <v>12</v>
      </c>
      <c r="AG446" t="inlineStr">
        <is>
          <t>drawing</t>
        </is>
      </c>
      <c r="AH446" t="inlineStr">
        <is>
          <t>stacked:isa</t>
        </is>
      </c>
      <c r="AI446" t="inlineStr">
        <is>
          <t>drawing zone; process page; mapped sheet; excel sheet match</t>
        </is>
      </c>
      <c r="AJ446" t="inlineStr">
        <is>
          <t>native</t>
        </is>
      </c>
      <c r="AK446" t="inlineStr">
        <is>
          <t>native-only</t>
        </is>
      </c>
      <c r="AM446" t="inlineStr">
        <is>
          <t>12</t>
        </is>
      </c>
      <c r="AN446" t="inlineStr">
        <is>
          <t>Yes</t>
        </is>
      </c>
      <c r="AO446" t="inlineStr">
        <is>
          <t>mapped sheet id</t>
        </is>
      </c>
      <c r="AP446" t="inlineStr">
        <is>
          <t>p12:native:434, p12:native:435</t>
        </is>
      </c>
      <c r="AQ446" t="n">
        <v>2</v>
      </c>
    </row>
    <row r="447">
      <c r="A447" s="203">
        <f>ROW()-1</f>
        <v/>
      </c>
      <c r="B447" s="128" t="inlineStr">
        <is>
          <t>RL7-CKR-101-ZSO-21</t>
        </is>
      </c>
      <c r="C447" s="314" t="inlineStr">
        <is>
          <t>RL7-CKR-101-ZSO-21</t>
        </is>
      </c>
      <c r="D447" s="262" t="inlineStr">
        <is>
          <t>PRS307231</t>
        </is>
      </c>
      <c r="E447" s="128" t="n"/>
      <c r="F447" s="138" t="inlineStr">
        <is>
          <t>COOKER 1 LOCKBAR RELEASED</t>
        </is>
      </c>
      <c r="G447" s="131" t="inlineStr">
        <is>
          <t>DG7020</t>
        </is>
      </c>
      <c r="H447" s="128" t="inlineStr">
        <is>
          <t>PROC</t>
        </is>
      </c>
      <c r="I447" s="132" t="inlineStr">
        <is>
          <t>RL7-CKR1-RIO1</t>
        </is>
      </c>
      <c r="J447" s="133" t="n">
        <v>12</v>
      </c>
      <c r="K447" s="129" t="n">
        <v>5</v>
      </c>
      <c r="L447" s="129" t="n">
        <v>1</v>
      </c>
      <c r="M447" s="129" t="inlineStr">
        <is>
          <t>24 VDC DI</t>
        </is>
      </c>
      <c r="N447" s="129" t="inlineStr">
        <is>
          <t>5069-IB16</t>
        </is>
      </c>
      <c r="O447" s="139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40" t="n"/>
      <c r="AA447" t="inlineStr">
        <is>
          <t>Matched</t>
        </is>
      </c>
      <c r="AB447" s="315" t="n">
        <v>0.99</v>
      </c>
      <c r="AC447" t="inlineStr">
        <is>
          <t>High</t>
        </is>
      </c>
      <c r="AD447" t="n">
        <v>1</v>
      </c>
      <c r="AE447" t="inlineStr">
        <is>
          <t>DG7020</t>
        </is>
      </c>
      <c r="AF447" t="n">
        <v>12</v>
      </c>
      <c r="AG447" t="inlineStr">
        <is>
          <t>drawing</t>
        </is>
      </c>
      <c r="AH447" t="inlineStr">
        <is>
          <t>stacked:isa</t>
        </is>
      </c>
      <c r="AI447" t="inlineStr">
        <is>
          <t>drawing zone; process page; mapped sheet; excel sheet match</t>
        </is>
      </c>
      <c r="AJ447" t="inlineStr">
        <is>
          <t>native</t>
        </is>
      </c>
      <c r="AK447" t="inlineStr">
        <is>
          <t>native-only</t>
        </is>
      </c>
      <c r="AM447" t="inlineStr">
        <is>
          <t>12</t>
        </is>
      </c>
      <c r="AN447" t="inlineStr">
        <is>
          <t>Yes</t>
        </is>
      </c>
      <c r="AO447" t="inlineStr">
        <is>
          <t>mapped sheet id</t>
        </is>
      </c>
      <c r="AP447" t="inlineStr">
        <is>
          <t>p12:native:168, p12:native:169</t>
        </is>
      </c>
      <c r="AQ447" t="n">
        <v>2</v>
      </c>
    </row>
    <row r="448">
      <c r="A448" s="203">
        <f>ROW()-1</f>
        <v/>
      </c>
      <c r="B448" s="128" t="inlineStr">
        <is>
          <t>RL7-CKR-101-ZSO-22</t>
        </is>
      </c>
      <c r="C448" s="314" t="inlineStr">
        <is>
          <t>RL7-CKR-101-ZSO-22</t>
        </is>
      </c>
      <c r="D448" s="264" t="inlineStr">
        <is>
          <t>PRS307191</t>
        </is>
      </c>
      <c r="E448" s="128" t="n"/>
      <c r="F448" s="138" t="inlineStr">
        <is>
          <t>COOKER 1 COVER OPEN</t>
        </is>
      </c>
      <c r="G448" s="131" t="inlineStr">
        <is>
          <t>DG7020</t>
        </is>
      </c>
      <c r="H448" s="128" t="inlineStr">
        <is>
          <t>PROC</t>
        </is>
      </c>
      <c r="I448" s="132" t="inlineStr">
        <is>
          <t>RL7-CKR1-RIO1</t>
        </is>
      </c>
      <c r="J448" s="133" t="n">
        <v>12</v>
      </c>
      <c r="K448" s="129" t="n">
        <v>5</v>
      </c>
      <c r="L448" s="129" t="n">
        <v>6</v>
      </c>
      <c r="M448" s="129" t="inlineStr">
        <is>
          <t>24 VDC DI</t>
        </is>
      </c>
      <c r="N448" s="129" t="inlineStr">
        <is>
          <t>5069-IB16</t>
        </is>
      </c>
      <c r="O448" s="139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40" t="n"/>
      <c r="AA448" t="inlineStr">
        <is>
          <t>Matched</t>
        </is>
      </c>
      <c r="AB448" s="315" t="n">
        <v>0.99</v>
      </c>
      <c r="AC448" t="inlineStr">
        <is>
          <t>High</t>
        </is>
      </c>
      <c r="AD448" t="n">
        <v>1</v>
      </c>
      <c r="AE448" t="inlineStr">
        <is>
          <t>DG7020</t>
        </is>
      </c>
      <c r="AF448" t="n">
        <v>12</v>
      </c>
      <c r="AG448" t="inlineStr">
        <is>
          <t>drawing</t>
        </is>
      </c>
      <c r="AH448" t="inlineStr">
        <is>
          <t>stacked:isa</t>
        </is>
      </c>
      <c r="AI448" t="inlineStr">
        <is>
          <t>drawing zone; process page; mapped sheet; excel sheet match</t>
        </is>
      </c>
      <c r="AJ448" t="inlineStr">
        <is>
          <t>native</t>
        </is>
      </c>
      <c r="AK448" t="inlineStr">
        <is>
          <t>native-only</t>
        </is>
      </c>
      <c r="AM448" t="inlineStr">
        <is>
          <t>12</t>
        </is>
      </c>
      <c r="AN448" t="inlineStr">
        <is>
          <t>Yes</t>
        </is>
      </c>
      <c r="AO448" t="inlineStr">
        <is>
          <t>mapped sheet id</t>
        </is>
      </c>
      <c r="AP448" t="inlineStr">
        <is>
          <t>p12:native:279, p12:native:280</t>
        </is>
      </c>
      <c r="AQ448" t="n">
        <v>2</v>
      </c>
    </row>
    <row r="449">
      <c r="A449" s="203">
        <f>ROW()-1</f>
        <v/>
      </c>
      <c r="B449" s="128" t="inlineStr">
        <is>
          <t>RL7-CKR-101-ZSO-25</t>
        </is>
      </c>
      <c r="C449" s="314" t="inlineStr">
        <is>
          <t>RL7-CKR-101-ZSO-25</t>
        </is>
      </c>
      <c r="D449" s="262" t="n"/>
      <c r="E449" s="128" t="n"/>
      <c r="F449" s="138" t="inlineStr">
        <is>
          <t>COOKER 1 CIPS MIX PROOF VALVE OPEN LIMIT SWITCH</t>
        </is>
      </c>
      <c r="G449" s="131" t="inlineStr">
        <is>
          <t>DG7020</t>
        </is>
      </c>
      <c r="H449" s="128" t="inlineStr">
        <is>
          <t>INTSL</t>
        </is>
      </c>
      <c r="I449" s="131" t="inlineStr">
        <is>
          <t>RL7-INTSL-RIO1</t>
        </is>
      </c>
      <c r="J449" s="133" t="n">
        <v>18</v>
      </c>
      <c r="K449" s="129" t="n">
        <v>1</v>
      </c>
      <c r="L449" s="129" t="n">
        <v>0</v>
      </c>
      <c r="M449" s="129" t="inlineStr">
        <is>
          <t>24 VDC DI</t>
        </is>
      </c>
      <c r="N449" s="129" t="inlineStr">
        <is>
          <t>5069-IB16</t>
        </is>
      </c>
      <c r="O449" s="139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59" t="n"/>
      <c r="AA449" t="inlineStr">
        <is>
          <t>Matched</t>
        </is>
      </c>
      <c r="AB449" s="315" t="n">
        <v>0.99</v>
      </c>
      <c r="AC449" t="inlineStr">
        <is>
          <t>High</t>
        </is>
      </c>
      <c r="AD449" t="n">
        <v>1</v>
      </c>
      <c r="AE449" t="inlineStr">
        <is>
          <t>DG7020</t>
        </is>
      </c>
      <c r="AF449" t="n">
        <v>12</v>
      </c>
      <c r="AG449" t="inlineStr">
        <is>
          <t>drawing</t>
        </is>
      </c>
      <c r="AH449" t="inlineStr">
        <is>
          <t>stacked:isa</t>
        </is>
      </c>
      <c r="AI449" t="inlineStr">
        <is>
          <t>drawing zone; process page; mapped sheet; excel sheet match</t>
        </is>
      </c>
      <c r="AJ449" t="inlineStr">
        <is>
          <t>native</t>
        </is>
      </c>
      <c r="AK449" t="inlineStr">
        <is>
          <t>native-only</t>
        </is>
      </c>
      <c r="AM449" t="inlineStr">
        <is>
          <t>12</t>
        </is>
      </c>
      <c r="AN449" t="inlineStr">
        <is>
          <t>Yes</t>
        </is>
      </c>
      <c r="AO449" t="inlineStr">
        <is>
          <t>mapped sheet id</t>
        </is>
      </c>
      <c r="AP449" t="inlineStr">
        <is>
          <t>p12:native:218, p12:native:219</t>
        </is>
      </c>
      <c r="AQ449" t="n">
        <v>2</v>
      </c>
    </row>
    <row r="450">
      <c r="A450" s="203">
        <f>ROW()-1</f>
        <v/>
      </c>
      <c r="B450" s="128" t="inlineStr">
        <is>
          <t>RL7-CKR-101-ZSS-01</t>
        </is>
      </c>
      <c r="C450" s="314" t="inlineStr">
        <is>
          <t>RL7-CKR-101-ZSS-01</t>
        </is>
      </c>
      <c r="D450" s="262" t="inlineStr">
        <is>
          <t>PRS306061</t>
        </is>
      </c>
      <c r="E450" s="128" t="n"/>
      <c r="F450" s="138" t="inlineStr">
        <is>
          <t>COOKER 1 SAFETY GRATE RFID POSITION SWITCH CH1</t>
        </is>
      </c>
      <c r="G450" s="131" t="inlineStr">
        <is>
          <t>DG7020</t>
        </is>
      </c>
      <c r="H450" s="128" t="inlineStr">
        <is>
          <t>PROC</t>
        </is>
      </c>
      <c r="I450" s="132" t="inlineStr">
        <is>
          <t>RL7-CKR1-RIO1</t>
        </is>
      </c>
      <c r="J450" s="133" t="n">
        <v>12</v>
      </c>
      <c r="K450" s="129" t="n">
        <v>2</v>
      </c>
      <c r="L450" s="129" t="n">
        <v>4</v>
      </c>
      <c r="M450" s="129" t="inlineStr">
        <is>
          <t>24 VDC SI</t>
        </is>
      </c>
      <c r="N450" s="129" t="inlineStr">
        <is>
          <t>5069-IB8S</t>
        </is>
      </c>
      <c r="O450" s="139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40" t="n"/>
      <c r="AA450" t="inlineStr">
        <is>
          <t>Matched</t>
        </is>
      </c>
      <c r="AB450" s="315" t="n">
        <v>0.99</v>
      </c>
      <c r="AC450" t="inlineStr">
        <is>
          <t>High</t>
        </is>
      </c>
      <c r="AD450" t="n">
        <v>1</v>
      </c>
      <c r="AE450" t="inlineStr">
        <is>
          <t>DG7020</t>
        </is>
      </c>
      <c r="AF450" t="n">
        <v>12</v>
      </c>
      <c r="AG450" t="inlineStr">
        <is>
          <t>drawing</t>
        </is>
      </c>
      <c r="AH450" t="inlineStr">
        <is>
          <t>stacked:isa</t>
        </is>
      </c>
      <c r="AI450" t="inlineStr">
        <is>
          <t>drawing zone; process page; mapped sheet; excel sheet match</t>
        </is>
      </c>
      <c r="AJ450" t="inlineStr">
        <is>
          <t>native</t>
        </is>
      </c>
      <c r="AK450" t="inlineStr">
        <is>
          <t>native-only</t>
        </is>
      </c>
      <c r="AM450" t="inlineStr">
        <is>
          <t>12</t>
        </is>
      </c>
      <c r="AN450" t="inlineStr">
        <is>
          <t>Yes</t>
        </is>
      </c>
      <c r="AO450" t="inlineStr">
        <is>
          <t>mapped sheet id</t>
        </is>
      </c>
      <c r="AP450" t="inlineStr">
        <is>
          <t>p12:native:162, p12:native:163</t>
        </is>
      </c>
      <c r="AQ450" t="n">
        <v>2</v>
      </c>
    </row>
    <row r="451">
      <c r="A451" s="203">
        <f>ROW()-1</f>
        <v/>
      </c>
      <c r="B451" s="128" t="inlineStr">
        <is>
          <t>RL7-CKR-101-ZSS-01</t>
        </is>
      </c>
      <c r="C451" s="314" t="inlineStr">
        <is>
          <t>RL7-CKR-101-ZSS-01</t>
        </is>
      </c>
      <c r="D451" s="262" t="inlineStr">
        <is>
          <t>PRS306061</t>
        </is>
      </c>
      <c r="E451" s="128" t="n"/>
      <c r="F451" s="138" t="inlineStr">
        <is>
          <t>COOKER 1 SAFETY GRATE RFID POSITION SWITCH CH2</t>
        </is>
      </c>
      <c r="G451" s="131" t="inlineStr">
        <is>
          <t>DG7020</t>
        </is>
      </c>
      <c r="H451" s="128" t="inlineStr">
        <is>
          <t>PROC</t>
        </is>
      </c>
      <c r="I451" s="132" t="inlineStr">
        <is>
          <t>RL7-CKR1-RIO1</t>
        </is>
      </c>
      <c r="J451" s="133" t="n">
        <v>12</v>
      </c>
      <c r="K451" s="129" t="n">
        <v>2</v>
      </c>
      <c r="L451" s="129" t="n">
        <v>5</v>
      </c>
      <c r="M451" s="129" t="inlineStr">
        <is>
          <t>24 VDC SI</t>
        </is>
      </c>
      <c r="N451" s="129" t="inlineStr">
        <is>
          <t>5069-IB8S</t>
        </is>
      </c>
      <c r="O451" s="139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40" t="n"/>
      <c r="AA451" t="inlineStr">
        <is>
          <t>Matched</t>
        </is>
      </c>
      <c r="AB451" s="315" t="n">
        <v>0.99</v>
      </c>
      <c r="AC451" t="inlineStr">
        <is>
          <t>High</t>
        </is>
      </c>
      <c r="AD451" t="n">
        <v>1</v>
      </c>
      <c r="AE451" t="inlineStr">
        <is>
          <t>DG7020</t>
        </is>
      </c>
      <c r="AF451" t="n">
        <v>12</v>
      </c>
      <c r="AG451" t="inlineStr">
        <is>
          <t>drawing</t>
        </is>
      </c>
      <c r="AH451" t="inlineStr">
        <is>
          <t>stacked:isa</t>
        </is>
      </c>
      <c r="AI451" t="inlineStr">
        <is>
          <t>drawing zone; process page; mapped sheet; excel sheet match</t>
        </is>
      </c>
      <c r="AJ451" t="inlineStr">
        <is>
          <t>native</t>
        </is>
      </c>
      <c r="AK451" t="inlineStr">
        <is>
          <t>native-only</t>
        </is>
      </c>
      <c r="AM451" t="inlineStr">
        <is>
          <t>12</t>
        </is>
      </c>
      <c r="AN451" t="inlineStr">
        <is>
          <t>Yes</t>
        </is>
      </c>
      <c r="AO451" t="inlineStr">
        <is>
          <t>mapped sheet id</t>
        </is>
      </c>
      <c r="AP451" t="inlineStr">
        <is>
          <t>p12:native:162, p12:native:163</t>
        </is>
      </c>
      <c r="AQ451" t="n">
        <v>2</v>
      </c>
    </row>
    <row r="452">
      <c r="A452" s="203">
        <f>ROW()-1</f>
        <v/>
      </c>
      <c r="B452" s="128" t="inlineStr">
        <is>
          <t>RL7-CKR-101-ZSS-02</t>
        </is>
      </c>
      <c r="C452" s="314" t="inlineStr">
        <is>
          <t>RL7-CKR-101-ZSS-02</t>
        </is>
      </c>
      <c r="D452" s="262" t="inlineStr">
        <is>
          <t>PRS306021</t>
        </is>
      </c>
      <c r="E452" s="128" t="n"/>
      <c r="F452" s="138" t="inlineStr">
        <is>
          <t>COOKER 1 COVER CLOSED RFID POSITION SWITCH CH1</t>
        </is>
      </c>
      <c r="G452" s="131" t="inlineStr">
        <is>
          <t>DG7020</t>
        </is>
      </c>
      <c r="H452" s="128" t="inlineStr">
        <is>
          <t>PROC</t>
        </is>
      </c>
      <c r="I452" s="132" t="inlineStr">
        <is>
          <t>RL7-CKR1-RIO1</t>
        </is>
      </c>
      <c r="J452" s="133" t="n">
        <v>12</v>
      </c>
      <c r="K452" s="129" t="n">
        <v>2</v>
      </c>
      <c r="L452" s="129" t="n">
        <v>0</v>
      </c>
      <c r="M452" s="129" t="inlineStr">
        <is>
          <t>24 VDC SI</t>
        </is>
      </c>
      <c r="N452" s="129" t="inlineStr">
        <is>
          <t>5069-IB8S</t>
        </is>
      </c>
      <c r="O452" s="139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40" t="n"/>
      <c r="AA452" t="inlineStr">
        <is>
          <t>Matched</t>
        </is>
      </c>
      <c r="AB452" s="315" t="n">
        <v>0.99</v>
      </c>
      <c r="AC452" t="inlineStr">
        <is>
          <t>High</t>
        </is>
      </c>
      <c r="AD452" t="n">
        <v>1</v>
      </c>
      <c r="AE452" t="inlineStr">
        <is>
          <t>DG7020</t>
        </is>
      </c>
      <c r="AF452" t="n">
        <v>12</v>
      </c>
      <c r="AG452" t="inlineStr">
        <is>
          <t>drawing</t>
        </is>
      </c>
      <c r="AH452" t="inlineStr">
        <is>
          <t>stacked:isa</t>
        </is>
      </c>
      <c r="AI452" t="inlineStr">
        <is>
          <t>drawing zone; process page; mapped sheet; excel sheet match</t>
        </is>
      </c>
      <c r="AJ452" t="inlineStr">
        <is>
          <t>native</t>
        </is>
      </c>
      <c r="AK452" t="inlineStr">
        <is>
          <t>native-only</t>
        </is>
      </c>
      <c r="AM452" t="inlineStr">
        <is>
          <t>12</t>
        </is>
      </c>
      <c r="AN452" t="inlineStr">
        <is>
          <t>Yes</t>
        </is>
      </c>
      <c r="AO452" t="inlineStr">
        <is>
          <t>mapped sheet id</t>
        </is>
      </c>
      <c r="AP452" t="inlineStr">
        <is>
          <t>p12:native:164, p12:native:165</t>
        </is>
      </c>
      <c r="AQ452" t="n">
        <v>2</v>
      </c>
    </row>
    <row r="453">
      <c r="A453" s="203">
        <f>ROW()-1</f>
        <v/>
      </c>
      <c r="B453" s="128" t="inlineStr">
        <is>
          <t>RL7-CKR-101-ZSS-02</t>
        </is>
      </c>
      <c r="C453" s="314" t="inlineStr">
        <is>
          <t>RL7-CKR-101-ZSS-02</t>
        </is>
      </c>
      <c r="D453" s="262" t="inlineStr">
        <is>
          <t>PRS306021</t>
        </is>
      </c>
      <c r="E453" s="128" t="n"/>
      <c r="F453" s="138" t="inlineStr">
        <is>
          <t>COOKER 1 COVER CLOSED RFID POSITION SWITCH CH2</t>
        </is>
      </c>
      <c r="G453" s="131" t="inlineStr">
        <is>
          <t>DG7020</t>
        </is>
      </c>
      <c r="H453" s="128" t="inlineStr">
        <is>
          <t>PROC</t>
        </is>
      </c>
      <c r="I453" s="132" t="inlineStr">
        <is>
          <t>RL7-CKR1-RIO1</t>
        </is>
      </c>
      <c r="J453" s="133" t="n">
        <v>12</v>
      </c>
      <c r="K453" s="129" t="n">
        <v>2</v>
      </c>
      <c r="L453" s="129" t="n">
        <v>1</v>
      </c>
      <c r="M453" s="129" t="inlineStr">
        <is>
          <t>24 VDC SI</t>
        </is>
      </c>
      <c r="N453" s="129" t="inlineStr">
        <is>
          <t>5069-IB8S</t>
        </is>
      </c>
      <c r="O453" s="139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40" t="n"/>
      <c r="AA453" t="inlineStr">
        <is>
          <t>Matched</t>
        </is>
      </c>
      <c r="AB453" s="315" t="n">
        <v>0.99</v>
      </c>
      <c r="AC453" t="inlineStr">
        <is>
          <t>High</t>
        </is>
      </c>
      <c r="AD453" t="n">
        <v>1</v>
      </c>
      <c r="AE453" t="inlineStr">
        <is>
          <t>DG7020</t>
        </is>
      </c>
      <c r="AF453" t="n">
        <v>12</v>
      </c>
      <c r="AG453" t="inlineStr">
        <is>
          <t>drawing</t>
        </is>
      </c>
      <c r="AH453" t="inlineStr">
        <is>
          <t>stacked:isa</t>
        </is>
      </c>
      <c r="AI453" t="inlineStr">
        <is>
          <t>drawing zone; process page; mapped sheet; excel sheet match</t>
        </is>
      </c>
      <c r="AJ453" t="inlineStr">
        <is>
          <t>native</t>
        </is>
      </c>
      <c r="AK453" t="inlineStr">
        <is>
          <t>native-only</t>
        </is>
      </c>
      <c r="AM453" t="inlineStr">
        <is>
          <t>12</t>
        </is>
      </c>
      <c r="AN453" t="inlineStr">
        <is>
          <t>Yes</t>
        </is>
      </c>
      <c r="AO453" t="inlineStr">
        <is>
          <t>mapped sheet id</t>
        </is>
      </c>
      <c r="AP453" t="inlineStr">
        <is>
          <t>p12:native:164, p12:native:165</t>
        </is>
      </c>
      <c r="AQ453" t="n">
        <v>2</v>
      </c>
    </row>
    <row r="454">
      <c r="A454" s="203">
        <f>ROW()-1</f>
        <v/>
      </c>
      <c r="B454" s="128" t="inlineStr">
        <is>
          <t>RL7-CKR-101-ZSS-03</t>
        </is>
      </c>
      <c r="C454" s="314" t="inlineStr">
        <is>
          <t>RL7-CKR-101-ZSS-03</t>
        </is>
      </c>
      <c r="D454" s="262" t="inlineStr">
        <is>
          <t>PRS306091</t>
        </is>
      </c>
      <c r="E454" s="128" t="n"/>
      <c r="F454" s="138" t="inlineStr">
        <is>
          <t>COOKER 1 MIXER HATCH CLOSED RFID POSITION SWITCH CH1</t>
        </is>
      </c>
      <c r="G454" s="131" t="inlineStr">
        <is>
          <t>DG7020</t>
        </is>
      </c>
      <c r="H454" s="128" t="inlineStr">
        <is>
          <t>PROC</t>
        </is>
      </c>
      <c r="I454" s="132" t="inlineStr">
        <is>
          <t>RL7-CKR1-RIO1</t>
        </is>
      </c>
      <c r="J454" s="133" t="n">
        <v>12</v>
      </c>
      <c r="K454" s="129" t="n">
        <v>1</v>
      </c>
      <c r="L454" s="129" t="n">
        <v>4</v>
      </c>
      <c r="M454" s="129" t="inlineStr">
        <is>
          <t>24 VDC SI</t>
        </is>
      </c>
      <c r="N454" s="129" t="inlineStr">
        <is>
          <t>5069-IB8S</t>
        </is>
      </c>
      <c r="O454" s="139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40" t="n"/>
      <c r="AA454" t="inlineStr">
        <is>
          <t>Matched</t>
        </is>
      </c>
      <c r="AB454" s="315" t="n">
        <v>0.99</v>
      </c>
      <c r="AC454" t="inlineStr">
        <is>
          <t>High</t>
        </is>
      </c>
      <c r="AD454" t="n">
        <v>1</v>
      </c>
      <c r="AE454" t="inlineStr">
        <is>
          <t>DG7020</t>
        </is>
      </c>
      <c r="AF454" t="n">
        <v>12</v>
      </c>
      <c r="AG454" t="inlineStr">
        <is>
          <t>drawing</t>
        </is>
      </c>
      <c r="AH454" t="inlineStr">
        <is>
          <t>stacked:isa</t>
        </is>
      </c>
      <c r="AI454" t="inlineStr">
        <is>
          <t>drawing zone; process page; mapped sheet; excel sheet match</t>
        </is>
      </c>
      <c r="AJ454" t="inlineStr">
        <is>
          <t>native</t>
        </is>
      </c>
      <c r="AK454" t="inlineStr">
        <is>
          <t>native-only</t>
        </is>
      </c>
      <c r="AM454" t="inlineStr">
        <is>
          <t>12</t>
        </is>
      </c>
      <c r="AN454" t="inlineStr">
        <is>
          <t>Yes</t>
        </is>
      </c>
      <c r="AO454" t="inlineStr">
        <is>
          <t>mapped sheet id</t>
        </is>
      </c>
      <c r="AP454" t="inlineStr">
        <is>
          <t>p12:native:183, p12:native:184</t>
        </is>
      </c>
      <c r="AQ454" t="n">
        <v>2</v>
      </c>
    </row>
    <row r="455">
      <c r="A455" s="203">
        <f>ROW()-1</f>
        <v/>
      </c>
      <c r="B455" s="128" t="inlineStr">
        <is>
          <t>RL7-CKR-101-ZSS-03</t>
        </is>
      </c>
      <c r="C455" s="314" t="inlineStr">
        <is>
          <t>RL7-CKR-101-ZSS-03</t>
        </is>
      </c>
      <c r="D455" s="262" t="inlineStr">
        <is>
          <t>PRS306091</t>
        </is>
      </c>
      <c r="E455" s="128" t="n"/>
      <c r="F455" s="138" t="inlineStr">
        <is>
          <t>COOKER 1 MIXER HATCH CLOSED RFID POSITION SWITCH CH2</t>
        </is>
      </c>
      <c r="G455" s="131" t="inlineStr">
        <is>
          <t>DG7020</t>
        </is>
      </c>
      <c r="H455" s="128" t="inlineStr">
        <is>
          <t>PROC</t>
        </is>
      </c>
      <c r="I455" s="132" t="inlineStr">
        <is>
          <t>RL7-CKR1-RIO1</t>
        </is>
      </c>
      <c r="J455" s="133" t="n">
        <v>12</v>
      </c>
      <c r="K455" s="129" t="n">
        <v>1</v>
      </c>
      <c r="L455" s="129" t="n">
        <v>5</v>
      </c>
      <c r="M455" s="129" t="inlineStr">
        <is>
          <t>24 VDC SI</t>
        </is>
      </c>
      <c r="N455" s="129" t="inlineStr">
        <is>
          <t>5069-IB8S</t>
        </is>
      </c>
      <c r="O455" s="139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40" t="n"/>
      <c r="AA455" t="inlineStr">
        <is>
          <t>Matched</t>
        </is>
      </c>
      <c r="AB455" s="315" t="n">
        <v>0.99</v>
      </c>
      <c r="AC455" t="inlineStr">
        <is>
          <t>High</t>
        </is>
      </c>
      <c r="AD455" t="n">
        <v>1</v>
      </c>
      <c r="AE455" t="inlineStr">
        <is>
          <t>DG7020</t>
        </is>
      </c>
      <c r="AF455" t="n">
        <v>12</v>
      </c>
      <c r="AG455" t="inlineStr">
        <is>
          <t>drawing</t>
        </is>
      </c>
      <c r="AH455" t="inlineStr">
        <is>
          <t>stacked:isa</t>
        </is>
      </c>
      <c r="AI455" t="inlineStr">
        <is>
          <t>drawing zone; process page; mapped sheet; excel sheet match</t>
        </is>
      </c>
      <c r="AJ455" t="inlineStr">
        <is>
          <t>native</t>
        </is>
      </c>
      <c r="AK455" t="inlineStr">
        <is>
          <t>native-only</t>
        </is>
      </c>
      <c r="AM455" t="inlineStr">
        <is>
          <t>12</t>
        </is>
      </c>
      <c r="AN455" t="inlineStr">
        <is>
          <t>Yes</t>
        </is>
      </c>
      <c r="AO455" t="inlineStr">
        <is>
          <t>mapped sheet id</t>
        </is>
      </c>
      <c r="AP455" t="inlineStr">
        <is>
          <t>p12:native:183, p12:native:184</t>
        </is>
      </c>
      <c r="AQ455" t="n">
        <v>2</v>
      </c>
    </row>
    <row r="456">
      <c r="A456" s="203">
        <f>ROW()-1</f>
        <v/>
      </c>
      <c r="B456" s="128" t="n"/>
      <c r="C456" s="317" t="inlineStr">
        <is>
          <t>RL7-CKR-101-ZSS-04</t>
        </is>
      </c>
      <c r="D456" s="264" t="inlineStr">
        <is>
          <t>PRS306021</t>
        </is>
      </c>
      <c r="E456" s="133" t="inlineStr">
        <is>
          <t>JIC9B,OS9A</t>
        </is>
      </c>
      <c r="F456" s="141" t="inlineStr">
        <is>
          <t>COOKER 1 COLUMN DUMPER IN DOWN POSITION SAFETY INPUT CH1</t>
        </is>
      </c>
      <c r="G456" s="142" t="inlineStr">
        <is>
          <t>DG7020</t>
        </is>
      </c>
      <c r="H456" s="133" t="inlineStr">
        <is>
          <t>PROC</t>
        </is>
      </c>
      <c r="I456" s="142" t="inlineStr">
        <is>
          <t>RL7-CKR1-RIO1</t>
        </is>
      </c>
      <c r="J456" s="133" t="n">
        <v>12</v>
      </c>
      <c r="K456" s="133" t="n">
        <v>3</v>
      </c>
      <c r="L456" s="133" t="n">
        <v>2</v>
      </c>
      <c r="M456" s="133" t="inlineStr">
        <is>
          <t>24 VDC SI</t>
        </is>
      </c>
      <c r="N456" s="133" t="inlineStr">
        <is>
          <t>5069-IB8S</t>
        </is>
      </c>
      <c r="O456" s="139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40" t="n"/>
      <c r="AA456" t="inlineStr">
        <is>
          <t>Not found in PDF</t>
        </is>
      </c>
      <c r="AC456" t="inlineStr">
        <is>
          <t>Low</t>
        </is>
      </c>
      <c r="AM456" t="inlineStr">
        <is>
          <t>12</t>
        </is>
      </c>
      <c r="AN456" t="inlineStr">
        <is>
          <t>Yes</t>
        </is>
      </c>
      <c r="AO456" t="inlineStr">
        <is>
          <t>mapped sheet id</t>
        </is>
      </c>
    </row>
    <row r="457">
      <c r="A457" s="203">
        <f>ROW()-1</f>
        <v/>
      </c>
      <c r="B457" s="128" t="n"/>
      <c r="C457" s="317" t="inlineStr">
        <is>
          <t>RL7-CKR-101-ZSS-04</t>
        </is>
      </c>
      <c r="D457" s="264" t="inlineStr">
        <is>
          <t>PRS306021</t>
        </is>
      </c>
      <c r="E457" s="133" t="inlineStr">
        <is>
          <t>JIC9B,OS9A</t>
        </is>
      </c>
      <c r="F457" s="141" t="inlineStr">
        <is>
          <t>COOKER 1 COLUMN DUMPER IN DOWN POSITION SAFETY INPUT CH2</t>
        </is>
      </c>
      <c r="G457" s="142" t="inlineStr">
        <is>
          <t>DG7020</t>
        </is>
      </c>
      <c r="H457" s="133" t="inlineStr">
        <is>
          <t>PROC</t>
        </is>
      </c>
      <c r="I457" s="142" t="inlineStr">
        <is>
          <t>RL7-CKR1-RIO1</t>
        </is>
      </c>
      <c r="J457" s="133" t="n">
        <v>12</v>
      </c>
      <c r="K457" s="133" t="n">
        <v>3</v>
      </c>
      <c r="L457" s="133" t="n">
        <v>3</v>
      </c>
      <c r="M457" s="133" t="inlineStr">
        <is>
          <t>24 VDC SI</t>
        </is>
      </c>
      <c r="N457" s="133" t="inlineStr">
        <is>
          <t>5069-IB8S</t>
        </is>
      </c>
      <c r="O457" s="139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40" t="n"/>
      <c r="AA457" t="inlineStr">
        <is>
          <t>Not found in PDF</t>
        </is>
      </c>
      <c r="AC457" t="inlineStr">
        <is>
          <t>Low</t>
        </is>
      </c>
      <c r="AM457" t="inlineStr">
        <is>
          <t>12</t>
        </is>
      </c>
      <c r="AN457" t="inlineStr">
        <is>
          <t>Yes</t>
        </is>
      </c>
      <c r="AO457" t="inlineStr">
        <is>
          <t>mapped sheet id</t>
        </is>
      </c>
    </row>
    <row r="458">
      <c r="A458" s="203">
        <f>ROW()-1</f>
        <v/>
      </c>
      <c r="B458" s="128" t="n"/>
      <c r="C458" s="317" t="inlineStr">
        <is>
          <t>RL7-CKR-101-ZSS-05</t>
        </is>
      </c>
      <c r="D458" s="264" t="inlineStr">
        <is>
          <t>PRS306021</t>
        </is>
      </c>
      <c r="E458" s="133" t="inlineStr">
        <is>
          <t>JIC9B,OS9A</t>
        </is>
      </c>
      <c r="F458" s="141" t="inlineStr">
        <is>
          <t>COOKER 1 COLUMN DUMPER SAFETY GATE ACTIVE SAFETY INPUT CH1</t>
        </is>
      </c>
      <c r="G458" s="142" t="inlineStr">
        <is>
          <t>DG7020</t>
        </is>
      </c>
      <c r="H458" s="133" t="inlineStr">
        <is>
          <t>PROC</t>
        </is>
      </c>
      <c r="I458" s="142" t="inlineStr">
        <is>
          <t>RL7-CKR1-RIO1</t>
        </is>
      </c>
      <c r="J458" s="133" t="n">
        <v>12</v>
      </c>
      <c r="K458" s="133" t="n">
        <v>3</v>
      </c>
      <c r="L458" s="133" t="n">
        <v>4</v>
      </c>
      <c r="M458" s="133" t="inlineStr">
        <is>
          <t>24 VDC SI</t>
        </is>
      </c>
      <c r="N458" s="133" t="inlineStr">
        <is>
          <t>5069-IB8S</t>
        </is>
      </c>
      <c r="O458" s="139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40" t="n"/>
      <c r="AA458" t="inlineStr">
        <is>
          <t>Not found in PDF</t>
        </is>
      </c>
      <c r="AC458" t="inlineStr">
        <is>
          <t>Low</t>
        </is>
      </c>
      <c r="AM458" t="inlineStr">
        <is>
          <t>12</t>
        </is>
      </c>
      <c r="AN458" t="inlineStr">
        <is>
          <t>Yes</t>
        </is>
      </c>
      <c r="AO458" t="inlineStr">
        <is>
          <t>mapped sheet id</t>
        </is>
      </c>
    </row>
    <row r="459">
      <c r="A459" s="203">
        <f>ROW()-1</f>
        <v/>
      </c>
      <c r="B459" s="128" t="n"/>
      <c r="C459" s="317" t="inlineStr">
        <is>
          <t>RL7-CKR-101-ZSS-05</t>
        </is>
      </c>
      <c r="D459" s="264" t="inlineStr">
        <is>
          <t>PRS306021</t>
        </is>
      </c>
      <c r="E459" s="133" t="inlineStr">
        <is>
          <t>JIC9B,OS9A</t>
        </is>
      </c>
      <c r="F459" s="141" t="inlineStr">
        <is>
          <t>COOKER 1 COLUMN DUMPER SAFETY GATE ACTIVE SAFETY INPUT CH2</t>
        </is>
      </c>
      <c r="G459" s="142" t="inlineStr">
        <is>
          <t>DG7020</t>
        </is>
      </c>
      <c r="H459" s="133" t="inlineStr">
        <is>
          <t>PROC</t>
        </is>
      </c>
      <c r="I459" s="142" t="inlineStr">
        <is>
          <t>RL7-CKR1-RIO1</t>
        </is>
      </c>
      <c r="J459" s="133" t="n">
        <v>12</v>
      </c>
      <c r="K459" s="133" t="n">
        <v>3</v>
      </c>
      <c r="L459" s="133" t="n">
        <v>5</v>
      </c>
      <c r="M459" s="133" t="inlineStr">
        <is>
          <t>24 VDC SI</t>
        </is>
      </c>
      <c r="N459" s="133" t="inlineStr">
        <is>
          <t>5069-IB8S</t>
        </is>
      </c>
      <c r="O459" s="139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40" t="n"/>
      <c r="AA459" t="inlineStr">
        <is>
          <t>Not found in PDF</t>
        </is>
      </c>
      <c r="AC459" t="inlineStr">
        <is>
          <t>Low</t>
        </is>
      </c>
      <c r="AM459" t="inlineStr">
        <is>
          <t>12</t>
        </is>
      </c>
      <c r="AN459" t="inlineStr">
        <is>
          <t>Yes</t>
        </is>
      </c>
      <c r="AO459" t="inlineStr">
        <is>
          <t>mapped sheet id</t>
        </is>
      </c>
    </row>
    <row r="460">
      <c r="A460" s="203">
        <f>ROW()-1</f>
        <v/>
      </c>
      <c r="B460" s="128" t="n"/>
      <c r="C460" s="313" t="inlineStr">
        <is>
          <t>RL7-MLT-107.M1</t>
        </is>
      </c>
      <c r="D460" s="264" t="n"/>
      <c r="E460" s="133" t="n"/>
      <c r="F460" s="141" t="inlineStr">
        <is>
          <t>COOKER 1 COLUMN DUMPER ENABLE</t>
        </is>
      </c>
      <c r="G460" s="142" t="inlineStr">
        <is>
          <t>DG7020</t>
        </is>
      </c>
      <c r="H460" s="133" t="inlineStr">
        <is>
          <t>MCC</t>
        </is>
      </c>
      <c r="I460" s="131" t="inlineStr">
        <is>
          <t>RL7-INTSL-RIO1</t>
        </is>
      </c>
      <c r="J460" s="133" t="n">
        <v>18</v>
      </c>
      <c r="K460" s="129" t="n">
        <v>14</v>
      </c>
      <c r="L460" s="129" t="n">
        <v>0</v>
      </c>
      <c r="M460" s="129" t="inlineStr">
        <is>
          <t>24 VDC DO</t>
        </is>
      </c>
      <c r="N460" s="129" t="inlineStr">
        <is>
          <t>5069-OB16</t>
        </is>
      </c>
      <c r="O460" s="139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40" t="n"/>
      <c r="AA460" t="inlineStr">
        <is>
          <t>Skipped - unrecognized tag</t>
        </is>
      </c>
      <c r="AC460" t="inlineStr">
        <is>
          <t>Low</t>
        </is>
      </c>
      <c r="AM460" t="inlineStr">
        <is>
          <t>12</t>
        </is>
      </c>
      <c r="AN460" t="inlineStr">
        <is>
          <t>Yes</t>
        </is>
      </c>
      <c r="AO460" t="inlineStr">
        <is>
          <t>unrecognized tag</t>
        </is>
      </c>
    </row>
    <row r="461">
      <c r="A461" s="203">
        <f>ROW()-1</f>
        <v/>
      </c>
      <c r="B461" s="128" t="inlineStr">
        <is>
          <t>RL7-MTL-107-PB-01</t>
        </is>
      </c>
      <c r="C461" s="314" t="inlineStr">
        <is>
          <t>RL7-MLT-107-PB-01</t>
        </is>
      </c>
      <c r="D461" s="262" t="inlineStr">
        <is>
          <t>PB505011</t>
        </is>
      </c>
      <c r="E461" s="128" t="inlineStr">
        <is>
          <t>JIC7B</t>
        </is>
      </c>
      <c r="F461" s="138" t="inlineStr">
        <is>
          <t xml:space="preserve">COOKER 1 DUMPER E-STOP SAFETY INPUT CH1 </t>
        </is>
      </c>
      <c r="G461" s="131" t="inlineStr">
        <is>
          <t>DG7020</t>
        </is>
      </c>
      <c r="H461" s="128" t="inlineStr">
        <is>
          <t>PROC</t>
        </is>
      </c>
      <c r="I461" s="132" t="inlineStr">
        <is>
          <t>RL7-CKR1-RIO1</t>
        </is>
      </c>
      <c r="J461" s="133" t="n">
        <v>12</v>
      </c>
      <c r="K461" s="129" t="n">
        <v>1</v>
      </c>
      <c r="L461" s="129" t="n">
        <v>0</v>
      </c>
      <c r="M461" s="129" t="inlineStr">
        <is>
          <t>24 VDC SI</t>
        </is>
      </c>
      <c r="N461" s="129" t="inlineStr">
        <is>
          <t>5069-IB8S</t>
        </is>
      </c>
      <c r="O461" s="139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40" t="n"/>
      <c r="AA461" t="inlineStr">
        <is>
          <t>Matched</t>
        </is>
      </c>
      <c r="AB461" s="315" t="n">
        <v>0.99</v>
      </c>
      <c r="AC461" t="inlineStr">
        <is>
          <t>High</t>
        </is>
      </c>
      <c r="AD461" t="n">
        <v>1</v>
      </c>
      <c r="AE461" t="inlineStr">
        <is>
          <t>DG7020</t>
        </is>
      </c>
      <c r="AF461" t="n">
        <v>12</v>
      </c>
      <c r="AG461" t="inlineStr">
        <is>
          <t>drawing</t>
        </is>
      </c>
      <c r="AH461" t="inlineStr">
        <is>
          <t>stacked:isa</t>
        </is>
      </c>
      <c r="AI461" t="inlineStr">
        <is>
          <t>drawing zone; process page; mapped sheet; excel sheet match</t>
        </is>
      </c>
      <c r="AJ461" t="inlineStr">
        <is>
          <t>native</t>
        </is>
      </c>
      <c r="AK461" t="inlineStr">
        <is>
          <t>native-only</t>
        </is>
      </c>
      <c r="AM461" t="inlineStr">
        <is>
          <t>12</t>
        </is>
      </c>
      <c r="AN461" t="inlineStr">
        <is>
          <t>Yes</t>
        </is>
      </c>
      <c r="AO461" t="inlineStr">
        <is>
          <t>mapped sheet id</t>
        </is>
      </c>
      <c r="AP461" t="inlineStr">
        <is>
          <t>p12:native:233, p12:native:234</t>
        </is>
      </c>
      <c r="AQ461" t="n">
        <v>2</v>
      </c>
    </row>
    <row r="462">
      <c r="A462" s="203">
        <f>ROW()-1</f>
        <v/>
      </c>
      <c r="B462" s="128" t="inlineStr">
        <is>
          <t>RL7-MTL-107-PB-01</t>
        </is>
      </c>
      <c r="C462" s="314" t="inlineStr">
        <is>
          <t>RL7-MLT-107-PB-01</t>
        </is>
      </c>
      <c r="D462" s="262" t="inlineStr">
        <is>
          <t>PB505011</t>
        </is>
      </c>
      <c r="E462" s="128" t="inlineStr">
        <is>
          <t>JIC7B</t>
        </is>
      </c>
      <c r="F462" s="138" t="inlineStr">
        <is>
          <t>COOKER 1 DUMPER E-STOP SAFETY INPUT CH2</t>
        </is>
      </c>
      <c r="G462" s="131" t="inlineStr">
        <is>
          <t>DG7020</t>
        </is>
      </c>
      <c r="H462" s="128" t="inlineStr">
        <is>
          <t>PROC</t>
        </is>
      </c>
      <c r="I462" s="132" t="inlineStr">
        <is>
          <t>RL7-CKR1-RIO1</t>
        </is>
      </c>
      <c r="J462" s="133" t="n">
        <v>12</v>
      </c>
      <c r="K462" s="129" t="n">
        <v>1</v>
      </c>
      <c r="L462" s="129" t="n">
        <v>1</v>
      </c>
      <c r="M462" s="129" t="inlineStr">
        <is>
          <t>24 VDC SI</t>
        </is>
      </c>
      <c r="N462" s="129" t="inlineStr">
        <is>
          <t>5069-IB8S</t>
        </is>
      </c>
      <c r="O462" s="139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40" t="n"/>
      <c r="AA462" t="inlineStr">
        <is>
          <t>Matched</t>
        </is>
      </c>
      <c r="AB462" s="315" t="n">
        <v>0.99</v>
      </c>
      <c r="AC462" t="inlineStr">
        <is>
          <t>High</t>
        </is>
      </c>
      <c r="AD462" t="n">
        <v>1</v>
      </c>
      <c r="AE462" t="inlineStr">
        <is>
          <t>DG7020</t>
        </is>
      </c>
      <c r="AF462" t="n">
        <v>12</v>
      </c>
      <c r="AG462" t="inlineStr">
        <is>
          <t>drawing</t>
        </is>
      </c>
      <c r="AH462" t="inlineStr">
        <is>
          <t>stacked:isa</t>
        </is>
      </c>
      <c r="AI462" t="inlineStr">
        <is>
          <t>drawing zone; process page; mapped sheet; excel sheet match</t>
        </is>
      </c>
      <c r="AJ462" t="inlineStr">
        <is>
          <t>native</t>
        </is>
      </c>
      <c r="AK462" t="inlineStr">
        <is>
          <t>native-only</t>
        </is>
      </c>
      <c r="AM462" t="inlineStr">
        <is>
          <t>12</t>
        </is>
      </c>
      <c r="AN462" t="inlineStr">
        <is>
          <t>Yes</t>
        </is>
      </c>
      <c r="AO462" t="inlineStr">
        <is>
          <t>mapped sheet id</t>
        </is>
      </c>
      <c r="AP462" t="inlineStr">
        <is>
          <t>p12:native:233, p12:native:234</t>
        </is>
      </c>
      <c r="AQ462" t="n">
        <v>2</v>
      </c>
    </row>
    <row r="463">
      <c r="A463" s="203">
        <f>ROW()-1</f>
        <v/>
      </c>
      <c r="B463" s="128" t="inlineStr">
        <is>
          <t>RL7-MLT-107-PB-02</t>
        </is>
      </c>
      <c r="C463" s="314" t="inlineStr">
        <is>
          <t>RL7-MLT-107-PB-02</t>
        </is>
      </c>
      <c r="D463" s="262" t="inlineStr">
        <is>
          <t>PB506031</t>
        </is>
      </c>
      <c r="E463" s="128" t="inlineStr">
        <is>
          <t>JIC7B</t>
        </is>
      </c>
      <c r="F463" s="138" t="inlineStr">
        <is>
          <t xml:space="preserve">COOKER 1 DUMPER STOP PB  </t>
        </is>
      </c>
      <c r="G463" s="131" t="inlineStr">
        <is>
          <t>DG7020</t>
        </is>
      </c>
      <c r="H463" s="128" t="inlineStr">
        <is>
          <t>PROC</t>
        </is>
      </c>
      <c r="I463" s="132" t="inlineStr">
        <is>
          <t>RL7-CKR1-RIO1</t>
        </is>
      </c>
      <c r="J463" s="133" t="n">
        <v>12</v>
      </c>
      <c r="K463" s="129" t="n">
        <v>6</v>
      </c>
      <c r="L463" s="129" t="n">
        <v>2</v>
      </c>
      <c r="M463" s="129" t="inlineStr">
        <is>
          <t>24 VDC DI</t>
        </is>
      </c>
      <c r="N463" s="129" t="inlineStr">
        <is>
          <t>5069-IB16</t>
        </is>
      </c>
      <c r="O463" s="139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40" t="n"/>
      <c r="AA463" t="inlineStr">
        <is>
          <t>Matched</t>
        </is>
      </c>
      <c r="AB463" s="315" t="n">
        <v>0.99</v>
      </c>
      <c r="AC463" t="inlineStr">
        <is>
          <t>High</t>
        </is>
      </c>
      <c r="AD463" t="n">
        <v>1</v>
      </c>
      <c r="AE463" t="inlineStr">
        <is>
          <t>DG7020</t>
        </is>
      </c>
      <c r="AF463" t="n">
        <v>12</v>
      </c>
      <c r="AG463" t="inlineStr">
        <is>
          <t>drawing</t>
        </is>
      </c>
      <c r="AH463" t="inlineStr">
        <is>
          <t>stacked:isa</t>
        </is>
      </c>
      <c r="AI463" t="inlineStr">
        <is>
          <t>drawing zone; process page; mapped sheet; excel sheet match</t>
        </is>
      </c>
      <c r="AJ463" t="inlineStr">
        <is>
          <t>native</t>
        </is>
      </c>
      <c r="AK463" t="inlineStr">
        <is>
          <t>native-only</t>
        </is>
      </c>
      <c r="AM463" t="inlineStr">
        <is>
          <t>12</t>
        </is>
      </c>
      <c r="AN463" t="inlineStr">
        <is>
          <t>Yes</t>
        </is>
      </c>
      <c r="AO463" t="inlineStr">
        <is>
          <t>mapped sheet id</t>
        </is>
      </c>
      <c r="AP463" t="inlineStr">
        <is>
          <t>p12:native:238, p12:native:239</t>
        </is>
      </c>
      <c r="AQ463" t="n">
        <v>2</v>
      </c>
    </row>
    <row r="464">
      <c r="A464" s="203">
        <f>ROW()-1</f>
        <v/>
      </c>
      <c r="B464" s="128" t="inlineStr">
        <is>
          <t>RL7-MLT-107-PB-03</t>
        </is>
      </c>
      <c r="C464" s="314" t="inlineStr">
        <is>
          <t>RL7-MLT-107-PB-03</t>
        </is>
      </c>
      <c r="D464" s="262" t="inlineStr">
        <is>
          <t>PB506021</t>
        </is>
      </c>
      <c r="E464" s="128" t="inlineStr">
        <is>
          <t>JIC7B</t>
        </is>
      </c>
      <c r="F464" s="138" t="inlineStr">
        <is>
          <t xml:space="preserve">COOKER 1  DUMPER DOWN PB  </t>
        </is>
      </c>
      <c r="G464" s="131" t="inlineStr">
        <is>
          <t>DG7020</t>
        </is>
      </c>
      <c r="H464" s="128" t="inlineStr">
        <is>
          <t>PROC</t>
        </is>
      </c>
      <c r="I464" s="132" t="inlineStr">
        <is>
          <t>RL7-CKR1-RIO1</t>
        </is>
      </c>
      <c r="J464" s="133" t="n">
        <v>12</v>
      </c>
      <c r="K464" s="129" t="n">
        <v>6</v>
      </c>
      <c r="L464" s="129" t="n">
        <v>3</v>
      </c>
      <c r="M464" s="129" t="inlineStr">
        <is>
          <t>24 VDC DI</t>
        </is>
      </c>
      <c r="N464" s="129" t="inlineStr">
        <is>
          <t>5069-IB16</t>
        </is>
      </c>
      <c r="O464" s="139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40" t="n"/>
      <c r="AA464" t="inlineStr">
        <is>
          <t>Matched</t>
        </is>
      </c>
      <c r="AB464" s="315" t="n">
        <v>0.99</v>
      </c>
      <c r="AC464" t="inlineStr">
        <is>
          <t>High</t>
        </is>
      </c>
      <c r="AD464" t="n">
        <v>1</v>
      </c>
      <c r="AE464" t="inlineStr">
        <is>
          <t>DG7020</t>
        </is>
      </c>
      <c r="AF464" t="n">
        <v>12</v>
      </c>
      <c r="AG464" t="inlineStr">
        <is>
          <t>drawing</t>
        </is>
      </c>
      <c r="AH464" t="inlineStr">
        <is>
          <t>stacked:isa</t>
        </is>
      </c>
      <c r="AI464" t="inlineStr">
        <is>
          <t>drawing zone; process page; mapped sheet; excel sheet match</t>
        </is>
      </c>
      <c r="AJ464" t="inlineStr">
        <is>
          <t>native</t>
        </is>
      </c>
      <c r="AK464" t="inlineStr">
        <is>
          <t>native-only</t>
        </is>
      </c>
      <c r="AM464" t="inlineStr">
        <is>
          <t>12</t>
        </is>
      </c>
      <c r="AN464" t="inlineStr">
        <is>
          <t>Yes</t>
        </is>
      </c>
      <c r="AO464" t="inlineStr">
        <is>
          <t>mapped sheet id</t>
        </is>
      </c>
      <c r="AP464" t="inlineStr">
        <is>
          <t>p12:native:240, p12:native:241</t>
        </is>
      </c>
      <c r="AQ464" t="n">
        <v>2</v>
      </c>
    </row>
    <row r="465">
      <c r="A465" s="203">
        <f>ROW()-1</f>
        <v/>
      </c>
      <c r="B465" s="128" t="inlineStr">
        <is>
          <t>RL7-MLT-107-PB-04</t>
        </is>
      </c>
      <c r="C465" s="314" t="inlineStr">
        <is>
          <t>RL7-MLT-107-PB-04</t>
        </is>
      </c>
      <c r="D465" s="262" t="inlineStr">
        <is>
          <t>PB506011</t>
        </is>
      </c>
      <c r="E465" s="128" t="inlineStr">
        <is>
          <t>JIC7B</t>
        </is>
      </c>
      <c r="F465" s="138" t="inlineStr">
        <is>
          <t xml:space="preserve">COOKER 1 DUMPER UP PB  </t>
        </is>
      </c>
      <c r="G465" s="131" t="inlineStr">
        <is>
          <t>DG7020</t>
        </is>
      </c>
      <c r="H465" s="128" t="inlineStr">
        <is>
          <t>PROC</t>
        </is>
      </c>
      <c r="I465" s="132" t="inlineStr">
        <is>
          <t>RL7-CKR1-RIO1</t>
        </is>
      </c>
      <c r="J465" s="133" t="n">
        <v>12</v>
      </c>
      <c r="K465" s="129" t="n">
        <v>6</v>
      </c>
      <c r="L465" s="129" t="n">
        <v>4</v>
      </c>
      <c r="M465" s="129" t="inlineStr">
        <is>
          <t>24 VDC DI</t>
        </is>
      </c>
      <c r="N465" s="129" t="inlineStr">
        <is>
          <t>5069-IB16</t>
        </is>
      </c>
      <c r="O465" s="139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40" t="n"/>
      <c r="AA465" t="inlineStr">
        <is>
          <t>Matched</t>
        </is>
      </c>
      <c r="AB465" s="315" t="n">
        <v>0.99</v>
      </c>
      <c r="AC465" t="inlineStr">
        <is>
          <t>High</t>
        </is>
      </c>
      <c r="AD465" t="n">
        <v>1</v>
      </c>
      <c r="AE465" t="inlineStr">
        <is>
          <t>DG7020</t>
        </is>
      </c>
      <c r="AF465" t="n">
        <v>12</v>
      </c>
      <c r="AG465" t="inlineStr">
        <is>
          <t>drawing</t>
        </is>
      </c>
      <c r="AH465" t="inlineStr">
        <is>
          <t>stacked:isa</t>
        </is>
      </c>
      <c r="AI465" t="inlineStr">
        <is>
          <t>drawing zone; process page; mapped sheet; excel sheet match</t>
        </is>
      </c>
      <c r="AJ465" t="inlineStr">
        <is>
          <t>native</t>
        </is>
      </c>
      <c r="AK465" t="inlineStr">
        <is>
          <t>native-only</t>
        </is>
      </c>
      <c r="AM465" t="inlineStr">
        <is>
          <t>12</t>
        </is>
      </c>
      <c r="AN465" t="inlineStr">
        <is>
          <t>Yes</t>
        </is>
      </c>
      <c r="AO465" t="inlineStr">
        <is>
          <t>mapped sheet id</t>
        </is>
      </c>
      <c r="AP465" t="inlineStr">
        <is>
          <t>p12:native:242, p12:native:243</t>
        </is>
      </c>
      <c r="AQ465" t="n">
        <v>2</v>
      </c>
    </row>
    <row r="466">
      <c r="A466" s="203">
        <f>ROW()-1</f>
        <v/>
      </c>
      <c r="B466" s="128" t="inlineStr">
        <is>
          <t>RL7-MTL-107-PBL-01</t>
        </is>
      </c>
      <c r="C466" s="313" t="inlineStr">
        <is>
          <t>RL7-MLT-107-PBL-01</t>
        </is>
      </c>
      <c r="D466" s="262" t="inlineStr">
        <is>
          <t>PB505011</t>
        </is>
      </c>
      <c r="E466" s="128" t="inlineStr">
        <is>
          <t>JIC7B</t>
        </is>
      </c>
      <c r="F466" s="138" t="inlineStr">
        <is>
          <t xml:space="preserve">COOKER 1 DUMPER E-STOP PB PILOT LIGHT  </t>
        </is>
      </c>
      <c r="G466" s="131" t="inlineStr">
        <is>
          <t>DG7020</t>
        </is>
      </c>
      <c r="H466" s="128" t="inlineStr">
        <is>
          <t>PROC</t>
        </is>
      </c>
      <c r="I466" s="132" t="inlineStr">
        <is>
          <t>RL7-CKR1-RIO1</t>
        </is>
      </c>
      <c r="J466" s="133" t="n">
        <v>12</v>
      </c>
      <c r="K466" s="129" t="n">
        <v>8</v>
      </c>
      <c r="L466" s="129" t="n">
        <v>0</v>
      </c>
      <c r="M466" s="129" t="inlineStr">
        <is>
          <t>24 VDC DO</t>
        </is>
      </c>
      <c r="N466" s="129" t="inlineStr">
        <is>
          <t>5069-OB16</t>
        </is>
      </c>
      <c r="O466" s="139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40" t="n"/>
      <c r="AA466" t="inlineStr">
        <is>
          <t>Not found in PDF</t>
        </is>
      </c>
      <c r="AC466" t="inlineStr">
        <is>
          <t>Low</t>
        </is>
      </c>
      <c r="AM466" t="inlineStr">
        <is>
          <t>12</t>
        </is>
      </c>
      <c r="AN466" t="inlineStr">
        <is>
          <t>Yes</t>
        </is>
      </c>
      <c r="AO466" t="inlineStr">
        <is>
          <t>mapped sheet id</t>
        </is>
      </c>
    </row>
    <row r="467">
      <c r="A467" s="203">
        <f>ROW()-1</f>
        <v/>
      </c>
      <c r="B467" s="128" t="n"/>
      <c r="C467" s="314" t="inlineStr">
        <is>
          <t>RL7-MLT-107-PL-01G</t>
        </is>
      </c>
      <c r="D467" s="262" t="n"/>
      <c r="E467" s="128" t="n"/>
      <c r="F467" s="141" t="inlineStr">
        <is>
          <t>COOKER 1 DUMPER GREEN PILOT LIGHT</t>
        </is>
      </c>
      <c r="G467" s="142" t="inlineStr">
        <is>
          <t>DG7020</t>
        </is>
      </c>
      <c r="H467" s="133" t="inlineStr">
        <is>
          <t>PROC</t>
        </is>
      </c>
      <c r="I467" s="132" t="inlineStr">
        <is>
          <t>RL7-CKR1-RIO1</t>
        </is>
      </c>
      <c r="J467" s="133" t="n">
        <v>12</v>
      </c>
      <c r="K467" s="128" t="n">
        <v>8</v>
      </c>
      <c r="L467" s="128" t="n">
        <v>3</v>
      </c>
      <c r="M467" s="128" t="inlineStr">
        <is>
          <t>24 VDC DO</t>
        </is>
      </c>
      <c r="N467" s="128" t="inlineStr">
        <is>
          <t>5069-OB16</t>
        </is>
      </c>
      <c r="O467" s="139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40" t="n"/>
      <c r="AA467" t="inlineStr">
        <is>
          <t>Matched</t>
        </is>
      </c>
      <c r="AB467" s="315" t="n">
        <v>0.99</v>
      </c>
      <c r="AC467" t="inlineStr">
        <is>
          <t>High</t>
        </is>
      </c>
      <c r="AD467" t="n">
        <v>1</v>
      </c>
      <c r="AE467" t="inlineStr">
        <is>
          <t>DG7020</t>
        </is>
      </c>
      <c r="AF467" t="n">
        <v>12</v>
      </c>
      <c r="AG467" t="inlineStr">
        <is>
          <t>drawing</t>
        </is>
      </c>
      <c r="AH467" t="inlineStr">
        <is>
          <t>stacked:isa</t>
        </is>
      </c>
      <c r="AI467" t="inlineStr">
        <is>
          <t>drawing zone; process page; mapped sheet; excel sheet match</t>
        </is>
      </c>
      <c r="AJ467" t="inlineStr">
        <is>
          <t>native</t>
        </is>
      </c>
      <c r="AK467" t="inlineStr">
        <is>
          <t>native-only</t>
        </is>
      </c>
      <c r="AM467" t="inlineStr">
        <is>
          <t>12</t>
        </is>
      </c>
      <c r="AN467" t="inlineStr">
        <is>
          <t>Yes</t>
        </is>
      </c>
      <c r="AO467" t="inlineStr">
        <is>
          <t>mapped sheet id</t>
        </is>
      </c>
      <c r="AP467" t="inlineStr">
        <is>
          <t>p12:native:248, p12:native:249</t>
        </is>
      </c>
      <c r="AQ467" t="n">
        <v>2</v>
      </c>
    </row>
    <row r="468">
      <c r="A468" s="203">
        <f>ROW()-1</f>
        <v/>
      </c>
      <c r="B468" s="128" t="n"/>
      <c r="C468" s="314" t="inlineStr">
        <is>
          <t>RL7-MLT-107-PL-01R</t>
        </is>
      </c>
      <c r="D468" s="262" t="n"/>
      <c r="E468" s="128" t="n"/>
      <c r="F468" s="141" t="inlineStr">
        <is>
          <t>COOKER 1 DUMPER RED PILOT LIGHT</t>
        </is>
      </c>
      <c r="G468" s="142" t="inlineStr">
        <is>
          <t>DG7020</t>
        </is>
      </c>
      <c r="H468" s="133" t="inlineStr">
        <is>
          <t>PROC</t>
        </is>
      </c>
      <c r="I468" s="132" t="inlineStr">
        <is>
          <t>RL7-CKR1-RIO1</t>
        </is>
      </c>
      <c r="J468" s="133" t="n">
        <v>12</v>
      </c>
      <c r="K468" s="128" t="n">
        <v>8</v>
      </c>
      <c r="L468" s="128" t="n">
        <v>1</v>
      </c>
      <c r="M468" s="128" t="inlineStr">
        <is>
          <t>24 VDC DO</t>
        </is>
      </c>
      <c r="N468" s="128" t="inlineStr">
        <is>
          <t>5069-OB16</t>
        </is>
      </c>
      <c r="O468" s="139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40" t="n"/>
      <c r="AA468" t="inlineStr">
        <is>
          <t>Matched</t>
        </is>
      </c>
      <c r="AB468" s="315" t="n">
        <v>0.99</v>
      </c>
      <c r="AC468" t="inlineStr">
        <is>
          <t>High</t>
        </is>
      </c>
      <c r="AD468" t="n">
        <v>1</v>
      </c>
      <c r="AE468" t="inlineStr">
        <is>
          <t>DG7020</t>
        </is>
      </c>
      <c r="AF468" t="n">
        <v>12</v>
      </c>
      <c r="AG468" t="inlineStr">
        <is>
          <t>drawing</t>
        </is>
      </c>
      <c r="AH468" t="inlineStr">
        <is>
          <t>stacked:isa</t>
        </is>
      </c>
      <c r="AI468" t="inlineStr">
        <is>
          <t>drawing zone; process page; mapped sheet; excel sheet match</t>
        </is>
      </c>
      <c r="AJ468" t="inlineStr">
        <is>
          <t>native</t>
        </is>
      </c>
      <c r="AK468" t="inlineStr">
        <is>
          <t>native-only</t>
        </is>
      </c>
      <c r="AM468" t="inlineStr">
        <is>
          <t>12</t>
        </is>
      </c>
      <c r="AN468" t="inlineStr">
        <is>
          <t>Yes</t>
        </is>
      </c>
      <c r="AO468" t="inlineStr">
        <is>
          <t>mapped sheet id</t>
        </is>
      </c>
      <c r="AP468" t="inlineStr">
        <is>
          <t>p12:native:244, p12:native:245</t>
        </is>
      </c>
      <c r="AQ468" t="n">
        <v>2</v>
      </c>
    </row>
    <row r="469">
      <c r="A469" s="203">
        <f>ROW()-1</f>
        <v/>
      </c>
      <c r="B469" s="128" t="n"/>
      <c r="C469" s="314" t="inlineStr">
        <is>
          <t>RL7-MLT-107-PL-01Y</t>
        </is>
      </c>
      <c r="D469" s="262" t="n"/>
      <c r="E469" s="128" t="n"/>
      <c r="F469" s="141" t="inlineStr">
        <is>
          <t>COOKER 1 DUMPER YELLOW PILOT LIGHT</t>
        </is>
      </c>
      <c r="G469" s="142" t="inlineStr">
        <is>
          <t>DG7020</t>
        </is>
      </c>
      <c r="H469" s="133" t="inlineStr">
        <is>
          <t>PROC</t>
        </is>
      </c>
      <c r="I469" s="132" t="inlineStr">
        <is>
          <t>RL7-CKR1-RIO1</t>
        </is>
      </c>
      <c r="J469" s="133" t="n">
        <v>12</v>
      </c>
      <c r="K469" s="128" t="n">
        <v>8</v>
      </c>
      <c r="L469" s="128" t="n">
        <v>2</v>
      </c>
      <c r="M469" s="128" t="inlineStr">
        <is>
          <t>24 VDC DO</t>
        </is>
      </c>
      <c r="N469" s="128" t="inlineStr">
        <is>
          <t>5069-OB16</t>
        </is>
      </c>
      <c r="O469" s="139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40" t="n"/>
      <c r="AA469" t="inlineStr">
        <is>
          <t>Matched</t>
        </is>
      </c>
      <c r="AB469" s="315" t="n">
        <v>0.99</v>
      </c>
      <c r="AC469" t="inlineStr">
        <is>
          <t>High</t>
        </is>
      </c>
      <c r="AD469" t="n">
        <v>1</v>
      </c>
      <c r="AE469" t="inlineStr">
        <is>
          <t>DG7020</t>
        </is>
      </c>
      <c r="AF469" t="n">
        <v>12</v>
      </c>
      <c r="AG469" t="inlineStr">
        <is>
          <t>drawing</t>
        </is>
      </c>
      <c r="AH469" t="inlineStr">
        <is>
          <t>stacked:isa</t>
        </is>
      </c>
      <c r="AI469" t="inlineStr">
        <is>
          <t>drawing zone; process page; mapped sheet; excel sheet match</t>
        </is>
      </c>
      <c r="AJ469" t="inlineStr">
        <is>
          <t>native</t>
        </is>
      </c>
      <c r="AK469" t="inlineStr">
        <is>
          <t>native-only</t>
        </is>
      </c>
      <c r="AM469" t="inlineStr">
        <is>
          <t>12</t>
        </is>
      </c>
      <c r="AN469" t="inlineStr">
        <is>
          <t>Yes</t>
        </is>
      </c>
      <c r="AO469" t="inlineStr">
        <is>
          <t>mapped sheet id</t>
        </is>
      </c>
      <c r="AP469" t="inlineStr">
        <is>
          <t>p12:native:246, p12:native:247</t>
        </is>
      </c>
      <c r="AQ469" t="n">
        <v>2</v>
      </c>
    </row>
    <row r="470">
      <c r="A470" s="203">
        <f>ROW()-1</f>
        <v/>
      </c>
      <c r="B470" s="128" t="inlineStr">
        <is>
          <t>RL7-MLT-107-ZSC-01</t>
        </is>
      </c>
      <c r="C470" s="314" t="inlineStr">
        <is>
          <t>RL7-MLT-107-ZSC-01</t>
        </is>
      </c>
      <c r="D470" s="262" t="inlineStr">
        <is>
          <t>PRS506111</t>
        </is>
      </c>
      <c r="E470" s="128" t="inlineStr">
        <is>
          <t>JIC7B</t>
        </is>
      </c>
      <c r="F470" s="138" t="inlineStr">
        <is>
          <t>COOKER 1 DUMPER DOWN POSITION</t>
        </is>
      </c>
      <c r="G470" s="131" t="inlineStr">
        <is>
          <t>DG7020</t>
        </is>
      </c>
      <c r="H470" s="128" t="inlineStr">
        <is>
          <t>PROC</t>
        </is>
      </c>
      <c r="I470" s="132" t="inlineStr">
        <is>
          <t>RL7-CKR1-RIO1</t>
        </is>
      </c>
      <c r="J470" s="133" t="n">
        <v>12</v>
      </c>
      <c r="K470" s="129" t="n">
        <v>5</v>
      </c>
      <c r="L470" s="129" t="n">
        <v>5</v>
      </c>
      <c r="M470" s="129" t="inlineStr">
        <is>
          <t>24 VDC DI</t>
        </is>
      </c>
      <c r="N470" s="129" t="inlineStr">
        <is>
          <t>5069-IB16</t>
        </is>
      </c>
      <c r="O470" s="139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40" t="n"/>
      <c r="AA470" t="inlineStr">
        <is>
          <t>Matched</t>
        </is>
      </c>
      <c r="AB470" s="315" t="n">
        <v>0.99</v>
      </c>
      <c r="AC470" t="inlineStr">
        <is>
          <t>High</t>
        </is>
      </c>
      <c r="AD470" t="n">
        <v>1</v>
      </c>
      <c r="AE470" t="inlineStr">
        <is>
          <t>DG7020</t>
        </is>
      </c>
      <c r="AF470" t="n">
        <v>12</v>
      </c>
      <c r="AG470" t="inlineStr">
        <is>
          <t>drawing</t>
        </is>
      </c>
      <c r="AH470" t="inlineStr">
        <is>
          <t>stacked:isa</t>
        </is>
      </c>
      <c r="AI470" t="inlineStr">
        <is>
          <t>drawing zone; process page; mapped sheet; excel sheet match</t>
        </is>
      </c>
      <c r="AJ470" t="inlineStr">
        <is>
          <t>native</t>
        </is>
      </c>
      <c r="AK470" t="inlineStr">
        <is>
          <t>native-only</t>
        </is>
      </c>
      <c r="AM470" t="inlineStr">
        <is>
          <t>12</t>
        </is>
      </c>
      <c r="AN470" t="inlineStr">
        <is>
          <t>Yes</t>
        </is>
      </c>
      <c r="AO470" t="inlineStr">
        <is>
          <t>mapped sheet id</t>
        </is>
      </c>
      <c r="AP470" t="inlineStr">
        <is>
          <t>p12:native:175, p12:native:176</t>
        </is>
      </c>
      <c r="AQ470" t="n">
        <v>2</v>
      </c>
    </row>
    <row r="471">
      <c r="A471" s="203">
        <f>ROW()-1</f>
        <v/>
      </c>
      <c r="B471" s="128" t="inlineStr">
        <is>
          <t>RL7-MLT-107-ZSC-02</t>
        </is>
      </c>
      <c r="C471" s="314" t="inlineStr">
        <is>
          <t>RL7-MLT-107-ZSC-02</t>
        </is>
      </c>
      <c r="D471" s="262" t="inlineStr">
        <is>
          <t>PRS506091</t>
        </is>
      </c>
      <c r="E471" s="128" t="inlineStr">
        <is>
          <t>JIC7B</t>
        </is>
      </c>
      <c r="F471" s="138" t="inlineStr">
        <is>
          <t>COOKER 1 DUMPER UP POSITION</t>
        </is>
      </c>
      <c r="G471" s="131" t="inlineStr">
        <is>
          <t>DG7020</t>
        </is>
      </c>
      <c r="H471" s="128" t="inlineStr">
        <is>
          <t>PROC</t>
        </is>
      </c>
      <c r="I471" s="132" t="inlineStr">
        <is>
          <t>RL7-CKR1-RIO1</t>
        </is>
      </c>
      <c r="J471" s="133" t="n">
        <v>12</v>
      </c>
      <c r="K471" s="129" t="n">
        <v>5</v>
      </c>
      <c r="L471" s="129" t="n">
        <v>4</v>
      </c>
      <c r="M471" s="129" t="inlineStr">
        <is>
          <t>24 VDC DI</t>
        </is>
      </c>
      <c r="N471" s="129" t="inlineStr">
        <is>
          <t>5069-IB16</t>
        </is>
      </c>
      <c r="O471" s="139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40" t="n"/>
      <c r="AA471" t="inlineStr">
        <is>
          <t>Matched</t>
        </is>
      </c>
      <c r="AB471" s="315" t="n">
        <v>0.99</v>
      </c>
      <c r="AC471" t="inlineStr">
        <is>
          <t>High</t>
        </is>
      </c>
      <c r="AD471" t="n">
        <v>1</v>
      </c>
      <c r="AE471" t="inlineStr">
        <is>
          <t>DG7020</t>
        </is>
      </c>
      <c r="AF471" t="n">
        <v>12</v>
      </c>
      <c r="AG471" t="inlineStr">
        <is>
          <t>drawing</t>
        </is>
      </c>
      <c r="AH471" t="inlineStr">
        <is>
          <t>stacked:isa</t>
        </is>
      </c>
      <c r="AI471" t="inlineStr">
        <is>
          <t>drawing zone; process page; mapped sheet; excel sheet match</t>
        </is>
      </c>
      <c r="AJ471" t="inlineStr">
        <is>
          <t>native</t>
        </is>
      </c>
      <c r="AK471" t="inlineStr">
        <is>
          <t>native-only</t>
        </is>
      </c>
      <c r="AM471" t="inlineStr">
        <is>
          <t>12</t>
        </is>
      </c>
      <c r="AN471" t="inlineStr">
        <is>
          <t>Yes</t>
        </is>
      </c>
      <c r="AO471" t="inlineStr">
        <is>
          <t>mapped sheet id</t>
        </is>
      </c>
      <c r="AP471" t="inlineStr">
        <is>
          <t>p12:native:173, p12:native:174</t>
        </is>
      </c>
      <c r="AQ471" t="n">
        <v>2</v>
      </c>
    </row>
    <row r="472">
      <c r="A472" s="203">
        <f>ROW()-1</f>
        <v/>
      </c>
      <c r="B472" s="128" t="inlineStr">
        <is>
          <t>RL7-MLT-107-ZSC-03</t>
        </is>
      </c>
      <c r="C472" s="314" t="inlineStr">
        <is>
          <t>RL7-MLT-107-ZSC-03</t>
        </is>
      </c>
      <c r="D472" s="262" t="inlineStr">
        <is>
          <t>PRS506071</t>
        </is>
      </c>
      <c r="E472" s="128" t="inlineStr">
        <is>
          <t>JIC7B</t>
        </is>
      </c>
      <c r="F472" s="138" t="inlineStr">
        <is>
          <t xml:space="preserve">COOKER 1 DUMPER OVERTRAVEL  </t>
        </is>
      </c>
      <c r="G472" s="131" t="inlineStr">
        <is>
          <t>DG7020</t>
        </is>
      </c>
      <c r="H472" s="128" t="inlineStr">
        <is>
          <t>PROC</t>
        </is>
      </c>
      <c r="I472" s="132" t="inlineStr">
        <is>
          <t>RL7-CKR1-RIO1</t>
        </is>
      </c>
      <c r="J472" s="133" t="n">
        <v>12</v>
      </c>
      <c r="K472" s="129" t="n">
        <v>5</v>
      </c>
      <c r="L472" s="129" t="n">
        <v>3</v>
      </c>
      <c r="M472" s="129" t="inlineStr">
        <is>
          <t>24 VDC DI</t>
        </is>
      </c>
      <c r="N472" s="129" t="inlineStr">
        <is>
          <t>5069-IB16</t>
        </is>
      </c>
      <c r="O472" s="139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40" t="n"/>
      <c r="AA472" t="inlineStr">
        <is>
          <t>Matched</t>
        </is>
      </c>
      <c r="AB472" s="315" t="n">
        <v>0.99</v>
      </c>
      <c r="AC472" t="inlineStr">
        <is>
          <t>High</t>
        </is>
      </c>
      <c r="AD472" t="n">
        <v>1</v>
      </c>
      <c r="AE472" t="inlineStr">
        <is>
          <t>DG7020</t>
        </is>
      </c>
      <c r="AF472" t="n">
        <v>12</v>
      </c>
      <c r="AG472" t="inlineStr">
        <is>
          <t>drawing</t>
        </is>
      </c>
      <c r="AH472" t="inlineStr">
        <is>
          <t>stacked:isa</t>
        </is>
      </c>
      <c r="AI472" t="inlineStr">
        <is>
          <t>drawing zone; process page; mapped sheet; excel sheet match</t>
        </is>
      </c>
      <c r="AJ472" t="inlineStr">
        <is>
          <t>native</t>
        </is>
      </c>
      <c r="AK472" t="inlineStr">
        <is>
          <t>native-only</t>
        </is>
      </c>
      <c r="AM472" t="inlineStr">
        <is>
          <t>12</t>
        </is>
      </c>
      <c r="AN472" t="inlineStr">
        <is>
          <t>Yes</t>
        </is>
      </c>
      <c r="AO472" t="inlineStr">
        <is>
          <t>mapped sheet id</t>
        </is>
      </c>
      <c r="AP472" t="inlineStr">
        <is>
          <t>p12:native:171, p12:native:172</t>
        </is>
      </c>
      <c r="AQ472" t="n">
        <v>2</v>
      </c>
    </row>
    <row r="473">
      <c r="A473" s="203">
        <f>ROW()-1</f>
        <v/>
      </c>
      <c r="B473" s="128" t="inlineStr">
        <is>
          <t>RL7-SKD-102-FIT-01</t>
        </is>
      </c>
      <c r="C473" s="314" t="inlineStr">
        <is>
          <t>RL7-SKD-102-FIT-01</t>
        </is>
      </c>
      <c r="D473" s="262" t="n"/>
      <c r="E473" s="128" t="n"/>
      <c r="F473" s="138" t="inlineStr">
        <is>
          <t>COOKER 1 LACTIC ACID FLOW</t>
        </is>
      </c>
      <c r="G473" s="142" t="inlineStr">
        <is>
          <t>DG7020</t>
        </is>
      </c>
      <c r="H473" s="128" t="inlineStr">
        <is>
          <t>INTSL</t>
        </is>
      </c>
      <c r="I473" s="142" t="inlineStr">
        <is>
          <t>RL7-INTSL-RIO2</t>
        </is>
      </c>
      <c r="J473" s="133" t="n">
        <v>19</v>
      </c>
      <c r="K473" s="129" t="n">
        <v>11</v>
      </c>
      <c r="L473" s="129" t="n">
        <v>0</v>
      </c>
      <c r="M473" s="129" t="inlineStr">
        <is>
          <t>4-20 mA AI</t>
        </is>
      </c>
      <c r="N473" s="129" t="inlineStr">
        <is>
          <t>5069-IF8</t>
        </is>
      </c>
      <c r="O473" s="134" t="inlineStr">
        <is>
          <t>0 - 100%</t>
        </is>
      </c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40" t="n"/>
      <c r="AA473" t="inlineStr">
        <is>
          <t>Matched</t>
        </is>
      </c>
      <c r="AB473" s="315" t="n">
        <v>0.99</v>
      </c>
      <c r="AC473" t="inlineStr">
        <is>
          <t>High</t>
        </is>
      </c>
      <c r="AD473" t="n">
        <v>1</v>
      </c>
      <c r="AE473" t="inlineStr">
        <is>
          <t>DG7020</t>
        </is>
      </c>
      <c r="AF473" t="n">
        <v>12</v>
      </c>
      <c r="AG473" t="inlineStr">
        <is>
          <t>drawing</t>
        </is>
      </c>
      <c r="AH473" t="inlineStr">
        <is>
          <t>stacked:isa</t>
        </is>
      </c>
      <c r="AI473" t="inlineStr">
        <is>
          <t>drawing zone; process page; mapped sheet; excel sheet match</t>
        </is>
      </c>
      <c r="AJ473" t="inlineStr">
        <is>
          <t>native</t>
        </is>
      </c>
      <c r="AK473" t="inlineStr">
        <is>
          <t>native-only</t>
        </is>
      </c>
      <c r="AM473" t="inlineStr">
        <is>
          <t>12</t>
        </is>
      </c>
      <c r="AN473" t="inlineStr">
        <is>
          <t>Yes</t>
        </is>
      </c>
      <c r="AO473" t="inlineStr">
        <is>
          <t>mapped sheet id</t>
        </is>
      </c>
      <c r="AP473" t="inlineStr">
        <is>
          <t>p12:native:356, p12:native:357</t>
        </is>
      </c>
      <c r="AQ473" t="n">
        <v>2</v>
      </c>
    </row>
    <row r="474" customFormat="1" s="136">
      <c r="A474" s="203">
        <f>ROW()-1</f>
        <v/>
      </c>
      <c r="B474" s="128" t="inlineStr">
        <is>
          <t>RL7-SKD-102-FIT-02</t>
        </is>
      </c>
      <c r="C474" s="313" t="inlineStr">
        <is>
          <t>RL7-SKD-102-FIT-02</t>
        </is>
      </c>
      <c r="D474" s="262" t="n"/>
      <c r="E474" s="128" t="n"/>
      <c r="F474" s="138" t="inlineStr">
        <is>
          <t>COOKER 2 LACTIC ACID FLOW</t>
        </is>
      </c>
      <c r="G474" s="142" t="inlineStr">
        <is>
          <t>DG7020</t>
        </is>
      </c>
      <c r="H474" s="128" t="inlineStr">
        <is>
          <t>INTSL</t>
        </is>
      </c>
      <c r="I474" s="142" t="inlineStr">
        <is>
          <t>RL7-INTSL-RIO2</t>
        </is>
      </c>
      <c r="J474" s="133" t="n">
        <v>19</v>
      </c>
      <c r="K474" s="129" t="n">
        <v>11</v>
      </c>
      <c r="L474" s="129" t="n">
        <v>1</v>
      </c>
      <c r="M474" s="129" t="inlineStr">
        <is>
          <t>4-20 mA AI</t>
        </is>
      </c>
      <c r="N474" s="129" t="inlineStr">
        <is>
          <t>5069-IF8</t>
        </is>
      </c>
      <c r="O474" s="134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40" t="n"/>
      <c r="AA474" t="inlineStr">
        <is>
          <t>Matched - same-page inference</t>
        </is>
      </c>
      <c r="AB474" s="315" t="n">
        <v>0.77</v>
      </c>
      <c r="AC474" t="inlineStr">
        <is>
          <t>Medium</t>
        </is>
      </c>
      <c r="AD474" t="n">
        <v>1</v>
      </c>
      <c r="AE474" t="inlineStr">
        <is>
          <t>DG7020</t>
        </is>
      </c>
      <c r="AF474" t="n">
        <v>12</v>
      </c>
      <c r="AG474" t="inlineStr">
        <is>
          <t>drawing</t>
        </is>
      </c>
      <c r="AH474" t="inlineStr">
        <is>
          <t>samepage:root+comp</t>
        </is>
      </c>
      <c r="AI474" t="inlineStr">
        <is>
          <t>same-page inference: root and component detected separately on the same PDF page; pairing synthesized.; excel sheet match</t>
        </is>
      </c>
      <c r="AJ474" t="inlineStr">
        <is>
          <t>native</t>
        </is>
      </c>
      <c r="AK474" t="inlineStr">
        <is>
          <t>native-only</t>
        </is>
      </c>
      <c r="AM474" t="inlineStr">
        <is>
          <t>12</t>
        </is>
      </c>
      <c r="AN474" t="inlineStr">
        <is>
          <t>Yes</t>
        </is>
      </c>
      <c r="AO474" t="inlineStr">
        <is>
          <t>mapped sheet id</t>
        </is>
      </c>
      <c r="AP474" t="inlineStr">
        <is>
          <t>p12:native:214, p12:native:215</t>
        </is>
      </c>
      <c r="AQ474" t="n">
        <v>2</v>
      </c>
    </row>
    <row r="475">
      <c r="A475" s="203">
        <f>ROW()-1</f>
        <v/>
      </c>
      <c r="B475" s="128" t="inlineStr">
        <is>
          <t>RL7-SKD-102-XV-01</t>
        </is>
      </c>
      <c r="C475" s="314" t="inlineStr">
        <is>
          <t>RL7-SKD-102-XV-01</t>
        </is>
      </c>
      <c r="D475" s="262" t="n"/>
      <c r="E475" s="128" t="n"/>
      <c r="F475" s="138" t="inlineStr">
        <is>
          <t>COOKER 1 LACTIC ACID SUPPLY VALVE OPEN SOLENOID</t>
        </is>
      </c>
      <c r="G475" s="142" t="inlineStr">
        <is>
          <t>DG7020</t>
        </is>
      </c>
      <c r="H475" s="128" t="inlineStr">
        <is>
          <t>INTSL</t>
        </is>
      </c>
      <c r="I475" s="142" t="inlineStr">
        <is>
          <t>RL7-INTSL-RIO2</t>
        </is>
      </c>
      <c r="J475" s="133" t="n">
        <v>19</v>
      </c>
      <c r="K475" s="129" t="n">
        <v>7</v>
      </c>
      <c r="L475" s="129" t="n">
        <v>0</v>
      </c>
      <c r="M475" s="129" t="inlineStr">
        <is>
          <t>24 VDC DO</t>
        </is>
      </c>
      <c r="N475" s="129" t="inlineStr">
        <is>
          <t>5069-OB16</t>
        </is>
      </c>
      <c r="O475" s="139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40" t="n"/>
      <c r="AA475" t="inlineStr">
        <is>
          <t>Matched</t>
        </is>
      </c>
      <c r="AB475" s="315" t="n">
        <v>0.99</v>
      </c>
      <c r="AC475" t="inlineStr">
        <is>
          <t>High</t>
        </is>
      </c>
      <c r="AD475" t="n">
        <v>1</v>
      </c>
      <c r="AE475" t="inlineStr">
        <is>
          <t>DG7020</t>
        </is>
      </c>
      <c r="AF475" t="n">
        <v>12</v>
      </c>
      <c r="AG475" t="inlineStr">
        <is>
          <t>drawing</t>
        </is>
      </c>
      <c r="AH475" t="inlineStr">
        <is>
          <t>stacked:isa</t>
        </is>
      </c>
      <c r="AI475" t="inlineStr">
        <is>
          <t>drawing zone; process page; mapped sheet; excel sheet match</t>
        </is>
      </c>
      <c r="AJ475" t="inlineStr">
        <is>
          <t>native</t>
        </is>
      </c>
      <c r="AK475" t="inlineStr">
        <is>
          <t>native-only</t>
        </is>
      </c>
      <c r="AM475" t="inlineStr">
        <is>
          <t>12</t>
        </is>
      </c>
      <c r="AN475" t="inlineStr">
        <is>
          <t>Yes</t>
        </is>
      </c>
      <c r="AO475" t="inlineStr">
        <is>
          <t>mapped sheet id</t>
        </is>
      </c>
      <c r="AP475" t="inlineStr">
        <is>
          <t>p12:native:354, p12:native:355</t>
        </is>
      </c>
      <c r="AQ475" t="n">
        <v>2</v>
      </c>
    </row>
    <row r="476">
      <c r="A476" s="203">
        <f>ROW()-1</f>
        <v/>
      </c>
      <c r="B476" s="128" t="inlineStr">
        <is>
          <t>RL7-SKD-102-XV-02</t>
        </is>
      </c>
      <c r="C476" s="313" t="inlineStr">
        <is>
          <t>RL7-SKD-102-XV-02</t>
        </is>
      </c>
      <c r="D476" s="262" t="n"/>
      <c r="E476" s="128" t="n"/>
      <c r="F476" s="138" t="inlineStr">
        <is>
          <t>COOKER 2 LACTIC ACID SUPPLY VALVE OPEN SOLENOID</t>
        </is>
      </c>
      <c r="G476" s="142" t="inlineStr">
        <is>
          <t>DG7020</t>
        </is>
      </c>
      <c r="H476" s="128" t="inlineStr">
        <is>
          <t>INTSL</t>
        </is>
      </c>
      <c r="I476" s="142" t="inlineStr">
        <is>
          <t>RL7-INTSL-RIO2</t>
        </is>
      </c>
      <c r="J476" s="133" t="n">
        <v>19</v>
      </c>
      <c r="K476" s="129" t="n">
        <v>7</v>
      </c>
      <c r="L476" s="129" t="n">
        <v>1</v>
      </c>
      <c r="M476" s="129" t="inlineStr">
        <is>
          <t>24 VDC DO</t>
        </is>
      </c>
      <c r="N476" s="129" t="inlineStr">
        <is>
          <t>5069-OB16</t>
        </is>
      </c>
      <c r="O476" s="139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40" t="n"/>
      <c r="AA476" t="inlineStr">
        <is>
          <t>Not found in PDF</t>
        </is>
      </c>
      <c r="AC476" t="inlineStr">
        <is>
          <t>Low</t>
        </is>
      </c>
      <c r="AM476" t="inlineStr">
        <is>
          <t>12</t>
        </is>
      </c>
      <c r="AN476" t="inlineStr">
        <is>
          <t>Yes</t>
        </is>
      </c>
      <c r="AO476" t="inlineStr">
        <is>
          <t>mapped sheet id</t>
        </is>
      </c>
    </row>
    <row r="477">
      <c r="A477" s="203">
        <f>ROW()-1</f>
        <v/>
      </c>
      <c r="B477" s="128" t="inlineStr">
        <is>
          <t>RL7-SKD-102-ZSC-01</t>
        </is>
      </c>
      <c r="C477" s="314" t="inlineStr">
        <is>
          <t>RL7-SKD-102-ZSC-01</t>
        </is>
      </c>
      <c r="D477" s="262" t="n"/>
      <c r="E477" s="128" t="n"/>
      <c r="F477" s="138" t="inlineStr">
        <is>
          <t>COOKER 1 LACTIC ACID SUPPLY VALVE CLOSE LIMIT SWITCH</t>
        </is>
      </c>
      <c r="G477" s="142" t="inlineStr">
        <is>
          <t>DG7020</t>
        </is>
      </c>
      <c r="H477" s="128" t="inlineStr">
        <is>
          <t>INTSL</t>
        </is>
      </c>
      <c r="I477" s="142" t="inlineStr">
        <is>
          <t>RL7-INTSL-RIO2</t>
        </is>
      </c>
      <c r="J477" s="133" t="n">
        <v>19</v>
      </c>
      <c r="K477" s="129" t="n">
        <v>3</v>
      </c>
      <c r="L477" s="129" t="n">
        <v>5</v>
      </c>
      <c r="M477" s="129" t="inlineStr">
        <is>
          <t>24 VDC DI</t>
        </is>
      </c>
      <c r="N477" s="129" t="inlineStr">
        <is>
          <t>5069-IB16</t>
        </is>
      </c>
      <c r="O477" s="139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40" t="n"/>
      <c r="AA477" t="inlineStr">
        <is>
          <t>Matched</t>
        </is>
      </c>
      <c r="AB477" s="315" t="n">
        <v>0.99</v>
      </c>
      <c r="AC477" t="inlineStr">
        <is>
          <t>High</t>
        </is>
      </c>
      <c r="AD477" t="n">
        <v>1</v>
      </c>
      <c r="AE477" t="inlineStr">
        <is>
          <t>DG7020</t>
        </is>
      </c>
      <c r="AF477" t="n">
        <v>12</v>
      </c>
      <c r="AG477" t="inlineStr">
        <is>
          <t>drawing</t>
        </is>
      </c>
      <c r="AH477" t="inlineStr">
        <is>
          <t>stacked:isa</t>
        </is>
      </c>
      <c r="AI477" t="inlineStr">
        <is>
          <t>drawing zone; process page; mapped sheet; excel sheet match</t>
        </is>
      </c>
      <c r="AJ477" t="inlineStr">
        <is>
          <t>native</t>
        </is>
      </c>
      <c r="AK477" t="inlineStr">
        <is>
          <t>native-only</t>
        </is>
      </c>
      <c r="AM477" t="inlineStr">
        <is>
          <t>12</t>
        </is>
      </c>
      <c r="AN477" t="inlineStr">
        <is>
          <t>Yes</t>
        </is>
      </c>
      <c r="AO477" t="inlineStr">
        <is>
          <t>mapped sheet id</t>
        </is>
      </c>
      <c r="AP477" t="inlineStr">
        <is>
          <t>p12:native:360, p12:native:361</t>
        </is>
      </c>
      <c r="AQ477" t="n">
        <v>2</v>
      </c>
    </row>
    <row r="478">
      <c r="A478" s="203">
        <f>ROW()-1</f>
        <v/>
      </c>
      <c r="B478" s="128" t="inlineStr">
        <is>
          <t>RL7-SKD-102-ZSC-02</t>
        </is>
      </c>
      <c r="C478" s="313" t="inlineStr">
        <is>
          <t>RL7-SKD-102-ZSC-02</t>
        </is>
      </c>
      <c r="D478" s="262" t="n"/>
      <c r="E478" s="128" t="n"/>
      <c r="F478" s="138" t="inlineStr">
        <is>
          <t>COOKER 2 LACTIC ACID SUPPLY VALVE CLOSE LIMIT SWITCH</t>
        </is>
      </c>
      <c r="G478" s="142" t="inlineStr">
        <is>
          <t>DG7020</t>
        </is>
      </c>
      <c r="H478" s="128" t="inlineStr">
        <is>
          <t>INTSL</t>
        </is>
      </c>
      <c r="I478" s="142" t="inlineStr">
        <is>
          <t>RL7-INTSL-RIO2</t>
        </is>
      </c>
      <c r="J478" s="133" t="n">
        <v>19</v>
      </c>
      <c r="K478" s="129" t="n">
        <v>3</v>
      </c>
      <c r="L478" s="129" t="n">
        <v>7</v>
      </c>
      <c r="M478" s="129" t="inlineStr">
        <is>
          <t>24 VDC DI</t>
        </is>
      </c>
      <c r="N478" s="129" t="inlineStr">
        <is>
          <t>5069-IB16</t>
        </is>
      </c>
      <c r="O478" s="139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40" t="n"/>
      <c r="AA478" t="inlineStr">
        <is>
          <t>Matched - same-page inference</t>
        </is>
      </c>
      <c r="AB478" s="315" t="n">
        <v>0.77</v>
      </c>
      <c r="AC478" t="inlineStr">
        <is>
          <t>Medium</t>
        </is>
      </c>
      <c r="AD478" t="n">
        <v>1</v>
      </c>
      <c r="AE478" t="inlineStr">
        <is>
          <t>DG7020</t>
        </is>
      </c>
      <c r="AF478" t="n">
        <v>12</v>
      </c>
      <c r="AG478" t="inlineStr">
        <is>
          <t>drawing</t>
        </is>
      </c>
      <c r="AH478" t="inlineStr">
        <is>
          <t>samepage:root+comp</t>
        </is>
      </c>
      <c r="AI478" t="inlineStr">
        <is>
          <t>same-page inference: root and component detected separately on the same PDF page; pairing synthesized.; excel sheet match</t>
        </is>
      </c>
      <c r="AJ478" t="inlineStr">
        <is>
          <t>native</t>
        </is>
      </c>
      <c r="AK478" t="inlineStr">
        <is>
          <t>native-only</t>
        </is>
      </c>
      <c r="AM478" t="inlineStr">
        <is>
          <t>12</t>
        </is>
      </c>
      <c r="AN478" t="inlineStr">
        <is>
          <t>Yes</t>
        </is>
      </c>
      <c r="AO478" t="inlineStr">
        <is>
          <t>mapped sheet id</t>
        </is>
      </c>
      <c r="AP478" t="inlineStr">
        <is>
          <t>p12:native:173, p12:native:174</t>
        </is>
      </c>
      <c r="AQ478" t="n">
        <v>2</v>
      </c>
    </row>
    <row r="479">
      <c r="A479" s="203">
        <f>ROW()-1</f>
        <v/>
      </c>
      <c r="B479" s="128" t="inlineStr">
        <is>
          <t>RL7-SKD-102-ZSO-01</t>
        </is>
      </c>
      <c r="C479" s="314" t="inlineStr">
        <is>
          <t>RL7-SKD-102-ZSO-01</t>
        </is>
      </c>
      <c r="D479" s="262" t="n"/>
      <c r="E479" s="128" t="n"/>
      <c r="F479" s="138" t="inlineStr">
        <is>
          <t>COOKER 1 LACTIC ACID SUPPLY VALVE OPEN LIMIT SWITCH</t>
        </is>
      </c>
      <c r="G479" s="142" t="inlineStr">
        <is>
          <t>DG7020</t>
        </is>
      </c>
      <c r="H479" s="128" t="inlineStr">
        <is>
          <t>INTSL</t>
        </is>
      </c>
      <c r="I479" s="142" t="inlineStr">
        <is>
          <t>RL7-INTSL-RIO2</t>
        </is>
      </c>
      <c r="J479" s="133" t="n">
        <v>19</v>
      </c>
      <c r="K479" s="129" t="n">
        <v>3</v>
      </c>
      <c r="L479" s="129" t="n">
        <v>4</v>
      </c>
      <c r="M479" s="129" t="inlineStr">
        <is>
          <t>24 VDC DI</t>
        </is>
      </c>
      <c r="N479" s="129" t="inlineStr">
        <is>
          <t>5069-IB16</t>
        </is>
      </c>
      <c r="O479" s="139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40" t="n"/>
      <c r="AA479" t="inlineStr">
        <is>
          <t>Matched</t>
        </is>
      </c>
      <c r="AB479" s="315" t="n">
        <v>0.99</v>
      </c>
      <c r="AC479" t="inlineStr">
        <is>
          <t>High</t>
        </is>
      </c>
      <c r="AD479" t="n">
        <v>1</v>
      </c>
      <c r="AE479" t="inlineStr">
        <is>
          <t>DG7020</t>
        </is>
      </c>
      <c r="AF479" t="n">
        <v>12</v>
      </c>
      <c r="AG479" t="inlineStr">
        <is>
          <t>drawing</t>
        </is>
      </c>
      <c r="AH479" t="inlineStr">
        <is>
          <t>stacked:isa</t>
        </is>
      </c>
      <c r="AI479" t="inlineStr">
        <is>
          <t>drawing zone; process page; mapped sheet; excel sheet match</t>
        </is>
      </c>
      <c r="AJ479" t="inlineStr">
        <is>
          <t>native</t>
        </is>
      </c>
      <c r="AK479" t="inlineStr">
        <is>
          <t>native-only</t>
        </is>
      </c>
      <c r="AM479" t="inlineStr">
        <is>
          <t>12</t>
        </is>
      </c>
      <c r="AN479" t="inlineStr">
        <is>
          <t>Yes</t>
        </is>
      </c>
      <c r="AO479" t="inlineStr">
        <is>
          <t>mapped sheet id</t>
        </is>
      </c>
      <c r="AP479" t="inlineStr">
        <is>
          <t>p12:native:358, p12:native:359</t>
        </is>
      </c>
      <c r="AQ479" t="n">
        <v>2</v>
      </c>
    </row>
    <row r="480">
      <c r="A480" s="203">
        <f>ROW()-1</f>
        <v/>
      </c>
      <c r="B480" s="128" t="inlineStr">
        <is>
          <t>RL7-SKD-102-ZSO-02</t>
        </is>
      </c>
      <c r="C480" s="313" t="inlineStr">
        <is>
          <t>RL7-SKD-102-ZSO-02</t>
        </is>
      </c>
      <c r="D480" s="262" t="n"/>
      <c r="E480" s="128" t="n"/>
      <c r="F480" s="138" t="inlineStr">
        <is>
          <t>COOKER 2 LACTIC ACID SUPPLY VALVE OPEN LIMIT SWITCH</t>
        </is>
      </c>
      <c r="G480" s="142" t="inlineStr">
        <is>
          <t>DG7020</t>
        </is>
      </c>
      <c r="H480" s="128" t="inlineStr">
        <is>
          <t>INTSL</t>
        </is>
      </c>
      <c r="I480" s="142" t="inlineStr">
        <is>
          <t>RL7-INTSL-RIO2</t>
        </is>
      </c>
      <c r="J480" s="133" t="n">
        <v>19</v>
      </c>
      <c r="K480" s="129" t="n">
        <v>3</v>
      </c>
      <c r="L480" s="129" t="n">
        <v>6</v>
      </c>
      <c r="M480" s="129" t="inlineStr">
        <is>
          <t>24 VDC DI</t>
        </is>
      </c>
      <c r="N480" s="129" t="inlineStr">
        <is>
          <t>5069-IB16</t>
        </is>
      </c>
      <c r="O480" s="139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40" t="n"/>
      <c r="AA480" t="inlineStr">
        <is>
          <t>Not found in PDF</t>
        </is>
      </c>
      <c r="AC480" t="inlineStr">
        <is>
          <t>Low</t>
        </is>
      </c>
      <c r="AM480" t="inlineStr">
        <is>
          <t>12</t>
        </is>
      </c>
      <c r="AN480" t="inlineStr">
        <is>
          <t>Yes</t>
        </is>
      </c>
      <c r="AO480" t="inlineStr">
        <is>
          <t>mapped sheet id</t>
        </is>
      </c>
    </row>
    <row r="481">
      <c r="A481" s="203">
        <f>ROW()-1</f>
        <v/>
      </c>
      <c r="B481" s="128" t="inlineStr">
        <is>
          <t>RL7-MTL-108-PB-01</t>
        </is>
      </c>
      <c r="C481" s="314" t="inlineStr">
        <is>
          <t>RL7-MLT-108-PB-01</t>
        </is>
      </c>
      <c r="D481" s="262" t="inlineStr">
        <is>
          <t>PB605011</t>
        </is>
      </c>
      <c r="E481" s="128" t="inlineStr">
        <is>
          <t>JIC8B</t>
        </is>
      </c>
      <c r="F481" s="138" t="inlineStr">
        <is>
          <t>COOKER 2 DUMPER E-STOP PUSHBUTTON CH1</t>
        </is>
      </c>
      <c r="G481" s="131" t="inlineStr">
        <is>
          <t>DG7021</t>
        </is>
      </c>
      <c r="H481" s="128" t="inlineStr">
        <is>
          <t>PROC</t>
        </is>
      </c>
      <c r="I481" s="132" t="inlineStr">
        <is>
          <t>RL7-CKR2-RIO1</t>
        </is>
      </c>
      <c r="J481" s="133" t="n">
        <v>13</v>
      </c>
      <c r="K481" s="129" t="n">
        <v>1</v>
      </c>
      <c r="L481" s="129" t="n">
        <v>0</v>
      </c>
      <c r="M481" s="129" t="inlineStr">
        <is>
          <t>24 VDC SI</t>
        </is>
      </c>
      <c r="N481" s="129" t="inlineStr">
        <is>
          <t>5069-IB8S</t>
        </is>
      </c>
      <c r="O481" s="139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40" t="n"/>
      <c r="AA481" t="inlineStr">
        <is>
          <t>Matched</t>
        </is>
      </c>
      <c r="AB481" s="315" t="n">
        <v>0.99</v>
      </c>
      <c r="AC481" t="inlineStr">
        <is>
          <t>High</t>
        </is>
      </c>
      <c r="AD481" t="n">
        <v>1</v>
      </c>
      <c r="AE481" t="inlineStr">
        <is>
          <t>DG7021</t>
        </is>
      </c>
      <c r="AF481" t="n">
        <v>13</v>
      </c>
      <c r="AG481" t="inlineStr">
        <is>
          <t>drawing</t>
        </is>
      </c>
      <c r="AH481" t="inlineStr">
        <is>
          <t>stacked:isa</t>
        </is>
      </c>
      <c r="AI481" t="inlineStr">
        <is>
          <t>drawing zone; process page; mapped sheet; excel sheet match</t>
        </is>
      </c>
      <c r="AJ481" t="inlineStr">
        <is>
          <t>native</t>
        </is>
      </c>
      <c r="AK481" t="inlineStr">
        <is>
          <t>native-only</t>
        </is>
      </c>
      <c r="AM481" t="inlineStr">
        <is>
          <t>13</t>
        </is>
      </c>
      <c r="AN481" t="inlineStr">
        <is>
          <t>Yes</t>
        </is>
      </c>
      <c r="AO481" t="inlineStr">
        <is>
          <t>mapped sheet id</t>
        </is>
      </c>
      <c r="AP481" t="inlineStr">
        <is>
          <t>p13:native:195, p13:native:196</t>
        </is>
      </c>
      <c r="AQ481" t="n">
        <v>2</v>
      </c>
    </row>
    <row r="482">
      <c r="A482" s="203">
        <f>ROW()-1</f>
        <v/>
      </c>
      <c r="B482" s="128" t="inlineStr">
        <is>
          <t>RL7-MTL-108-PB-01</t>
        </is>
      </c>
      <c r="C482" s="314" t="inlineStr">
        <is>
          <t>RL7-MLT-108-PB-01</t>
        </is>
      </c>
      <c r="D482" s="262" t="inlineStr">
        <is>
          <t>PB605011</t>
        </is>
      </c>
      <c r="E482" s="128" t="inlineStr">
        <is>
          <t>JIC8B</t>
        </is>
      </c>
      <c r="F482" s="138" t="inlineStr">
        <is>
          <t>COOKER 2 DUMPER E-STOP PUSHBUTTON CH2</t>
        </is>
      </c>
      <c r="G482" s="131" t="inlineStr">
        <is>
          <t>DG7021</t>
        </is>
      </c>
      <c r="H482" s="128" t="inlineStr">
        <is>
          <t>PROC</t>
        </is>
      </c>
      <c r="I482" s="132" t="inlineStr">
        <is>
          <t>RL7-CKR2-RIO1</t>
        </is>
      </c>
      <c r="J482" s="133" t="n">
        <v>13</v>
      </c>
      <c r="K482" s="129" t="n">
        <v>1</v>
      </c>
      <c r="L482" s="129" t="n">
        <v>1</v>
      </c>
      <c r="M482" s="129" t="inlineStr">
        <is>
          <t>24 VDC SI</t>
        </is>
      </c>
      <c r="N482" s="129" t="inlineStr">
        <is>
          <t>5069-IB8S</t>
        </is>
      </c>
      <c r="O482" s="139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40" t="n"/>
      <c r="AA482" t="inlineStr">
        <is>
          <t>Matched</t>
        </is>
      </c>
      <c r="AB482" s="315" t="n">
        <v>0.99</v>
      </c>
      <c r="AC482" t="inlineStr">
        <is>
          <t>High</t>
        </is>
      </c>
      <c r="AD482" t="n">
        <v>1</v>
      </c>
      <c r="AE482" t="inlineStr">
        <is>
          <t>DG7021</t>
        </is>
      </c>
      <c r="AF482" t="n">
        <v>13</v>
      </c>
      <c r="AG482" t="inlineStr">
        <is>
          <t>drawing</t>
        </is>
      </c>
      <c r="AH482" t="inlineStr">
        <is>
          <t>stacked:isa</t>
        </is>
      </c>
      <c r="AI482" t="inlineStr">
        <is>
          <t>drawing zone; process page; mapped sheet; excel sheet match</t>
        </is>
      </c>
      <c r="AJ482" t="inlineStr">
        <is>
          <t>native</t>
        </is>
      </c>
      <c r="AK482" t="inlineStr">
        <is>
          <t>native-only</t>
        </is>
      </c>
      <c r="AM482" t="inlineStr">
        <is>
          <t>13</t>
        </is>
      </c>
      <c r="AN482" t="inlineStr">
        <is>
          <t>Yes</t>
        </is>
      </c>
      <c r="AO482" t="inlineStr">
        <is>
          <t>mapped sheet id</t>
        </is>
      </c>
      <c r="AP482" t="inlineStr">
        <is>
          <t>p13:native:195, p13:native:196</t>
        </is>
      </c>
      <c r="AQ482" t="n">
        <v>2</v>
      </c>
    </row>
    <row r="483">
      <c r="A483" s="203">
        <f>ROW()-1</f>
        <v/>
      </c>
      <c r="B483" s="128" t="n"/>
      <c r="C483" s="314" t="inlineStr">
        <is>
          <t>RL7-CKR-102-PB-02</t>
        </is>
      </c>
      <c r="D483" s="262" t="n"/>
      <c r="E483" s="128" t="n"/>
      <c r="F483" s="141" t="inlineStr">
        <is>
          <t>COOKERS PLATFORM E-STOP PUSHBUTTON CH1</t>
        </is>
      </c>
      <c r="G483" s="142" t="inlineStr">
        <is>
          <t>DG7021</t>
        </is>
      </c>
      <c r="H483" s="133" t="inlineStr">
        <is>
          <t>PROC</t>
        </is>
      </c>
      <c r="I483" s="132" t="inlineStr">
        <is>
          <t>RL7-CKR2-RIO1</t>
        </is>
      </c>
      <c r="J483" s="133" t="n">
        <v>13</v>
      </c>
      <c r="K483" s="128" t="n">
        <v>1</v>
      </c>
      <c r="L483" s="128" t="n">
        <v>2</v>
      </c>
      <c r="M483" s="128" t="inlineStr">
        <is>
          <t>24 VDC SI</t>
        </is>
      </c>
      <c r="N483" s="128" t="inlineStr">
        <is>
          <t>5069-IB8S</t>
        </is>
      </c>
      <c r="O483" s="139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40" t="n"/>
      <c r="AA483" t="inlineStr">
        <is>
          <t>Matched</t>
        </is>
      </c>
      <c r="AB483" s="315" t="n">
        <v>0.99</v>
      </c>
      <c r="AC483" t="inlineStr">
        <is>
          <t>High</t>
        </is>
      </c>
      <c r="AD483" t="n">
        <v>1</v>
      </c>
      <c r="AE483" t="inlineStr">
        <is>
          <t>DG7021</t>
        </is>
      </c>
      <c r="AF483" t="n">
        <v>13</v>
      </c>
      <c r="AG483" t="inlineStr">
        <is>
          <t>drawing</t>
        </is>
      </c>
      <c r="AH483" t="inlineStr">
        <is>
          <t>stacked:isa</t>
        </is>
      </c>
      <c r="AI483" t="inlineStr">
        <is>
          <t>drawing zone; process page; mapped sheet; excel sheet match</t>
        </is>
      </c>
      <c r="AJ483" t="inlineStr">
        <is>
          <t>native</t>
        </is>
      </c>
      <c r="AK483" t="inlineStr">
        <is>
          <t>native-only</t>
        </is>
      </c>
      <c r="AM483" t="inlineStr">
        <is>
          <t>13</t>
        </is>
      </c>
      <c r="AN483" t="inlineStr">
        <is>
          <t>Yes</t>
        </is>
      </c>
      <c r="AO483" t="inlineStr">
        <is>
          <t>mapped sheet id</t>
        </is>
      </c>
      <c r="AP483" t="inlineStr">
        <is>
          <t>p13:native:426, p13:native:427</t>
        </is>
      </c>
      <c r="AQ483" t="n">
        <v>2</v>
      </c>
    </row>
    <row r="484">
      <c r="A484" s="203">
        <f>ROW()-1</f>
        <v/>
      </c>
      <c r="B484" s="128" t="n"/>
      <c r="C484" s="314" t="inlineStr">
        <is>
          <t>RL7-CKR-102-PB-02</t>
        </is>
      </c>
      <c r="D484" s="262" t="n"/>
      <c r="E484" s="128" t="n"/>
      <c r="F484" s="141" t="inlineStr">
        <is>
          <t>COOKERS PLATFORM E-STOP PUSHBUTTON CH2</t>
        </is>
      </c>
      <c r="G484" s="142" t="inlineStr">
        <is>
          <t>DG7021</t>
        </is>
      </c>
      <c r="H484" s="133" t="inlineStr">
        <is>
          <t>PROC</t>
        </is>
      </c>
      <c r="I484" s="132" t="inlineStr">
        <is>
          <t>RL7-CKR2-RIO1</t>
        </is>
      </c>
      <c r="J484" s="133" t="n">
        <v>13</v>
      </c>
      <c r="K484" s="128" t="n">
        <v>1</v>
      </c>
      <c r="L484" s="128" t="n">
        <v>3</v>
      </c>
      <c r="M484" s="128" t="inlineStr">
        <is>
          <t>24 VDC SI</t>
        </is>
      </c>
      <c r="N484" s="128" t="inlineStr">
        <is>
          <t>5069-IB8S</t>
        </is>
      </c>
      <c r="O484" s="139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40" t="n"/>
      <c r="AA484" t="inlineStr">
        <is>
          <t>Matched</t>
        </is>
      </c>
      <c r="AB484" s="315" t="n">
        <v>0.99</v>
      </c>
      <c r="AC484" t="inlineStr">
        <is>
          <t>High</t>
        </is>
      </c>
      <c r="AD484" t="n">
        <v>1</v>
      </c>
      <c r="AE484" t="inlineStr">
        <is>
          <t>DG7021</t>
        </is>
      </c>
      <c r="AF484" t="n">
        <v>13</v>
      </c>
      <c r="AG484" t="inlineStr">
        <is>
          <t>drawing</t>
        </is>
      </c>
      <c r="AH484" t="inlineStr">
        <is>
          <t>stacked:isa</t>
        </is>
      </c>
      <c r="AI484" t="inlineStr">
        <is>
          <t>drawing zone; process page; mapped sheet; excel sheet match</t>
        </is>
      </c>
      <c r="AJ484" t="inlineStr">
        <is>
          <t>native</t>
        </is>
      </c>
      <c r="AK484" t="inlineStr">
        <is>
          <t>native-only</t>
        </is>
      </c>
      <c r="AM484" t="inlineStr">
        <is>
          <t>13</t>
        </is>
      </c>
      <c r="AN484" t="inlineStr">
        <is>
          <t>Yes</t>
        </is>
      </c>
      <c r="AO484" t="inlineStr">
        <is>
          <t>mapped sheet id</t>
        </is>
      </c>
      <c r="AP484" t="inlineStr">
        <is>
          <t>p13:native:426, p13:native:427</t>
        </is>
      </c>
      <c r="AQ484" t="n">
        <v>2</v>
      </c>
    </row>
    <row r="485">
      <c r="A485" s="203">
        <f>ROW()-1</f>
        <v/>
      </c>
      <c r="B485" s="128" t="inlineStr">
        <is>
          <t>RL7-CKR-102-ZSS-03</t>
        </is>
      </c>
      <c r="C485" s="314" t="inlineStr">
        <is>
          <t>RL7-CKR-102-ZSS-03</t>
        </is>
      </c>
      <c r="D485" s="262" t="inlineStr">
        <is>
          <t>PRS406091</t>
        </is>
      </c>
      <c r="E485" s="128" t="n"/>
      <c r="F485" s="138" t="inlineStr">
        <is>
          <t>COOKER 2 MIXER HATCH CLOSED RFID POSITION SWITCH CH1</t>
        </is>
      </c>
      <c r="G485" s="131" t="inlineStr">
        <is>
          <t>DG7021</t>
        </is>
      </c>
      <c r="H485" s="128" t="inlineStr">
        <is>
          <t>PROC</t>
        </is>
      </c>
      <c r="I485" s="132" t="inlineStr">
        <is>
          <t>RL7-CKR2-RIO1</t>
        </is>
      </c>
      <c r="J485" s="133" t="n">
        <v>13</v>
      </c>
      <c r="K485" s="129" t="n">
        <v>1</v>
      </c>
      <c r="L485" s="129" t="n">
        <v>4</v>
      </c>
      <c r="M485" s="129" t="inlineStr">
        <is>
          <t>24 VDC SI</t>
        </is>
      </c>
      <c r="N485" s="129" t="inlineStr">
        <is>
          <t>5069-IB8S</t>
        </is>
      </c>
      <c r="O485" s="139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40" t="n"/>
      <c r="AA485" t="inlineStr">
        <is>
          <t>Matched</t>
        </is>
      </c>
      <c r="AB485" s="315" t="n">
        <v>0.99</v>
      </c>
      <c r="AC485" t="inlineStr">
        <is>
          <t>High</t>
        </is>
      </c>
      <c r="AD485" t="n">
        <v>1</v>
      </c>
      <c r="AE485" t="inlineStr">
        <is>
          <t>DG7021</t>
        </is>
      </c>
      <c r="AF485" t="n">
        <v>13</v>
      </c>
      <c r="AG485" t="inlineStr">
        <is>
          <t>drawing</t>
        </is>
      </c>
      <c r="AH485" t="inlineStr">
        <is>
          <t>stacked:isa</t>
        </is>
      </c>
      <c r="AI485" t="inlineStr">
        <is>
          <t>drawing zone; process page; mapped sheet; excel sheet match</t>
        </is>
      </c>
      <c r="AJ485" t="inlineStr">
        <is>
          <t>native</t>
        </is>
      </c>
      <c r="AK485" t="inlineStr">
        <is>
          <t>native-only</t>
        </is>
      </c>
      <c r="AM485" t="inlineStr">
        <is>
          <t>13</t>
        </is>
      </c>
      <c r="AN485" t="inlineStr">
        <is>
          <t>Yes</t>
        </is>
      </c>
      <c r="AO485" t="inlineStr">
        <is>
          <t>mapped sheet id</t>
        </is>
      </c>
      <c r="AP485" t="inlineStr">
        <is>
          <t>p13:native:154, p13:native:155</t>
        </is>
      </c>
      <c r="AQ485" t="n">
        <v>2</v>
      </c>
    </row>
    <row r="486">
      <c r="A486" s="203">
        <f>ROW()-1</f>
        <v/>
      </c>
      <c r="B486" s="128" t="inlineStr">
        <is>
          <t>RL7-CKR-102-ZSS-03</t>
        </is>
      </c>
      <c r="C486" s="314" t="inlineStr">
        <is>
          <t>RL7-CKR-102-ZSS-03</t>
        </is>
      </c>
      <c r="D486" s="262" t="inlineStr">
        <is>
          <t>PRS406091</t>
        </is>
      </c>
      <c r="E486" s="128" t="n"/>
      <c r="F486" s="138" t="inlineStr">
        <is>
          <t>COOKER 2 MIXER HATCH CLOSED RFID POSITION SWITCH CH2</t>
        </is>
      </c>
      <c r="G486" s="131" t="inlineStr">
        <is>
          <t>DG7021</t>
        </is>
      </c>
      <c r="H486" s="128" t="inlineStr">
        <is>
          <t>PROC</t>
        </is>
      </c>
      <c r="I486" s="132" t="inlineStr">
        <is>
          <t>RL7-CKR2-RIO1</t>
        </is>
      </c>
      <c r="J486" s="133" t="n">
        <v>13</v>
      </c>
      <c r="K486" s="129" t="n">
        <v>1</v>
      </c>
      <c r="L486" s="129" t="n">
        <v>5</v>
      </c>
      <c r="M486" s="129" t="inlineStr">
        <is>
          <t>24 VDC SI</t>
        </is>
      </c>
      <c r="N486" s="129" t="inlineStr">
        <is>
          <t>5069-IB8S</t>
        </is>
      </c>
      <c r="O486" s="139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40" t="n"/>
      <c r="AA486" t="inlineStr">
        <is>
          <t>Matched</t>
        </is>
      </c>
      <c r="AB486" s="315" t="n">
        <v>0.99</v>
      </c>
      <c r="AC486" t="inlineStr">
        <is>
          <t>High</t>
        </is>
      </c>
      <c r="AD486" t="n">
        <v>1</v>
      </c>
      <c r="AE486" t="inlineStr">
        <is>
          <t>DG7021</t>
        </is>
      </c>
      <c r="AF486" t="n">
        <v>13</v>
      </c>
      <c r="AG486" t="inlineStr">
        <is>
          <t>drawing</t>
        </is>
      </c>
      <c r="AH486" t="inlineStr">
        <is>
          <t>stacked:isa</t>
        </is>
      </c>
      <c r="AI486" t="inlineStr">
        <is>
          <t>drawing zone; process page; mapped sheet; excel sheet match</t>
        </is>
      </c>
      <c r="AJ486" t="inlineStr">
        <is>
          <t>native</t>
        </is>
      </c>
      <c r="AK486" t="inlineStr">
        <is>
          <t>native-only</t>
        </is>
      </c>
      <c r="AM486" t="inlineStr">
        <is>
          <t>13</t>
        </is>
      </c>
      <c r="AN486" t="inlineStr">
        <is>
          <t>Yes</t>
        </is>
      </c>
      <c r="AO486" t="inlineStr">
        <is>
          <t>mapped sheet id</t>
        </is>
      </c>
      <c r="AP486" t="inlineStr">
        <is>
          <t>p13:native:154, p13:native:155</t>
        </is>
      </c>
      <c r="AQ486" t="n">
        <v>2</v>
      </c>
    </row>
    <row r="487">
      <c r="A487" s="203">
        <f>ROW()-1</f>
        <v/>
      </c>
      <c r="B487" s="128" t="inlineStr">
        <is>
          <t>RL7-CKR-102-ZSS-02</t>
        </is>
      </c>
      <c r="C487" s="314" t="inlineStr">
        <is>
          <t>RL7-CKR-102-ZSS-02</t>
        </is>
      </c>
      <c r="D487" s="262" t="inlineStr">
        <is>
          <t>PRS406021</t>
        </is>
      </c>
      <c r="E487" s="128" t="n"/>
      <c r="F487" s="138" t="inlineStr">
        <is>
          <t>COOKER 2 MIXER COVER CLOSED RFID POSITION SWITCH CH1</t>
        </is>
      </c>
      <c r="G487" s="131" t="inlineStr">
        <is>
          <t>DG7021</t>
        </is>
      </c>
      <c r="H487" s="128" t="inlineStr">
        <is>
          <t>PROC</t>
        </is>
      </c>
      <c r="I487" s="132" t="inlineStr">
        <is>
          <t>RL7-CKR2-RIO1</t>
        </is>
      </c>
      <c r="J487" s="133" t="n">
        <v>13</v>
      </c>
      <c r="K487" s="129" t="n">
        <v>2</v>
      </c>
      <c r="L487" s="129" t="n">
        <v>0</v>
      </c>
      <c r="M487" s="129" t="inlineStr">
        <is>
          <t>24 VDC SI</t>
        </is>
      </c>
      <c r="N487" s="129" t="inlineStr">
        <is>
          <t>5069-IB8S</t>
        </is>
      </c>
      <c r="O487" s="139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40" t="n"/>
      <c r="AA487" t="inlineStr">
        <is>
          <t>Matched</t>
        </is>
      </c>
      <c r="AB487" s="315" t="n">
        <v>0.99</v>
      </c>
      <c r="AC487" t="inlineStr">
        <is>
          <t>High</t>
        </is>
      </c>
      <c r="AD487" t="n">
        <v>1</v>
      </c>
      <c r="AE487" t="inlineStr">
        <is>
          <t>DG7021</t>
        </is>
      </c>
      <c r="AF487" t="n">
        <v>13</v>
      </c>
      <c r="AG487" t="inlineStr">
        <is>
          <t>drawing</t>
        </is>
      </c>
      <c r="AH487" t="inlineStr">
        <is>
          <t>stacked:isa</t>
        </is>
      </c>
      <c r="AI487" t="inlineStr">
        <is>
          <t>drawing zone; process page; mapped sheet; excel sheet match</t>
        </is>
      </c>
      <c r="AJ487" t="inlineStr">
        <is>
          <t>native</t>
        </is>
      </c>
      <c r="AK487" t="inlineStr">
        <is>
          <t>native-only</t>
        </is>
      </c>
      <c r="AM487" t="inlineStr">
        <is>
          <t>13</t>
        </is>
      </c>
      <c r="AN487" t="inlineStr">
        <is>
          <t>Yes</t>
        </is>
      </c>
      <c r="AO487" t="inlineStr">
        <is>
          <t>mapped sheet id</t>
        </is>
      </c>
      <c r="AP487" t="inlineStr">
        <is>
          <t>p13:native:135, p13:native:136</t>
        </is>
      </c>
      <c r="AQ487" t="n">
        <v>2</v>
      </c>
    </row>
    <row r="488">
      <c r="A488" s="203">
        <f>ROW()-1</f>
        <v/>
      </c>
      <c r="B488" s="128" t="inlineStr">
        <is>
          <t>RL7-CKR-102-ZSS-02</t>
        </is>
      </c>
      <c r="C488" s="314" t="inlineStr">
        <is>
          <t>RL7-CKR-102-ZSS-02</t>
        </is>
      </c>
      <c r="D488" s="262" t="inlineStr">
        <is>
          <t>PRS406021</t>
        </is>
      </c>
      <c r="E488" s="128" t="n"/>
      <c r="F488" s="138" t="inlineStr">
        <is>
          <t>COOKER 2 MIXER COVER CLOSED RFID POSITION SWITCH CH2</t>
        </is>
      </c>
      <c r="G488" s="131" t="inlineStr">
        <is>
          <t>DG7021</t>
        </is>
      </c>
      <c r="H488" s="128" t="inlineStr">
        <is>
          <t>PROC</t>
        </is>
      </c>
      <c r="I488" s="132" t="inlineStr">
        <is>
          <t>RL7-CKR2-RIO1</t>
        </is>
      </c>
      <c r="J488" s="133" t="n">
        <v>13</v>
      </c>
      <c r="K488" s="129" t="n">
        <v>2</v>
      </c>
      <c r="L488" s="129" t="n">
        <v>1</v>
      </c>
      <c r="M488" s="129" t="inlineStr">
        <is>
          <t>24 VDC SI</t>
        </is>
      </c>
      <c r="N488" s="129" t="inlineStr">
        <is>
          <t>5069-IB8S</t>
        </is>
      </c>
      <c r="O488" s="139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40" t="n"/>
      <c r="AA488" t="inlineStr">
        <is>
          <t>Matched</t>
        </is>
      </c>
      <c r="AB488" s="315" t="n">
        <v>0.99</v>
      </c>
      <c r="AC488" t="inlineStr">
        <is>
          <t>High</t>
        </is>
      </c>
      <c r="AD488" t="n">
        <v>1</v>
      </c>
      <c r="AE488" t="inlineStr">
        <is>
          <t>DG7021</t>
        </is>
      </c>
      <c r="AF488" t="n">
        <v>13</v>
      </c>
      <c r="AG488" t="inlineStr">
        <is>
          <t>drawing</t>
        </is>
      </c>
      <c r="AH488" t="inlineStr">
        <is>
          <t>stacked:isa</t>
        </is>
      </c>
      <c r="AI488" t="inlineStr">
        <is>
          <t>drawing zone; process page; mapped sheet; excel sheet match</t>
        </is>
      </c>
      <c r="AJ488" t="inlineStr">
        <is>
          <t>native</t>
        </is>
      </c>
      <c r="AK488" t="inlineStr">
        <is>
          <t>native-only</t>
        </is>
      </c>
      <c r="AM488" t="inlineStr">
        <is>
          <t>13</t>
        </is>
      </c>
      <c r="AN488" t="inlineStr">
        <is>
          <t>Yes</t>
        </is>
      </c>
      <c r="AO488" t="inlineStr">
        <is>
          <t>mapped sheet id</t>
        </is>
      </c>
      <c r="AP488" t="inlineStr">
        <is>
          <t>p13:native:135, p13:native:136</t>
        </is>
      </c>
      <c r="AQ488" t="n">
        <v>2</v>
      </c>
    </row>
    <row r="489">
      <c r="A489" s="203">
        <f>ROW()-1</f>
        <v/>
      </c>
      <c r="B489" s="128" t="inlineStr">
        <is>
          <t>RL7-CKR-102-PB-01</t>
        </is>
      </c>
      <c r="C489" s="314" t="inlineStr">
        <is>
          <t>RL7-CKR-102-PB-01</t>
        </is>
      </c>
      <c r="D489" s="262" t="n"/>
      <c r="E489" s="128" t="n"/>
      <c r="F489" s="138" t="inlineStr">
        <is>
          <t>COOKER 2 E-STOP PB SAFETY INPUT CH1</t>
        </is>
      </c>
      <c r="G489" s="131" t="inlineStr">
        <is>
          <t>DG7021</t>
        </is>
      </c>
      <c r="H489" s="128" t="inlineStr">
        <is>
          <t>PROC</t>
        </is>
      </c>
      <c r="I489" s="132" t="inlineStr">
        <is>
          <t>RL7-CKR2-RIO1</t>
        </is>
      </c>
      <c r="J489" s="133" t="n">
        <v>13</v>
      </c>
      <c r="K489" s="129" t="n">
        <v>2</v>
      </c>
      <c r="L489" s="129" t="n">
        <v>2</v>
      </c>
      <c r="M489" s="129" t="inlineStr">
        <is>
          <t>24 VDC SI</t>
        </is>
      </c>
      <c r="N489" s="129" t="inlineStr">
        <is>
          <t>5069-IB8S</t>
        </is>
      </c>
      <c r="O489" s="139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40" t="n"/>
      <c r="AA489" t="inlineStr">
        <is>
          <t>Matched</t>
        </is>
      </c>
      <c r="AB489" s="315" t="n">
        <v>0.99</v>
      </c>
      <c r="AC489" t="inlineStr">
        <is>
          <t>High</t>
        </is>
      </c>
      <c r="AD489" t="n">
        <v>1</v>
      </c>
      <c r="AE489" t="inlineStr">
        <is>
          <t>DG7021</t>
        </is>
      </c>
      <c r="AF489" t="n">
        <v>13</v>
      </c>
      <c r="AG489" t="inlineStr">
        <is>
          <t>drawing</t>
        </is>
      </c>
      <c r="AH489" t="inlineStr">
        <is>
          <t>stacked:isa</t>
        </is>
      </c>
      <c r="AI489" t="inlineStr">
        <is>
          <t>drawing zone; process page; mapped sheet; excel sheet match</t>
        </is>
      </c>
      <c r="AJ489" t="inlineStr">
        <is>
          <t>native</t>
        </is>
      </c>
      <c r="AK489" t="inlineStr">
        <is>
          <t>native-only</t>
        </is>
      </c>
      <c r="AM489" t="inlineStr">
        <is>
          <t>13</t>
        </is>
      </c>
      <c r="AN489" t="inlineStr">
        <is>
          <t>Yes</t>
        </is>
      </c>
      <c r="AO489" t="inlineStr">
        <is>
          <t>mapped sheet id</t>
        </is>
      </c>
      <c r="AP489" t="inlineStr">
        <is>
          <t>p13:native:197, p13:native:198</t>
        </is>
      </c>
      <c r="AQ489" t="n">
        <v>2</v>
      </c>
    </row>
    <row r="490">
      <c r="A490" s="203">
        <f>ROW()-1</f>
        <v/>
      </c>
      <c r="B490" s="128" t="inlineStr">
        <is>
          <t>RL7-CKR-102-PB-01</t>
        </is>
      </c>
      <c r="C490" s="314" t="inlineStr">
        <is>
          <t>RL7-CKR-102-PB-01</t>
        </is>
      </c>
      <c r="D490" s="262" t="n"/>
      <c r="E490" s="128" t="n"/>
      <c r="F490" s="138" t="inlineStr">
        <is>
          <t>COOKER 2 E-STOP PB SAFETY INPUT CH2</t>
        </is>
      </c>
      <c r="G490" s="131" t="inlineStr">
        <is>
          <t>DG7021</t>
        </is>
      </c>
      <c r="H490" s="128" t="inlineStr">
        <is>
          <t>PROC</t>
        </is>
      </c>
      <c r="I490" s="132" t="inlineStr">
        <is>
          <t>RL7-CKR2-RIO1</t>
        </is>
      </c>
      <c r="J490" s="133" t="n">
        <v>13</v>
      </c>
      <c r="K490" s="129" t="n">
        <v>2</v>
      </c>
      <c r="L490" s="129" t="n">
        <v>3</v>
      </c>
      <c r="M490" s="129" t="inlineStr">
        <is>
          <t>24 VDC SI</t>
        </is>
      </c>
      <c r="N490" s="129" t="inlineStr">
        <is>
          <t>5069-IB8S</t>
        </is>
      </c>
      <c r="O490" s="139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40" t="n"/>
      <c r="AA490" t="inlineStr">
        <is>
          <t>Matched</t>
        </is>
      </c>
      <c r="AB490" s="315" t="n">
        <v>0.99</v>
      </c>
      <c r="AC490" t="inlineStr">
        <is>
          <t>High</t>
        </is>
      </c>
      <c r="AD490" t="n">
        <v>1</v>
      </c>
      <c r="AE490" t="inlineStr">
        <is>
          <t>DG7021</t>
        </is>
      </c>
      <c r="AF490" t="n">
        <v>13</v>
      </c>
      <c r="AG490" t="inlineStr">
        <is>
          <t>drawing</t>
        </is>
      </c>
      <c r="AH490" t="inlineStr">
        <is>
          <t>stacked:isa</t>
        </is>
      </c>
      <c r="AI490" t="inlineStr">
        <is>
          <t>drawing zone; process page; mapped sheet; excel sheet match</t>
        </is>
      </c>
      <c r="AJ490" t="inlineStr">
        <is>
          <t>native</t>
        </is>
      </c>
      <c r="AK490" t="inlineStr">
        <is>
          <t>native-only</t>
        </is>
      </c>
      <c r="AM490" t="inlineStr">
        <is>
          <t>13</t>
        </is>
      </c>
      <c r="AN490" t="inlineStr">
        <is>
          <t>Yes</t>
        </is>
      </c>
      <c r="AO490" t="inlineStr">
        <is>
          <t>mapped sheet id</t>
        </is>
      </c>
      <c r="AP490" t="inlineStr">
        <is>
          <t>p13:native:197, p13:native:198</t>
        </is>
      </c>
      <c r="AQ490" t="n">
        <v>2</v>
      </c>
    </row>
    <row r="491">
      <c r="A491" s="203">
        <f>ROW()-1</f>
        <v/>
      </c>
      <c r="B491" s="128" t="inlineStr">
        <is>
          <t>RL7-CKR-102-ZSS-01</t>
        </is>
      </c>
      <c r="C491" s="314" t="inlineStr">
        <is>
          <t>RL7-CKR-102-ZSS-01</t>
        </is>
      </c>
      <c r="D491" s="262" t="inlineStr">
        <is>
          <t>PRS406061</t>
        </is>
      </c>
      <c r="E491" s="128" t="n"/>
      <c r="F491" s="138" t="inlineStr">
        <is>
          <t>COOKER 2 SAFETY GRATE RFID POSITION SWITCH CH1</t>
        </is>
      </c>
      <c r="G491" s="131" t="inlineStr">
        <is>
          <t>DG7021</t>
        </is>
      </c>
      <c r="H491" s="128" t="inlineStr">
        <is>
          <t>PROC</t>
        </is>
      </c>
      <c r="I491" s="132" t="inlineStr">
        <is>
          <t>RL7-CKR2-RIO1</t>
        </is>
      </c>
      <c r="J491" s="133" t="n">
        <v>13</v>
      </c>
      <c r="K491" s="129" t="n">
        <v>2</v>
      </c>
      <c r="L491" s="129" t="n">
        <v>4</v>
      </c>
      <c r="M491" s="129" t="inlineStr">
        <is>
          <t>24 VDC SI</t>
        </is>
      </c>
      <c r="N491" s="129" t="inlineStr">
        <is>
          <t>5069-IB8S</t>
        </is>
      </c>
      <c r="O491" s="139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40" t="n"/>
      <c r="AA491" t="inlineStr">
        <is>
          <t>Matched</t>
        </is>
      </c>
      <c r="AB491" s="315" t="n">
        <v>0.99</v>
      </c>
      <c r="AC491" t="inlineStr">
        <is>
          <t>High</t>
        </is>
      </c>
      <c r="AD491" t="n">
        <v>1</v>
      </c>
      <c r="AE491" t="inlineStr">
        <is>
          <t>DG7021</t>
        </is>
      </c>
      <c r="AF491" t="n">
        <v>13</v>
      </c>
      <c r="AG491" t="inlineStr">
        <is>
          <t>drawing</t>
        </is>
      </c>
      <c r="AH491" t="inlineStr">
        <is>
          <t>stacked:isa</t>
        </is>
      </c>
      <c r="AI491" t="inlineStr">
        <is>
          <t>drawing zone; process page; mapped sheet; excel sheet match</t>
        </is>
      </c>
      <c r="AJ491" t="inlineStr">
        <is>
          <t>native</t>
        </is>
      </c>
      <c r="AK491" t="inlineStr">
        <is>
          <t>native-only</t>
        </is>
      </c>
      <c r="AM491" t="inlineStr">
        <is>
          <t>13</t>
        </is>
      </c>
      <c r="AN491" t="inlineStr">
        <is>
          <t>Yes</t>
        </is>
      </c>
      <c r="AO491" t="inlineStr">
        <is>
          <t>mapped sheet id</t>
        </is>
      </c>
      <c r="AP491" t="inlineStr">
        <is>
          <t>p13:native:133, p13:native:134</t>
        </is>
      </c>
      <c r="AQ491" t="n">
        <v>2</v>
      </c>
    </row>
    <row r="492">
      <c r="A492" s="203">
        <f>ROW()-1</f>
        <v/>
      </c>
      <c r="B492" s="128" t="inlineStr">
        <is>
          <t>RL7-CKR-102-ZSS-01</t>
        </is>
      </c>
      <c r="C492" s="314" t="inlineStr">
        <is>
          <t>RL7-CKR-102-ZSS-01</t>
        </is>
      </c>
      <c r="D492" s="262" t="inlineStr">
        <is>
          <t>PRS406061</t>
        </is>
      </c>
      <c r="E492" s="128" t="n"/>
      <c r="F492" s="138" t="inlineStr">
        <is>
          <t>COOKER 2 SAFETY GRATE RFID POSITION SWITCH CH2</t>
        </is>
      </c>
      <c r="G492" s="131" t="inlineStr">
        <is>
          <t>DG7021</t>
        </is>
      </c>
      <c r="H492" s="128" t="inlineStr">
        <is>
          <t>PROC</t>
        </is>
      </c>
      <c r="I492" s="132" t="inlineStr">
        <is>
          <t>RL7-CKR2-RIO1</t>
        </is>
      </c>
      <c r="J492" s="133" t="n">
        <v>13</v>
      </c>
      <c r="K492" s="129" t="n">
        <v>2</v>
      </c>
      <c r="L492" s="129" t="n">
        <v>5</v>
      </c>
      <c r="M492" s="129" t="inlineStr">
        <is>
          <t>24 VDC SI</t>
        </is>
      </c>
      <c r="N492" s="129" t="inlineStr">
        <is>
          <t>5069-IB8S</t>
        </is>
      </c>
      <c r="O492" s="139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40" t="n"/>
      <c r="AA492" t="inlineStr">
        <is>
          <t>Matched</t>
        </is>
      </c>
      <c r="AB492" s="315" t="n">
        <v>0.99</v>
      </c>
      <c r="AC492" t="inlineStr">
        <is>
          <t>High</t>
        </is>
      </c>
      <c r="AD492" t="n">
        <v>1</v>
      </c>
      <c r="AE492" t="inlineStr">
        <is>
          <t>DG7021</t>
        </is>
      </c>
      <c r="AF492" t="n">
        <v>13</v>
      </c>
      <c r="AG492" t="inlineStr">
        <is>
          <t>drawing</t>
        </is>
      </c>
      <c r="AH492" t="inlineStr">
        <is>
          <t>stacked:isa</t>
        </is>
      </c>
      <c r="AI492" t="inlineStr">
        <is>
          <t>drawing zone; process page; mapped sheet; excel sheet match</t>
        </is>
      </c>
      <c r="AJ492" t="inlineStr">
        <is>
          <t>native</t>
        </is>
      </c>
      <c r="AK492" t="inlineStr">
        <is>
          <t>native-only</t>
        </is>
      </c>
      <c r="AM492" t="inlineStr">
        <is>
          <t>13</t>
        </is>
      </c>
      <c r="AN492" t="inlineStr">
        <is>
          <t>Yes</t>
        </is>
      </c>
      <c r="AO492" t="inlineStr">
        <is>
          <t>mapped sheet id</t>
        </is>
      </c>
      <c r="AP492" t="inlineStr">
        <is>
          <t>p13:native:133, p13:native:134</t>
        </is>
      </c>
      <c r="AQ492" t="n">
        <v>2</v>
      </c>
    </row>
    <row r="493">
      <c r="A493" s="203">
        <f>ROW()-1</f>
        <v/>
      </c>
      <c r="B493" s="128" t="inlineStr">
        <is>
          <t>RL7-CKR-102-ZSS-23A</t>
        </is>
      </c>
      <c r="C493" s="314" t="inlineStr">
        <is>
          <t>RL7-CKR-102-ZSC-23A</t>
        </is>
      </c>
      <c r="D493" s="262" t="inlineStr">
        <is>
          <t>SOL406171</t>
        </is>
      </c>
      <c r="E493" s="128" t="inlineStr">
        <is>
          <t>JIC6B</t>
        </is>
      </c>
      <c r="F493" s="138" t="inlineStr">
        <is>
          <t>COOKER 2 SAFETY AIR DUMP SOLENOID A STATUS</t>
        </is>
      </c>
      <c r="G493" s="131" t="inlineStr">
        <is>
          <t>DG7021</t>
        </is>
      </c>
      <c r="H493" s="128" t="inlineStr">
        <is>
          <t>PROC</t>
        </is>
      </c>
      <c r="I493" s="132" t="inlineStr">
        <is>
          <t>RL7-CKR2-RIO1</t>
        </is>
      </c>
      <c r="J493" s="133" t="n">
        <v>13</v>
      </c>
      <c r="K493" s="129" t="n">
        <v>2</v>
      </c>
      <c r="L493" s="129" t="n">
        <v>6</v>
      </c>
      <c r="M493" s="129" t="inlineStr">
        <is>
          <t>24 VDC SI</t>
        </is>
      </c>
      <c r="N493" s="129" t="inlineStr">
        <is>
          <t>5069-IB8S</t>
        </is>
      </c>
      <c r="O493" s="139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40" t="n"/>
      <c r="AA493" t="inlineStr">
        <is>
          <t>Matched</t>
        </is>
      </c>
      <c r="AB493" s="315" t="n">
        <v>0.99</v>
      </c>
      <c r="AC493" t="inlineStr">
        <is>
          <t>High</t>
        </is>
      </c>
      <c r="AD493" t="n">
        <v>1</v>
      </c>
      <c r="AE493" t="inlineStr">
        <is>
          <t>DG7021</t>
        </is>
      </c>
      <c r="AF493" t="n">
        <v>13</v>
      </c>
      <c r="AG493" t="inlineStr">
        <is>
          <t>drawing</t>
        </is>
      </c>
      <c r="AH493" t="inlineStr">
        <is>
          <t>stacked:isa</t>
        </is>
      </c>
      <c r="AI493" t="inlineStr">
        <is>
          <t>drawing zone; process page; mapped sheet; excel sheet match</t>
        </is>
      </c>
      <c r="AJ493" t="inlineStr">
        <is>
          <t>native</t>
        </is>
      </c>
      <c r="AK493" t="inlineStr">
        <is>
          <t>native-only</t>
        </is>
      </c>
      <c r="AM493" t="inlineStr">
        <is>
          <t>13</t>
        </is>
      </c>
      <c r="AN493" t="inlineStr">
        <is>
          <t>Yes</t>
        </is>
      </c>
      <c r="AO493" t="inlineStr">
        <is>
          <t>mapped sheet id</t>
        </is>
      </c>
      <c r="AP493" t="inlineStr">
        <is>
          <t>p13:native:222, p13:native:223</t>
        </is>
      </c>
      <c r="AQ493" t="n">
        <v>2</v>
      </c>
    </row>
    <row r="494">
      <c r="A494" s="203">
        <f>ROW()-1</f>
        <v/>
      </c>
      <c r="B494" s="128" t="inlineStr">
        <is>
          <t>RL7-CKR-102-ZSS-23A</t>
        </is>
      </c>
      <c r="C494" s="314" t="inlineStr">
        <is>
          <t>RL7-CKR-102-ZSC-23B</t>
        </is>
      </c>
      <c r="D494" s="262" t="inlineStr">
        <is>
          <t>SOL406171</t>
        </is>
      </c>
      <c r="E494" s="128" t="inlineStr">
        <is>
          <t>JIC6B</t>
        </is>
      </c>
      <c r="F494" s="138" t="inlineStr">
        <is>
          <t>COOKER 2 SAFETY AIR DUMP SOLENOID B STATUS</t>
        </is>
      </c>
      <c r="G494" s="131" t="inlineStr">
        <is>
          <t>DG7021</t>
        </is>
      </c>
      <c r="H494" s="128" t="inlineStr">
        <is>
          <t>PROC</t>
        </is>
      </c>
      <c r="I494" s="132" t="inlineStr">
        <is>
          <t>RL7-CKR2-RIO1</t>
        </is>
      </c>
      <c r="J494" s="133" t="n">
        <v>13</v>
      </c>
      <c r="K494" s="129" t="n">
        <v>2</v>
      </c>
      <c r="L494" s="129" t="n">
        <v>7</v>
      </c>
      <c r="M494" s="129" t="inlineStr">
        <is>
          <t>24 VDC SI</t>
        </is>
      </c>
      <c r="N494" s="129" t="inlineStr">
        <is>
          <t>5069-IB8S</t>
        </is>
      </c>
      <c r="O494" s="139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40" t="n"/>
      <c r="AA494" t="inlineStr">
        <is>
          <t>Matched</t>
        </is>
      </c>
      <c r="AB494" s="315" t="n">
        <v>0.99</v>
      </c>
      <c r="AC494" t="inlineStr">
        <is>
          <t>High</t>
        </is>
      </c>
      <c r="AD494" t="n">
        <v>1</v>
      </c>
      <c r="AE494" t="inlineStr">
        <is>
          <t>DG7021</t>
        </is>
      </c>
      <c r="AF494" t="n">
        <v>13</v>
      </c>
      <c r="AG494" t="inlineStr">
        <is>
          <t>drawing</t>
        </is>
      </c>
      <c r="AH494" t="inlineStr">
        <is>
          <t>stacked:isa</t>
        </is>
      </c>
      <c r="AI494" t="inlineStr">
        <is>
          <t>drawing zone; process page; mapped sheet; excel sheet match</t>
        </is>
      </c>
      <c r="AJ494" t="inlineStr">
        <is>
          <t>native</t>
        </is>
      </c>
      <c r="AK494" t="inlineStr">
        <is>
          <t>native-only</t>
        </is>
      </c>
      <c r="AM494" t="inlineStr">
        <is>
          <t>13</t>
        </is>
      </c>
      <c r="AN494" t="inlineStr">
        <is>
          <t>Yes</t>
        </is>
      </c>
      <c r="AO494" t="inlineStr">
        <is>
          <t>mapped sheet id</t>
        </is>
      </c>
      <c r="AP494" t="inlineStr">
        <is>
          <t>p13:native:224, p13:native:225</t>
        </is>
      </c>
      <c r="AQ494" t="n">
        <v>2</v>
      </c>
    </row>
    <row r="495">
      <c r="A495" s="203">
        <f>ROW()-1</f>
        <v/>
      </c>
      <c r="B495" s="128" t="inlineStr">
        <is>
          <t>RL7-MTL-108-PB-01</t>
        </is>
      </c>
      <c r="C495" s="313" t="inlineStr">
        <is>
          <t>RL7-CKR-102-PB-03</t>
        </is>
      </c>
      <c r="D495" s="264" t="inlineStr">
        <is>
          <t>PB505161</t>
        </is>
      </c>
      <c r="E495" s="133" t="inlineStr">
        <is>
          <t>OS7C</t>
        </is>
      </c>
      <c r="F495" s="141" t="inlineStr">
        <is>
          <t>COOKER 2 COLUMN DUMPER ENTRY REQUEST PB</t>
        </is>
      </c>
      <c r="G495" s="142" t="inlineStr">
        <is>
          <t>DG7021</t>
        </is>
      </c>
      <c r="H495" s="133" t="inlineStr">
        <is>
          <t>PROC</t>
        </is>
      </c>
      <c r="I495" s="142" t="inlineStr">
        <is>
          <t>RL7-CKR2-RIO1</t>
        </is>
      </c>
      <c r="J495" s="133" t="n">
        <v>13</v>
      </c>
      <c r="K495" s="133" t="n">
        <v>3</v>
      </c>
      <c r="L495" s="133" t="n">
        <v>0</v>
      </c>
      <c r="M495" s="133" t="inlineStr">
        <is>
          <t>24 VDC SI</t>
        </is>
      </c>
      <c r="N495" s="129" t="inlineStr">
        <is>
          <t>5069-IB8S</t>
        </is>
      </c>
      <c r="O495" s="139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40" t="n"/>
      <c r="AA495" t="inlineStr">
        <is>
          <t>Matched - same-page inference</t>
        </is>
      </c>
      <c r="AB495" s="315" t="n">
        <v>0.77</v>
      </c>
      <c r="AC495" t="inlineStr">
        <is>
          <t>Medium</t>
        </is>
      </c>
      <c r="AD495" t="n">
        <v>1</v>
      </c>
      <c r="AE495" t="inlineStr">
        <is>
          <t>DG7021</t>
        </is>
      </c>
      <c r="AF495" t="n">
        <v>13</v>
      </c>
      <c r="AG495" t="inlineStr">
        <is>
          <t>drawing</t>
        </is>
      </c>
      <c r="AH495" t="inlineStr">
        <is>
          <t>samepage:root+comp</t>
        </is>
      </c>
      <c r="AI495" t="inlineStr">
        <is>
          <t>same-page inference: root and component detected separately on the same PDF page; pairing synthesized.; excel sheet match</t>
        </is>
      </c>
      <c r="AJ495" t="inlineStr">
        <is>
          <t>native</t>
        </is>
      </c>
      <c r="AK495" t="inlineStr">
        <is>
          <t>native-only</t>
        </is>
      </c>
      <c r="AM495" t="inlineStr">
        <is>
          <t>13</t>
        </is>
      </c>
      <c r="AN495" t="inlineStr">
        <is>
          <t>Yes</t>
        </is>
      </c>
      <c r="AO495" t="inlineStr">
        <is>
          <t>mapped sheet id</t>
        </is>
      </c>
      <c r="AP495" t="inlineStr">
        <is>
          <t>p13:native:202, p13:native:203</t>
        </is>
      </c>
      <c r="AQ495" t="n">
        <v>2</v>
      </c>
    </row>
    <row r="496">
      <c r="A496" s="203">
        <f>ROW()-1</f>
        <v/>
      </c>
      <c r="B496" s="128" t="inlineStr">
        <is>
          <t>RL7-MTL-108-PB-01</t>
        </is>
      </c>
      <c r="C496" s="313" t="inlineStr">
        <is>
          <t>RL7-CKR-102-PB-04</t>
        </is>
      </c>
      <c r="D496" s="264" t="inlineStr">
        <is>
          <t>PB505191</t>
        </is>
      </c>
      <c r="E496" s="133" t="inlineStr">
        <is>
          <t>OS7C</t>
        </is>
      </c>
      <c r="F496" s="141" t="inlineStr">
        <is>
          <t>COOKER 2 COLUMN DUMPER RESET GATE LOCK PB</t>
        </is>
      </c>
      <c r="G496" s="142" t="inlineStr">
        <is>
          <t>DG7021</t>
        </is>
      </c>
      <c r="H496" s="133" t="inlineStr">
        <is>
          <t>PROC</t>
        </is>
      </c>
      <c r="I496" s="142" t="inlineStr">
        <is>
          <t>RL7-CKR2-RIO1</t>
        </is>
      </c>
      <c r="J496" s="133" t="n">
        <v>13</v>
      </c>
      <c r="K496" s="133" t="n">
        <v>3</v>
      </c>
      <c r="L496" s="133" t="n">
        <v>1</v>
      </c>
      <c r="M496" s="133" t="inlineStr">
        <is>
          <t>24 VDC SI</t>
        </is>
      </c>
      <c r="N496" s="129" t="inlineStr">
        <is>
          <t>5069-IB8S</t>
        </is>
      </c>
      <c r="O496" s="139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40" t="n"/>
      <c r="AA496" t="inlineStr">
        <is>
          <t>Matched - same-page inference</t>
        </is>
      </c>
      <c r="AB496" s="315" t="n">
        <v>0.77</v>
      </c>
      <c r="AC496" t="inlineStr">
        <is>
          <t>Medium</t>
        </is>
      </c>
      <c r="AD496" t="n">
        <v>1</v>
      </c>
      <c r="AE496" t="inlineStr">
        <is>
          <t>DG7021</t>
        </is>
      </c>
      <c r="AF496" t="n">
        <v>13</v>
      </c>
      <c r="AG496" t="inlineStr">
        <is>
          <t>drawing</t>
        </is>
      </c>
      <c r="AH496" t="inlineStr">
        <is>
          <t>samepage:root+comp</t>
        </is>
      </c>
      <c r="AI496" t="inlineStr">
        <is>
          <t>same-page inference: root and component detected separately on the same PDF page; pairing synthesized.; excel sheet match</t>
        </is>
      </c>
      <c r="AJ496" t="inlineStr">
        <is>
          <t>native</t>
        </is>
      </c>
      <c r="AK496" t="inlineStr">
        <is>
          <t>native-only</t>
        </is>
      </c>
      <c r="AM496" t="inlineStr">
        <is>
          <t>13</t>
        </is>
      </c>
      <c r="AN496" t="inlineStr">
        <is>
          <t>Yes</t>
        </is>
      </c>
      <c r="AO496" t="inlineStr">
        <is>
          <t>mapped sheet id</t>
        </is>
      </c>
      <c r="AP496" t="inlineStr">
        <is>
          <t>p13:native:204, p13:native:205</t>
        </is>
      </c>
      <c r="AQ496" t="n">
        <v>2</v>
      </c>
    </row>
    <row r="497" customFormat="1" s="149">
      <c r="A497" s="203">
        <f>ROW()-1</f>
        <v/>
      </c>
      <c r="B497" s="128" t="n"/>
      <c r="C497" s="313" t="inlineStr">
        <is>
          <t>RL7-CKR-102-ZSS-04</t>
        </is>
      </c>
      <c r="D497" s="264" t="inlineStr">
        <is>
          <t>PRS306021</t>
        </is>
      </c>
      <c r="E497" s="133" t="inlineStr">
        <is>
          <t>OS9A/JIC9B</t>
        </is>
      </c>
      <c r="F497" s="141" t="inlineStr">
        <is>
          <t>COOKER 2 COLUMN DUMPER IN DOWN POSITION SAFETY INPUT 1</t>
        </is>
      </c>
      <c r="G497" s="142" t="inlineStr">
        <is>
          <t>DG7021</t>
        </is>
      </c>
      <c r="H497" s="133" t="inlineStr">
        <is>
          <t>PROC</t>
        </is>
      </c>
      <c r="I497" s="142" t="inlineStr">
        <is>
          <t>RL7-CKR2-RIO1</t>
        </is>
      </c>
      <c r="J497" s="133" t="n">
        <v>13</v>
      </c>
      <c r="K497" s="133" t="n">
        <v>3</v>
      </c>
      <c r="L497" s="133" t="n">
        <v>2</v>
      </c>
      <c r="M497" s="133" t="inlineStr">
        <is>
          <t>24 VDC SI</t>
        </is>
      </c>
      <c r="N497" s="128" t="inlineStr">
        <is>
          <t>5069-IB8S</t>
        </is>
      </c>
      <c r="O497" s="139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40" t="n"/>
      <c r="AA497" t="inlineStr">
        <is>
          <t>Not found in PDF</t>
        </is>
      </c>
      <c r="AC497" t="inlineStr">
        <is>
          <t>Low</t>
        </is>
      </c>
      <c r="AM497" t="inlineStr">
        <is>
          <t>13</t>
        </is>
      </c>
      <c r="AN497" t="inlineStr">
        <is>
          <t>Yes</t>
        </is>
      </c>
      <c r="AO497" t="inlineStr">
        <is>
          <t>mapped sheet id</t>
        </is>
      </c>
    </row>
    <row r="498" customFormat="1" s="149">
      <c r="A498" s="203">
        <f>ROW()-1</f>
        <v/>
      </c>
      <c r="B498" s="128" t="n"/>
      <c r="C498" s="313" t="inlineStr">
        <is>
          <t>RL7-CKR-102-ZSS-04</t>
        </is>
      </c>
      <c r="D498" s="264" t="inlineStr">
        <is>
          <t>PRS306021</t>
        </is>
      </c>
      <c r="E498" s="133" t="inlineStr">
        <is>
          <t>OS9A/JIC9B</t>
        </is>
      </c>
      <c r="F498" s="141" t="inlineStr">
        <is>
          <t>COOKER 2 COLUMN DUMPER IN DOWN POSITION SAFETY INPUT 2</t>
        </is>
      </c>
      <c r="G498" s="142" t="inlineStr">
        <is>
          <t>DG7021</t>
        </is>
      </c>
      <c r="H498" s="133" t="inlineStr">
        <is>
          <t>PROC</t>
        </is>
      </c>
      <c r="I498" s="142" t="inlineStr">
        <is>
          <t>RL7-CKR2-RIO1</t>
        </is>
      </c>
      <c r="J498" s="133" t="n">
        <v>13</v>
      </c>
      <c r="K498" s="133" t="n">
        <v>3</v>
      </c>
      <c r="L498" s="133" t="n">
        <v>3</v>
      </c>
      <c r="M498" s="133" t="inlineStr">
        <is>
          <t>24 VDC SI</t>
        </is>
      </c>
      <c r="N498" s="128" t="inlineStr">
        <is>
          <t>5069-IB8S</t>
        </is>
      </c>
      <c r="O498" s="139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40" t="n"/>
      <c r="AA498" t="inlineStr">
        <is>
          <t>Not found in PDF</t>
        </is>
      </c>
      <c r="AC498" t="inlineStr">
        <is>
          <t>Low</t>
        </is>
      </c>
      <c r="AM498" t="inlineStr">
        <is>
          <t>13</t>
        </is>
      </c>
      <c r="AN498" t="inlineStr">
        <is>
          <t>Yes</t>
        </is>
      </c>
      <c r="AO498" t="inlineStr">
        <is>
          <t>mapped sheet id</t>
        </is>
      </c>
    </row>
    <row r="499">
      <c r="A499" s="203">
        <f>ROW()-1</f>
        <v/>
      </c>
      <c r="B499" s="128" t="inlineStr">
        <is>
          <t>RL7-CKR-102-ZSS-03</t>
        </is>
      </c>
      <c r="C499" s="313" t="inlineStr">
        <is>
          <t>RL7-CKR-102-ZSS-05</t>
        </is>
      </c>
      <c r="D499" s="264" t="inlineStr">
        <is>
          <t>PRS306021</t>
        </is>
      </c>
      <c r="E499" s="133" t="inlineStr">
        <is>
          <t>OS9A/JIC9B</t>
        </is>
      </c>
      <c r="F499" s="141" t="inlineStr">
        <is>
          <t>COOKER 2 COLUMN DUMPER SAFETY GATE ACTIVE SAFETY INPUT 1</t>
        </is>
      </c>
      <c r="G499" s="142" t="inlineStr">
        <is>
          <t>DG7021</t>
        </is>
      </c>
      <c r="H499" s="133" t="inlineStr">
        <is>
          <t>PROC</t>
        </is>
      </c>
      <c r="I499" s="142" t="inlineStr">
        <is>
          <t>RL7-CKR2-RIO1</t>
        </is>
      </c>
      <c r="J499" s="133" t="n">
        <v>13</v>
      </c>
      <c r="K499" s="133" t="n">
        <v>3</v>
      </c>
      <c r="L499" s="133" t="n">
        <v>4</v>
      </c>
      <c r="M499" s="133" t="inlineStr">
        <is>
          <t>24 VDC SI</t>
        </is>
      </c>
      <c r="N499" s="129" t="inlineStr">
        <is>
          <t>5069-IB8S</t>
        </is>
      </c>
      <c r="O499" s="139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40" t="n"/>
      <c r="AA499" t="inlineStr">
        <is>
          <t>Not found in PDF</t>
        </is>
      </c>
      <c r="AC499" t="inlineStr">
        <is>
          <t>Low</t>
        </is>
      </c>
      <c r="AM499" t="inlineStr">
        <is>
          <t>13</t>
        </is>
      </c>
      <c r="AN499" t="inlineStr">
        <is>
          <t>Yes</t>
        </is>
      </c>
      <c r="AO499" t="inlineStr">
        <is>
          <t>mapped sheet id</t>
        </is>
      </c>
    </row>
    <row r="500">
      <c r="A500" s="203">
        <f>ROW()-1</f>
        <v/>
      </c>
      <c r="B500" s="128" t="inlineStr">
        <is>
          <t>RL7-CKR-102-ZSS-03</t>
        </is>
      </c>
      <c r="C500" s="313" t="inlineStr">
        <is>
          <t>RL7-CKR-102-ZSS-05</t>
        </is>
      </c>
      <c r="D500" s="264" t="inlineStr">
        <is>
          <t>PRS306021</t>
        </is>
      </c>
      <c r="E500" s="133" t="inlineStr">
        <is>
          <t>OS9A/JIC9B</t>
        </is>
      </c>
      <c r="F500" s="141" t="inlineStr">
        <is>
          <t>COOKER 2 COLUMN DUMPER SAFETY GATE ACTIVE SAFETY INPUT 2</t>
        </is>
      </c>
      <c r="G500" s="142" t="inlineStr">
        <is>
          <t>DG7021</t>
        </is>
      </c>
      <c r="H500" s="133" t="inlineStr">
        <is>
          <t>PROC</t>
        </is>
      </c>
      <c r="I500" s="142" t="inlineStr">
        <is>
          <t>RL7-CKR2-RIO1</t>
        </is>
      </c>
      <c r="J500" s="133" t="n">
        <v>13</v>
      </c>
      <c r="K500" s="133" t="n">
        <v>3</v>
      </c>
      <c r="L500" s="133" t="n">
        <v>5</v>
      </c>
      <c r="M500" s="133" t="inlineStr">
        <is>
          <t>24 VDC SI</t>
        </is>
      </c>
      <c r="N500" s="129" t="inlineStr">
        <is>
          <t>5069-IB8S</t>
        </is>
      </c>
      <c r="O500" s="139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40" t="n"/>
      <c r="AA500" t="inlineStr">
        <is>
          <t>Not found in PDF</t>
        </is>
      </c>
      <c r="AC500" t="inlineStr">
        <is>
          <t>Low</t>
        </is>
      </c>
      <c r="AM500" t="inlineStr">
        <is>
          <t>13</t>
        </is>
      </c>
      <c r="AN500" t="inlineStr">
        <is>
          <t>Yes</t>
        </is>
      </c>
      <c r="AO500" t="inlineStr">
        <is>
          <t>mapped sheet id</t>
        </is>
      </c>
    </row>
    <row r="501">
      <c r="A501" s="203">
        <f>ROW()-1</f>
        <v/>
      </c>
      <c r="B501" s="128" t="inlineStr">
        <is>
          <t>RL7-CKR-102-XYS-23A</t>
        </is>
      </c>
      <c r="C501" s="314" t="inlineStr">
        <is>
          <t>RL7-CKR-102-XYS-23A</t>
        </is>
      </c>
      <c r="D501" s="262" t="inlineStr">
        <is>
          <t>SOL406171</t>
        </is>
      </c>
      <c r="E501" s="128" t="inlineStr">
        <is>
          <t>JIC6B</t>
        </is>
      </c>
      <c r="F501" s="138" t="inlineStr">
        <is>
          <t xml:space="preserve">COOKER 2 SAFETY AIR DUMP SOLENOID A </t>
        </is>
      </c>
      <c r="G501" s="131" t="inlineStr">
        <is>
          <t>DG7021</t>
        </is>
      </c>
      <c r="H501" s="128" t="inlineStr">
        <is>
          <t>PROC</t>
        </is>
      </c>
      <c r="I501" s="132" t="inlineStr">
        <is>
          <t>RL7-CKR2-RIO1</t>
        </is>
      </c>
      <c r="J501" s="133" t="n">
        <v>13</v>
      </c>
      <c r="K501" s="129" t="n">
        <v>4</v>
      </c>
      <c r="L501" s="129" t="n">
        <v>0</v>
      </c>
      <c r="M501" s="129" t="inlineStr">
        <is>
          <t>24 VDC SO</t>
        </is>
      </c>
      <c r="N501" s="129" t="inlineStr">
        <is>
          <t>5069-OBV8S</t>
        </is>
      </c>
      <c r="O501" s="139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40" t="n"/>
      <c r="AA501" t="inlineStr">
        <is>
          <t>Matched</t>
        </is>
      </c>
      <c r="AB501" s="315" t="n">
        <v>0.99</v>
      </c>
      <c r="AC501" t="inlineStr">
        <is>
          <t>High</t>
        </is>
      </c>
      <c r="AD501" t="n">
        <v>1</v>
      </c>
      <c r="AE501" t="inlineStr">
        <is>
          <t>DG7021</t>
        </is>
      </c>
      <c r="AF501" t="n">
        <v>13</v>
      </c>
      <c r="AG501" t="inlineStr">
        <is>
          <t>drawing</t>
        </is>
      </c>
      <c r="AH501" t="inlineStr">
        <is>
          <t>stacked:isa</t>
        </is>
      </c>
      <c r="AI501" t="inlineStr">
        <is>
          <t>drawing zone; process page; mapped sheet; excel sheet match</t>
        </is>
      </c>
      <c r="AJ501" t="inlineStr">
        <is>
          <t>native</t>
        </is>
      </c>
      <c r="AK501" t="inlineStr">
        <is>
          <t>native-only</t>
        </is>
      </c>
      <c r="AM501" t="inlineStr">
        <is>
          <t>13</t>
        </is>
      </c>
      <c r="AN501" t="inlineStr">
        <is>
          <t>Yes</t>
        </is>
      </c>
      <c r="AO501" t="inlineStr">
        <is>
          <t>mapped sheet id</t>
        </is>
      </c>
      <c r="AP501" t="inlineStr">
        <is>
          <t>p13:native:216, p13:native:217</t>
        </is>
      </c>
      <c r="AQ501" t="n">
        <v>2</v>
      </c>
    </row>
    <row r="502">
      <c r="A502" s="203">
        <f>ROW()-1</f>
        <v/>
      </c>
      <c r="B502" s="128" t="inlineStr">
        <is>
          <t>RL7-CKR-102-XYS-23B</t>
        </is>
      </c>
      <c r="C502" s="314" t="inlineStr">
        <is>
          <t>RL7-CKR-102-XYS-23B</t>
        </is>
      </c>
      <c r="D502" s="262" t="inlineStr">
        <is>
          <t>SOL406171</t>
        </is>
      </c>
      <c r="E502" s="128" t="inlineStr">
        <is>
          <t>JIC6B</t>
        </is>
      </c>
      <c r="F502" s="138" t="inlineStr">
        <is>
          <t xml:space="preserve">COOKER 2 SAFETY AIR DUMP SOLENOID B </t>
        </is>
      </c>
      <c r="G502" s="131" t="inlineStr">
        <is>
          <t>DG7021</t>
        </is>
      </c>
      <c r="H502" s="128" t="inlineStr">
        <is>
          <t>PROC</t>
        </is>
      </c>
      <c r="I502" s="132" t="inlineStr">
        <is>
          <t>RL7-CKR2-RIO1</t>
        </is>
      </c>
      <c r="J502" s="133" t="n">
        <v>13</v>
      </c>
      <c r="K502" s="129" t="n">
        <v>4</v>
      </c>
      <c r="L502" s="129" t="n">
        <v>1</v>
      </c>
      <c r="M502" s="129" t="inlineStr">
        <is>
          <t>24 VDC SO</t>
        </is>
      </c>
      <c r="N502" s="129" t="inlineStr">
        <is>
          <t>5069-OBV8S</t>
        </is>
      </c>
      <c r="O502" s="139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40" t="n"/>
      <c r="AA502" t="inlineStr">
        <is>
          <t>Matched</t>
        </is>
      </c>
      <c r="AB502" s="315" t="n">
        <v>0.99</v>
      </c>
      <c r="AC502" t="inlineStr">
        <is>
          <t>High</t>
        </is>
      </c>
      <c r="AD502" t="n">
        <v>1</v>
      </c>
      <c r="AE502" t="inlineStr">
        <is>
          <t>DG7021</t>
        </is>
      </c>
      <c r="AF502" t="n">
        <v>13</v>
      </c>
      <c r="AG502" t="inlineStr">
        <is>
          <t>drawing</t>
        </is>
      </c>
      <c r="AH502" t="inlineStr">
        <is>
          <t>stacked:isa</t>
        </is>
      </c>
      <c r="AI502" t="inlineStr">
        <is>
          <t>drawing zone; process page; mapped sheet; excel sheet match</t>
        </is>
      </c>
      <c r="AJ502" t="inlineStr">
        <is>
          <t>native</t>
        </is>
      </c>
      <c r="AK502" t="inlineStr">
        <is>
          <t>native-only</t>
        </is>
      </c>
      <c r="AM502" t="inlineStr">
        <is>
          <t>13</t>
        </is>
      </c>
      <c r="AN502" t="inlineStr">
        <is>
          <t>Yes</t>
        </is>
      </c>
      <c r="AO502" t="inlineStr">
        <is>
          <t>mapped sheet id</t>
        </is>
      </c>
      <c r="AP502" t="inlineStr">
        <is>
          <t>p13:native:218, p13:native:219</t>
        </is>
      </c>
      <c r="AQ502" t="n">
        <v>2</v>
      </c>
    </row>
    <row r="503">
      <c r="A503" s="203">
        <f>ROW()-1</f>
        <v/>
      </c>
      <c r="B503" s="128" t="inlineStr">
        <is>
          <t>RL7-CKR-102-ZSC-21</t>
        </is>
      </c>
      <c r="C503" s="314" t="inlineStr">
        <is>
          <t>RL7-CKR-102-ZSC-21</t>
        </is>
      </c>
      <c r="D503" s="262" t="inlineStr">
        <is>
          <t>PRS407211</t>
        </is>
      </c>
      <c r="E503" s="128" t="n"/>
      <c r="F503" s="138" t="inlineStr">
        <is>
          <t>COOKER 2 LOCKBAR ENGAGED</t>
        </is>
      </c>
      <c r="G503" s="131" t="inlineStr">
        <is>
          <t>DG7021</t>
        </is>
      </c>
      <c r="H503" s="128" t="inlineStr">
        <is>
          <t>PROC</t>
        </is>
      </c>
      <c r="I503" s="132" t="inlineStr">
        <is>
          <t>RL7-CKR2-RIO1</t>
        </is>
      </c>
      <c r="J503" s="133" t="n">
        <v>13</v>
      </c>
      <c r="K503" s="129" t="n">
        <v>5</v>
      </c>
      <c r="L503" s="129" t="n">
        <v>0</v>
      </c>
      <c r="M503" s="129" t="inlineStr">
        <is>
          <t>24 VDC DI</t>
        </is>
      </c>
      <c r="N503" s="129" t="inlineStr">
        <is>
          <t>5069-IB16</t>
        </is>
      </c>
      <c r="O503" s="139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40" t="n"/>
      <c r="AA503" t="inlineStr">
        <is>
          <t>Matched</t>
        </is>
      </c>
      <c r="AB503" s="315" t="n">
        <v>0.99</v>
      </c>
      <c r="AC503" t="inlineStr">
        <is>
          <t>High</t>
        </is>
      </c>
      <c r="AD503" t="n">
        <v>1</v>
      </c>
      <c r="AE503" t="inlineStr">
        <is>
          <t>DG7021</t>
        </is>
      </c>
      <c r="AF503" t="n">
        <v>13</v>
      </c>
      <c r="AG503" t="inlineStr">
        <is>
          <t>drawing</t>
        </is>
      </c>
      <c r="AH503" t="inlineStr">
        <is>
          <t>stacked:isa</t>
        </is>
      </c>
      <c r="AI503" t="inlineStr">
        <is>
          <t>drawing zone; process page; mapped sheet; excel sheet match</t>
        </is>
      </c>
      <c r="AJ503" t="inlineStr">
        <is>
          <t>native</t>
        </is>
      </c>
      <c r="AK503" t="inlineStr">
        <is>
          <t>native-only</t>
        </is>
      </c>
      <c r="AM503" t="inlineStr">
        <is>
          <t>13</t>
        </is>
      </c>
      <c r="AN503" t="inlineStr">
        <is>
          <t>Yes</t>
        </is>
      </c>
      <c r="AO503" t="inlineStr">
        <is>
          <t>mapped sheet id</t>
        </is>
      </c>
      <c r="AP503" t="inlineStr">
        <is>
          <t>p13:native:137, p13:native:138</t>
        </is>
      </c>
      <c r="AQ503" t="n">
        <v>2</v>
      </c>
    </row>
    <row r="504">
      <c r="A504" s="203">
        <f>ROW()-1</f>
        <v/>
      </c>
      <c r="B504" s="128" t="inlineStr">
        <is>
          <t>RL7-CKR-102-ZSO-21</t>
        </is>
      </c>
      <c r="C504" s="314" t="inlineStr">
        <is>
          <t>RL7-CKR-102-ZSO-21</t>
        </is>
      </c>
      <c r="D504" s="262" t="inlineStr">
        <is>
          <t>PRS407231</t>
        </is>
      </c>
      <c r="E504" s="128" t="n"/>
      <c r="F504" s="138" t="inlineStr">
        <is>
          <t>COOKER 2 LOCKBAR RELEASED</t>
        </is>
      </c>
      <c r="G504" s="131" t="inlineStr">
        <is>
          <t>DG7021</t>
        </is>
      </c>
      <c r="H504" s="128" t="inlineStr">
        <is>
          <t>PROC</t>
        </is>
      </c>
      <c r="I504" s="132" t="inlineStr">
        <is>
          <t>RL7-CKR2-RIO1</t>
        </is>
      </c>
      <c r="J504" s="133" t="n">
        <v>13</v>
      </c>
      <c r="K504" s="129" t="n">
        <v>5</v>
      </c>
      <c r="L504" s="129" t="n">
        <v>1</v>
      </c>
      <c r="M504" s="129" t="inlineStr">
        <is>
          <t>24 VDC DI</t>
        </is>
      </c>
      <c r="N504" s="129" t="inlineStr">
        <is>
          <t>5069-IB16</t>
        </is>
      </c>
      <c r="O504" s="139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40" t="n"/>
      <c r="AA504" t="inlineStr">
        <is>
          <t>Matched</t>
        </is>
      </c>
      <c r="AB504" s="315" t="n">
        <v>0.99</v>
      </c>
      <c r="AC504" t="inlineStr">
        <is>
          <t>High</t>
        </is>
      </c>
      <c r="AD504" t="n">
        <v>1</v>
      </c>
      <c r="AE504" t="inlineStr">
        <is>
          <t>DG7021</t>
        </is>
      </c>
      <c r="AF504" t="n">
        <v>13</v>
      </c>
      <c r="AG504" t="inlineStr">
        <is>
          <t>drawing</t>
        </is>
      </c>
      <c r="AH504" t="inlineStr">
        <is>
          <t>stacked:isa</t>
        </is>
      </c>
      <c r="AI504" t="inlineStr">
        <is>
          <t>drawing zone; process page; mapped sheet; excel sheet match</t>
        </is>
      </c>
      <c r="AJ504" t="inlineStr">
        <is>
          <t>native</t>
        </is>
      </c>
      <c r="AK504" t="inlineStr">
        <is>
          <t>native-only</t>
        </is>
      </c>
      <c r="AM504" t="inlineStr">
        <is>
          <t>13</t>
        </is>
      </c>
      <c r="AN504" t="inlineStr">
        <is>
          <t>Yes</t>
        </is>
      </c>
      <c r="AO504" t="inlineStr">
        <is>
          <t>mapped sheet id</t>
        </is>
      </c>
      <c r="AP504" t="inlineStr">
        <is>
          <t>p13:native:139, p13:native:140</t>
        </is>
      </c>
      <c r="AQ504" t="n">
        <v>2</v>
      </c>
    </row>
    <row r="505">
      <c r="A505" s="203">
        <f>ROW()-1</f>
        <v/>
      </c>
      <c r="B505" s="128" t="inlineStr">
        <is>
          <t>RL7-CKR-102-PSL-01</t>
        </is>
      </c>
      <c r="C505" s="314" t="inlineStr">
        <is>
          <t>RL7-CKR-102-PSL-01</t>
        </is>
      </c>
      <c r="D505" s="262" t="inlineStr">
        <is>
          <t>PRG407011</t>
        </is>
      </c>
      <c r="E505" s="128" t="inlineStr">
        <is>
          <t>JIB6B</t>
        </is>
      </c>
      <c r="F505" s="138" t="inlineStr">
        <is>
          <t>COOKER 2 REGULATOR LOW PRESSURE SWITCH</t>
        </is>
      </c>
      <c r="G505" s="131" t="inlineStr">
        <is>
          <t>DG7021</t>
        </is>
      </c>
      <c r="H505" s="128" t="inlineStr">
        <is>
          <t>PROC</t>
        </is>
      </c>
      <c r="I505" s="132" t="inlineStr">
        <is>
          <t>RL7-CKR2-RIO1</t>
        </is>
      </c>
      <c r="J505" s="133" t="n">
        <v>13</v>
      </c>
      <c r="K505" s="129" t="n">
        <v>5</v>
      </c>
      <c r="L505" s="129" t="n">
        <v>2</v>
      </c>
      <c r="M505" s="129" t="inlineStr">
        <is>
          <t>24 VDC DI</t>
        </is>
      </c>
      <c r="N505" s="129" t="inlineStr">
        <is>
          <t>5069-IB16</t>
        </is>
      </c>
      <c r="O505" s="139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40" t="n"/>
      <c r="AA505" t="inlineStr">
        <is>
          <t>Matched</t>
        </is>
      </c>
      <c r="AB505" s="315" t="n">
        <v>0.99</v>
      </c>
      <c r="AC505" t="inlineStr">
        <is>
          <t>High</t>
        </is>
      </c>
      <c r="AD505" t="n">
        <v>1</v>
      </c>
      <c r="AE505" t="inlineStr">
        <is>
          <t>DG7021</t>
        </is>
      </c>
      <c r="AF505" t="n">
        <v>13</v>
      </c>
      <c r="AG505" t="inlineStr">
        <is>
          <t>drawing</t>
        </is>
      </c>
      <c r="AH505" t="inlineStr">
        <is>
          <t>stacked:isa</t>
        </is>
      </c>
      <c r="AI505" t="inlineStr">
        <is>
          <t>drawing zone; process page; mapped sheet; excel sheet match</t>
        </is>
      </c>
      <c r="AJ505" t="inlineStr">
        <is>
          <t>native</t>
        </is>
      </c>
      <c r="AK505" t="inlineStr">
        <is>
          <t>native-only</t>
        </is>
      </c>
      <c r="AM505" t="inlineStr">
        <is>
          <t>13</t>
        </is>
      </c>
      <c r="AN505" t="inlineStr">
        <is>
          <t>Yes</t>
        </is>
      </c>
      <c r="AO505" t="inlineStr">
        <is>
          <t>mapped sheet id</t>
        </is>
      </c>
      <c r="AP505" t="inlineStr">
        <is>
          <t>p13:native:428, p13:native:429</t>
        </is>
      </c>
      <c r="AQ505" t="n">
        <v>2</v>
      </c>
    </row>
    <row r="506">
      <c r="A506" s="203">
        <f>ROW()-1</f>
        <v/>
      </c>
      <c r="B506" s="128" t="inlineStr">
        <is>
          <t>RL7-MLT-108-ZSC-03</t>
        </is>
      </c>
      <c r="C506" s="314" t="inlineStr">
        <is>
          <t>RL7-MLT-108-ZSC-03</t>
        </is>
      </c>
      <c r="D506" s="262" t="inlineStr">
        <is>
          <t>PRS606071</t>
        </is>
      </c>
      <c r="E506" s="128" t="inlineStr">
        <is>
          <t>JIB8B</t>
        </is>
      </c>
      <c r="F506" s="138" t="inlineStr">
        <is>
          <t xml:space="preserve">COOKER 2 DUMPER OVERTRAVEL </t>
        </is>
      </c>
      <c r="G506" s="131" t="inlineStr">
        <is>
          <t>DG7021</t>
        </is>
      </c>
      <c r="H506" s="128" t="inlineStr">
        <is>
          <t>PROC</t>
        </is>
      </c>
      <c r="I506" s="132" t="inlineStr">
        <is>
          <t>RL7-CKR2-RIO1</t>
        </is>
      </c>
      <c r="J506" s="133" t="n">
        <v>13</v>
      </c>
      <c r="K506" s="129" t="n">
        <v>5</v>
      </c>
      <c r="L506" s="129" t="n">
        <v>3</v>
      </c>
      <c r="M506" s="129" t="inlineStr">
        <is>
          <t>24 VDC DI</t>
        </is>
      </c>
      <c r="N506" s="129" t="inlineStr">
        <is>
          <t>5069-IB16</t>
        </is>
      </c>
      <c r="O506" s="139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40" t="n"/>
      <c r="AA506" t="inlineStr">
        <is>
          <t>Matched</t>
        </is>
      </c>
      <c r="AB506" s="315" t="n">
        <v>0.99</v>
      </c>
      <c r="AC506" t="inlineStr">
        <is>
          <t>High</t>
        </is>
      </c>
      <c r="AD506" t="n">
        <v>1</v>
      </c>
      <c r="AE506" t="inlineStr">
        <is>
          <t>DG7021</t>
        </is>
      </c>
      <c r="AF506" t="n">
        <v>13</v>
      </c>
      <c r="AG506" t="inlineStr">
        <is>
          <t>drawing</t>
        </is>
      </c>
      <c r="AH506" t="inlineStr">
        <is>
          <t>stacked:isa</t>
        </is>
      </c>
      <c r="AI506" t="inlineStr">
        <is>
          <t>drawing zone; process page; mapped sheet; excel sheet match</t>
        </is>
      </c>
      <c r="AJ506" t="inlineStr">
        <is>
          <t>native</t>
        </is>
      </c>
      <c r="AK506" t="inlineStr">
        <is>
          <t>native-only</t>
        </is>
      </c>
      <c r="AM506" t="inlineStr">
        <is>
          <t>13</t>
        </is>
      </c>
      <c r="AN506" t="inlineStr">
        <is>
          <t>Yes</t>
        </is>
      </c>
      <c r="AO506" t="inlineStr">
        <is>
          <t>mapped sheet id</t>
        </is>
      </c>
      <c r="AP506" t="inlineStr">
        <is>
          <t>p13:native:142, p13:native:143</t>
        </is>
      </c>
      <c r="AQ506" t="n">
        <v>2</v>
      </c>
    </row>
    <row r="507" customFormat="1" s="149">
      <c r="A507" s="203">
        <f>ROW()-1</f>
        <v/>
      </c>
      <c r="B507" s="128" t="inlineStr">
        <is>
          <t>RL7-MLT-108-ZSC-02</t>
        </is>
      </c>
      <c r="C507" s="314" t="inlineStr">
        <is>
          <t>RL7-MLT-108-ZSC-02</t>
        </is>
      </c>
      <c r="D507" s="262" t="inlineStr">
        <is>
          <t>PRS606091</t>
        </is>
      </c>
      <c r="E507" s="128" t="inlineStr">
        <is>
          <t>JIB8B</t>
        </is>
      </c>
      <c r="F507" s="138" t="inlineStr">
        <is>
          <t>COOKER 2 DUMPER UP POSITION</t>
        </is>
      </c>
      <c r="G507" s="131" t="inlineStr">
        <is>
          <t>DG7021</t>
        </is>
      </c>
      <c r="H507" s="128" t="inlineStr">
        <is>
          <t>PROC</t>
        </is>
      </c>
      <c r="I507" s="132" t="inlineStr">
        <is>
          <t>RL7-CKR2-RIO1</t>
        </is>
      </c>
      <c r="J507" s="133" t="n">
        <v>13</v>
      </c>
      <c r="K507" s="129" t="n">
        <v>5</v>
      </c>
      <c r="L507" s="129" t="n">
        <v>4</v>
      </c>
      <c r="M507" s="129" t="inlineStr">
        <is>
          <t>24 VDC DI</t>
        </is>
      </c>
      <c r="N507" s="129" t="inlineStr">
        <is>
          <t>5069-IB16</t>
        </is>
      </c>
      <c r="O507" s="139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40" t="n"/>
      <c r="AA507" t="inlineStr">
        <is>
          <t>Matched</t>
        </is>
      </c>
      <c r="AB507" s="315" t="n">
        <v>0.99</v>
      </c>
      <c r="AC507" t="inlineStr">
        <is>
          <t>High</t>
        </is>
      </c>
      <c r="AD507" t="n">
        <v>1</v>
      </c>
      <c r="AE507" t="inlineStr">
        <is>
          <t>DG7021</t>
        </is>
      </c>
      <c r="AF507" t="n">
        <v>13</v>
      </c>
      <c r="AG507" t="inlineStr">
        <is>
          <t>drawing</t>
        </is>
      </c>
      <c r="AH507" t="inlineStr">
        <is>
          <t>stacked:isa</t>
        </is>
      </c>
      <c r="AI507" t="inlineStr">
        <is>
          <t>drawing zone; process page; mapped sheet; excel sheet match</t>
        </is>
      </c>
      <c r="AJ507" t="inlineStr">
        <is>
          <t>native</t>
        </is>
      </c>
      <c r="AK507" t="inlineStr">
        <is>
          <t>native-only</t>
        </is>
      </c>
      <c r="AM507" t="inlineStr">
        <is>
          <t>13</t>
        </is>
      </c>
      <c r="AN507" t="inlineStr">
        <is>
          <t>Yes</t>
        </is>
      </c>
      <c r="AO507" t="inlineStr">
        <is>
          <t>mapped sheet id</t>
        </is>
      </c>
      <c r="AP507" t="inlineStr">
        <is>
          <t>p13:native:144, p13:native:145</t>
        </is>
      </c>
      <c r="AQ507" t="n">
        <v>2</v>
      </c>
    </row>
    <row r="508" customFormat="1" s="149">
      <c r="A508" s="203">
        <f>ROW()-1</f>
        <v/>
      </c>
      <c r="B508" s="128" t="inlineStr">
        <is>
          <t>RL7-MLT-108-ZSC-01</t>
        </is>
      </c>
      <c r="C508" s="314" t="inlineStr">
        <is>
          <t>RL7-MLT-108-ZSC-01</t>
        </is>
      </c>
      <c r="D508" s="262" t="inlineStr">
        <is>
          <t>PRS606111</t>
        </is>
      </c>
      <c r="E508" s="128" t="inlineStr">
        <is>
          <t>JIB8B</t>
        </is>
      </c>
      <c r="F508" s="138" t="inlineStr">
        <is>
          <t>COOKER 2 DUMPER DOWN POSITION</t>
        </is>
      </c>
      <c r="G508" s="131" t="inlineStr">
        <is>
          <t>DG7021</t>
        </is>
      </c>
      <c r="H508" s="128" t="inlineStr">
        <is>
          <t>PROC</t>
        </is>
      </c>
      <c r="I508" s="132" t="inlineStr">
        <is>
          <t>RL7-CKR2-RIO1</t>
        </is>
      </c>
      <c r="J508" s="133" t="n">
        <v>13</v>
      </c>
      <c r="K508" s="129" t="n">
        <v>5</v>
      </c>
      <c r="L508" s="129" t="n">
        <v>5</v>
      </c>
      <c r="M508" s="129" t="inlineStr">
        <is>
          <t>24 VDC DI</t>
        </is>
      </c>
      <c r="N508" s="129" t="inlineStr">
        <is>
          <t>5069-IB16</t>
        </is>
      </c>
      <c r="O508" s="139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40" t="n"/>
      <c r="AA508" t="inlineStr">
        <is>
          <t>Matched</t>
        </is>
      </c>
      <c r="AB508" s="315" t="n">
        <v>0.99</v>
      </c>
      <c r="AC508" t="inlineStr">
        <is>
          <t>High</t>
        </is>
      </c>
      <c r="AD508" t="n">
        <v>1</v>
      </c>
      <c r="AE508" t="inlineStr">
        <is>
          <t>DG7021</t>
        </is>
      </c>
      <c r="AF508" t="n">
        <v>13</v>
      </c>
      <c r="AG508" t="inlineStr">
        <is>
          <t>drawing</t>
        </is>
      </c>
      <c r="AH508" t="inlineStr">
        <is>
          <t>stacked:isa</t>
        </is>
      </c>
      <c r="AI508" t="inlineStr">
        <is>
          <t>drawing zone; process page; mapped sheet; excel sheet match</t>
        </is>
      </c>
      <c r="AJ508" t="inlineStr">
        <is>
          <t>native</t>
        </is>
      </c>
      <c r="AK508" t="inlineStr">
        <is>
          <t>native-only</t>
        </is>
      </c>
      <c r="AM508" t="inlineStr">
        <is>
          <t>13</t>
        </is>
      </c>
      <c r="AN508" t="inlineStr">
        <is>
          <t>Yes</t>
        </is>
      </c>
      <c r="AO508" t="inlineStr">
        <is>
          <t>mapped sheet id</t>
        </is>
      </c>
      <c r="AP508" t="inlineStr">
        <is>
          <t>p13:native:146, p13:native:147</t>
        </is>
      </c>
      <c r="AQ508" t="n">
        <v>2</v>
      </c>
    </row>
    <row r="509" customFormat="1" s="149">
      <c r="A509" s="203">
        <f>ROW()-1</f>
        <v/>
      </c>
      <c r="B509" s="128" t="inlineStr">
        <is>
          <t>RL7-CKR-102-ZSO-22</t>
        </is>
      </c>
      <c r="C509" s="314" t="inlineStr">
        <is>
          <t>RL7-CKR-102-ZSO-22</t>
        </is>
      </c>
      <c r="D509" s="262" t="inlineStr">
        <is>
          <t>PRS407191</t>
        </is>
      </c>
      <c r="E509" s="128" t="inlineStr">
        <is>
          <t>JIB8B</t>
        </is>
      </c>
      <c r="F509" s="138" t="inlineStr">
        <is>
          <t xml:space="preserve">COOKER 2 COVER OPEN </t>
        </is>
      </c>
      <c r="G509" s="131" t="inlineStr">
        <is>
          <t>DG7021</t>
        </is>
      </c>
      <c r="H509" s="128" t="inlineStr">
        <is>
          <t>PROC</t>
        </is>
      </c>
      <c r="I509" s="132" t="inlineStr">
        <is>
          <t>RL7-CKR2-RIO1</t>
        </is>
      </c>
      <c r="J509" s="133" t="n">
        <v>13</v>
      </c>
      <c r="K509" s="129" t="n">
        <v>5</v>
      </c>
      <c r="L509" s="129" t="n">
        <v>6</v>
      </c>
      <c r="M509" s="129" t="inlineStr">
        <is>
          <t>24 VDC DI</t>
        </is>
      </c>
      <c r="N509" s="129" t="inlineStr">
        <is>
          <t>5069-IB16</t>
        </is>
      </c>
      <c r="O509" s="139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40" t="n"/>
      <c r="AA509" t="inlineStr">
        <is>
          <t>Matched</t>
        </is>
      </c>
      <c r="AB509" s="315" t="n">
        <v>0.99</v>
      </c>
      <c r="AC509" t="inlineStr">
        <is>
          <t>High</t>
        </is>
      </c>
      <c r="AD509" t="n">
        <v>1</v>
      </c>
      <c r="AE509" t="inlineStr">
        <is>
          <t>DG7021</t>
        </is>
      </c>
      <c r="AF509" t="n">
        <v>13</v>
      </c>
      <c r="AG509" t="inlineStr">
        <is>
          <t>drawing</t>
        </is>
      </c>
      <c r="AH509" t="inlineStr">
        <is>
          <t>stacked:isa</t>
        </is>
      </c>
      <c r="AI509" t="inlineStr">
        <is>
          <t>drawing zone; process page; mapped sheet; excel sheet match</t>
        </is>
      </c>
      <c r="AJ509" t="inlineStr">
        <is>
          <t>native</t>
        </is>
      </c>
      <c r="AK509" t="inlineStr">
        <is>
          <t>native-only</t>
        </is>
      </c>
      <c r="AM509" t="inlineStr">
        <is>
          <t>13</t>
        </is>
      </c>
      <c r="AN509" t="inlineStr">
        <is>
          <t>Yes</t>
        </is>
      </c>
      <c r="AO509" t="inlineStr">
        <is>
          <t>mapped sheet id</t>
        </is>
      </c>
      <c r="AP509" t="inlineStr">
        <is>
          <t>p13:native:241, p13:native:242</t>
        </is>
      </c>
      <c r="AQ509" t="n">
        <v>2</v>
      </c>
    </row>
    <row r="510" customFormat="1" s="149">
      <c r="A510" s="203">
        <f>ROW()-1</f>
        <v/>
      </c>
      <c r="B510" s="128" t="n"/>
      <c r="C510" s="313" t="inlineStr">
        <is>
          <t>RL7-CKR-102-PBL-03</t>
        </is>
      </c>
      <c r="D510" s="264" t="inlineStr">
        <is>
          <t>PB505161</t>
        </is>
      </c>
      <c r="E510" s="133" t="inlineStr">
        <is>
          <t>OS7C</t>
        </is>
      </c>
      <c r="F510" s="141" t="inlineStr">
        <is>
          <t>COOKER 2 COLUMN DUMPER ENTRY REQUEST PB PILOT LIGHT</t>
        </is>
      </c>
      <c r="G510" s="142" t="inlineStr">
        <is>
          <t>DG7021</t>
        </is>
      </c>
      <c r="H510" s="133" t="inlineStr">
        <is>
          <t>PROC</t>
        </is>
      </c>
      <c r="I510" s="132" t="inlineStr">
        <is>
          <t>RL7-CKR2-RIO1</t>
        </is>
      </c>
      <c r="J510" s="133" t="n">
        <v>13</v>
      </c>
      <c r="K510" s="129" t="n">
        <v>5</v>
      </c>
      <c r="L510" s="129" t="n">
        <v>7</v>
      </c>
      <c r="M510" s="129" t="inlineStr">
        <is>
          <t>24 VDC DI</t>
        </is>
      </c>
      <c r="N510" s="129" t="inlineStr">
        <is>
          <t>5069-IB16</t>
        </is>
      </c>
      <c r="O510" s="139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40" t="n"/>
      <c r="AA510" t="inlineStr">
        <is>
          <t>Not found in PDF</t>
        </is>
      </c>
      <c r="AC510" t="inlineStr">
        <is>
          <t>Low</t>
        </is>
      </c>
      <c r="AM510" t="inlineStr">
        <is>
          <t>13</t>
        </is>
      </c>
      <c r="AN510" t="inlineStr">
        <is>
          <t>Yes</t>
        </is>
      </c>
      <c r="AO510" t="inlineStr">
        <is>
          <t>mapped sheet id</t>
        </is>
      </c>
    </row>
    <row r="511" customFormat="1" s="149">
      <c r="A511" s="203">
        <f>ROW()-1</f>
        <v/>
      </c>
      <c r="B511" s="128" t="n"/>
      <c r="C511" s="313" t="inlineStr">
        <is>
          <t>RL7-CKR-102-PBL-04</t>
        </is>
      </c>
      <c r="D511" s="264" t="inlineStr">
        <is>
          <t>PB505191</t>
        </is>
      </c>
      <c r="E511" s="133" t="inlineStr">
        <is>
          <t>OS7C</t>
        </is>
      </c>
      <c r="F511" s="141" t="inlineStr">
        <is>
          <t>COOKER 2 COLUMN DUMPER RESET GATE LOCK PB PILOT LIGHT</t>
        </is>
      </c>
      <c r="G511" s="142" t="inlineStr">
        <is>
          <t>DG7021</t>
        </is>
      </c>
      <c r="H511" s="133" t="inlineStr">
        <is>
          <t>PROC</t>
        </is>
      </c>
      <c r="I511" s="132" t="inlineStr">
        <is>
          <t>RL7-CKR2-RIO1</t>
        </is>
      </c>
      <c r="J511" s="133" t="n">
        <v>13</v>
      </c>
      <c r="K511" s="129" t="n">
        <v>5</v>
      </c>
      <c r="L511" s="129" t="n">
        <v>8</v>
      </c>
      <c r="M511" s="129" t="inlineStr">
        <is>
          <t>24 VDC DI</t>
        </is>
      </c>
      <c r="N511" s="129" t="inlineStr">
        <is>
          <t>5069-IB16</t>
        </is>
      </c>
      <c r="O511" s="139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40" t="n"/>
      <c r="AA511" t="inlineStr">
        <is>
          <t>Not found in PDF</t>
        </is>
      </c>
      <c r="AC511" t="inlineStr">
        <is>
          <t>Low</t>
        </is>
      </c>
      <c r="AM511" t="inlineStr">
        <is>
          <t>13</t>
        </is>
      </c>
      <c r="AN511" t="inlineStr">
        <is>
          <t>Yes</t>
        </is>
      </c>
      <c r="AO511" t="inlineStr">
        <is>
          <t>mapped sheet id</t>
        </is>
      </c>
    </row>
    <row r="512" customFormat="1" s="149">
      <c r="A512" s="203">
        <f>ROW()-1</f>
        <v/>
      </c>
      <c r="B512" s="128" t="inlineStr">
        <is>
          <t>RL7-CKR-102-ZSO-20</t>
        </is>
      </c>
      <c r="C512" s="314" t="inlineStr">
        <is>
          <t>RL7-CKR-102-ZSO-20</t>
        </is>
      </c>
      <c r="D512" s="262" t="inlineStr">
        <is>
          <t>VLV307261</t>
        </is>
      </c>
      <c r="E512" s="128" t="n"/>
      <c r="F512" s="138" t="inlineStr">
        <is>
          <t>COOKER 2 SAFETY GRATE RELEASED</t>
        </is>
      </c>
      <c r="G512" s="131" t="inlineStr">
        <is>
          <t>DG7021</t>
        </is>
      </c>
      <c r="H512" s="128" t="inlineStr">
        <is>
          <t>PROC</t>
        </is>
      </c>
      <c r="I512" s="132" t="inlineStr">
        <is>
          <t>RL7-CKR2-RIO1</t>
        </is>
      </c>
      <c r="J512" s="133" t="n">
        <v>13</v>
      </c>
      <c r="K512" s="129" t="n">
        <v>6</v>
      </c>
      <c r="L512" s="129" t="n">
        <v>0</v>
      </c>
      <c r="M512" s="129" t="inlineStr">
        <is>
          <t>24 VDC DI</t>
        </is>
      </c>
      <c r="N512" s="129" t="inlineStr">
        <is>
          <t>5069-IB16</t>
        </is>
      </c>
      <c r="O512" s="139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40" t="n"/>
      <c r="AA512" t="inlineStr">
        <is>
          <t>Matched</t>
        </is>
      </c>
      <c r="AB512" s="315" t="n">
        <v>0.99</v>
      </c>
      <c r="AC512" t="inlineStr">
        <is>
          <t>High</t>
        </is>
      </c>
      <c r="AD512" t="n">
        <v>1</v>
      </c>
      <c r="AE512" t="inlineStr">
        <is>
          <t>DG7021</t>
        </is>
      </c>
      <c r="AF512" t="n">
        <v>13</v>
      </c>
      <c r="AG512" t="inlineStr">
        <is>
          <t>drawing</t>
        </is>
      </c>
      <c r="AH512" t="inlineStr">
        <is>
          <t>stacked:isa</t>
        </is>
      </c>
      <c r="AI512" t="inlineStr">
        <is>
          <t>drawing zone; process page; mapped sheet; excel sheet match</t>
        </is>
      </c>
      <c r="AJ512" t="inlineStr">
        <is>
          <t>native</t>
        </is>
      </c>
      <c r="AK512" t="inlineStr">
        <is>
          <t>native-only</t>
        </is>
      </c>
      <c r="AM512" t="inlineStr">
        <is>
          <t>13</t>
        </is>
      </c>
      <c r="AN512" t="inlineStr">
        <is>
          <t>Yes</t>
        </is>
      </c>
      <c r="AO512" t="inlineStr">
        <is>
          <t>mapped sheet id</t>
        </is>
      </c>
      <c r="AP512" t="inlineStr">
        <is>
          <t>p13:native:407, p13:native:408</t>
        </is>
      </c>
      <c r="AQ512" t="n">
        <v>2</v>
      </c>
    </row>
    <row r="513" customFormat="1" s="149">
      <c r="A513" s="203">
        <f>ROW()-1</f>
        <v/>
      </c>
      <c r="B513" s="128" t="inlineStr">
        <is>
          <t>RL7-CKR-102-ZSC-20</t>
        </is>
      </c>
      <c r="C513" s="314" t="inlineStr">
        <is>
          <t>RL7-CKR-102-ZSC-20</t>
        </is>
      </c>
      <c r="D513" s="262" t="inlineStr">
        <is>
          <t>VLV307261</t>
        </is>
      </c>
      <c r="E513" s="128" t="n"/>
      <c r="F513" s="138" t="inlineStr">
        <is>
          <t>COOKER 2 SAFETY GRATE ENGAGED</t>
        </is>
      </c>
      <c r="G513" s="131" t="inlineStr">
        <is>
          <t>DG7021</t>
        </is>
      </c>
      <c r="H513" s="128" t="inlineStr">
        <is>
          <t>PROC</t>
        </is>
      </c>
      <c r="I513" s="132" t="inlineStr">
        <is>
          <t>RL7-CKR2-RIO1</t>
        </is>
      </c>
      <c r="J513" s="133" t="n">
        <v>13</v>
      </c>
      <c r="K513" s="129" t="n">
        <v>6</v>
      </c>
      <c r="L513" s="129" t="n">
        <v>1</v>
      </c>
      <c r="M513" s="129" t="inlineStr">
        <is>
          <t>24 VDC DI</t>
        </is>
      </c>
      <c r="N513" s="129" t="inlineStr">
        <is>
          <t>5069-IB16</t>
        </is>
      </c>
      <c r="O513" s="139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40" t="n"/>
      <c r="AA513" t="inlineStr">
        <is>
          <t>Matched</t>
        </is>
      </c>
      <c r="AB513" s="315" t="n">
        <v>0.99</v>
      </c>
      <c r="AC513" t="inlineStr">
        <is>
          <t>High</t>
        </is>
      </c>
      <c r="AD513" t="n">
        <v>1</v>
      </c>
      <c r="AE513" t="inlineStr">
        <is>
          <t>DG7021</t>
        </is>
      </c>
      <c r="AF513" t="n">
        <v>13</v>
      </c>
      <c r="AG513" t="inlineStr">
        <is>
          <t>drawing</t>
        </is>
      </c>
      <c r="AH513" t="inlineStr">
        <is>
          <t>stacked:isa</t>
        </is>
      </c>
      <c r="AI513" t="inlineStr">
        <is>
          <t>drawing zone; process page; mapped sheet; excel sheet match</t>
        </is>
      </c>
      <c r="AJ513" t="inlineStr">
        <is>
          <t>native</t>
        </is>
      </c>
      <c r="AK513" t="inlineStr">
        <is>
          <t>native-only</t>
        </is>
      </c>
      <c r="AM513" t="inlineStr">
        <is>
          <t>13</t>
        </is>
      </c>
      <c r="AN513" t="inlineStr">
        <is>
          <t>Yes</t>
        </is>
      </c>
      <c r="AO513" t="inlineStr">
        <is>
          <t>mapped sheet id</t>
        </is>
      </c>
      <c r="AP513" t="inlineStr">
        <is>
          <t>p13:native:409, p13:native:410</t>
        </is>
      </c>
      <c r="AQ513" t="n">
        <v>2</v>
      </c>
    </row>
    <row r="514" customFormat="1" s="149">
      <c r="A514" s="203">
        <f>ROW()-1</f>
        <v/>
      </c>
      <c r="B514" s="128" t="inlineStr">
        <is>
          <t>RL7-MLT-108-PB-04</t>
        </is>
      </c>
      <c r="C514" s="314" t="inlineStr">
        <is>
          <t>RL7-MLT-108-PB-04</t>
        </is>
      </c>
      <c r="D514" s="262" t="inlineStr">
        <is>
          <t>PB606031</t>
        </is>
      </c>
      <c r="E514" s="128" t="inlineStr">
        <is>
          <t>JIC8B</t>
        </is>
      </c>
      <c r="F514" s="138" t="inlineStr">
        <is>
          <t>COOKER 2 DUMPER STOP PB</t>
        </is>
      </c>
      <c r="G514" s="131" t="inlineStr">
        <is>
          <t>DG7021</t>
        </is>
      </c>
      <c r="H514" s="128" t="inlineStr">
        <is>
          <t>PROC</t>
        </is>
      </c>
      <c r="I514" s="132" t="inlineStr">
        <is>
          <t>RL7-CKR2-RIO1</t>
        </is>
      </c>
      <c r="J514" s="133" t="n">
        <v>13</v>
      </c>
      <c r="K514" s="129" t="n">
        <v>6</v>
      </c>
      <c r="L514" s="129" t="n">
        <v>2</v>
      </c>
      <c r="M514" s="129" t="inlineStr">
        <is>
          <t>24 VDC DI</t>
        </is>
      </c>
      <c r="N514" s="129" t="inlineStr">
        <is>
          <t>5069-IB16</t>
        </is>
      </c>
      <c r="O514" s="139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40" t="n"/>
      <c r="AA514" t="inlineStr">
        <is>
          <t>Matched</t>
        </is>
      </c>
      <c r="AB514" s="315" t="n">
        <v>0.99</v>
      </c>
      <c r="AC514" t="inlineStr">
        <is>
          <t>High</t>
        </is>
      </c>
      <c r="AD514" t="n">
        <v>1</v>
      </c>
      <c r="AE514" t="inlineStr">
        <is>
          <t>DG7021</t>
        </is>
      </c>
      <c r="AF514" t="n">
        <v>13</v>
      </c>
      <c r="AG514" t="inlineStr">
        <is>
          <t>drawing</t>
        </is>
      </c>
      <c r="AH514" t="inlineStr">
        <is>
          <t>stacked:isa</t>
        </is>
      </c>
      <c r="AI514" t="inlineStr">
        <is>
          <t>drawing zone; process page; mapped sheet; excel sheet match</t>
        </is>
      </c>
      <c r="AJ514" t="inlineStr">
        <is>
          <t>native</t>
        </is>
      </c>
      <c r="AK514" t="inlineStr">
        <is>
          <t>native-only</t>
        </is>
      </c>
      <c r="AM514" t="inlineStr">
        <is>
          <t>13</t>
        </is>
      </c>
      <c r="AN514" t="inlineStr">
        <is>
          <t>Yes</t>
        </is>
      </c>
      <c r="AO514" t="inlineStr">
        <is>
          <t>mapped sheet id</t>
        </is>
      </c>
      <c r="AP514" t="inlineStr">
        <is>
          <t>p13:native:204, p13:native:205</t>
        </is>
      </c>
      <c r="AQ514" t="n">
        <v>2</v>
      </c>
    </row>
    <row r="515" customFormat="1" s="149">
      <c r="A515" s="203">
        <f>ROW()-1</f>
        <v/>
      </c>
      <c r="B515" s="128" t="inlineStr">
        <is>
          <t>RL7-MLT-108-PB-03</t>
        </is>
      </c>
      <c r="C515" s="314" t="inlineStr">
        <is>
          <t>RL7-MLT-108-PB-03</t>
        </is>
      </c>
      <c r="D515" s="262" t="inlineStr">
        <is>
          <t>PB606021</t>
        </is>
      </c>
      <c r="E515" s="128" t="inlineStr">
        <is>
          <t>JIC8B</t>
        </is>
      </c>
      <c r="F515" s="138" t="inlineStr">
        <is>
          <t xml:space="preserve">COOKER 2 DUMPER DOWN PB </t>
        </is>
      </c>
      <c r="G515" s="131" t="inlineStr">
        <is>
          <t>DG7021</t>
        </is>
      </c>
      <c r="H515" s="128" t="inlineStr">
        <is>
          <t>PROC</t>
        </is>
      </c>
      <c r="I515" s="132" t="inlineStr">
        <is>
          <t>RL7-CKR2-RIO1</t>
        </is>
      </c>
      <c r="J515" s="133" t="n">
        <v>13</v>
      </c>
      <c r="K515" s="129" t="n">
        <v>6</v>
      </c>
      <c r="L515" s="129" t="n">
        <v>3</v>
      </c>
      <c r="M515" s="129" t="inlineStr">
        <is>
          <t>24 VDC DI</t>
        </is>
      </c>
      <c r="N515" s="129" t="inlineStr">
        <is>
          <t>5069-IB16</t>
        </is>
      </c>
      <c r="O515" s="139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40" t="n"/>
      <c r="AA515" t="inlineStr">
        <is>
          <t>Matched</t>
        </is>
      </c>
      <c r="AB515" s="315" t="n">
        <v>0.99</v>
      </c>
      <c r="AC515" t="inlineStr">
        <is>
          <t>High</t>
        </is>
      </c>
      <c r="AD515" t="n">
        <v>1</v>
      </c>
      <c r="AE515" t="inlineStr">
        <is>
          <t>DG7021</t>
        </is>
      </c>
      <c r="AF515" t="n">
        <v>13</v>
      </c>
      <c r="AG515" t="inlineStr">
        <is>
          <t>drawing</t>
        </is>
      </c>
      <c r="AH515" t="inlineStr">
        <is>
          <t>stacked:isa</t>
        </is>
      </c>
      <c r="AI515" t="inlineStr">
        <is>
          <t>drawing zone; process page; mapped sheet; excel sheet match</t>
        </is>
      </c>
      <c r="AJ515" t="inlineStr">
        <is>
          <t>native</t>
        </is>
      </c>
      <c r="AK515" t="inlineStr">
        <is>
          <t>native-only</t>
        </is>
      </c>
      <c r="AM515" t="inlineStr">
        <is>
          <t>13</t>
        </is>
      </c>
      <c r="AN515" t="inlineStr">
        <is>
          <t>Yes</t>
        </is>
      </c>
      <c r="AO515" t="inlineStr">
        <is>
          <t>mapped sheet id</t>
        </is>
      </c>
      <c r="AP515" t="inlineStr">
        <is>
          <t>p13:native:202, p13:native:203</t>
        </is>
      </c>
      <c r="AQ515" t="n">
        <v>2</v>
      </c>
    </row>
    <row r="516" customFormat="1" s="149">
      <c r="A516" s="203">
        <f>ROW()-1</f>
        <v/>
      </c>
      <c r="B516" s="128" t="inlineStr">
        <is>
          <t>RL7-MLT-108-PB-02</t>
        </is>
      </c>
      <c r="C516" s="314" t="inlineStr">
        <is>
          <t>RL7-MLT-108-PB-02</t>
        </is>
      </c>
      <c r="D516" s="262" t="inlineStr">
        <is>
          <t>PB606011</t>
        </is>
      </c>
      <c r="E516" s="128" t="inlineStr">
        <is>
          <t>JIC8B</t>
        </is>
      </c>
      <c r="F516" s="138" t="inlineStr">
        <is>
          <t xml:space="preserve">COOKER 2 DUMPER UP PB </t>
        </is>
      </c>
      <c r="G516" s="131" t="inlineStr">
        <is>
          <t>DG7021</t>
        </is>
      </c>
      <c r="H516" s="128" t="inlineStr">
        <is>
          <t>PROC</t>
        </is>
      </c>
      <c r="I516" s="132" t="inlineStr">
        <is>
          <t>RL7-CKR2-RIO1</t>
        </is>
      </c>
      <c r="J516" s="133" t="n">
        <v>13</v>
      </c>
      <c r="K516" s="129" t="n">
        <v>6</v>
      </c>
      <c r="L516" s="129" t="n">
        <v>4</v>
      </c>
      <c r="M516" s="129" t="inlineStr">
        <is>
          <t>24 VDC DI</t>
        </is>
      </c>
      <c r="N516" s="129" t="inlineStr">
        <is>
          <t>5069-IB16</t>
        </is>
      </c>
      <c r="O516" s="139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40" t="n"/>
      <c r="AA516" t="inlineStr">
        <is>
          <t>Matched</t>
        </is>
      </c>
      <c r="AB516" s="315" t="n">
        <v>0.99</v>
      </c>
      <c r="AC516" t="inlineStr">
        <is>
          <t>High</t>
        </is>
      </c>
      <c r="AD516" t="n">
        <v>1</v>
      </c>
      <c r="AE516" t="inlineStr">
        <is>
          <t>DG7021</t>
        </is>
      </c>
      <c r="AF516" t="n">
        <v>13</v>
      </c>
      <c r="AG516" t="inlineStr">
        <is>
          <t>drawing</t>
        </is>
      </c>
      <c r="AH516" t="inlineStr">
        <is>
          <t>stacked:isa</t>
        </is>
      </c>
      <c r="AI516" t="inlineStr">
        <is>
          <t>drawing zone; process page; mapped sheet; excel sheet match</t>
        </is>
      </c>
      <c r="AJ516" t="inlineStr">
        <is>
          <t>native</t>
        </is>
      </c>
      <c r="AK516" t="inlineStr">
        <is>
          <t>native-only</t>
        </is>
      </c>
      <c r="AM516" t="inlineStr">
        <is>
          <t>13</t>
        </is>
      </c>
      <c r="AN516" t="inlineStr">
        <is>
          <t>Yes</t>
        </is>
      </c>
      <c r="AO516" t="inlineStr">
        <is>
          <t>mapped sheet id</t>
        </is>
      </c>
      <c r="AP516" t="inlineStr">
        <is>
          <t>p13:native:200, p13:native:201</t>
        </is>
      </c>
      <c r="AQ516" t="n">
        <v>2</v>
      </c>
    </row>
    <row r="517" customFormat="1" s="149">
      <c r="A517" s="203">
        <f>ROW()-1</f>
        <v/>
      </c>
      <c r="B517" s="128" t="inlineStr">
        <is>
          <t>RL7-CKR-102-ZSO-18</t>
        </is>
      </c>
      <c r="C517" s="314" t="inlineStr">
        <is>
          <t>RL7-CKR-102-ZSO-18</t>
        </is>
      </c>
      <c r="D517" s="262" t="inlineStr">
        <is>
          <t>PRS407111</t>
        </is>
      </c>
      <c r="E517" s="128" t="n"/>
      <c r="F517" s="138" t="inlineStr">
        <is>
          <t>COOKER 2 LEFT DISCHARGE VALVE OPEN</t>
        </is>
      </c>
      <c r="G517" s="131" t="inlineStr">
        <is>
          <t>DG7021</t>
        </is>
      </c>
      <c r="H517" s="128" t="inlineStr">
        <is>
          <t>PROC</t>
        </is>
      </c>
      <c r="I517" s="132" t="inlineStr">
        <is>
          <t>RL7-CKR2-RIO1</t>
        </is>
      </c>
      <c r="J517" s="133" t="n">
        <v>13</v>
      </c>
      <c r="K517" s="129" t="n">
        <v>6</v>
      </c>
      <c r="L517" s="129" t="n">
        <v>6</v>
      </c>
      <c r="M517" s="129" t="inlineStr">
        <is>
          <t>24 VDC DI</t>
        </is>
      </c>
      <c r="N517" s="129" t="inlineStr">
        <is>
          <t>5069-IB16</t>
        </is>
      </c>
      <c r="O517" s="139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55" t="n"/>
      <c r="AA517" t="inlineStr">
        <is>
          <t>Matched</t>
        </is>
      </c>
      <c r="AB517" s="315" t="n">
        <v>0.99</v>
      </c>
      <c r="AC517" t="inlineStr">
        <is>
          <t>High</t>
        </is>
      </c>
      <c r="AD517" t="n">
        <v>1</v>
      </c>
      <c r="AE517" t="inlineStr">
        <is>
          <t>DG7021</t>
        </is>
      </c>
      <c r="AF517" t="n">
        <v>13</v>
      </c>
      <c r="AG517" t="inlineStr">
        <is>
          <t>drawing</t>
        </is>
      </c>
      <c r="AH517" t="inlineStr">
        <is>
          <t>stacked:isa</t>
        </is>
      </c>
      <c r="AI517" t="inlineStr">
        <is>
          <t>drawing zone; process page; mapped sheet; excel sheet match</t>
        </is>
      </c>
      <c r="AJ517" t="inlineStr">
        <is>
          <t>native</t>
        </is>
      </c>
      <c r="AK517" t="inlineStr">
        <is>
          <t>native-only</t>
        </is>
      </c>
      <c r="AM517" t="inlineStr">
        <is>
          <t>13</t>
        </is>
      </c>
      <c r="AN517" t="inlineStr">
        <is>
          <t>Yes</t>
        </is>
      </c>
      <c r="AO517" t="inlineStr">
        <is>
          <t>mapped sheet id</t>
        </is>
      </c>
      <c r="AP517" t="inlineStr">
        <is>
          <t>p13:native:398, p13:native:399</t>
        </is>
      </c>
      <c r="AQ517" t="n">
        <v>2</v>
      </c>
    </row>
    <row r="518" customFormat="1" s="149">
      <c r="A518" s="203">
        <f>ROW()-1</f>
        <v/>
      </c>
      <c r="B518" s="128" t="inlineStr">
        <is>
          <t>RL7-CKR-102-ZSC-18</t>
        </is>
      </c>
      <c r="C518" s="314" t="inlineStr">
        <is>
          <t>RL7-CKR-102-ZSC-18</t>
        </is>
      </c>
      <c r="D518" s="262" t="inlineStr">
        <is>
          <t>PRS407111</t>
        </is>
      </c>
      <c r="E518" s="128" t="n"/>
      <c r="F518" s="138" t="inlineStr">
        <is>
          <t>COOKER 2 LEFT DISCHARGE VALVE CLOSE</t>
        </is>
      </c>
      <c r="G518" s="131" t="inlineStr">
        <is>
          <t>DG7021</t>
        </is>
      </c>
      <c r="H518" s="128" t="inlineStr">
        <is>
          <t>PROC</t>
        </is>
      </c>
      <c r="I518" s="132" t="inlineStr">
        <is>
          <t>RL7-CKR2-RIO1</t>
        </is>
      </c>
      <c r="J518" s="133" t="n">
        <v>13</v>
      </c>
      <c r="K518" s="129" t="n">
        <v>6</v>
      </c>
      <c r="L518" s="129" t="n">
        <v>7</v>
      </c>
      <c r="M518" s="129" t="inlineStr">
        <is>
          <t>24 VDC DI</t>
        </is>
      </c>
      <c r="N518" s="129" t="inlineStr">
        <is>
          <t>5069-IB16</t>
        </is>
      </c>
      <c r="O518" s="139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55" t="n"/>
      <c r="AA518" t="inlineStr">
        <is>
          <t>Matched</t>
        </is>
      </c>
      <c r="AB518" s="315" t="n">
        <v>0.99</v>
      </c>
      <c r="AC518" t="inlineStr">
        <is>
          <t>High</t>
        </is>
      </c>
      <c r="AD518" t="n">
        <v>1</v>
      </c>
      <c r="AE518" t="inlineStr">
        <is>
          <t>DG7021</t>
        </is>
      </c>
      <c r="AF518" t="n">
        <v>13</v>
      </c>
      <c r="AG518" t="inlineStr">
        <is>
          <t>drawing</t>
        </is>
      </c>
      <c r="AH518" t="inlineStr">
        <is>
          <t>stacked:isa</t>
        </is>
      </c>
      <c r="AI518" t="inlineStr">
        <is>
          <t>drawing zone; process page; mapped sheet; excel sheet match</t>
        </is>
      </c>
      <c r="AJ518" t="inlineStr">
        <is>
          <t>native</t>
        </is>
      </c>
      <c r="AK518" t="inlineStr">
        <is>
          <t>native-only</t>
        </is>
      </c>
      <c r="AM518" t="inlineStr">
        <is>
          <t>13</t>
        </is>
      </c>
      <c r="AN518" t="inlineStr">
        <is>
          <t>Yes</t>
        </is>
      </c>
      <c r="AO518" t="inlineStr">
        <is>
          <t>mapped sheet id</t>
        </is>
      </c>
      <c r="AP518" t="inlineStr">
        <is>
          <t>p13:native:400, p13:native:401</t>
        </is>
      </c>
      <c r="AQ518" t="n">
        <v>2</v>
      </c>
    </row>
    <row r="519" customFormat="1" s="149">
      <c r="A519" s="203">
        <f>ROW()-1</f>
        <v/>
      </c>
      <c r="B519" s="128" t="inlineStr">
        <is>
          <t>RL7-CKR-102-ZSO-19</t>
        </is>
      </c>
      <c r="C519" s="314" t="inlineStr">
        <is>
          <t>RL7-CKR-102-ZSO-19</t>
        </is>
      </c>
      <c r="D519" s="262" t="inlineStr">
        <is>
          <t>PRS407131</t>
        </is>
      </c>
      <c r="E519" s="128" t="n"/>
      <c r="F519" s="138" t="inlineStr">
        <is>
          <t>COOKER 2 RIGHT DISCHARGE VALVE OPEN</t>
        </is>
      </c>
      <c r="G519" s="131" t="inlineStr">
        <is>
          <t>DG7021</t>
        </is>
      </c>
      <c r="H519" s="128" t="inlineStr">
        <is>
          <t>PROC</t>
        </is>
      </c>
      <c r="I519" s="132" t="inlineStr">
        <is>
          <t>RL7-CKR2-RIO1</t>
        </is>
      </c>
      <c r="J519" s="133" t="n">
        <v>13</v>
      </c>
      <c r="K519" s="129" t="n">
        <v>6</v>
      </c>
      <c r="L519" s="129" t="n">
        <v>8</v>
      </c>
      <c r="M519" s="129" t="inlineStr">
        <is>
          <t>24 VDC DI</t>
        </is>
      </c>
      <c r="N519" s="129" t="inlineStr">
        <is>
          <t>5069-IB16</t>
        </is>
      </c>
      <c r="O519" s="139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55" t="n"/>
      <c r="AA519" t="inlineStr">
        <is>
          <t>Matched</t>
        </is>
      </c>
      <c r="AB519" s="315" t="n">
        <v>0.99</v>
      </c>
      <c r="AC519" t="inlineStr">
        <is>
          <t>High</t>
        </is>
      </c>
      <c r="AD519" t="n">
        <v>1</v>
      </c>
      <c r="AE519" t="inlineStr">
        <is>
          <t>DG7021</t>
        </is>
      </c>
      <c r="AF519" t="n">
        <v>13</v>
      </c>
      <c r="AG519" t="inlineStr">
        <is>
          <t>drawing</t>
        </is>
      </c>
      <c r="AH519" t="inlineStr">
        <is>
          <t>stacked:isa</t>
        </is>
      </c>
      <c r="AI519" t="inlineStr">
        <is>
          <t>drawing zone; process page; mapped sheet; excel sheet match</t>
        </is>
      </c>
      <c r="AJ519" t="inlineStr">
        <is>
          <t>native</t>
        </is>
      </c>
      <c r="AK519" t="inlineStr">
        <is>
          <t>native-only</t>
        </is>
      </c>
      <c r="AM519" t="inlineStr">
        <is>
          <t>13</t>
        </is>
      </c>
      <c r="AN519" t="inlineStr">
        <is>
          <t>Yes</t>
        </is>
      </c>
      <c r="AO519" t="inlineStr">
        <is>
          <t>mapped sheet id</t>
        </is>
      </c>
      <c r="AP519" t="inlineStr">
        <is>
          <t>p13:native:166, p13:native:167</t>
        </is>
      </c>
      <c r="AQ519" t="n">
        <v>2</v>
      </c>
    </row>
    <row r="520" customFormat="1" s="149">
      <c r="A520" s="203">
        <f>ROW()-1</f>
        <v/>
      </c>
      <c r="B520" s="128" t="inlineStr">
        <is>
          <t>RL7-CKR-102-ZSC-19</t>
        </is>
      </c>
      <c r="C520" s="314" t="inlineStr">
        <is>
          <t>RL7-CKR-102-ZSC-19</t>
        </is>
      </c>
      <c r="D520" s="262" t="inlineStr">
        <is>
          <t>PRS407131</t>
        </is>
      </c>
      <c r="E520" s="128" t="n"/>
      <c r="F520" s="138" t="inlineStr">
        <is>
          <t>COOKER 2 RIGHT DISCHARGE VALVE CLOSE</t>
        </is>
      </c>
      <c r="G520" s="131" t="inlineStr">
        <is>
          <t>DG7021</t>
        </is>
      </c>
      <c r="H520" s="128" t="inlineStr">
        <is>
          <t>PROC</t>
        </is>
      </c>
      <c r="I520" s="132" t="inlineStr">
        <is>
          <t>RL7-CKR2-RIO1</t>
        </is>
      </c>
      <c r="J520" s="133" t="n">
        <v>13</v>
      </c>
      <c r="K520" s="129" t="n">
        <v>6</v>
      </c>
      <c r="L520" s="129" t="n">
        <v>9</v>
      </c>
      <c r="M520" s="129" t="inlineStr">
        <is>
          <t>24 VDC DI</t>
        </is>
      </c>
      <c r="N520" s="129" t="inlineStr">
        <is>
          <t>5069-IB16</t>
        </is>
      </c>
      <c r="O520" s="139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55" t="n"/>
      <c r="AA520" t="inlineStr">
        <is>
          <t>Matched</t>
        </is>
      </c>
      <c r="AB520" s="315" t="n">
        <v>0.99</v>
      </c>
      <c r="AC520" t="inlineStr">
        <is>
          <t>High</t>
        </is>
      </c>
      <c r="AD520" t="n">
        <v>1</v>
      </c>
      <c r="AE520" t="inlineStr">
        <is>
          <t>DG7021</t>
        </is>
      </c>
      <c r="AF520" t="n">
        <v>13</v>
      </c>
      <c r="AG520" t="inlineStr">
        <is>
          <t>drawing</t>
        </is>
      </c>
      <c r="AH520" t="inlineStr">
        <is>
          <t>stacked:isa</t>
        </is>
      </c>
      <c r="AI520" t="inlineStr">
        <is>
          <t>drawing zone; process page; mapped sheet; excel sheet match</t>
        </is>
      </c>
      <c r="AJ520" t="inlineStr">
        <is>
          <t>native</t>
        </is>
      </c>
      <c r="AK520" t="inlineStr">
        <is>
          <t>native-only</t>
        </is>
      </c>
      <c r="AM520" t="inlineStr">
        <is>
          <t>13</t>
        </is>
      </c>
      <c r="AN520" t="inlineStr">
        <is>
          <t>Yes</t>
        </is>
      </c>
      <c r="AO520" t="inlineStr">
        <is>
          <t>mapped sheet id</t>
        </is>
      </c>
      <c r="AP520" t="inlineStr">
        <is>
          <t>p13:native:168, p13:native:169</t>
        </is>
      </c>
      <c r="AQ520" t="n">
        <v>2</v>
      </c>
    </row>
    <row r="521" customFormat="1" s="149">
      <c r="A521" s="203">
        <f>ROW()-1</f>
        <v/>
      </c>
      <c r="B521" s="128" t="inlineStr">
        <is>
          <t>RL7-MTL-108-PBL-01</t>
        </is>
      </c>
      <c r="C521" s="313" t="inlineStr">
        <is>
          <t>RL7-MLT-108-PBL-01</t>
        </is>
      </c>
      <c r="D521" s="262" t="inlineStr">
        <is>
          <t>PB605011</t>
        </is>
      </c>
      <c r="E521" s="128" t="inlineStr">
        <is>
          <t>JIC8B</t>
        </is>
      </c>
      <c r="F521" s="138" t="inlineStr">
        <is>
          <t xml:space="preserve">COOKER 2 DUMPER E-STOP PB PILOT LIGHT </t>
        </is>
      </c>
      <c r="G521" s="131" t="inlineStr">
        <is>
          <t>DG7021</t>
        </is>
      </c>
      <c r="H521" s="128" t="inlineStr">
        <is>
          <t>PROC</t>
        </is>
      </c>
      <c r="I521" s="132" t="inlineStr">
        <is>
          <t>RL7-CKR2-RIO1</t>
        </is>
      </c>
      <c r="J521" s="133" t="n">
        <v>13</v>
      </c>
      <c r="K521" s="129" t="n">
        <v>8</v>
      </c>
      <c r="L521" s="129" t="n">
        <v>0</v>
      </c>
      <c r="M521" s="129" t="inlineStr">
        <is>
          <t>24 VDC DO</t>
        </is>
      </c>
      <c r="N521" s="129" t="inlineStr">
        <is>
          <t>5069-OB16</t>
        </is>
      </c>
      <c r="O521" s="139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40" t="n"/>
      <c r="AA521" t="inlineStr">
        <is>
          <t>Not found in PDF</t>
        </is>
      </c>
      <c r="AC521" t="inlineStr">
        <is>
          <t>Low</t>
        </is>
      </c>
      <c r="AM521" t="inlineStr">
        <is>
          <t>13</t>
        </is>
      </c>
      <c r="AN521" t="inlineStr">
        <is>
          <t>Yes</t>
        </is>
      </c>
      <c r="AO521" t="inlineStr">
        <is>
          <t>mapped sheet id</t>
        </is>
      </c>
    </row>
    <row r="522" customFormat="1" s="149">
      <c r="A522" s="203">
        <f>ROW()-1</f>
        <v/>
      </c>
      <c r="B522" s="128" t="n"/>
      <c r="C522" s="314" t="inlineStr">
        <is>
          <t>RL7-MLT-108-PL-01R</t>
        </is>
      </c>
      <c r="D522" s="262" t="n"/>
      <c r="E522" s="128" t="n"/>
      <c r="F522" s="141" t="inlineStr">
        <is>
          <t>COOKER 2 DUMPER RED PILOT LIGHT</t>
        </is>
      </c>
      <c r="G522" s="142" t="inlineStr">
        <is>
          <t>DG7021</t>
        </is>
      </c>
      <c r="H522" s="133" t="inlineStr">
        <is>
          <t>PROC</t>
        </is>
      </c>
      <c r="I522" s="132" t="inlineStr">
        <is>
          <t>RL7-CKR2-RIO1</t>
        </is>
      </c>
      <c r="J522" s="133" t="n">
        <v>13</v>
      </c>
      <c r="K522" s="128" t="n">
        <v>8</v>
      </c>
      <c r="L522" s="128" t="n">
        <v>1</v>
      </c>
      <c r="M522" s="128" t="inlineStr">
        <is>
          <t>24 VDC DO</t>
        </is>
      </c>
      <c r="N522" s="128" t="inlineStr">
        <is>
          <t>5069-OB16</t>
        </is>
      </c>
      <c r="O522" s="139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40" t="n"/>
      <c r="AA522" t="inlineStr">
        <is>
          <t>Matched</t>
        </is>
      </c>
      <c r="AB522" s="315" t="n">
        <v>0.99</v>
      </c>
      <c r="AC522" t="inlineStr">
        <is>
          <t>High</t>
        </is>
      </c>
      <c r="AD522" t="n">
        <v>1</v>
      </c>
      <c r="AE522" t="inlineStr">
        <is>
          <t>DG7021</t>
        </is>
      </c>
      <c r="AF522" t="n">
        <v>13</v>
      </c>
      <c r="AG522" t="inlineStr">
        <is>
          <t>drawing</t>
        </is>
      </c>
      <c r="AH522" t="inlineStr">
        <is>
          <t>stacked:isa</t>
        </is>
      </c>
      <c r="AI522" t="inlineStr">
        <is>
          <t>drawing zone; process page; mapped sheet; excel sheet match</t>
        </is>
      </c>
      <c r="AJ522" t="inlineStr">
        <is>
          <t>native</t>
        </is>
      </c>
      <c r="AK522" t="inlineStr">
        <is>
          <t>native-only</t>
        </is>
      </c>
      <c r="AM522" t="inlineStr">
        <is>
          <t>13</t>
        </is>
      </c>
      <c r="AN522" t="inlineStr">
        <is>
          <t>Yes</t>
        </is>
      </c>
      <c r="AO522" t="inlineStr">
        <is>
          <t>mapped sheet id</t>
        </is>
      </c>
      <c r="AP522" t="inlineStr">
        <is>
          <t>p13:native:206, p13:native:207</t>
        </is>
      </c>
      <c r="AQ522" t="n">
        <v>2</v>
      </c>
    </row>
    <row r="523" customFormat="1" s="149">
      <c r="A523" s="203">
        <f>ROW()-1</f>
        <v/>
      </c>
      <c r="B523" s="128" t="n"/>
      <c r="C523" s="314" t="inlineStr">
        <is>
          <t>RL7-MLT-108-PL-01Y</t>
        </is>
      </c>
      <c r="D523" s="262" t="n"/>
      <c r="E523" s="128" t="n"/>
      <c r="F523" s="141" t="inlineStr">
        <is>
          <t>COOKER 2 DUMPER YELLOW PILOT LIGHT</t>
        </is>
      </c>
      <c r="G523" s="142" t="inlineStr">
        <is>
          <t>DG7021</t>
        </is>
      </c>
      <c r="H523" s="133" t="inlineStr">
        <is>
          <t>PROC</t>
        </is>
      </c>
      <c r="I523" s="132" t="inlineStr">
        <is>
          <t>RL7-CKR2-RIO1</t>
        </is>
      </c>
      <c r="J523" s="133" t="n">
        <v>13</v>
      </c>
      <c r="K523" s="128" t="n">
        <v>8</v>
      </c>
      <c r="L523" s="128" t="n">
        <v>2</v>
      </c>
      <c r="M523" s="128" t="inlineStr">
        <is>
          <t>24 VDC DO</t>
        </is>
      </c>
      <c r="N523" s="128" t="inlineStr">
        <is>
          <t>5069-OB16</t>
        </is>
      </c>
      <c r="O523" s="139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40" t="n"/>
      <c r="AA523" t="inlineStr">
        <is>
          <t>Matched</t>
        </is>
      </c>
      <c r="AB523" s="315" t="n">
        <v>0.99</v>
      </c>
      <c r="AC523" t="inlineStr">
        <is>
          <t>High</t>
        </is>
      </c>
      <c r="AD523" t="n">
        <v>1</v>
      </c>
      <c r="AE523" t="inlineStr">
        <is>
          <t>DG7021</t>
        </is>
      </c>
      <c r="AF523" t="n">
        <v>13</v>
      </c>
      <c r="AG523" t="inlineStr">
        <is>
          <t>drawing</t>
        </is>
      </c>
      <c r="AH523" t="inlineStr">
        <is>
          <t>stacked:isa</t>
        </is>
      </c>
      <c r="AI523" t="inlineStr">
        <is>
          <t>drawing zone; process page; mapped sheet; excel sheet match</t>
        </is>
      </c>
      <c r="AJ523" t="inlineStr">
        <is>
          <t>native</t>
        </is>
      </c>
      <c r="AK523" t="inlineStr">
        <is>
          <t>native-only</t>
        </is>
      </c>
      <c r="AM523" t="inlineStr">
        <is>
          <t>13</t>
        </is>
      </c>
      <c r="AN523" t="inlineStr">
        <is>
          <t>Yes</t>
        </is>
      </c>
      <c r="AO523" t="inlineStr">
        <is>
          <t>mapped sheet id</t>
        </is>
      </c>
      <c r="AP523" t="inlineStr">
        <is>
          <t>p13:native:208, p13:native:209</t>
        </is>
      </c>
      <c r="AQ523" t="n">
        <v>2</v>
      </c>
    </row>
    <row r="524" customFormat="1" s="149">
      <c r="A524" s="203">
        <f>ROW()-1</f>
        <v/>
      </c>
      <c r="B524" s="128" t="n"/>
      <c r="C524" s="314" t="inlineStr">
        <is>
          <t>RL7-MLT-108-PL-01G</t>
        </is>
      </c>
      <c r="D524" s="262" t="n"/>
      <c r="E524" s="128" t="n"/>
      <c r="F524" s="141" t="inlineStr">
        <is>
          <t>COOKER 2 DUMPER GREEN PILOT LIGHT</t>
        </is>
      </c>
      <c r="G524" s="142" t="inlineStr">
        <is>
          <t>DG7021</t>
        </is>
      </c>
      <c r="H524" s="133" t="inlineStr">
        <is>
          <t>PROC</t>
        </is>
      </c>
      <c r="I524" s="132" t="inlineStr">
        <is>
          <t>RL7-CKR2-RIO1</t>
        </is>
      </c>
      <c r="J524" s="133" t="n">
        <v>13</v>
      </c>
      <c r="K524" s="128" t="n">
        <v>8</v>
      </c>
      <c r="L524" s="128" t="n">
        <v>3</v>
      </c>
      <c r="M524" s="128" t="inlineStr">
        <is>
          <t>24 VDC DO</t>
        </is>
      </c>
      <c r="N524" s="128" t="inlineStr">
        <is>
          <t>5069-OB16</t>
        </is>
      </c>
      <c r="O524" s="139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40" t="n"/>
      <c r="AA524" t="inlineStr">
        <is>
          <t>Matched</t>
        </is>
      </c>
      <c r="AB524" s="315" t="n">
        <v>0.99</v>
      </c>
      <c r="AC524" t="inlineStr">
        <is>
          <t>High</t>
        </is>
      </c>
      <c r="AD524" t="n">
        <v>1</v>
      </c>
      <c r="AE524" t="inlineStr">
        <is>
          <t>DG7021</t>
        </is>
      </c>
      <c r="AF524" t="n">
        <v>13</v>
      </c>
      <c r="AG524" t="inlineStr">
        <is>
          <t>drawing</t>
        </is>
      </c>
      <c r="AH524" t="inlineStr">
        <is>
          <t>stacked:isa</t>
        </is>
      </c>
      <c r="AI524" t="inlineStr">
        <is>
          <t>drawing zone; process page; mapped sheet; excel sheet match</t>
        </is>
      </c>
      <c r="AJ524" t="inlineStr">
        <is>
          <t>native</t>
        </is>
      </c>
      <c r="AK524" t="inlineStr">
        <is>
          <t>native-only</t>
        </is>
      </c>
      <c r="AM524" t="inlineStr">
        <is>
          <t>13</t>
        </is>
      </c>
      <c r="AN524" t="inlineStr">
        <is>
          <t>Yes</t>
        </is>
      </c>
      <c r="AO524" t="inlineStr">
        <is>
          <t>mapped sheet id</t>
        </is>
      </c>
      <c r="AP524" t="inlineStr">
        <is>
          <t>p13:native:210, p13:native:211</t>
        </is>
      </c>
      <c r="AQ524" t="n">
        <v>2</v>
      </c>
    </row>
    <row r="525" customFormat="1" s="149">
      <c r="A525" s="203">
        <f>ROW()-1</f>
        <v/>
      </c>
      <c r="B525" s="128" t="inlineStr">
        <is>
          <t>RL7-CKR-102-PBL-01</t>
        </is>
      </c>
      <c r="C525" s="313" t="inlineStr">
        <is>
          <t>RL7-CKR-102-PBL-02</t>
        </is>
      </c>
      <c r="D525" s="262" t="n"/>
      <c r="E525" s="128" t="n"/>
      <c r="F525" s="138" t="inlineStr">
        <is>
          <t>COOKER 2 E-STOP PB PILOT LIGHT</t>
        </is>
      </c>
      <c r="G525" s="131" t="inlineStr">
        <is>
          <t>DG7021</t>
        </is>
      </c>
      <c r="H525" s="128" t="inlineStr">
        <is>
          <t>PROC</t>
        </is>
      </c>
      <c r="I525" s="132" t="inlineStr">
        <is>
          <t>RL7-CKR2-RIO1</t>
        </is>
      </c>
      <c r="J525" s="133" t="n">
        <v>13</v>
      </c>
      <c r="K525" s="129" t="n">
        <v>8</v>
      </c>
      <c r="L525" s="129" t="n">
        <v>4</v>
      </c>
      <c r="M525" s="129" t="inlineStr">
        <is>
          <t>24 VDC DO</t>
        </is>
      </c>
      <c r="N525" s="129" t="inlineStr">
        <is>
          <t>5069-OB16</t>
        </is>
      </c>
      <c r="O525" s="139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40" t="n"/>
      <c r="AA525" t="inlineStr">
        <is>
          <t>Not found in PDF</t>
        </is>
      </c>
      <c r="AC525" t="inlineStr">
        <is>
          <t>Low</t>
        </is>
      </c>
      <c r="AM525" t="inlineStr">
        <is>
          <t>13</t>
        </is>
      </c>
      <c r="AN525" t="inlineStr">
        <is>
          <t>Yes</t>
        </is>
      </c>
      <c r="AO525" t="inlineStr">
        <is>
          <t>mapped sheet id</t>
        </is>
      </c>
    </row>
    <row r="526" customFormat="1" s="149">
      <c r="A526" s="203">
        <f>ROW()-1</f>
        <v/>
      </c>
      <c r="B526" s="128" t="inlineStr">
        <is>
          <t>RL7-CKR-102-PL-01R</t>
        </is>
      </c>
      <c r="C526" s="314" t="inlineStr">
        <is>
          <t>RL7-CKR-102-PL-01R</t>
        </is>
      </c>
      <c r="D526" s="262" t="n"/>
      <c r="E526" s="128" t="n"/>
      <c r="F526" s="138" t="inlineStr">
        <is>
          <t>COOKER 2 RED PILOT LIGHT</t>
        </is>
      </c>
      <c r="G526" s="131" t="inlineStr">
        <is>
          <t>DG7021</t>
        </is>
      </c>
      <c r="H526" s="128" t="inlineStr">
        <is>
          <t>PROC</t>
        </is>
      </c>
      <c r="I526" s="132" t="inlineStr">
        <is>
          <t>RL7-CKR2-RIO1</t>
        </is>
      </c>
      <c r="J526" s="133" t="n">
        <v>13</v>
      </c>
      <c r="K526" s="129" t="n">
        <v>8</v>
      </c>
      <c r="L526" s="129" t="n">
        <v>5</v>
      </c>
      <c r="M526" s="129" t="inlineStr">
        <is>
          <t>24 VDC DO</t>
        </is>
      </c>
      <c r="N526" s="129" t="inlineStr">
        <is>
          <t>5069-OB16</t>
        </is>
      </c>
      <c r="O526" s="139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40" t="n"/>
      <c r="AA526" t="inlineStr">
        <is>
          <t>Matched</t>
        </is>
      </c>
      <c r="AB526" s="315" t="n">
        <v>0.99</v>
      </c>
      <c r="AC526" t="inlineStr">
        <is>
          <t>High</t>
        </is>
      </c>
      <c r="AD526" t="n">
        <v>1</v>
      </c>
      <c r="AE526" t="inlineStr">
        <is>
          <t>DG7021</t>
        </is>
      </c>
      <c r="AF526" t="n">
        <v>13</v>
      </c>
      <c r="AG526" t="inlineStr">
        <is>
          <t>drawing</t>
        </is>
      </c>
      <c r="AH526" t="inlineStr">
        <is>
          <t>stacked:isa</t>
        </is>
      </c>
      <c r="AI526" t="inlineStr">
        <is>
          <t>drawing zone; process page; mapped sheet; excel sheet match</t>
        </is>
      </c>
      <c r="AJ526" t="inlineStr">
        <is>
          <t>native</t>
        </is>
      </c>
      <c r="AK526" t="inlineStr">
        <is>
          <t>native-only</t>
        </is>
      </c>
      <c r="AM526" t="inlineStr">
        <is>
          <t>13</t>
        </is>
      </c>
      <c r="AN526" t="inlineStr">
        <is>
          <t>Yes</t>
        </is>
      </c>
      <c r="AO526" t="inlineStr">
        <is>
          <t>mapped sheet id</t>
        </is>
      </c>
      <c r="AP526" t="inlineStr">
        <is>
          <t>p13:native:232, p13:native:233</t>
        </is>
      </c>
      <c r="AQ526" t="n">
        <v>2</v>
      </c>
    </row>
    <row r="527" customFormat="1" s="149">
      <c r="A527" s="203">
        <f>ROW()-1</f>
        <v/>
      </c>
      <c r="B527" s="128" t="inlineStr">
        <is>
          <t>RL7-CKR-102-PL-01Y</t>
        </is>
      </c>
      <c r="C527" s="314" t="inlineStr">
        <is>
          <t>RL7-CKR-102-PL-01Y</t>
        </is>
      </c>
      <c r="D527" s="262" t="n"/>
      <c r="E527" s="128" t="n"/>
      <c r="F527" s="138" t="inlineStr">
        <is>
          <t>COOKER 2 YELLOW PILOT LIGHT</t>
        </is>
      </c>
      <c r="G527" s="131" t="inlineStr">
        <is>
          <t>DG7021</t>
        </is>
      </c>
      <c r="H527" s="128" t="inlineStr">
        <is>
          <t>PROC</t>
        </is>
      </c>
      <c r="I527" s="132" t="inlineStr">
        <is>
          <t>RL7-CKR2-RIO1</t>
        </is>
      </c>
      <c r="J527" s="133" t="n">
        <v>13</v>
      </c>
      <c r="K527" s="129" t="n">
        <v>8</v>
      </c>
      <c r="L527" s="129" t="n">
        <v>6</v>
      </c>
      <c r="M527" s="129" t="inlineStr">
        <is>
          <t>24 VDC DO</t>
        </is>
      </c>
      <c r="N527" s="129" t="inlineStr">
        <is>
          <t>5069-OB16</t>
        </is>
      </c>
      <c r="O527" s="139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40" t="n"/>
      <c r="AA527" t="inlineStr">
        <is>
          <t>Matched</t>
        </is>
      </c>
      <c r="AB527" s="315" t="n">
        <v>0.99</v>
      </c>
      <c r="AC527" t="inlineStr">
        <is>
          <t>High</t>
        </is>
      </c>
      <c r="AD527" t="n">
        <v>1</v>
      </c>
      <c r="AE527" t="inlineStr">
        <is>
          <t>DG7021</t>
        </is>
      </c>
      <c r="AF527" t="n">
        <v>13</v>
      </c>
      <c r="AG527" t="inlineStr">
        <is>
          <t>drawing</t>
        </is>
      </c>
      <c r="AH527" t="inlineStr">
        <is>
          <t>stacked:isa</t>
        </is>
      </c>
      <c r="AI527" t="inlineStr">
        <is>
          <t>drawing zone; process page; mapped sheet; excel sheet match</t>
        </is>
      </c>
      <c r="AJ527" t="inlineStr">
        <is>
          <t>native</t>
        </is>
      </c>
      <c r="AK527" t="inlineStr">
        <is>
          <t>native-only</t>
        </is>
      </c>
      <c r="AM527" t="inlineStr">
        <is>
          <t>13</t>
        </is>
      </c>
      <c r="AN527" t="inlineStr">
        <is>
          <t>Yes</t>
        </is>
      </c>
      <c r="AO527" t="inlineStr">
        <is>
          <t>mapped sheet id</t>
        </is>
      </c>
      <c r="AP527" t="inlineStr">
        <is>
          <t>p13:native:234, p13:native:235</t>
        </is>
      </c>
      <c r="AQ527" t="n">
        <v>2</v>
      </c>
    </row>
    <row r="528" customFormat="1" s="149">
      <c r="A528" s="203">
        <f>ROW()-1</f>
        <v/>
      </c>
      <c r="B528" s="128" t="inlineStr">
        <is>
          <t>RL7-CKR-102-PL-01G</t>
        </is>
      </c>
      <c r="C528" s="314" t="inlineStr">
        <is>
          <t>RL7-CKR-102-PL-01G</t>
        </is>
      </c>
      <c r="D528" s="262" t="n"/>
      <c r="E528" s="128" t="n"/>
      <c r="F528" s="138" t="inlineStr">
        <is>
          <t>COOKER 2 GREEN PILOT LIGHT</t>
        </is>
      </c>
      <c r="G528" s="131" t="inlineStr">
        <is>
          <t>DG7021</t>
        </is>
      </c>
      <c r="H528" s="128" t="inlineStr">
        <is>
          <t>PROC</t>
        </is>
      </c>
      <c r="I528" s="132" t="inlineStr">
        <is>
          <t>RL7-CKR2-RIO1</t>
        </is>
      </c>
      <c r="J528" s="133" t="n">
        <v>13</v>
      </c>
      <c r="K528" s="129" t="n">
        <v>8</v>
      </c>
      <c r="L528" s="129" t="n">
        <v>7</v>
      </c>
      <c r="M528" s="129" t="inlineStr">
        <is>
          <t>24 VDC DO</t>
        </is>
      </c>
      <c r="N528" s="129" t="inlineStr">
        <is>
          <t>5069-OB16</t>
        </is>
      </c>
      <c r="O528" s="139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40" t="n"/>
      <c r="AA528" t="inlineStr">
        <is>
          <t>Matched</t>
        </is>
      </c>
      <c r="AB528" s="315" t="n">
        <v>0.99</v>
      </c>
      <c r="AC528" t="inlineStr">
        <is>
          <t>High</t>
        </is>
      </c>
      <c r="AD528" t="n">
        <v>1</v>
      </c>
      <c r="AE528" t="inlineStr">
        <is>
          <t>DG7021</t>
        </is>
      </c>
      <c r="AF528" t="n">
        <v>13</v>
      </c>
      <c r="AG528" t="inlineStr">
        <is>
          <t>drawing</t>
        </is>
      </c>
      <c r="AH528" t="inlineStr">
        <is>
          <t>stacked:isa</t>
        </is>
      </c>
      <c r="AI528" t="inlineStr">
        <is>
          <t>drawing zone; process page; mapped sheet; excel sheet match</t>
        </is>
      </c>
      <c r="AJ528" t="inlineStr">
        <is>
          <t>native</t>
        </is>
      </c>
      <c r="AK528" t="inlineStr">
        <is>
          <t>native-only</t>
        </is>
      </c>
      <c r="AM528" t="inlineStr">
        <is>
          <t>13</t>
        </is>
      </c>
      <c r="AN528" t="inlineStr">
        <is>
          <t>Yes</t>
        </is>
      </c>
      <c r="AO528" t="inlineStr">
        <is>
          <t>mapped sheet id</t>
        </is>
      </c>
      <c r="AP528" t="inlineStr">
        <is>
          <t>p13:native:236, p13:native:237</t>
        </is>
      </c>
      <c r="AQ528" t="n">
        <v>2</v>
      </c>
    </row>
    <row r="529" customFormat="1" s="149">
      <c r="A529" s="203">
        <f>ROW()-1</f>
        <v/>
      </c>
      <c r="B529" s="128" t="n"/>
      <c r="C529" s="313" t="inlineStr">
        <is>
          <t>RL7-CKR-102-PBL-02</t>
        </is>
      </c>
      <c r="D529" s="262" t="n"/>
      <c r="E529" s="128" t="n"/>
      <c r="F529" s="141" t="inlineStr">
        <is>
          <t>COOKERS PLATFORM E-STOP PB PILOT LIGHT</t>
        </is>
      </c>
      <c r="G529" s="142" t="inlineStr">
        <is>
          <t>DG7021</t>
        </is>
      </c>
      <c r="H529" s="133" t="inlineStr">
        <is>
          <t>PROC</t>
        </is>
      </c>
      <c r="I529" s="132" t="inlineStr">
        <is>
          <t>RL7-CKR2-RIO1</t>
        </is>
      </c>
      <c r="J529" s="133" t="n">
        <v>13</v>
      </c>
      <c r="K529" s="129" t="n">
        <v>8</v>
      </c>
      <c r="L529" s="129" t="n">
        <v>14</v>
      </c>
      <c r="M529" s="129" t="inlineStr">
        <is>
          <t>24 VDC DO</t>
        </is>
      </c>
      <c r="N529" s="129" t="inlineStr">
        <is>
          <t>5069-OB16</t>
        </is>
      </c>
      <c r="O529" s="139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40" t="n"/>
      <c r="AA529" t="inlineStr">
        <is>
          <t>Not found in PDF</t>
        </is>
      </c>
      <c r="AC529" t="inlineStr">
        <is>
          <t>Low</t>
        </is>
      </c>
      <c r="AM529" t="inlineStr">
        <is>
          <t>13</t>
        </is>
      </c>
      <c r="AN529" t="inlineStr">
        <is>
          <t>Yes</t>
        </is>
      </c>
      <c r="AO529" t="inlineStr">
        <is>
          <t>mapped sheet id</t>
        </is>
      </c>
    </row>
    <row r="530">
      <c r="A530" s="203">
        <f>ROW()-1</f>
        <v/>
      </c>
      <c r="B530" s="128" t="inlineStr">
        <is>
          <t>RL7-CKR-102-XY-22A</t>
        </is>
      </c>
      <c r="C530" s="314" t="inlineStr">
        <is>
          <t>RL7-CKR-102-XY-22A</t>
        </is>
      </c>
      <c r="D530" s="262" t="inlineStr">
        <is>
          <t>SOL407041</t>
        </is>
      </c>
      <c r="E530" s="128" t="inlineStr">
        <is>
          <t>JIC6B</t>
        </is>
      </c>
      <c r="F530" s="138" t="inlineStr">
        <is>
          <t xml:space="preserve">COOKER 2 COVER OPEN SOLENOID </t>
        </is>
      </c>
      <c r="G530" s="131" t="inlineStr">
        <is>
          <t>DG7021</t>
        </is>
      </c>
      <c r="H530" s="128" t="inlineStr">
        <is>
          <t>PROC</t>
        </is>
      </c>
      <c r="I530" s="132" t="inlineStr">
        <is>
          <t>RL7-CKR2-RIO1</t>
        </is>
      </c>
      <c r="J530" s="133" t="n">
        <v>13</v>
      </c>
      <c r="K530" s="129" t="n">
        <v>9</v>
      </c>
      <c r="L530" s="129" t="n">
        <v>0</v>
      </c>
      <c r="M530" s="129" t="inlineStr">
        <is>
          <t>24 VDC DO</t>
        </is>
      </c>
      <c r="N530" s="129" t="inlineStr">
        <is>
          <t>5069-OB16</t>
        </is>
      </c>
      <c r="O530" s="139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40" t="n"/>
      <c r="AA530" t="inlineStr">
        <is>
          <t>Matched</t>
        </is>
      </c>
      <c r="AB530" s="315" t="n">
        <v>0.99</v>
      </c>
      <c r="AC530" t="inlineStr">
        <is>
          <t>High</t>
        </is>
      </c>
      <c r="AD530" t="n">
        <v>1</v>
      </c>
      <c r="AE530" t="inlineStr">
        <is>
          <t>DG7021</t>
        </is>
      </c>
      <c r="AF530" t="n">
        <v>13</v>
      </c>
      <c r="AG530" t="inlineStr">
        <is>
          <t>drawing</t>
        </is>
      </c>
      <c r="AH530" t="inlineStr">
        <is>
          <t>stacked:isa</t>
        </is>
      </c>
      <c r="AI530" t="inlineStr">
        <is>
          <t>drawing zone; process page; mapped sheet; excel sheet match</t>
        </is>
      </c>
      <c r="AJ530" t="inlineStr">
        <is>
          <t>native</t>
        </is>
      </c>
      <c r="AK530" t="inlineStr">
        <is>
          <t>native-only</t>
        </is>
      </c>
      <c r="AM530" t="inlineStr">
        <is>
          <t>13</t>
        </is>
      </c>
      <c r="AN530" t="inlineStr">
        <is>
          <t>Yes</t>
        </is>
      </c>
      <c r="AO530" t="inlineStr">
        <is>
          <t>mapped sheet id</t>
        </is>
      </c>
      <c r="AP530" t="inlineStr">
        <is>
          <t>p13:native:247, p13:native:248</t>
        </is>
      </c>
      <c r="AQ530" t="n">
        <v>2</v>
      </c>
    </row>
    <row r="531">
      <c r="A531" s="203">
        <f>ROW()-1</f>
        <v/>
      </c>
      <c r="B531" s="128" t="inlineStr">
        <is>
          <t>RL7-CKR-102-XY-22B</t>
        </is>
      </c>
      <c r="C531" s="314" t="inlineStr">
        <is>
          <t>RL7-CKR-102-XY-22B</t>
        </is>
      </c>
      <c r="D531" s="262" t="inlineStr">
        <is>
          <t>SOL407041</t>
        </is>
      </c>
      <c r="E531" s="128" t="inlineStr">
        <is>
          <t>JIC6B</t>
        </is>
      </c>
      <c r="F531" s="138" t="inlineStr">
        <is>
          <t xml:space="preserve">COOKER 2 COVER CLOSE SOLENOID </t>
        </is>
      </c>
      <c r="G531" s="131" t="inlineStr">
        <is>
          <t>DG7021</t>
        </is>
      </c>
      <c r="H531" s="128" t="inlineStr">
        <is>
          <t>PROC</t>
        </is>
      </c>
      <c r="I531" s="132" t="inlineStr">
        <is>
          <t>RL7-CKR2-RIO1</t>
        </is>
      </c>
      <c r="J531" s="133" t="n">
        <v>13</v>
      </c>
      <c r="K531" s="129" t="n">
        <v>9</v>
      </c>
      <c r="L531" s="129" t="n">
        <v>1</v>
      </c>
      <c r="M531" s="129" t="inlineStr">
        <is>
          <t>24 VDC DO</t>
        </is>
      </c>
      <c r="N531" s="129" t="inlineStr">
        <is>
          <t>5069-OB16</t>
        </is>
      </c>
      <c r="O531" s="139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40" t="n"/>
      <c r="AA531" t="inlineStr">
        <is>
          <t>Matched</t>
        </is>
      </c>
      <c r="AB531" s="315" t="n">
        <v>0.99</v>
      </c>
      <c r="AC531" t="inlineStr">
        <is>
          <t>High</t>
        </is>
      </c>
      <c r="AD531" t="n">
        <v>1</v>
      </c>
      <c r="AE531" t="inlineStr">
        <is>
          <t>DG7021</t>
        </is>
      </c>
      <c r="AF531" t="n">
        <v>13</v>
      </c>
      <c r="AG531" t="inlineStr">
        <is>
          <t>drawing</t>
        </is>
      </c>
      <c r="AH531" t="inlineStr">
        <is>
          <t>stacked:isa</t>
        </is>
      </c>
      <c r="AI531" t="inlineStr">
        <is>
          <t>drawing zone; process page; mapped sheet; excel sheet match</t>
        </is>
      </c>
      <c r="AJ531" t="inlineStr">
        <is>
          <t>native</t>
        </is>
      </c>
      <c r="AK531" t="inlineStr">
        <is>
          <t>native-only</t>
        </is>
      </c>
      <c r="AM531" t="inlineStr">
        <is>
          <t>13</t>
        </is>
      </c>
      <c r="AN531" t="inlineStr">
        <is>
          <t>Yes</t>
        </is>
      </c>
      <c r="AO531" t="inlineStr">
        <is>
          <t>mapped sheet id</t>
        </is>
      </c>
      <c r="AP531" t="inlineStr">
        <is>
          <t>p13:native:243, p13:native:244</t>
        </is>
      </c>
      <c r="AQ531" t="n">
        <v>2</v>
      </c>
    </row>
    <row r="532">
      <c r="A532" s="203">
        <f>ROW()-1</f>
        <v/>
      </c>
      <c r="B532" s="128" t="inlineStr">
        <is>
          <t>RL7-CKR-102-XY-20A</t>
        </is>
      </c>
      <c r="C532" s="314" t="inlineStr">
        <is>
          <t>RL7-CKR-102-XY-20A</t>
        </is>
      </c>
      <c r="D532" s="262" t="inlineStr">
        <is>
          <t>SOL407061</t>
        </is>
      </c>
      <c r="E532" s="128" t="inlineStr">
        <is>
          <t>JIC6B</t>
        </is>
      </c>
      <c r="F532" s="138" t="inlineStr">
        <is>
          <t>COOKER 2 SAFETY GRATE ENGAGE SOLENOID</t>
        </is>
      </c>
      <c r="G532" s="131" t="inlineStr">
        <is>
          <t>DG7021</t>
        </is>
      </c>
      <c r="H532" s="128" t="inlineStr">
        <is>
          <t>PROC</t>
        </is>
      </c>
      <c r="I532" s="132" t="inlineStr">
        <is>
          <t>RL7-CKR2-RIO1</t>
        </is>
      </c>
      <c r="J532" s="133" t="n">
        <v>13</v>
      </c>
      <c r="K532" s="129" t="n">
        <v>9</v>
      </c>
      <c r="L532" s="129" t="n">
        <v>2</v>
      </c>
      <c r="M532" s="129" t="inlineStr">
        <is>
          <t>24 VDC DO</t>
        </is>
      </c>
      <c r="N532" s="129" t="inlineStr">
        <is>
          <t>5069-OB16</t>
        </is>
      </c>
      <c r="O532" s="139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40" t="n"/>
      <c r="AA532" t="inlineStr">
        <is>
          <t>Matched</t>
        </is>
      </c>
      <c r="AB532" s="315" t="n">
        <v>0.99</v>
      </c>
      <c r="AC532" t="inlineStr">
        <is>
          <t>High</t>
        </is>
      </c>
      <c r="AD532" t="n">
        <v>1</v>
      </c>
      <c r="AE532" t="inlineStr">
        <is>
          <t>DG7021</t>
        </is>
      </c>
      <c r="AF532" t="n">
        <v>13</v>
      </c>
      <c r="AG532" t="inlineStr">
        <is>
          <t>drawing</t>
        </is>
      </c>
      <c r="AH532" t="inlineStr">
        <is>
          <t>stacked:isa</t>
        </is>
      </c>
      <c r="AI532" t="inlineStr">
        <is>
          <t>drawing zone; process page; mapped sheet; excel sheet match</t>
        </is>
      </c>
      <c r="AJ532" t="inlineStr">
        <is>
          <t>native</t>
        </is>
      </c>
      <c r="AK532" t="inlineStr">
        <is>
          <t>native-only</t>
        </is>
      </c>
      <c r="AM532" t="inlineStr">
        <is>
          <t>13</t>
        </is>
      </c>
      <c r="AN532" t="inlineStr">
        <is>
          <t>Yes</t>
        </is>
      </c>
      <c r="AO532" t="inlineStr">
        <is>
          <t>mapped sheet id</t>
        </is>
      </c>
      <c r="AP532" t="inlineStr">
        <is>
          <t>p13:native:405, p13:native:406</t>
        </is>
      </c>
      <c r="AQ532" t="n">
        <v>2</v>
      </c>
    </row>
    <row r="533">
      <c r="A533" s="203">
        <f>ROW()-1</f>
        <v/>
      </c>
      <c r="B533" s="128" t="inlineStr">
        <is>
          <t>RL7-CKR-102-XY-20B</t>
        </is>
      </c>
      <c r="C533" s="314" t="inlineStr">
        <is>
          <t>RL7-CKR-102-XY-20B</t>
        </is>
      </c>
      <c r="D533" s="262" t="inlineStr">
        <is>
          <t>SOL407061</t>
        </is>
      </c>
      <c r="E533" s="128" t="inlineStr">
        <is>
          <t>JIC6B</t>
        </is>
      </c>
      <c r="F533" s="138" t="inlineStr">
        <is>
          <t>COOKER 2 SAFETY GRATE RELEASE SOLENOID</t>
        </is>
      </c>
      <c r="G533" s="131" t="inlineStr">
        <is>
          <t>DG7021</t>
        </is>
      </c>
      <c r="H533" s="128" t="inlineStr">
        <is>
          <t>PROC</t>
        </is>
      </c>
      <c r="I533" s="132" t="inlineStr">
        <is>
          <t>RL7-CKR2-RIO1</t>
        </is>
      </c>
      <c r="J533" s="133" t="n">
        <v>13</v>
      </c>
      <c r="K533" s="129" t="n">
        <v>9</v>
      </c>
      <c r="L533" s="129" t="n">
        <v>3</v>
      </c>
      <c r="M533" s="129" t="inlineStr">
        <is>
          <t>24 VDC DO</t>
        </is>
      </c>
      <c r="N533" s="129" t="inlineStr">
        <is>
          <t>5069-OB16</t>
        </is>
      </c>
      <c r="O533" s="139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40" t="n"/>
      <c r="AA533" t="inlineStr">
        <is>
          <t>Matched</t>
        </is>
      </c>
      <c r="AB533" s="315" t="n">
        <v>0.99</v>
      </c>
      <c r="AC533" t="inlineStr">
        <is>
          <t>High</t>
        </is>
      </c>
      <c r="AD533" t="n">
        <v>1</v>
      </c>
      <c r="AE533" t="inlineStr">
        <is>
          <t>DG7021</t>
        </is>
      </c>
      <c r="AF533" t="n">
        <v>13</v>
      </c>
      <c r="AG533" t="inlineStr">
        <is>
          <t>drawing</t>
        </is>
      </c>
      <c r="AH533" t="inlineStr">
        <is>
          <t>stacked:isa</t>
        </is>
      </c>
      <c r="AI533" t="inlineStr">
        <is>
          <t>drawing zone; process page; mapped sheet; excel sheet match</t>
        </is>
      </c>
      <c r="AJ533" t="inlineStr">
        <is>
          <t>native</t>
        </is>
      </c>
      <c r="AK533" t="inlineStr">
        <is>
          <t>native-only</t>
        </is>
      </c>
      <c r="AM533" t="inlineStr">
        <is>
          <t>13</t>
        </is>
      </c>
      <c r="AN533" t="inlineStr">
        <is>
          <t>Yes</t>
        </is>
      </c>
      <c r="AO533" t="inlineStr">
        <is>
          <t>mapped sheet id</t>
        </is>
      </c>
      <c r="AP533" t="inlineStr">
        <is>
          <t>p13:native:411, p13:native:412</t>
        </is>
      </c>
      <c r="AQ533" t="n">
        <v>2</v>
      </c>
    </row>
    <row r="534">
      <c r="A534" s="203">
        <f>ROW()-1</f>
        <v/>
      </c>
      <c r="B534" s="128" t="inlineStr">
        <is>
          <t>RL7-CKR-102-XY-18A</t>
        </is>
      </c>
      <c r="C534" s="313" t="inlineStr">
        <is>
          <t>RL7-CKR-102-XY-18A</t>
        </is>
      </c>
      <c r="D534" s="262" t="inlineStr">
        <is>
          <t>SOL407071</t>
        </is>
      </c>
      <c r="E534" s="128" t="inlineStr">
        <is>
          <t>JIC6B</t>
        </is>
      </c>
      <c r="F534" s="138" t="inlineStr">
        <is>
          <t>COOKER 2 LEFT DISCHARGE VALVE OPEN SOLENOID</t>
        </is>
      </c>
      <c r="G534" s="131" t="inlineStr">
        <is>
          <t>DG7021</t>
        </is>
      </c>
      <c r="H534" s="128" t="inlineStr">
        <is>
          <t>PROC</t>
        </is>
      </c>
      <c r="I534" s="132" t="inlineStr">
        <is>
          <t>RL7-CKR2-RIO1</t>
        </is>
      </c>
      <c r="J534" s="133" t="n">
        <v>13</v>
      </c>
      <c r="K534" s="128" t="n">
        <v>9</v>
      </c>
      <c r="L534" s="128" t="n">
        <v>4</v>
      </c>
      <c r="M534" s="128" t="inlineStr">
        <is>
          <t>24 VDC DO</t>
        </is>
      </c>
      <c r="N534" s="128" t="inlineStr">
        <is>
          <t>5069-OB16</t>
        </is>
      </c>
      <c r="O534" s="139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40" t="n"/>
      <c r="AA534" t="inlineStr">
        <is>
          <t>Not found in PDF</t>
        </is>
      </c>
      <c r="AC534" t="inlineStr">
        <is>
          <t>Low</t>
        </is>
      </c>
      <c r="AM534" t="inlineStr">
        <is>
          <t>13</t>
        </is>
      </c>
      <c r="AN534" t="inlineStr">
        <is>
          <t>Yes</t>
        </is>
      </c>
      <c r="AO534" t="inlineStr">
        <is>
          <t>mapped sheet id</t>
        </is>
      </c>
    </row>
    <row r="535">
      <c r="A535" s="203">
        <f>ROW()-1</f>
        <v/>
      </c>
      <c r="B535" s="128" t="inlineStr">
        <is>
          <t>RL7-CKR-102-XY-18B</t>
        </is>
      </c>
      <c r="C535" s="313" t="inlineStr">
        <is>
          <t>RL7-CKR-102-XY-18B</t>
        </is>
      </c>
      <c r="D535" s="262" t="inlineStr">
        <is>
          <t>SOL407071</t>
        </is>
      </c>
      <c r="E535" s="128" t="inlineStr">
        <is>
          <t>JIC6B</t>
        </is>
      </c>
      <c r="F535" s="138" t="inlineStr">
        <is>
          <t>COOKER 2 LEFT DISCHARGE VALVE CLOSE SOLENOID</t>
        </is>
      </c>
      <c r="G535" s="131" t="inlineStr">
        <is>
          <t>DG7021</t>
        </is>
      </c>
      <c r="H535" s="128" t="inlineStr">
        <is>
          <t>PROC</t>
        </is>
      </c>
      <c r="I535" s="132" t="inlineStr">
        <is>
          <t>RL7-CKR2-RIO1</t>
        </is>
      </c>
      <c r="J535" s="133" t="n">
        <v>13</v>
      </c>
      <c r="K535" s="128" t="n">
        <v>9</v>
      </c>
      <c r="L535" s="128" t="n">
        <v>5</v>
      </c>
      <c r="M535" s="128" t="inlineStr">
        <is>
          <t>24 VDC DO</t>
        </is>
      </c>
      <c r="N535" s="128" t="inlineStr">
        <is>
          <t>5069-OB16</t>
        </is>
      </c>
      <c r="O535" s="139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40" t="n"/>
      <c r="AA535" t="inlineStr">
        <is>
          <t>Not found in PDF</t>
        </is>
      </c>
      <c r="AC535" t="inlineStr">
        <is>
          <t>Low</t>
        </is>
      </c>
      <c r="AM535" t="inlineStr">
        <is>
          <t>13</t>
        </is>
      </c>
      <c r="AN535" t="inlineStr">
        <is>
          <t>Yes</t>
        </is>
      </c>
      <c r="AO535" t="inlineStr">
        <is>
          <t>mapped sheet id</t>
        </is>
      </c>
    </row>
    <row r="536">
      <c r="A536" s="203">
        <f>ROW()-1</f>
        <v/>
      </c>
      <c r="B536" s="128" t="inlineStr">
        <is>
          <t>RL7-CKR-102-XY-19A</t>
        </is>
      </c>
      <c r="C536" s="314" t="inlineStr">
        <is>
          <t>RL7-CKR-102-XY-19A</t>
        </is>
      </c>
      <c r="D536" s="262" t="inlineStr">
        <is>
          <t>SOL407161</t>
        </is>
      </c>
      <c r="E536" s="128" t="inlineStr">
        <is>
          <t>JIC6B</t>
        </is>
      </c>
      <c r="F536" s="138" t="inlineStr">
        <is>
          <t>COOKER 2 RIGHT DISCHARGE VALVE OPEN SOLENOID</t>
        </is>
      </c>
      <c r="G536" s="131" t="inlineStr">
        <is>
          <t>DG7021</t>
        </is>
      </c>
      <c r="H536" s="128" t="inlineStr">
        <is>
          <t>PROC</t>
        </is>
      </c>
      <c r="I536" s="132" t="inlineStr">
        <is>
          <t>RL7-CKR2-RIO1</t>
        </is>
      </c>
      <c r="J536" s="133" t="n">
        <v>13</v>
      </c>
      <c r="K536" s="128" t="n">
        <v>9</v>
      </c>
      <c r="L536" s="128" t="n">
        <v>6</v>
      </c>
      <c r="M536" s="128" t="inlineStr">
        <is>
          <t>24 VDC DO</t>
        </is>
      </c>
      <c r="N536" s="128" t="inlineStr">
        <is>
          <t>5069-OB16</t>
        </is>
      </c>
      <c r="O536" s="139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40" t="n"/>
      <c r="AA536" t="inlineStr">
        <is>
          <t>Matched - multiple PDF occurrences</t>
        </is>
      </c>
      <c r="AB536" s="315" t="n">
        <v>0.95</v>
      </c>
      <c r="AC536" t="inlineStr">
        <is>
          <t>High</t>
        </is>
      </c>
      <c r="AD536" t="n">
        <v>2</v>
      </c>
      <c r="AE536" t="inlineStr">
        <is>
          <t>DG7021</t>
        </is>
      </c>
      <c r="AF536" t="n">
        <v>13</v>
      </c>
      <c r="AG536" t="inlineStr">
        <is>
          <t>drawing</t>
        </is>
      </c>
      <c r="AH536" t="inlineStr">
        <is>
          <t>stacked:isa</t>
        </is>
      </c>
      <c r="AI536" t="inlineStr">
        <is>
          <t>drawing zone; process page; mapped sheet; repeated x2; excel sheet match; ambiguous x2</t>
        </is>
      </c>
      <c r="AJ536" t="inlineStr">
        <is>
          <t>native</t>
        </is>
      </c>
      <c r="AK536" t="inlineStr">
        <is>
          <t>native-only</t>
        </is>
      </c>
      <c r="AM536" t="inlineStr">
        <is>
          <t>13</t>
        </is>
      </c>
      <c r="AN536" t="inlineStr">
        <is>
          <t>Yes</t>
        </is>
      </c>
      <c r="AO536" t="inlineStr">
        <is>
          <t>mapped sheet id</t>
        </is>
      </c>
      <c r="AP536" t="inlineStr">
        <is>
          <t>p13:native:418, p13:native:419</t>
        </is>
      </c>
      <c r="AQ536" t="n">
        <v>2</v>
      </c>
    </row>
    <row r="537">
      <c r="A537" s="203">
        <f>ROW()-1</f>
        <v/>
      </c>
      <c r="B537" s="128" t="inlineStr">
        <is>
          <t>RL7-CKR-102-XY-19B</t>
        </is>
      </c>
      <c r="C537" s="314" t="inlineStr">
        <is>
          <t>RL7-CKR-102-XY-19B</t>
        </is>
      </c>
      <c r="D537" s="262" t="inlineStr">
        <is>
          <t>SOL407161</t>
        </is>
      </c>
      <c r="E537" s="128" t="inlineStr">
        <is>
          <t>JIC6B</t>
        </is>
      </c>
      <c r="F537" s="138" t="inlineStr">
        <is>
          <t>COOKER 2 RIGHT DISCHARGE VALVE CLOSE SOLENOID</t>
        </is>
      </c>
      <c r="G537" s="131" t="inlineStr">
        <is>
          <t>DG7021</t>
        </is>
      </c>
      <c r="H537" s="128" t="inlineStr">
        <is>
          <t>PROC</t>
        </is>
      </c>
      <c r="I537" s="132" t="inlineStr">
        <is>
          <t>RL7-CKR2-RIO1</t>
        </is>
      </c>
      <c r="J537" s="133" t="n">
        <v>13</v>
      </c>
      <c r="K537" s="128" t="n">
        <v>9</v>
      </c>
      <c r="L537" s="128" t="n">
        <v>7</v>
      </c>
      <c r="M537" s="128" t="inlineStr">
        <is>
          <t>24 VDC DO</t>
        </is>
      </c>
      <c r="N537" s="128" t="inlineStr">
        <is>
          <t>5069-OB16</t>
        </is>
      </c>
      <c r="O537" s="139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40" t="n"/>
      <c r="AA537" t="inlineStr">
        <is>
          <t>Matched - multiple PDF occurrences</t>
        </is>
      </c>
      <c r="AB537" s="315" t="n">
        <v>0.95</v>
      </c>
      <c r="AC537" t="inlineStr">
        <is>
          <t>High</t>
        </is>
      </c>
      <c r="AD537" t="n">
        <v>2</v>
      </c>
      <c r="AE537" t="inlineStr">
        <is>
          <t>DG7021</t>
        </is>
      </c>
      <c r="AF537" t="n">
        <v>13</v>
      </c>
      <c r="AG537" t="inlineStr">
        <is>
          <t>drawing</t>
        </is>
      </c>
      <c r="AH537" t="inlineStr">
        <is>
          <t>stacked:isa</t>
        </is>
      </c>
      <c r="AI537" t="inlineStr">
        <is>
          <t>drawing zone; process page; mapped sheet; repeated x2; excel sheet match; ambiguous x2</t>
        </is>
      </c>
      <c r="AJ537" t="inlineStr">
        <is>
          <t>native</t>
        </is>
      </c>
      <c r="AK537" t="inlineStr">
        <is>
          <t>native-only</t>
        </is>
      </c>
      <c r="AM537" t="inlineStr">
        <is>
          <t>13</t>
        </is>
      </c>
      <c r="AN537" t="inlineStr">
        <is>
          <t>Yes</t>
        </is>
      </c>
      <c r="AO537" t="inlineStr">
        <is>
          <t>mapped sheet id</t>
        </is>
      </c>
      <c r="AP537" t="inlineStr">
        <is>
          <t>p13:native:420, p13:native:421</t>
        </is>
      </c>
      <c r="AQ537" t="n">
        <v>2</v>
      </c>
    </row>
    <row r="538" customFormat="1" s="149">
      <c r="A538" s="203">
        <f>ROW()-1</f>
        <v/>
      </c>
      <c r="B538" s="128" t="inlineStr">
        <is>
          <t>RL7-CNV-106-XV-08</t>
        </is>
      </c>
      <c r="C538" s="314" t="inlineStr">
        <is>
          <t>RL7-CKR-102-XY-24</t>
        </is>
      </c>
      <c r="D538" s="264" t="n"/>
      <c r="E538" s="133" t="n"/>
      <c r="F538" s="141" t="inlineStr">
        <is>
          <t>COOKER 2 AIR PURGE SOLENOID VALVE</t>
        </is>
      </c>
      <c r="G538" s="142" t="inlineStr">
        <is>
          <t>DG7021</t>
        </is>
      </c>
      <c r="H538" s="133" t="inlineStr">
        <is>
          <t>PROC</t>
        </is>
      </c>
      <c r="I538" s="132" t="inlineStr">
        <is>
          <t>RL7-CKR2-RIO1</t>
        </is>
      </c>
      <c r="J538" s="133" t="n">
        <v>13</v>
      </c>
      <c r="K538" s="129" t="n">
        <v>9</v>
      </c>
      <c r="L538" s="129" t="n">
        <v>10</v>
      </c>
      <c r="M538" s="129" t="inlineStr">
        <is>
          <t>24 VDC DO</t>
        </is>
      </c>
      <c r="N538" s="129" t="inlineStr">
        <is>
          <t>5069-OB16</t>
        </is>
      </c>
      <c r="O538" s="139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40" t="n"/>
      <c r="AA538" t="inlineStr">
        <is>
          <t>Matched</t>
        </is>
      </c>
      <c r="AB538" s="315" t="n">
        <v>0.99</v>
      </c>
      <c r="AC538" t="inlineStr">
        <is>
          <t>High</t>
        </is>
      </c>
      <c r="AD538" t="n">
        <v>1</v>
      </c>
      <c r="AE538" t="inlineStr">
        <is>
          <t>DG7021</t>
        </is>
      </c>
      <c r="AF538" t="n">
        <v>13</v>
      </c>
      <c r="AG538" t="inlineStr">
        <is>
          <t>drawing</t>
        </is>
      </c>
      <c r="AH538" t="inlineStr">
        <is>
          <t>stacked:isa</t>
        </is>
      </c>
      <c r="AI538" t="inlineStr">
        <is>
          <t>drawing zone; process page; mapped sheet; excel sheet match</t>
        </is>
      </c>
      <c r="AJ538" t="inlineStr">
        <is>
          <t>native</t>
        </is>
      </c>
      <c r="AK538" t="inlineStr">
        <is>
          <t>native-only</t>
        </is>
      </c>
      <c r="AM538" t="inlineStr">
        <is>
          <t>13</t>
        </is>
      </c>
      <c r="AN538" t="inlineStr">
        <is>
          <t>Yes</t>
        </is>
      </c>
      <c r="AO538" t="inlineStr">
        <is>
          <t>mapped sheet id</t>
        </is>
      </c>
      <c r="AP538" t="inlineStr">
        <is>
          <t>p13:native:356, p13:native:357</t>
        </is>
      </c>
      <c r="AQ538" t="n">
        <v>2</v>
      </c>
    </row>
    <row r="539" customFormat="1" s="149">
      <c r="A539" s="203">
        <f>ROW()-1</f>
        <v/>
      </c>
      <c r="B539" s="128" t="inlineStr">
        <is>
          <t>RL7-CKR-102-TIT-01</t>
        </is>
      </c>
      <c r="C539" s="314" t="inlineStr">
        <is>
          <t>RL7-CKR-102-TIT-01</t>
        </is>
      </c>
      <c r="D539" s="262" t="n"/>
      <c r="E539" s="128" t="n"/>
      <c r="F539" s="138" t="inlineStr">
        <is>
          <t xml:space="preserve">COOKER 2 MIXER SIDE TEMPERATURE TRANSMITTER </t>
        </is>
      </c>
      <c r="G539" s="131" t="inlineStr">
        <is>
          <t>DG7021</t>
        </is>
      </c>
      <c r="H539" s="128" t="inlineStr">
        <is>
          <t>PROC</t>
        </is>
      </c>
      <c r="I539" s="132" t="inlineStr">
        <is>
          <t>RL7-CKR2-RIO1</t>
        </is>
      </c>
      <c r="J539" s="133" t="n">
        <v>13</v>
      </c>
      <c r="K539" s="129" t="n">
        <v>10</v>
      </c>
      <c r="L539" s="129" t="n">
        <v>0</v>
      </c>
      <c r="M539" s="129" t="inlineStr">
        <is>
          <t>4-20 mA AI</t>
        </is>
      </c>
      <c r="N539" s="129" t="inlineStr">
        <is>
          <t>5069-IF8</t>
        </is>
      </c>
      <c r="O539" s="139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40" t="n"/>
      <c r="AA539" t="inlineStr">
        <is>
          <t>Matched</t>
        </is>
      </c>
      <c r="AB539" s="315" t="n">
        <v>0.99</v>
      </c>
      <c r="AC539" t="inlineStr">
        <is>
          <t>High</t>
        </is>
      </c>
      <c r="AD539" t="n">
        <v>1</v>
      </c>
      <c r="AE539" t="inlineStr">
        <is>
          <t>DG7021</t>
        </is>
      </c>
      <c r="AF539" t="n">
        <v>13</v>
      </c>
      <c r="AG539" t="inlineStr">
        <is>
          <t>drawing</t>
        </is>
      </c>
      <c r="AH539" t="inlineStr">
        <is>
          <t>stacked:isa</t>
        </is>
      </c>
      <c r="AI539" t="inlineStr">
        <is>
          <t>drawing zone; process page; mapped sheet; excel sheet match</t>
        </is>
      </c>
      <c r="AJ539" t="inlineStr">
        <is>
          <t>native</t>
        </is>
      </c>
      <c r="AK539" t="inlineStr">
        <is>
          <t>native-only</t>
        </is>
      </c>
      <c r="AM539" t="inlineStr">
        <is>
          <t>13</t>
        </is>
      </c>
      <c r="AN539" t="inlineStr">
        <is>
          <t>Yes</t>
        </is>
      </c>
      <c r="AO539" t="inlineStr">
        <is>
          <t>mapped sheet id</t>
        </is>
      </c>
      <c r="AP539" t="inlineStr">
        <is>
          <t>p13:native:58, p13:native:59</t>
        </is>
      </c>
      <c r="AQ539" t="n">
        <v>2</v>
      </c>
    </row>
    <row r="540" customFormat="1" s="149">
      <c r="A540" s="203">
        <f>ROW()-1</f>
        <v/>
      </c>
      <c r="B540" s="128" t="inlineStr">
        <is>
          <t>RL7-CKR-102-TIT-02</t>
        </is>
      </c>
      <c r="C540" s="314" t="inlineStr">
        <is>
          <t>RL7-CKR-102-TIT-02</t>
        </is>
      </c>
      <c r="D540" s="262" t="n"/>
      <c r="E540" s="128" t="n"/>
      <c r="F540" s="138" t="inlineStr">
        <is>
          <t xml:space="preserve">COOKER 2 MIXER SIDE TEMPERATURE TRANSMITTER </t>
        </is>
      </c>
      <c r="G540" s="131" t="inlineStr">
        <is>
          <t>DG7021</t>
        </is>
      </c>
      <c r="H540" s="128" t="inlineStr">
        <is>
          <t>PROC</t>
        </is>
      </c>
      <c r="I540" s="132" t="inlineStr">
        <is>
          <t>RL7-CKR2-RIO1</t>
        </is>
      </c>
      <c r="J540" s="133" t="n">
        <v>13</v>
      </c>
      <c r="K540" s="129" t="n">
        <v>10</v>
      </c>
      <c r="L540" s="129" t="n">
        <v>1</v>
      </c>
      <c r="M540" s="129" t="inlineStr">
        <is>
          <t>4-20 mA AI</t>
        </is>
      </c>
      <c r="N540" s="129" t="inlineStr">
        <is>
          <t>5069-IF8</t>
        </is>
      </c>
      <c r="O540" s="139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40" t="n"/>
      <c r="AA540" t="inlineStr">
        <is>
          <t>Matched</t>
        </is>
      </c>
      <c r="AB540" s="315" t="n">
        <v>0.99</v>
      </c>
      <c r="AC540" t="inlineStr">
        <is>
          <t>High</t>
        </is>
      </c>
      <c r="AD540" t="n">
        <v>1</v>
      </c>
      <c r="AE540" t="inlineStr">
        <is>
          <t>DG7021</t>
        </is>
      </c>
      <c r="AF540" t="n">
        <v>13</v>
      </c>
      <c r="AG540" t="inlineStr">
        <is>
          <t>drawing</t>
        </is>
      </c>
      <c r="AH540" t="inlineStr">
        <is>
          <t>stacked:isa</t>
        </is>
      </c>
      <c r="AI540" t="inlineStr">
        <is>
          <t>drawing zone; process page; mapped sheet; excel sheet match</t>
        </is>
      </c>
      <c r="AJ540" t="inlineStr">
        <is>
          <t>native</t>
        </is>
      </c>
      <c r="AK540" t="inlineStr">
        <is>
          <t>native-only</t>
        </is>
      </c>
      <c r="AM540" t="inlineStr">
        <is>
          <t>13</t>
        </is>
      </c>
      <c r="AN540" t="inlineStr">
        <is>
          <t>Yes</t>
        </is>
      </c>
      <c r="AO540" t="inlineStr">
        <is>
          <t>mapped sheet id</t>
        </is>
      </c>
      <c r="AP540" t="inlineStr">
        <is>
          <t>p13:native:33, p13:native:34</t>
        </is>
      </c>
      <c r="AQ540" t="n">
        <v>2</v>
      </c>
    </row>
    <row r="541" customFormat="1" s="149">
      <c r="A541" s="203">
        <f>ROW()-1</f>
        <v/>
      </c>
      <c r="B541" s="128" t="inlineStr">
        <is>
          <t>RL7-CKR-102-ZSO-25</t>
        </is>
      </c>
      <c r="C541" s="314" t="inlineStr">
        <is>
          <t>RL7-CKR-102-ZSO-25</t>
        </is>
      </c>
      <c r="D541" s="262" t="n"/>
      <c r="E541" s="128" t="n"/>
      <c r="F541" s="138" t="inlineStr">
        <is>
          <t>COOKER 2 CIPS MIX PROOF VALVE OPEN LIMIT SWITCH</t>
        </is>
      </c>
      <c r="G541" s="131" t="inlineStr">
        <is>
          <t>DG7021</t>
        </is>
      </c>
      <c r="H541" s="128" t="inlineStr">
        <is>
          <t>INTSL</t>
        </is>
      </c>
      <c r="I541" s="131" t="inlineStr">
        <is>
          <t>RL7-INTSL-RIO1</t>
        </is>
      </c>
      <c r="J541" s="133" t="n">
        <v>18</v>
      </c>
      <c r="K541" s="129" t="n">
        <v>2</v>
      </c>
      <c r="L541" s="129" t="n">
        <v>0</v>
      </c>
      <c r="M541" s="129" t="inlineStr">
        <is>
          <t>24 VDC DI</t>
        </is>
      </c>
      <c r="N541" s="129" t="inlineStr">
        <is>
          <t>5069-IB16</t>
        </is>
      </c>
      <c r="O541" s="139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40" t="n"/>
      <c r="AA541" t="inlineStr">
        <is>
          <t>Matched</t>
        </is>
      </c>
      <c r="AB541" s="315" t="n">
        <v>0.99</v>
      </c>
      <c r="AC541" t="inlineStr">
        <is>
          <t>High</t>
        </is>
      </c>
      <c r="AD541" t="n">
        <v>1</v>
      </c>
      <c r="AE541" t="inlineStr">
        <is>
          <t>DG7021</t>
        </is>
      </c>
      <c r="AF541" t="n">
        <v>13</v>
      </c>
      <c r="AG541" t="inlineStr">
        <is>
          <t>drawing</t>
        </is>
      </c>
      <c r="AH541" t="inlineStr">
        <is>
          <t>stacked:isa</t>
        </is>
      </c>
      <c r="AI541" t="inlineStr">
        <is>
          <t>drawing zone; process page; mapped sheet; excel sheet match</t>
        </is>
      </c>
      <c r="AJ541" t="inlineStr">
        <is>
          <t>native</t>
        </is>
      </c>
      <c r="AK541" t="inlineStr">
        <is>
          <t>native-only</t>
        </is>
      </c>
      <c r="AM541" t="inlineStr">
        <is>
          <t>13</t>
        </is>
      </c>
      <c r="AN541" t="inlineStr">
        <is>
          <t>Yes</t>
        </is>
      </c>
      <c r="AO541" t="inlineStr">
        <is>
          <t>mapped sheet id</t>
        </is>
      </c>
      <c r="AP541" t="inlineStr">
        <is>
          <t>p13:native:183, p13:native:184</t>
        </is>
      </c>
      <c r="AQ541" t="n">
        <v>2</v>
      </c>
    </row>
    <row r="542" customFormat="1" s="149">
      <c r="A542" s="203">
        <f>ROW()-1</f>
        <v/>
      </c>
      <c r="B542" s="128" t="inlineStr">
        <is>
          <t>RL7-CKR-102-ZSC-25</t>
        </is>
      </c>
      <c r="C542" s="314" t="inlineStr">
        <is>
          <t>RL7-CKR-102-ZSC-25</t>
        </is>
      </c>
      <c r="D542" s="262" t="n"/>
      <c r="E542" s="128" t="n"/>
      <c r="F542" s="138" t="inlineStr">
        <is>
          <t>COOKER 2 CIPS MIX PROOF VALVE CLOSED LIMIT SWITCH</t>
        </is>
      </c>
      <c r="G542" s="131" t="inlineStr">
        <is>
          <t>DG7021</t>
        </is>
      </c>
      <c r="H542" s="128" t="inlineStr">
        <is>
          <t>INTSL</t>
        </is>
      </c>
      <c r="I542" s="131" t="inlineStr">
        <is>
          <t>RL7-INTSL-RIO1</t>
        </is>
      </c>
      <c r="J542" s="133" t="n">
        <v>18</v>
      </c>
      <c r="K542" s="129" t="n">
        <v>2</v>
      </c>
      <c r="L542" s="129" t="n">
        <v>1</v>
      </c>
      <c r="M542" s="129" t="inlineStr">
        <is>
          <t>24 VDC DI</t>
        </is>
      </c>
      <c r="N542" s="129" t="inlineStr">
        <is>
          <t>5069-IB16</t>
        </is>
      </c>
      <c r="O542" s="139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40" t="n"/>
      <c r="AA542" t="inlineStr">
        <is>
          <t>Matched</t>
        </is>
      </c>
      <c r="AB542" s="315" t="n">
        <v>0.99</v>
      </c>
      <c r="AC542" t="inlineStr">
        <is>
          <t>High</t>
        </is>
      </c>
      <c r="AD542" t="n">
        <v>1</v>
      </c>
      <c r="AE542" t="inlineStr">
        <is>
          <t>DG7021</t>
        </is>
      </c>
      <c r="AF542" t="n">
        <v>13</v>
      </c>
      <c r="AG542" t="inlineStr">
        <is>
          <t>drawing</t>
        </is>
      </c>
      <c r="AH542" t="inlineStr">
        <is>
          <t>stacked:isa</t>
        </is>
      </c>
      <c r="AI542" t="inlineStr">
        <is>
          <t>drawing zone; process page; mapped sheet; excel sheet match</t>
        </is>
      </c>
      <c r="AJ542" t="inlineStr">
        <is>
          <t>native</t>
        </is>
      </c>
      <c r="AK542" t="inlineStr">
        <is>
          <t>native-only</t>
        </is>
      </c>
      <c r="AM542" t="inlineStr">
        <is>
          <t>13</t>
        </is>
      </c>
      <c r="AN542" t="inlineStr">
        <is>
          <t>Yes</t>
        </is>
      </c>
      <c r="AO542" t="inlineStr">
        <is>
          <t>mapped sheet id</t>
        </is>
      </c>
      <c r="AP542" t="inlineStr">
        <is>
          <t>p13:native:185, p13:native:186</t>
        </is>
      </c>
      <c r="AQ542" t="n">
        <v>2</v>
      </c>
    </row>
    <row r="543" customFormat="1" s="149">
      <c r="A543" s="203">
        <f>ROW()-1</f>
        <v/>
      </c>
      <c r="B543" s="128" t="inlineStr">
        <is>
          <t>RL7-CKR-102-XV-25</t>
        </is>
      </c>
      <c r="C543" s="314" t="inlineStr">
        <is>
          <t>RL7-CKR-102-XV-25</t>
        </is>
      </c>
      <c r="D543" s="262" t="n"/>
      <c r="E543" s="128" t="n"/>
      <c r="F543" s="138" t="inlineStr">
        <is>
          <t>COOKER 2 CIPS MIX PROOF VALVE OPEN SOLENOID</t>
        </is>
      </c>
      <c r="G543" s="131" t="inlineStr">
        <is>
          <t>DG7021</t>
        </is>
      </c>
      <c r="H543" s="128" t="inlineStr">
        <is>
          <t>INTSL</t>
        </is>
      </c>
      <c r="I543" s="131" t="inlineStr">
        <is>
          <t>RL7-INTSL-RIO1</t>
        </is>
      </c>
      <c r="J543" s="133" t="n">
        <v>18</v>
      </c>
      <c r="K543" s="129" t="n">
        <v>4</v>
      </c>
      <c r="L543" s="129" t="n">
        <v>2</v>
      </c>
      <c r="M543" s="129" t="inlineStr">
        <is>
          <t>24 VDC DO</t>
        </is>
      </c>
      <c r="N543" s="129" t="inlineStr">
        <is>
          <t>5069-OB16</t>
        </is>
      </c>
      <c r="O543" s="139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40" t="n"/>
      <c r="AA543" t="inlineStr">
        <is>
          <t>Matched</t>
        </is>
      </c>
      <c r="AB543" s="315" t="n">
        <v>0.99</v>
      </c>
      <c r="AC543" t="inlineStr">
        <is>
          <t>High</t>
        </is>
      </c>
      <c r="AD543" t="n">
        <v>1</v>
      </c>
      <c r="AE543" t="inlineStr">
        <is>
          <t>DG7021</t>
        </is>
      </c>
      <c r="AF543" t="n">
        <v>13</v>
      </c>
      <c r="AG543" t="inlineStr">
        <is>
          <t>drawing</t>
        </is>
      </c>
      <c r="AH543" t="inlineStr">
        <is>
          <t>stacked:isa</t>
        </is>
      </c>
      <c r="AI543" t="inlineStr">
        <is>
          <t>drawing zone; process page; mapped sheet; excel sheet match</t>
        </is>
      </c>
      <c r="AJ543" t="inlineStr">
        <is>
          <t>native</t>
        </is>
      </c>
      <c r="AK543" t="inlineStr">
        <is>
          <t>native-only</t>
        </is>
      </c>
      <c r="AM543" t="inlineStr">
        <is>
          <t>13</t>
        </is>
      </c>
      <c r="AN543" t="inlineStr">
        <is>
          <t>Yes</t>
        </is>
      </c>
      <c r="AO543" t="inlineStr">
        <is>
          <t>mapped sheet id</t>
        </is>
      </c>
      <c r="AP543" t="inlineStr">
        <is>
          <t>p13:native:181, p13:native:182</t>
        </is>
      </c>
      <c r="AQ543" t="n">
        <v>2</v>
      </c>
    </row>
    <row r="544" customFormat="1" s="149">
      <c r="A544" s="203">
        <f>ROW()-1</f>
        <v/>
      </c>
      <c r="B544" s="128" t="inlineStr">
        <is>
          <t>RL7-CKR-102-FVI-02</t>
        </is>
      </c>
      <c r="C544" s="314" t="inlineStr">
        <is>
          <t>RL7-CKR-102-FVI-02</t>
        </is>
      </c>
      <c r="D544" s="262" t="n"/>
      <c r="E544" s="128" t="n"/>
      <c r="F544" s="138" t="inlineStr">
        <is>
          <t>COOKER 2 CIPS CONTROL VALVE POSITION FEEDBACK</t>
        </is>
      </c>
      <c r="G544" s="131" t="inlineStr">
        <is>
          <t>DG7021</t>
        </is>
      </c>
      <c r="H544" s="128" t="inlineStr">
        <is>
          <t>INTSL</t>
        </is>
      </c>
      <c r="I544" s="131" t="inlineStr">
        <is>
          <t>RL7-INTSL-RIO1</t>
        </is>
      </c>
      <c r="J544" s="133" t="n">
        <v>18</v>
      </c>
      <c r="K544" s="129" t="n">
        <v>7</v>
      </c>
      <c r="L544" s="129" t="n">
        <v>4</v>
      </c>
      <c r="M544" s="129" t="inlineStr">
        <is>
          <t>4-20 mA AI</t>
        </is>
      </c>
      <c r="N544" s="129" t="inlineStr">
        <is>
          <t>5069-IF8</t>
        </is>
      </c>
      <c r="O544" s="134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40" t="n"/>
      <c r="AA544" t="inlineStr">
        <is>
          <t>Matched</t>
        </is>
      </c>
      <c r="AB544" s="315" t="n">
        <v>0.99</v>
      </c>
      <c r="AC544" t="inlineStr">
        <is>
          <t>High</t>
        </is>
      </c>
      <c r="AD544" t="n">
        <v>1</v>
      </c>
      <c r="AE544" t="inlineStr">
        <is>
          <t>DG7021</t>
        </is>
      </c>
      <c r="AF544" t="n">
        <v>13</v>
      </c>
      <c r="AG544" t="inlineStr">
        <is>
          <t>drawing</t>
        </is>
      </c>
      <c r="AH544" t="inlineStr">
        <is>
          <t>stacked:isa</t>
        </is>
      </c>
      <c r="AI544" t="inlineStr">
        <is>
          <t>drawing zone; process page; mapped sheet; excel sheet match</t>
        </is>
      </c>
      <c r="AJ544" t="inlineStr">
        <is>
          <t>native</t>
        </is>
      </c>
      <c r="AK544" t="inlineStr">
        <is>
          <t>native-only</t>
        </is>
      </c>
      <c r="AM544" t="inlineStr">
        <is>
          <t>13</t>
        </is>
      </c>
      <c r="AN544" t="inlineStr">
        <is>
          <t>Yes</t>
        </is>
      </c>
      <c r="AO544" t="inlineStr">
        <is>
          <t>mapped sheet id</t>
        </is>
      </c>
      <c r="AP544" t="inlineStr">
        <is>
          <t>p13:native:251, p13:native:252</t>
        </is>
      </c>
      <c r="AQ544" t="n">
        <v>2</v>
      </c>
    </row>
    <row r="545" customFormat="1" s="149">
      <c r="A545" s="203">
        <f>ROW()-1</f>
        <v/>
      </c>
      <c r="B545" s="128" t="inlineStr">
        <is>
          <t>RL7-CKR-102-FIT-02</t>
        </is>
      </c>
      <c r="C545" s="314" t="inlineStr">
        <is>
          <t>RL7-CKR-102-FIT-02</t>
        </is>
      </c>
      <c r="D545" s="262" t="n"/>
      <c r="E545" s="128" t="n"/>
      <c r="F545" s="138" t="inlineStr">
        <is>
          <t>COOKER 2 CIPS FLOW</t>
        </is>
      </c>
      <c r="G545" s="131" t="inlineStr">
        <is>
          <t>DG7021</t>
        </is>
      </c>
      <c r="H545" s="128" t="inlineStr">
        <is>
          <t>INTSL</t>
        </is>
      </c>
      <c r="I545" s="131" t="inlineStr">
        <is>
          <t>RL7-INTSL-RIO1</t>
        </is>
      </c>
      <c r="J545" s="133" t="n">
        <v>18</v>
      </c>
      <c r="K545" s="129" t="n">
        <v>10</v>
      </c>
      <c r="L545" s="129" t="n">
        <v>2</v>
      </c>
      <c r="M545" s="129" t="inlineStr">
        <is>
          <t>4-20 mA AI</t>
        </is>
      </c>
      <c r="N545" s="129" t="inlineStr">
        <is>
          <t>5069-IF8</t>
        </is>
      </c>
      <c r="O545" s="134" t="inlineStr">
        <is>
          <t>0 - 300 GPM</t>
        </is>
      </c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40" t="n"/>
      <c r="AA545" t="inlineStr">
        <is>
          <t>Matched</t>
        </is>
      </c>
      <c r="AB545" s="315" t="n">
        <v>0.99</v>
      </c>
      <c r="AC545" t="inlineStr">
        <is>
          <t>High</t>
        </is>
      </c>
      <c r="AD545" t="n">
        <v>1</v>
      </c>
      <c r="AE545" t="inlineStr">
        <is>
          <t>DG7021</t>
        </is>
      </c>
      <c r="AF545" t="n">
        <v>13</v>
      </c>
      <c r="AG545" t="inlineStr">
        <is>
          <t>drawing</t>
        </is>
      </c>
      <c r="AH545" t="inlineStr">
        <is>
          <t>stacked:isa</t>
        </is>
      </c>
      <c r="AI545" t="inlineStr">
        <is>
          <t>drawing zone; process page; mapped sheet; excel sheet match</t>
        </is>
      </c>
      <c r="AJ545" t="inlineStr">
        <is>
          <t>native</t>
        </is>
      </c>
      <c r="AK545" t="inlineStr">
        <is>
          <t>native-only</t>
        </is>
      </c>
      <c r="AM545" t="inlineStr">
        <is>
          <t>13</t>
        </is>
      </c>
      <c r="AN545" t="inlineStr">
        <is>
          <t>Yes</t>
        </is>
      </c>
      <c r="AO545" t="inlineStr">
        <is>
          <t>mapped sheet id</t>
        </is>
      </c>
      <c r="AP545" t="inlineStr">
        <is>
          <t>p13:native:179, p13:native:180</t>
        </is>
      </c>
      <c r="AQ545" t="n">
        <v>2</v>
      </c>
    </row>
    <row r="546">
      <c r="A546" s="203">
        <f>ROW()-1</f>
        <v/>
      </c>
      <c r="B546" s="128" t="inlineStr">
        <is>
          <t>RL7-CKR-102-FCV-02</t>
        </is>
      </c>
      <c r="C546" s="314" t="inlineStr">
        <is>
          <t>RL7-CKR-102-FCV-02</t>
        </is>
      </c>
      <c r="D546" s="262" t="n"/>
      <c r="E546" s="128" t="n"/>
      <c r="F546" s="138" t="inlineStr">
        <is>
          <t>COOKER 2 CONTROL VALVE</t>
        </is>
      </c>
      <c r="G546" s="131" t="inlineStr">
        <is>
          <t>DG7021</t>
        </is>
      </c>
      <c r="H546" s="128" t="inlineStr">
        <is>
          <t>INTSL</t>
        </is>
      </c>
      <c r="I546" s="131" t="inlineStr">
        <is>
          <t>RL7-INTSL-RIO1</t>
        </is>
      </c>
      <c r="J546" s="133" t="n">
        <v>18</v>
      </c>
      <c r="K546" s="129" t="n">
        <v>13</v>
      </c>
      <c r="L546" s="129" t="n">
        <v>2</v>
      </c>
      <c r="M546" s="129" t="inlineStr">
        <is>
          <t>4-20 mA AO</t>
        </is>
      </c>
      <c r="N546" s="129" t="inlineStr">
        <is>
          <t>5069-OF8</t>
        </is>
      </c>
      <c r="O546" s="134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40" t="n"/>
      <c r="AA546" t="inlineStr">
        <is>
          <t>Matched</t>
        </is>
      </c>
      <c r="AB546" s="315" t="n">
        <v>0.99</v>
      </c>
      <c r="AC546" t="inlineStr">
        <is>
          <t>High</t>
        </is>
      </c>
      <c r="AD546" t="n">
        <v>1</v>
      </c>
      <c r="AE546" t="inlineStr">
        <is>
          <t>DG7021</t>
        </is>
      </c>
      <c r="AF546" t="n">
        <v>13</v>
      </c>
      <c r="AG546" t="inlineStr">
        <is>
          <t>drawing</t>
        </is>
      </c>
      <c r="AH546" t="inlineStr">
        <is>
          <t>stacked:isa</t>
        </is>
      </c>
      <c r="AI546" t="inlineStr">
        <is>
          <t>drawing zone; process page; mapped sheet; excel sheet match</t>
        </is>
      </c>
      <c r="AJ546" t="inlineStr">
        <is>
          <t>native</t>
        </is>
      </c>
      <c r="AK546" t="inlineStr">
        <is>
          <t>native-only</t>
        </is>
      </c>
      <c r="AM546" t="inlineStr">
        <is>
          <t>13</t>
        </is>
      </c>
      <c r="AN546" t="inlineStr">
        <is>
          <t>Yes</t>
        </is>
      </c>
      <c r="AO546" t="inlineStr">
        <is>
          <t>mapped sheet id</t>
        </is>
      </c>
      <c r="AP546" t="inlineStr">
        <is>
          <t>p13:native:177, p13:native:178</t>
        </is>
      </c>
      <c r="AQ546" t="n">
        <v>2</v>
      </c>
    </row>
    <row r="547">
      <c r="A547" s="203">
        <f>ROW()-1</f>
        <v/>
      </c>
      <c r="B547" s="128" t="n"/>
      <c r="C547" s="313" t="inlineStr">
        <is>
          <t>RL7-MLT-108.M1</t>
        </is>
      </c>
      <c r="D547" s="264" t="n"/>
      <c r="E547" s="133" t="n"/>
      <c r="F547" s="141" t="inlineStr">
        <is>
          <t>COOKER 2 COLUMN DUMPER ENABLE</t>
        </is>
      </c>
      <c r="G547" s="142" t="inlineStr">
        <is>
          <t>DG7021</t>
        </is>
      </c>
      <c r="H547" s="133" t="inlineStr">
        <is>
          <t>MCC</t>
        </is>
      </c>
      <c r="I547" s="131" t="inlineStr">
        <is>
          <t>RL7-INTSL-RIO1</t>
        </is>
      </c>
      <c r="J547" s="133" t="n">
        <v>18</v>
      </c>
      <c r="K547" s="129" t="n">
        <v>14</v>
      </c>
      <c r="L547" s="129" t="n">
        <v>1</v>
      </c>
      <c r="M547" s="129" t="inlineStr">
        <is>
          <t>24 VDC DO</t>
        </is>
      </c>
      <c r="N547" s="129" t="inlineStr">
        <is>
          <t>5069-OB16</t>
        </is>
      </c>
      <c r="O547" s="139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40" t="n"/>
      <c r="AA547" t="inlineStr">
        <is>
          <t>Skipped - unrecognized tag</t>
        </is>
      </c>
      <c r="AC547" t="inlineStr">
        <is>
          <t>Low</t>
        </is>
      </c>
      <c r="AM547" t="inlineStr">
        <is>
          <t>13</t>
        </is>
      </c>
      <c r="AN547" t="inlineStr">
        <is>
          <t>Yes</t>
        </is>
      </c>
      <c r="AO547" t="inlineStr">
        <is>
          <t>unrecognized tag</t>
        </is>
      </c>
    </row>
    <row r="548">
      <c r="A548" s="203">
        <f>ROW()-1</f>
        <v/>
      </c>
      <c r="B548" s="128" t="inlineStr">
        <is>
          <t>RL7-CKR-101-XY-02</t>
        </is>
      </c>
      <c r="C548" s="314" t="inlineStr">
        <is>
          <t>RL7-CKR-101-XV-02</t>
        </is>
      </c>
      <c r="D548" s="262" t="inlineStr">
        <is>
          <t>SOL307091</t>
        </is>
      </c>
      <c r="E548" s="128" t="inlineStr">
        <is>
          <t>JIC5B</t>
        </is>
      </c>
      <c r="F548" s="138" t="inlineStr">
        <is>
          <t>COOKER 1 STEAM VALVES 1-8</t>
        </is>
      </c>
      <c r="G548" s="131" t="inlineStr">
        <is>
          <t>DG7022</t>
        </is>
      </c>
      <c r="H548" s="128" t="inlineStr">
        <is>
          <t>PROC</t>
        </is>
      </c>
      <c r="I548" s="132" t="inlineStr">
        <is>
          <t>RL7-CKR1-RIO1</t>
        </is>
      </c>
      <c r="J548" s="133" t="n">
        <v>12</v>
      </c>
      <c r="K548" s="129" t="n">
        <v>9</v>
      </c>
      <c r="L548" s="129" t="n">
        <v>8</v>
      </c>
      <c r="M548" s="129" t="inlineStr">
        <is>
          <t>24 VDC DO</t>
        </is>
      </c>
      <c r="N548" s="129" t="inlineStr">
        <is>
          <t>5069-OB16</t>
        </is>
      </c>
      <c r="O548" s="139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40" t="n"/>
      <c r="AA548" t="inlineStr">
        <is>
          <t>Matched</t>
        </is>
      </c>
      <c r="AB548" s="315" t="n">
        <v>0.99</v>
      </c>
      <c r="AC548" t="inlineStr">
        <is>
          <t>High</t>
        </is>
      </c>
      <c r="AD548" t="n">
        <v>1</v>
      </c>
      <c r="AE548" t="inlineStr">
        <is>
          <t>DG7022</t>
        </is>
      </c>
      <c r="AF548" t="n">
        <v>14</v>
      </c>
      <c r="AG548" t="inlineStr">
        <is>
          <t>drawing</t>
        </is>
      </c>
      <c r="AH548" t="inlineStr">
        <is>
          <t>stacked:isa</t>
        </is>
      </c>
      <c r="AI548" t="inlineStr">
        <is>
          <t>drawing zone; process page; mapped sheet; excel sheet match</t>
        </is>
      </c>
      <c r="AJ548" t="inlineStr">
        <is>
          <t>native</t>
        </is>
      </c>
      <c r="AK548" t="inlineStr">
        <is>
          <t>native-only</t>
        </is>
      </c>
      <c r="AM548" t="inlineStr">
        <is>
          <t>14</t>
        </is>
      </c>
      <c r="AN548" t="inlineStr">
        <is>
          <t>Yes</t>
        </is>
      </c>
      <c r="AO548" t="inlineStr">
        <is>
          <t>mapped sheet id</t>
        </is>
      </c>
      <c r="AP548" t="inlineStr">
        <is>
          <t>p14:native:12, p14:native:13</t>
        </is>
      </c>
      <c r="AQ548" t="n">
        <v>2</v>
      </c>
    </row>
    <row r="549">
      <c r="A549" s="203">
        <f>ROW()-1</f>
        <v/>
      </c>
      <c r="B549" s="128" t="inlineStr">
        <is>
          <t>RL7-CKR-101-XY-10</t>
        </is>
      </c>
      <c r="C549" s="314" t="inlineStr">
        <is>
          <t>RL7-CKR-101-XV-10</t>
        </is>
      </c>
      <c r="D549" s="262" t="inlineStr">
        <is>
          <t>SOL307101</t>
        </is>
      </c>
      <c r="E549" s="128" t="inlineStr">
        <is>
          <t>JIC5B</t>
        </is>
      </c>
      <c r="F549" s="138" t="inlineStr">
        <is>
          <t>COOKER 1 STEAM VALVES 9-16</t>
        </is>
      </c>
      <c r="G549" s="131" t="inlineStr">
        <is>
          <t>DG7022</t>
        </is>
      </c>
      <c r="H549" s="128" t="inlineStr">
        <is>
          <t>PROC</t>
        </is>
      </c>
      <c r="I549" s="132" t="inlineStr">
        <is>
          <t>RL7-CKR1-RIO1</t>
        </is>
      </c>
      <c r="J549" s="133" t="n">
        <v>12</v>
      </c>
      <c r="K549" s="129" t="n">
        <v>9</v>
      </c>
      <c r="L549" s="129" t="n">
        <v>9</v>
      </c>
      <c r="M549" s="129" t="inlineStr">
        <is>
          <t>24 VDC DO</t>
        </is>
      </c>
      <c r="N549" s="129" t="inlineStr">
        <is>
          <t>5069-OB16</t>
        </is>
      </c>
      <c r="O549" s="139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40" t="n"/>
      <c r="AA549" t="inlineStr">
        <is>
          <t>Matched</t>
        </is>
      </c>
      <c r="AB549" s="315" t="n">
        <v>0.99</v>
      </c>
      <c r="AC549" t="inlineStr">
        <is>
          <t>High</t>
        </is>
      </c>
      <c r="AD549" t="n">
        <v>1</v>
      </c>
      <c r="AE549" t="inlineStr">
        <is>
          <t>DG7022</t>
        </is>
      </c>
      <c r="AF549" t="n">
        <v>14</v>
      </c>
      <c r="AG549" t="inlineStr">
        <is>
          <t>drawing</t>
        </is>
      </c>
      <c r="AH549" t="inlineStr">
        <is>
          <t>stacked:isa</t>
        </is>
      </c>
      <c r="AI549" t="inlineStr">
        <is>
          <t>drawing zone; process page; mapped sheet; excel sheet match</t>
        </is>
      </c>
      <c r="AJ549" t="inlineStr">
        <is>
          <t>native</t>
        </is>
      </c>
      <c r="AK549" t="inlineStr">
        <is>
          <t>native-only</t>
        </is>
      </c>
      <c r="AM549" t="inlineStr">
        <is>
          <t>14</t>
        </is>
      </c>
      <c r="AN549" t="inlineStr">
        <is>
          <t>Yes</t>
        </is>
      </c>
      <c r="AO549" t="inlineStr">
        <is>
          <t>mapped sheet id</t>
        </is>
      </c>
      <c r="AP549" t="inlineStr">
        <is>
          <t>p14:native:14, p14:native:15</t>
        </is>
      </c>
      <c r="AQ549" t="n">
        <v>2</v>
      </c>
    </row>
    <row r="550" customFormat="1" s="149">
      <c r="A550" s="203">
        <f>ROW()-1</f>
        <v/>
      </c>
      <c r="B550" s="128" t="inlineStr">
        <is>
          <t>RL7-CKR-102-XY-02</t>
        </is>
      </c>
      <c r="C550" s="314" t="inlineStr">
        <is>
          <t>RL7-CKR-102-XV-02</t>
        </is>
      </c>
      <c r="D550" s="262" t="inlineStr">
        <is>
          <t>SOL407091</t>
        </is>
      </c>
      <c r="E550" s="128" t="inlineStr">
        <is>
          <t>JIC6B</t>
        </is>
      </c>
      <c r="F550" s="138" t="inlineStr">
        <is>
          <t xml:space="preserve">COOKER 2 STEAM VALVES 1-8  </t>
        </is>
      </c>
      <c r="G550" s="131" t="inlineStr">
        <is>
          <t>DG7022</t>
        </is>
      </c>
      <c r="H550" s="128" t="inlineStr">
        <is>
          <t>PROC</t>
        </is>
      </c>
      <c r="I550" s="132" t="inlineStr">
        <is>
          <t>RL7-CKR2-RIO1</t>
        </is>
      </c>
      <c r="J550" s="133" t="n">
        <v>13</v>
      </c>
      <c r="K550" s="129" t="n">
        <v>9</v>
      </c>
      <c r="L550" s="129" t="n">
        <v>8</v>
      </c>
      <c r="M550" s="129" t="inlineStr">
        <is>
          <t>24 VDC DO</t>
        </is>
      </c>
      <c r="N550" s="129" t="inlineStr">
        <is>
          <t>5069-OB16</t>
        </is>
      </c>
      <c r="O550" s="139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40" t="n"/>
      <c r="AA550" t="inlineStr">
        <is>
          <t>Matched</t>
        </is>
      </c>
      <c r="AB550" s="315" t="n">
        <v>0.99</v>
      </c>
      <c r="AC550" t="inlineStr">
        <is>
          <t>High</t>
        </is>
      </c>
      <c r="AD550" t="n">
        <v>1</v>
      </c>
      <c r="AE550" t="inlineStr">
        <is>
          <t>DG7022</t>
        </is>
      </c>
      <c r="AF550" t="n">
        <v>14</v>
      </c>
      <c r="AG550" t="inlineStr">
        <is>
          <t>drawing</t>
        </is>
      </c>
      <c r="AH550" t="inlineStr">
        <is>
          <t>stacked:isa</t>
        </is>
      </c>
      <c r="AI550" t="inlineStr">
        <is>
          <t>drawing zone; process page; mapped sheet; excel sheet match</t>
        </is>
      </c>
      <c r="AJ550" t="inlineStr">
        <is>
          <t>native</t>
        </is>
      </c>
      <c r="AK550" t="inlineStr">
        <is>
          <t>native-only</t>
        </is>
      </c>
      <c r="AM550" t="inlineStr">
        <is>
          <t>14</t>
        </is>
      </c>
      <c r="AN550" t="inlineStr">
        <is>
          <t>Yes</t>
        </is>
      </c>
      <c r="AO550" t="inlineStr">
        <is>
          <t>mapped sheet id</t>
        </is>
      </c>
      <c r="AP550" t="inlineStr">
        <is>
          <t>p14:native:44, p14:native:45</t>
        </is>
      </c>
      <c r="AQ550" t="n">
        <v>2</v>
      </c>
    </row>
    <row r="551" customFormat="1" s="149">
      <c r="A551" s="203">
        <f>ROW()-1</f>
        <v/>
      </c>
      <c r="B551" s="128" t="inlineStr">
        <is>
          <t>RL7-CKR-102-XY-10</t>
        </is>
      </c>
      <c r="C551" s="314" t="inlineStr">
        <is>
          <t>RL7-CKR-102-XV-10</t>
        </is>
      </c>
      <c r="D551" s="262" t="inlineStr">
        <is>
          <t>SOL407101</t>
        </is>
      </c>
      <c r="E551" s="128" t="inlineStr">
        <is>
          <t>JIC6B</t>
        </is>
      </c>
      <c r="F551" s="138" t="inlineStr">
        <is>
          <t xml:space="preserve">COOKER 2 STEAM VALVES 9-16  </t>
        </is>
      </c>
      <c r="G551" s="131" t="inlineStr">
        <is>
          <t>DG7022</t>
        </is>
      </c>
      <c r="H551" s="128" t="inlineStr">
        <is>
          <t>PROC</t>
        </is>
      </c>
      <c r="I551" s="132" t="inlineStr">
        <is>
          <t>RL7-CKR2-RIO1</t>
        </is>
      </c>
      <c r="J551" s="133" t="n">
        <v>13</v>
      </c>
      <c r="K551" s="129" t="n">
        <v>9</v>
      </c>
      <c r="L551" s="129" t="n">
        <v>9</v>
      </c>
      <c r="M551" s="129" t="inlineStr">
        <is>
          <t>24 VDC DO</t>
        </is>
      </c>
      <c r="N551" s="129" t="inlineStr">
        <is>
          <t>5069-OB16</t>
        </is>
      </c>
      <c r="O551" s="139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40" t="n"/>
      <c r="AA551" t="inlineStr">
        <is>
          <t>Matched</t>
        </is>
      </c>
      <c r="AB551" s="315" t="n">
        <v>0.99</v>
      </c>
      <c r="AC551" t="inlineStr">
        <is>
          <t>High</t>
        </is>
      </c>
      <c r="AD551" t="n">
        <v>1</v>
      </c>
      <c r="AE551" t="inlineStr">
        <is>
          <t>DG7022</t>
        </is>
      </c>
      <c r="AF551" t="n">
        <v>14</v>
      </c>
      <c r="AG551" t="inlineStr">
        <is>
          <t>drawing</t>
        </is>
      </c>
      <c r="AH551" t="inlineStr">
        <is>
          <t>stacked:isa</t>
        </is>
      </c>
      <c r="AI551" t="inlineStr">
        <is>
          <t>drawing zone; process page; mapped sheet; excel sheet match</t>
        </is>
      </c>
      <c r="AJ551" t="inlineStr">
        <is>
          <t>native</t>
        </is>
      </c>
      <c r="AK551" t="inlineStr">
        <is>
          <t>native-only</t>
        </is>
      </c>
      <c r="AM551" t="inlineStr">
        <is>
          <t>14</t>
        </is>
      </c>
      <c r="AN551" t="inlineStr">
        <is>
          <t>Yes</t>
        </is>
      </c>
      <c r="AO551" t="inlineStr">
        <is>
          <t>mapped sheet id</t>
        </is>
      </c>
      <c r="AP551" t="inlineStr">
        <is>
          <t>p14:native:46, p14:native:47</t>
        </is>
      </c>
      <c r="AQ551" t="n">
        <v>2</v>
      </c>
    </row>
    <row r="552" customFormat="1" s="149">
      <c r="A552" s="203">
        <f>ROW()-1</f>
        <v/>
      </c>
      <c r="B552" s="128" t="inlineStr">
        <is>
          <t>RL7-PMP-104-ZSO-01</t>
        </is>
      </c>
      <c r="C552" s="314" t="inlineStr">
        <is>
          <t>RL7-PMP-104-ZSO-01</t>
        </is>
      </c>
      <c r="D552" s="262" t="n"/>
      <c r="E552" s="128" t="n"/>
      <c r="F552" s="141" t="inlineStr">
        <is>
          <t>COOKER 1 PRODUCT TO METAL DETECTOR VALVE OPEN LIMIT SWITCH</t>
        </is>
      </c>
      <c r="G552" s="131" t="inlineStr">
        <is>
          <t>DG7023</t>
        </is>
      </c>
      <c r="H552" s="128" t="inlineStr">
        <is>
          <t>INTSL</t>
        </is>
      </c>
      <c r="I552" s="131" t="inlineStr">
        <is>
          <t>RL7-INTSL-RIO1</t>
        </is>
      </c>
      <c r="J552" s="133" t="n">
        <v>18</v>
      </c>
      <c r="K552" s="129" t="n">
        <v>1</v>
      </c>
      <c r="L552" s="129" t="n">
        <v>6</v>
      </c>
      <c r="M552" s="129" t="inlineStr">
        <is>
          <t>24 VDC DI</t>
        </is>
      </c>
      <c r="N552" s="129" t="inlineStr">
        <is>
          <t>5069-IB16</t>
        </is>
      </c>
      <c r="O552" s="139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40" t="n"/>
      <c r="AA552" t="inlineStr">
        <is>
          <t>Matched</t>
        </is>
      </c>
      <c r="AB552" s="315" t="n">
        <v>0.99</v>
      </c>
      <c r="AC552" t="inlineStr">
        <is>
          <t>High</t>
        </is>
      </c>
      <c r="AD552" t="n">
        <v>1</v>
      </c>
      <c r="AE552" t="inlineStr">
        <is>
          <t>DG7023</t>
        </is>
      </c>
      <c r="AF552" t="n">
        <v>15</v>
      </c>
      <c r="AG552" t="inlineStr">
        <is>
          <t>drawing</t>
        </is>
      </c>
      <c r="AH552" t="inlineStr">
        <is>
          <t>stacked:isa</t>
        </is>
      </c>
      <c r="AI552" t="inlineStr">
        <is>
          <t>drawing zone; process page; mapped sheet; excel sheet match</t>
        </is>
      </c>
      <c r="AJ552" t="inlineStr">
        <is>
          <t>native</t>
        </is>
      </c>
      <c r="AK552" t="inlineStr">
        <is>
          <t>native-only</t>
        </is>
      </c>
      <c r="AM552" t="inlineStr">
        <is>
          <t>15</t>
        </is>
      </c>
      <c r="AN552" t="inlineStr">
        <is>
          <t>Yes</t>
        </is>
      </c>
      <c r="AO552" t="inlineStr">
        <is>
          <t>mapped sheet id</t>
        </is>
      </c>
      <c r="AP552" t="inlineStr">
        <is>
          <t>p15:native:59, p15:native:60</t>
        </is>
      </c>
      <c r="AQ552" t="n">
        <v>2</v>
      </c>
    </row>
    <row r="553" customFormat="1" s="149">
      <c r="A553" s="203">
        <f>ROW()-1</f>
        <v/>
      </c>
      <c r="B553" s="128" t="inlineStr">
        <is>
          <t>RL7-PMP-104-ZSC-01</t>
        </is>
      </c>
      <c r="C553" s="314" t="inlineStr">
        <is>
          <t>RL7-PMP-104-ZSC-01</t>
        </is>
      </c>
      <c r="D553" s="262" t="n"/>
      <c r="E553" s="128" t="n"/>
      <c r="F553" s="141" t="inlineStr">
        <is>
          <t>COOKER 1 PRODUCT TO METAL DETECTOR VALVE CLOSED LIMIT SWITCH</t>
        </is>
      </c>
      <c r="G553" s="131" t="inlineStr">
        <is>
          <t>DG7023</t>
        </is>
      </c>
      <c r="H553" s="128" t="inlineStr">
        <is>
          <t>INTSL</t>
        </is>
      </c>
      <c r="I553" s="131" t="inlineStr">
        <is>
          <t>RL7-INTSL-RIO1</t>
        </is>
      </c>
      <c r="J553" s="133" t="n">
        <v>18</v>
      </c>
      <c r="K553" s="129" t="n">
        <v>1</v>
      </c>
      <c r="L553" s="129" t="n">
        <v>7</v>
      </c>
      <c r="M553" s="129" t="inlineStr">
        <is>
          <t>24 VDC DI</t>
        </is>
      </c>
      <c r="N553" s="129" t="inlineStr">
        <is>
          <t>5069-IB16</t>
        </is>
      </c>
      <c r="O553" s="139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40" t="n"/>
      <c r="AA553" t="inlineStr">
        <is>
          <t>Matched</t>
        </is>
      </c>
      <c r="AB553" s="315" t="n">
        <v>0.99</v>
      </c>
      <c r="AC553" t="inlineStr">
        <is>
          <t>High</t>
        </is>
      </c>
      <c r="AD553" t="n">
        <v>1</v>
      </c>
      <c r="AE553" t="inlineStr">
        <is>
          <t>DG7023</t>
        </is>
      </c>
      <c r="AF553" t="n">
        <v>15</v>
      </c>
      <c r="AG553" t="inlineStr">
        <is>
          <t>drawing</t>
        </is>
      </c>
      <c r="AH553" t="inlineStr">
        <is>
          <t>stacked:isa</t>
        </is>
      </c>
      <c r="AI553" t="inlineStr">
        <is>
          <t>drawing zone; process page; mapped sheet; excel sheet match</t>
        </is>
      </c>
      <c r="AJ553" t="inlineStr">
        <is>
          <t>native</t>
        </is>
      </c>
      <c r="AK553" t="inlineStr">
        <is>
          <t>native-only</t>
        </is>
      </c>
      <c r="AM553" t="inlineStr">
        <is>
          <t>15</t>
        </is>
      </c>
      <c r="AN553" t="inlineStr">
        <is>
          <t>Yes</t>
        </is>
      </c>
      <c r="AO553" t="inlineStr">
        <is>
          <t>mapped sheet id</t>
        </is>
      </c>
      <c r="AP553" t="inlineStr">
        <is>
          <t>p15:native:61, p15:native:62</t>
        </is>
      </c>
      <c r="AQ553" t="n">
        <v>2</v>
      </c>
    </row>
    <row r="554">
      <c r="A554" s="203">
        <f>ROW()-1</f>
        <v/>
      </c>
      <c r="B554" s="128" t="inlineStr">
        <is>
          <t>RL7-MDT-102-ZSO-02</t>
        </is>
      </c>
      <c r="C554" s="314" t="inlineStr">
        <is>
          <t>RL7-MDT-102-ZSO-02</t>
        </is>
      </c>
      <c r="D554" s="262" t="n"/>
      <c r="E554" s="128" t="n"/>
      <c r="F554" s="138" t="inlineStr">
        <is>
          <t>PIPELINE METAL DETECTOR PRODUCT SUPPLY VALVE OPEN LIMIT SWITCH</t>
        </is>
      </c>
      <c r="G554" s="131" t="inlineStr">
        <is>
          <t>DG7023</t>
        </is>
      </c>
      <c r="H554" s="128" t="inlineStr">
        <is>
          <t>INTSL</t>
        </is>
      </c>
      <c r="I554" s="131" t="inlineStr">
        <is>
          <t>RL7-INTSL-RIO1</t>
        </is>
      </c>
      <c r="J554" s="133" t="n">
        <v>18</v>
      </c>
      <c r="K554" s="129" t="n">
        <v>1</v>
      </c>
      <c r="L554" s="129" t="n">
        <v>8</v>
      </c>
      <c r="M554" s="129" t="inlineStr">
        <is>
          <t>24 VDC DI</t>
        </is>
      </c>
      <c r="N554" s="129" t="inlineStr">
        <is>
          <t>5069-IB16</t>
        </is>
      </c>
      <c r="O554" s="139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40" t="n"/>
      <c r="AA554" t="inlineStr">
        <is>
          <t>Matched</t>
        </is>
      </c>
      <c r="AB554" s="315" t="n">
        <v>0.99</v>
      </c>
      <c r="AC554" t="inlineStr">
        <is>
          <t>High</t>
        </is>
      </c>
      <c r="AD554" t="n">
        <v>1</v>
      </c>
      <c r="AE554" t="inlineStr">
        <is>
          <t>DG7023</t>
        </is>
      </c>
      <c r="AF554" t="n">
        <v>15</v>
      </c>
      <c r="AG554" t="inlineStr">
        <is>
          <t>drawing</t>
        </is>
      </c>
      <c r="AH554" t="inlineStr">
        <is>
          <t>stacked:isa</t>
        </is>
      </c>
      <c r="AI554" t="inlineStr">
        <is>
          <t>drawing zone; process page; mapped sheet; excel sheet match</t>
        </is>
      </c>
      <c r="AJ554" t="inlineStr">
        <is>
          <t>native</t>
        </is>
      </c>
      <c r="AK554" t="inlineStr">
        <is>
          <t>native-only</t>
        </is>
      </c>
      <c r="AM554" t="inlineStr">
        <is>
          <t>15</t>
        </is>
      </c>
      <c r="AN554" t="inlineStr">
        <is>
          <t>Yes</t>
        </is>
      </c>
      <c r="AO554" t="inlineStr">
        <is>
          <t>mapped sheet id</t>
        </is>
      </c>
      <c r="AP554" t="inlineStr">
        <is>
          <t>p15:native:84, p15:native:85</t>
        </is>
      </c>
      <c r="AQ554" t="n">
        <v>2</v>
      </c>
    </row>
    <row r="555">
      <c r="A555" s="203">
        <f>ROW()-1</f>
        <v/>
      </c>
      <c r="B555" s="128" t="inlineStr">
        <is>
          <t>RL7-MDT-102-ZSC-02</t>
        </is>
      </c>
      <c r="C555" s="314" t="inlineStr">
        <is>
          <t>RL7-MDT-102-ZSC-02</t>
        </is>
      </c>
      <c r="D555" s="262" t="n"/>
      <c r="E555" s="128" t="n"/>
      <c r="F555" s="138" t="inlineStr">
        <is>
          <t>PIPELINE METAL DETECTOR PRODUCT SUPPLY VALVE CLOSED LIMIT SWITCH</t>
        </is>
      </c>
      <c r="G555" s="131" t="inlineStr">
        <is>
          <t>DG7023</t>
        </is>
      </c>
      <c r="H555" s="128" t="inlineStr">
        <is>
          <t>INTSL</t>
        </is>
      </c>
      <c r="I555" s="131" t="inlineStr">
        <is>
          <t>RL7-INTSL-RIO1</t>
        </is>
      </c>
      <c r="J555" s="133" t="n">
        <v>18</v>
      </c>
      <c r="K555" s="129" t="n">
        <v>1</v>
      </c>
      <c r="L555" s="129" t="n">
        <v>9</v>
      </c>
      <c r="M555" s="129" t="inlineStr">
        <is>
          <t>24 VDC DI</t>
        </is>
      </c>
      <c r="N555" s="129" t="inlineStr">
        <is>
          <t>5069-IB16</t>
        </is>
      </c>
      <c r="O555" s="139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40" t="n"/>
      <c r="AA555" t="inlineStr">
        <is>
          <t>Matched</t>
        </is>
      </c>
      <c r="AB555" s="315" t="n">
        <v>0.99</v>
      </c>
      <c r="AC555" t="inlineStr">
        <is>
          <t>High</t>
        </is>
      </c>
      <c r="AD555" t="n">
        <v>1</v>
      </c>
      <c r="AE555" t="inlineStr">
        <is>
          <t>DG7023</t>
        </is>
      </c>
      <c r="AF555" t="n">
        <v>15</v>
      </c>
      <c r="AG555" t="inlineStr">
        <is>
          <t>drawing</t>
        </is>
      </c>
      <c r="AH555" t="inlineStr">
        <is>
          <t>stacked:isa</t>
        </is>
      </c>
      <c r="AI555" t="inlineStr">
        <is>
          <t>drawing zone; process page; mapped sheet; excel sheet match</t>
        </is>
      </c>
      <c r="AJ555" t="inlineStr">
        <is>
          <t>native</t>
        </is>
      </c>
      <c r="AK555" t="inlineStr">
        <is>
          <t>native-only</t>
        </is>
      </c>
      <c r="AM555" t="inlineStr">
        <is>
          <t>15</t>
        </is>
      </c>
      <c r="AN555" t="inlineStr">
        <is>
          <t>Yes</t>
        </is>
      </c>
      <c r="AO555" t="inlineStr">
        <is>
          <t>mapped sheet id</t>
        </is>
      </c>
      <c r="AP555" t="inlineStr">
        <is>
          <t>p15:native:86, p15:native:87</t>
        </is>
      </c>
      <c r="AQ555" t="n">
        <v>2</v>
      </c>
    </row>
    <row r="556">
      <c r="A556" s="203">
        <f>ROW()-1</f>
        <v/>
      </c>
      <c r="B556" s="128" t="inlineStr">
        <is>
          <t>RL7-PMP-105-ZSO-01</t>
        </is>
      </c>
      <c r="C556" s="314" t="inlineStr">
        <is>
          <t>RL7-PMP-105-ZSO-01</t>
        </is>
      </c>
      <c r="D556" s="262" t="n"/>
      <c r="E556" s="128" t="n"/>
      <c r="F556" s="138" t="inlineStr">
        <is>
          <t>COOKER 2 PRODUCT TO METAL DETECTOR VALVE OPEN LIMIT SWITCH</t>
        </is>
      </c>
      <c r="G556" s="131" t="inlineStr">
        <is>
          <t>DG7023</t>
        </is>
      </c>
      <c r="H556" s="128" t="inlineStr">
        <is>
          <t>INTSL</t>
        </is>
      </c>
      <c r="I556" s="131" t="inlineStr">
        <is>
          <t>RL7-INTSL-RIO1</t>
        </is>
      </c>
      <c r="J556" s="133" t="n">
        <v>18</v>
      </c>
      <c r="K556" s="129" t="n">
        <v>2</v>
      </c>
      <c r="L556" s="129" t="n">
        <v>6</v>
      </c>
      <c r="M556" s="129" t="inlineStr">
        <is>
          <t>24 VDC DI</t>
        </is>
      </c>
      <c r="N556" s="129" t="inlineStr">
        <is>
          <t>5069-IB16</t>
        </is>
      </c>
      <c r="O556" s="139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40" t="n"/>
      <c r="AA556" t="inlineStr">
        <is>
          <t>Matched</t>
        </is>
      </c>
      <c r="AB556" s="315" t="n">
        <v>0.99</v>
      </c>
      <c r="AC556" t="inlineStr">
        <is>
          <t>High</t>
        </is>
      </c>
      <c r="AD556" t="n">
        <v>1</v>
      </c>
      <c r="AE556" t="inlineStr">
        <is>
          <t>DG7023</t>
        </is>
      </c>
      <c r="AF556" t="n">
        <v>15</v>
      </c>
      <c r="AG556" t="inlineStr">
        <is>
          <t>drawing</t>
        </is>
      </c>
      <c r="AH556" t="inlineStr">
        <is>
          <t>stacked:isa</t>
        </is>
      </c>
      <c r="AI556" t="inlineStr">
        <is>
          <t>drawing zone; process page; mapped sheet; excel sheet match</t>
        </is>
      </c>
      <c r="AJ556" t="inlineStr">
        <is>
          <t>native</t>
        </is>
      </c>
      <c r="AK556" t="inlineStr">
        <is>
          <t>native-only</t>
        </is>
      </c>
      <c r="AM556" t="inlineStr">
        <is>
          <t>15</t>
        </is>
      </c>
      <c r="AN556" t="inlineStr">
        <is>
          <t>Yes</t>
        </is>
      </c>
      <c r="AO556" t="inlineStr">
        <is>
          <t>mapped sheet id</t>
        </is>
      </c>
      <c r="AP556" t="inlineStr">
        <is>
          <t>p15:native:55, p15:native:56</t>
        </is>
      </c>
      <c r="AQ556" t="n">
        <v>2</v>
      </c>
    </row>
    <row r="557">
      <c r="A557" s="203">
        <f>ROW()-1</f>
        <v/>
      </c>
      <c r="B557" s="128" t="inlineStr">
        <is>
          <t>RL7-PMP-105-ZSC-01</t>
        </is>
      </c>
      <c r="C557" s="314" t="inlineStr">
        <is>
          <t>RL7-PMP-105-ZSC-01</t>
        </is>
      </c>
      <c r="D557" s="262" t="n"/>
      <c r="E557" s="128" t="n"/>
      <c r="F557" s="138" t="inlineStr">
        <is>
          <t>COOKER 2 PRODUCT TO METAL DETECTOR VALVE CLOSED LIMIT SWITCH</t>
        </is>
      </c>
      <c r="G557" s="131" t="inlineStr">
        <is>
          <t>DG7023</t>
        </is>
      </c>
      <c r="H557" s="128" t="inlineStr">
        <is>
          <t>INTSL</t>
        </is>
      </c>
      <c r="I557" s="131" t="inlineStr">
        <is>
          <t>RL7-INTSL-RIO1</t>
        </is>
      </c>
      <c r="J557" s="133" t="n">
        <v>18</v>
      </c>
      <c r="K557" s="129" t="n">
        <v>2</v>
      </c>
      <c r="L557" s="129" t="n">
        <v>7</v>
      </c>
      <c r="M557" s="129" t="inlineStr">
        <is>
          <t>24 VDC DI</t>
        </is>
      </c>
      <c r="N557" s="129" t="inlineStr">
        <is>
          <t>5069-IB16</t>
        </is>
      </c>
      <c r="O557" s="139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40" t="n"/>
      <c r="AA557" t="inlineStr">
        <is>
          <t>Matched</t>
        </is>
      </c>
      <c r="AB557" s="315" t="n">
        <v>0.99</v>
      </c>
      <c r="AC557" t="inlineStr">
        <is>
          <t>High</t>
        </is>
      </c>
      <c r="AD557" t="n">
        <v>1</v>
      </c>
      <c r="AE557" t="inlineStr">
        <is>
          <t>DG7023</t>
        </is>
      </c>
      <c r="AF557" t="n">
        <v>15</v>
      </c>
      <c r="AG557" t="inlineStr">
        <is>
          <t>drawing</t>
        </is>
      </c>
      <c r="AH557" t="inlineStr">
        <is>
          <t>stacked:isa</t>
        </is>
      </c>
      <c r="AI557" t="inlineStr">
        <is>
          <t>drawing zone; process page; mapped sheet; excel sheet match</t>
        </is>
      </c>
      <c r="AJ557" t="inlineStr">
        <is>
          <t>native</t>
        </is>
      </c>
      <c r="AK557" t="inlineStr">
        <is>
          <t>native-only</t>
        </is>
      </c>
      <c r="AM557" t="inlineStr">
        <is>
          <t>15</t>
        </is>
      </c>
      <c r="AN557" t="inlineStr">
        <is>
          <t>Yes</t>
        </is>
      </c>
      <c r="AO557" t="inlineStr">
        <is>
          <t>mapped sheet id</t>
        </is>
      </c>
      <c r="AP557" t="inlineStr">
        <is>
          <t>p15:native:57, p15:native:58</t>
        </is>
      </c>
      <c r="AQ557" t="n">
        <v>2</v>
      </c>
    </row>
    <row r="558">
      <c r="A558" s="203">
        <f>ROW()-1</f>
        <v/>
      </c>
      <c r="B558" s="128" t="inlineStr">
        <is>
          <t>RL7-PMP-104-XV-01</t>
        </is>
      </c>
      <c r="C558" s="314" t="inlineStr">
        <is>
          <t>RL7-PMP-104-XV-01</t>
        </is>
      </c>
      <c r="D558" s="262" t="n"/>
      <c r="E558" s="128" t="n"/>
      <c r="F558" s="138" t="inlineStr">
        <is>
          <t>COOKER 1 PRODUCT TO MTD VALVE OPEN SOLENOID</t>
        </is>
      </c>
      <c r="G558" s="131" t="inlineStr">
        <is>
          <t>DG7023</t>
        </is>
      </c>
      <c r="H558" s="128" t="inlineStr">
        <is>
          <t>INTSL</t>
        </is>
      </c>
      <c r="I558" s="131" t="inlineStr">
        <is>
          <t>RL7-INTSL-RIO1</t>
        </is>
      </c>
      <c r="J558" s="133" t="n">
        <v>18</v>
      </c>
      <c r="K558" s="129" t="n">
        <v>3</v>
      </c>
      <c r="L558" s="129" t="n">
        <v>3</v>
      </c>
      <c r="M558" s="129" t="inlineStr">
        <is>
          <t>24 VDC DO</t>
        </is>
      </c>
      <c r="N558" s="129" t="inlineStr">
        <is>
          <t>5069-OB16</t>
        </is>
      </c>
      <c r="O558" s="139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40" t="n"/>
      <c r="AA558" t="inlineStr">
        <is>
          <t>Matched</t>
        </is>
      </c>
      <c r="AB558" s="315" t="n">
        <v>0.99</v>
      </c>
      <c r="AC558" t="inlineStr">
        <is>
          <t>High</t>
        </is>
      </c>
      <c r="AD558" t="n">
        <v>1</v>
      </c>
      <c r="AE558" t="inlineStr">
        <is>
          <t>DG7023</t>
        </is>
      </c>
      <c r="AF558" t="n">
        <v>15</v>
      </c>
      <c r="AG558" t="inlineStr">
        <is>
          <t>drawing</t>
        </is>
      </c>
      <c r="AH558" t="inlineStr">
        <is>
          <t>stacked:isa</t>
        </is>
      </c>
      <c r="AI558" t="inlineStr">
        <is>
          <t>drawing zone; process page; mapped sheet; excel sheet match</t>
        </is>
      </c>
      <c r="AJ558" t="inlineStr">
        <is>
          <t>native</t>
        </is>
      </c>
      <c r="AK558" t="inlineStr">
        <is>
          <t>native-only</t>
        </is>
      </c>
      <c r="AM558" t="inlineStr">
        <is>
          <t>15</t>
        </is>
      </c>
      <c r="AN558" t="inlineStr">
        <is>
          <t>Yes</t>
        </is>
      </c>
      <c r="AO558" t="inlineStr">
        <is>
          <t>mapped sheet id</t>
        </is>
      </c>
      <c r="AP558" t="inlineStr">
        <is>
          <t>p15:native:13, p15:native:14</t>
        </is>
      </c>
      <c r="AQ558" t="n">
        <v>2</v>
      </c>
    </row>
    <row r="559">
      <c r="A559" s="203">
        <f>ROW()-1</f>
        <v/>
      </c>
      <c r="B559" s="128" t="inlineStr">
        <is>
          <t>RL7-PMP-105-XV-01</t>
        </is>
      </c>
      <c r="C559" s="314" t="inlineStr">
        <is>
          <t>RL7-PMP-105-XV-01</t>
        </is>
      </c>
      <c r="D559" s="262" t="n"/>
      <c r="E559" s="128" t="n"/>
      <c r="F559" s="138" t="inlineStr">
        <is>
          <t>COOKER 2 PRODUCT TO MTD VALVE OPEN SOLENOID</t>
        </is>
      </c>
      <c r="G559" s="131" t="inlineStr">
        <is>
          <t>DG7023</t>
        </is>
      </c>
      <c r="H559" s="128" t="inlineStr">
        <is>
          <t>INTSL</t>
        </is>
      </c>
      <c r="I559" s="131" t="inlineStr">
        <is>
          <t>RL7-INTSL-RIO1</t>
        </is>
      </c>
      <c r="J559" s="133" t="n">
        <v>18</v>
      </c>
      <c r="K559" s="129" t="n">
        <v>4</v>
      </c>
      <c r="L559" s="129" t="n">
        <v>3</v>
      </c>
      <c r="M559" s="129" t="inlineStr">
        <is>
          <t>24 VDC DO</t>
        </is>
      </c>
      <c r="N559" s="129" t="inlineStr">
        <is>
          <t>5069-OB16</t>
        </is>
      </c>
      <c r="O559" s="139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40" t="n"/>
      <c r="AA559" t="inlineStr">
        <is>
          <t>Matched</t>
        </is>
      </c>
      <c r="AB559" s="315" t="n">
        <v>0.99</v>
      </c>
      <c r="AC559" t="inlineStr">
        <is>
          <t>High</t>
        </is>
      </c>
      <c r="AD559" t="n">
        <v>1</v>
      </c>
      <c r="AE559" t="inlineStr">
        <is>
          <t>DG7023</t>
        </is>
      </c>
      <c r="AF559" t="n">
        <v>15</v>
      </c>
      <c r="AG559" t="inlineStr">
        <is>
          <t>drawing</t>
        </is>
      </c>
      <c r="AH559" t="inlineStr">
        <is>
          <t>stacked:isa</t>
        </is>
      </c>
      <c r="AI559" t="inlineStr">
        <is>
          <t>drawing zone; process page; mapped sheet; excel sheet match</t>
        </is>
      </c>
      <c r="AJ559" t="inlineStr">
        <is>
          <t>native</t>
        </is>
      </c>
      <c r="AK559" t="inlineStr">
        <is>
          <t>native-only</t>
        </is>
      </c>
      <c r="AM559" t="inlineStr">
        <is>
          <t>15</t>
        </is>
      </c>
      <c r="AN559" t="inlineStr">
        <is>
          <t>Yes</t>
        </is>
      </c>
      <c r="AO559" t="inlineStr">
        <is>
          <t>mapped sheet id</t>
        </is>
      </c>
      <c r="AP559" t="inlineStr">
        <is>
          <t>p15:native:11, p15:native:12</t>
        </is>
      </c>
      <c r="AQ559" t="n">
        <v>2</v>
      </c>
    </row>
    <row r="560">
      <c r="A560" s="203">
        <f>ROW()-1</f>
        <v/>
      </c>
      <c r="B560" s="128" t="inlineStr">
        <is>
          <t>RL7-AGC-201-ZSS-01</t>
        </is>
      </c>
      <c r="C560" s="314" t="inlineStr">
        <is>
          <t>RL7-AGC-201-ZSS-01</t>
        </is>
      </c>
      <c r="D560" s="262" t="inlineStr">
        <is>
          <t>PRS1106021</t>
        </is>
      </c>
      <c r="E560" s="128" t="n"/>
      <c r="F560" s="138" t="inlineStr">
        <is>
          <t>DISCHARGE AUGER CART SAFETY GRATE RFID POSITION SWITCH SAFETY INPUT CH1</t>
        </is>
      </c>
      <c r="G560" s="131" t="inlineStr">
        <is>
          <t>DG7030</t>
        </is>
      </c>
      <c r="H560" s="128" t="inlineStr">
        <is>
          <t>CHILL</t>
        </is>
      </c>
      <c r="I560" s="132" t="inlineStr">
        <is>
          <t>RL7-DAGC1-RIO1</t>
        </is>
      </c>
      <c r="J560" s="133" t="n">
        <v>14</v>
      </c>
      <c r="K560" s="129" t="n">
        <v>1</v>
      </c>
      <c r="L560" s="129" t="n">
        <v>0</v>
      </c>
      <c r="M560" s="129" t="inlineStr">
        <is>
          <t>24 VDC SI</t>
        </is>
      </c>
      <c r="N560" s="129" t="inlineStr">
        <is>
          <t>5069-IB8S</t>
        </is>
      </c>
      <c r="O560" s="139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40" t="n"/>
      <c r="AA560" t="inlineStr">
        <is>
          <t>Matched</t>
        </is>
      </c>
      <c r="AB560" s="315" t="n">
        <v>0.99</v>
      </c>
      <c r="AC560" t="inlineStr">
        <is>
          <t>High</t>
        </is>
      </c>
      <c r="AD560" t="n">
        <v>1</v>
      </c>
      <c r="AE560" t="inlineStr">
        <is>
          <t>DG7030</t>
        </is>
      </c>
      <c r="AF560" t="n">
        <v>16</v>
      </c>
      <c r="AG560" t="inlineStr">
        <is>
          <t>drawing</t>
        </is>
      </c>
      <c r="AH560" t="inlineStr">
        <is>
          <t>stacked:isa</t>
        </is>
      </c>
      <c r="AI560" t="inlineStr">
        <is>
          <t>drawing zone; process page; mapped sheet; excel sheet match</t>
        </is>
      </c>
      <c r="AJ560" t="inlineStr">
        <is>
          <t>native</t>
        </is>
      </c>
      <c r="AK560" t="inlineStr">
        <is>
          <t>native-only</t>
        </is>
      </c>
      <c r="AM560" t="inlineStr">
        <is>
          <t>16</t>
        </is>
      </c>
      <c r="AN560" t="inlineStr">
        <is>
          <t>Yes</t>
        </is>
      </c>
      <c r="AO560" t="inlineStr">
        <is>
          <t>mapped sheet id</t>
        </is>
      </c>
      <c r="AP560" t="inlineStr">
        <is>
          <t>p16:native:71, p16:native:72</t>
        </is>
      </c>
      <c r="AQ560" t="n">
        <v>2</v>
      </c>
    </row>
    <row r="561">
      <c r="A561" s="203">
        <f>ROW()-1</f>
        <v/>
      </c>
      <c r="B561" s="128" t="inlineStr">
        <is>
          <t>RL7-AGC-201-ZSS-01</t>
        </is>
      </c>
      <c r="C561" s="314" t="inlineStr">
        <is>
          <t>RL7-AGC-201-ZSS-01</t>
        </is>
      </c>
      <c r="D561" s="262" t="inlineStr">
        <is>
          <t>PRS1106021</t>
        </is>
      </c>
      <c r="E561" s="128" t="n"/>
      <c r="F561" s="138" t="inlineStr">
        <is>
          <t>DISCHARGE AUGER CART SAFETY GRATE RFID POSITION SWITCH SAFETY INPUT CH2</t>
        </is>
      </c>
      <c r="G561" s="131" t="inlineStr">
        <is>
          <t>DG7030</t>
        </is>
      </c>
      <c r="H561" s="128" t="inlineStr">
        <is>
          <t>CHILL</t>
        </is>
      </c>
      <c r="I561" s="132" t="inlineStr">
        <is>
          <t>RL7-DAGC1-RIO1</t>
        </is>
      </c>
      <c r="J561" s="133" t="n">
        <v>14</v>
      </c>
      <c r="K561" s="129" t="n">
        <v>1</v>
      </c>
      <c r="L561" s="129" t="n">
        <v>1</v>
      </c>
      <c r="M561" s="129" t="inlineStr">
        <is>
          <t>24 VDC SI</t>
        </is>
      </c>
      <c r="N561" s="129" t="inlineStr">
        <is>
          <t>5069-IB8S</t>
        </is>
      </c>
      <c r="O561" s="139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40" t="n"/>
      <c r="AA561" t="inlineStr">
        <is>
          <t>Matched</t>
        </is>
      </c>
      <c r="AB561" s="315" t="n">
        <v>0.99</v>
      </c>
      <c r="AC561" t="inlineStr">
        <is>
          <t>High</t>
        </is>
      </c>
      <c r="AD561" t="n">
        <v>1</v>
      </c>
      <c r="AE561" t="inlineStr">
        <is>
          <t>DG7030</t>
        </is>
      </c>
      <c r="AF561" t="n">
        <v>16</v>
      </c>
      <c r="AG561" t="inlineStr">
        <is>
          <t>drawing</t>
        </is>
      </c>
      <c r="AH561" t="inlineStr">
        <is>
          <t>stacked:isa</t>
        </is>
      </c>
      <c r="AI561" t="inlineStr">
        <is>
          <t>drawing zone; process page; mapped sheet; excel sheet match</t>
        </is>
      </c>
      <c r="AJ561" t="inlineStr">
        <is>
          <t>native</t>
        </is>
      </c>
      <c r="AK561" t="inlineStr">
        <is>
          <t>native-only</t>
        </is>
      </c>
      <c r="AM561" t="inlineStr">
        <is>
          <t>16</t>
        </is>
      </c>
      <c r="AN561" t="inlineStr">
        <is>
          <t>Yes</t>
        </is>
      </c>
      <c r="AO561" t="inlineStr">
        <is>
          <t>mapped sheet id</t>
        </is>
      </c>
      <c r="AP561" t="inlineStr">
        <is>
          <t>p16:native:71, p16:native:72</t>
        </is>
      </c>
      <c r="AQ561" t="n">
        <v>2</v>
      </c>
    </row>
    <row r="562">
      <c r="A562" s="203">
        <f>ROW()-1</f>
        <v/>
      </c>
      <c r="B562" s="128" t="inlineStr">
        <is>
          <t>RL7-AGC-201-ZSS-03</t>
        </is>
      </c>
      <c r="C562" s="314" t="inlineStr">
        <is>
          <t>RL7-AGC-201-ZSS-03</t>
        </is>
      </c>
      <c r="D562" s="262" t="inlineStr">
        <is>
          <t>PRS1106061</t>
        </is>
      </c>
      <c r="E562" s="128" t="n"/>
      <c r="F562" s="138" t="inlineStr">
        <is>
          <t>DISCHARGE AUGER CART PRESSURE TUBE RFID POSITION SWITCH SAFETY INPUT CH1</t>
        </is>
      </c>
      <c r="G562" s="131" t="inlineStr">
        <is>
          <t>DG7030</t>
        </is>
      </c>
      <c r="H562" s="128" t="inlineStr">
        <is>
          <t>CHILL</t>
        </is>
      </c>
      <c r="I562" s="132" t="inlineStr">
        <is>
          <t>RL7-DAGC1-RIO1</t>
        </is>
      </c>
      <c r="J562" s="133" t="n">
        <v>14</v>
      </c>
      <c r="K562" s="129" t="n">
        <v>1</v>
      </c>
      <c r="L562" s="129" t="n">
        <v>2</v>
      </c>
      <c r="M562" s="129" t="inlineStr">
        <is>
          <t>24 VDC SI</t>
        </is>
      </c>
      <c r="N562" s="129" t="inlineStr">
        <is>
          <t>5069-IB8S</t>
        </is>
      </c>
      <c r="O562" s="139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40" t="n"/>
      <c r="AA562" t="inlineStr">
        <is>
          <t>Matched</t>
        </is>
      </c>
      <c r="AB562" s="315" t="n">
        <v>0.99</v>
      </c>
      <c r="AC562" t="inlineStr">
        <is>
          <t>High</t>
        </is>
      </c>
      <c r="AD562" t="n">
        <v>1</v>
      </c>
      <c r="AE562" t="inlineStr">
        <is>
          <t>DG7030</t>
        </is>
      </c>
      <c r="AF562" t="n">
        <v>16</v>
      </c>
      <c r="AG562" t="inlineStr">
        <is>
          <t>drawing</t>
        </is>
      </c>
      <c r="AH562" t="inlineStr">
        <is>
          <t>stacked:isa</t>
        </is>
      </c>
      <c r="AI562" t="inlineStr">
        <is>
          <t>drawing zone; process page; mapped sheet; excel sheet match</t>
        </is>
      </c>
      <c r="AJ562" t="inlineStr">
        <is>
          <t>native</t>
        </is>
      </c>
      <c r="AK562" t="inlineStr">
        <is>
          <t>native-only</t>
        </is>
      </c>
      <c r="AM562" t="inlineStr">
        <is>
          <t>16</t>
        </is>
      </c>
      <c r="AN562" t="inlineStr">
        <is>
          <t>Yes</t>
        </is>
      </c>
      <c r="AO562" t="inlineStr">
        <is>
          <t>mapped sheet id</t>
        </is>
      </c>
      <c r="AP562" t="inlineStr">
        <is>
          <t>p16:native:79, p16:native:80</t>
        </is>
      </c>
      <c r="AQ562" t="n">
        <v>2</v>
      </c>
    </row>
    <row r="563">
      <c r="A563" s="203">
        <f>ROW()-1</f>
        <v/>
      </c>
      <c r="B563" s="128" t="inlineStr">
        <is>
          <t>RL7-AGC-201-ZSS-03</t>
        </is>
      </c>
      <c r="C563" s="314" t="inlineStr">
        <is>
          <t>RL7-AGC-201-ZSS-03</t>
        </is>
      </c>
      <c r="D563" s="262" t="inlineStr">
        <is>
          <t>PRS1106061</t>
        </is>
      </c>
      <c r="E563" s="128" t="n"/>
      <c r="F563" s="138" t="inlineStr">
        <is>
          <t>DISCHARGE AUGER CART PRESSURE TUBE RFID POSITION SWITCH SAFETY INPUT CH2</t>
        </is>
      </c>
      <c r="G563" s="131" t="inlineStr">
        <is>
          <t>DG7030</t>
        </is>
      </c>
      <c r="H563" s="128" t="inlineStr">
        <is>
          <t>CHILL</t>
        </is>
      </c>
      <c r="I563" s="132" t="inlineStr">
        <is>
          <t>RL7-DAGC1-RIO1</t>
        </is>
      </c>
      <c r="J563" s="133" t="n">
        <v>14</v>
      </c>
      <c r="K563" s="129" t="n">
        <v>1</v>
      </c>
      <c r="L563" s="129" t="n">
        <v>3</v>
      </c>
      <c r="M563" s="129" t="inlineStr">
        <is>
          <t>24 VDC SI</t>
        </is>
      </c>
      <c r="N563" s="129" t="inlineStr">
        <is>
          <t>5069-IB8S</t>
        </is>
      </c>
      <c r="O563" s="139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40" t="n"/>
      <c r="AA563" t="inlineStr">
        <is>
          <t>Matched</t>
        </is>
      </c>
      <c r="AB563" s="315" t="n">
        <v>0.99</v>
      </c>
      <c r="AC563" t="inlineStr">
        <is>
          <t>High</t>
        </is>
      </c>
      <c r="AD563" t="n">
        <v>1</v>
      </c>
      <c r="AE563" t="inlineStr">
        <is>
          <t>DG7030</t>
        </is>
      </c>
      <c r="AF563" t="n">
        <v>16</v>
      </c>
      <c r="AG563" t="inlineStr">
        <is>
          <t>drawing</t>
        </is>
      </c>
      <c r="AH563" t="inlineStr">
        <is>
          <t>stacked:isa</t>
        </is>
      </c>
      <c r="AI563" t="inlineStr">
        <is>
          <t>drawing zone; process page; mapped sheet; excel sheet match</t>
        </is>
      </c>
      <c r="AJ563" t="inlineStr">
        <is>
          <t>native</t>
        </is>
      </c>
      <c r="AK563" t="inlineStr">
        <is>
          <t>native-only</t>
        </is>
      </c>
      <c r="AM563" t="inlineStr">
        <is>
          <t>16</t>
        </is>
      </c>
      <c r="AN563" t="inlineStr">
        <is>
          <t>Yes</t>
        </is>
      </c>
      <c r="AO563" t="inlineStr">
        <is>
          <t>mapped sheet id</t>
        </is>
      </c>
      <c r="AP563" t="inlineStr">
        <is>
          <t>p16:native:79, p16:native:80</t>
        </is>
      </c>
      <c r="AQ563" t="n">
        <v>2</v>
      </c>
    </row>
    <row r="564">
      <c r="A564" s="203">
        <f>ROW()-1</f>
        <v/>
      </c>
      <c r="B564" s="128" t="inlineStr">
        <is>
          <t>RL7-AGC-201-PB-01</t>
        </is>
      </c>
      <c r="C564" s="314" t="inlineStr">
        <is>
          <t>RL7-AGC-201-PB-01</t>
        </is>
      </c>
      <c r="D564" s="262" t="inlineStr">
        <is>
          <t>PB1106191</t>
        </is>
      </c>
      <c r="E564" s="128" t="inlineStr">
        <is>
          <t>OS13A</t>
        </is>
      </c>
      <c r="F564" s="138" t="inlineStr">
        <is>
          <t xml:space="preserve">DISCHARGE AUGER CART E-STOP PUSHBUTTON SAFETY INPUT CH1 </t>
        </is>
      </c>
      <c r="G564" s="131" t="inlineStr">
        <is>
          <t>DG7030</t>
        </is>
      </c>
      <c r="H564" s="128" t="inlineStr">
        <is>
          <t>CHILL</t>
        </is>
      </c>
      <c r="I564" s="132" t="inlineStr">
        <is>
          <t>RL7-DAGC1-RIO1</t>
        </is>
      </c>
      <c r="J564" s="133" t="n">
        <v>14</v>
      </c>
      <c r="K564" s="129" t="n">
        <v>1</v>
      </c>
      <c r="L564" s="129" t="n">
        <v>4</v>
      </c>
      <c r="M564" s="129" t="inlineStr">
        <is>
          <t>24 VDC SI</t>
        </is>
      </c>
      <c r="N564" s="129" t="inlineStr">
        <is>
          <t>5069-IB8S</t>
        </is>
      </c>
      <c r="O564" s="139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40" t="n"/>
      <c r="AA564" t="inlineStr">
        <is>
          <t>Matched</t>
        </is>
      </c>
      <c r="AB564" s="315" t="n">
        <v>0.99</v>
      </c>
      <c r="AC564" t="inlineStr">
        <is>
          <t>High</t>
        </is>
      </c>
      <c r="AD564" t="n">
        <v>1</v>
      </c>
      <c r="AE564" t="inlineStr">
        <is>
          <t>DG7030</t>
        </is>
      </c>
      <c r="AF564" t="n">
        <v>16</v>
      </c>
      <c r="AG564" t="inlineStr">
        <is>
          <t>drawing</t>
        </is>
      </c>
      <c r="AH564" t="inlineStr">
        <is>
          <t>stacked:isa</t>
        </is>
      </c>
      <c r="AI564" t="inlineStr">
        <is>
          <t>drawing zone; process page; mapped sheet; excel sheet match</t>
        </is>
      </c>
      <c r="AJ564" t="inlineStr">
        <is>
          <t>native</t>
        </is>
      </c>
      <c r="AK564" t="inlineStr">
        <is>
          <t>native-only</t>
        </is>
      </c>
      <c r="AM564" t="inlineStr">
        <is>
          <t>16</t>
        </is>
      </c>
      <c r="AN564" t="inlineStr">
        <is>
          <t>Yes</t>
        </is>
      </c>
      <c r="AO564" t="inlineStr">
        <is>
          <t>mapped sheet id</t>
        </is>
      </c>
      <c r="AP564" t="inlineStr">
        <is>
          <t>p16:native:96, p16:native:97</t>
        </is>
      </c>
      <c r="AQ564" t="n">
        <v>2</v>
      </c>
    </row>
    <row r="565">
      <c r="A565" s="203">
        <f>ROW()-1</f>
        <v/>
      </c>
      <c r="B565" s="128" t="inlineStr">
        <is>
          <t>RL7-AGC-201-PB-01</t>
        </is>
      </c>
      <c r="C565" s="314" t="inlineStr">
        <is>
          <t>RL7-AGC-201-PB-01</t>
        </is>
      </c>
      <c r="D565" s="262" t="inlineStr">
        <is>
          <t>PB1106191</t>
        </is>
      </c>
      <c r="E565" s="128" t="inlineStr">
        <is>
          <t>OS13A</t>
        </is>
      </c>
      <c r="F565" s="138" t="inlineStr">
        <is>
          <t xml:space="preserve">DISCHARGE AUGER CART E-STOP PUSHBUTTON SAFETY INPUT CH1 </t>
        </is>
      </c>
      <c r="G565" s="131" t="inlineStr">
        <is>
          <t>DG7030</t>
        </is>
      </c>
      <c r="H565" s="128" t="inlineStr">
        <is>
          <t>CHILL</t>
        </is>
      </c>
      <c r="I565" s="132" t="inlineStr">
        <is>
          <t>RL7-DAGC1-RIO1</t>
        </is>
      </c>
      <c r="J565" s="133" t="n">
        <v>14</v>
      </c>
      <c r="K565" s="129" t="n">
        <v>1</v>
      </c>
      <c r="L565" s="129" t="n">
        <v>5</v>
      </c>
      <c r="M565" s="129" t="inlineStr">
        <is>
          <t>24 VDC SI</t>
        </is>
      </c>
      <c r="N565" s="129" t="inlineStr">
        <is>
          <t>5069-IB8S</t>
        </is>
      </c>
      <c r="O565" s="139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40" t="n"/>
      <c r="AA565" t="inlineStr">
        <is>
          <t>Matched</t>
        </is>
      </c>
      <c r="AB565" s="315" t="n">
        <v>0.99</v>
      </c>
      <c r="AC565" t="inlineStr">
        <is>
          <t>High</t>
        </is>
      </c>
      <c r="AD565" t="n">
        <v>1</v>
      </c>
      <c r="AE565" t="inlineStr">
        <is>
          <t>DG7030</t>
        </is>
      </c>
      <c r="AF565" t="n">
        <v>16</v>
      </c>
      <c r="AG565" t="inlineStr">
        <is>
          <t>drawing</t>
        </is>
      </c>
      <c r="AH565" t="inlineStr">
        <is>
          <t>stacked:isa</t>
        </is>
      </c>
      <c r="AI565" t="inlineStr">
        <is>
          <t>drawing zone; process page; mapped sheet; excel sheet match</t>
        </is>
      </c>
      <c r="AJ565" t="inlineStr">
        <is>
          <t>native</t>
        </is>
      </c>
      <c r="AK565" t="inlineStr">
        <is>
          <t>native-only</t>
        </is>
      </c>
      <c r="AM565" t="inlineStr">
        <is>
          <t>16</t>
        </is>
      </c>
      <c r="AN565" t="inlineStr">
        <is>
          <t>Yes</t>
        </is>
      </c>
      <c r="AO565" t="inlineStr">
        <is>
          <t>mapped sheet id</t>
        </is>
      </c>
      <c r="AP565" t="inlineStr">
        <is>
          <t>p16:native:96, p16:native:97</t>
        </is>
      </c>
      <c r="AQ565" t="n">
        <v>2</v>
      </c>
    </row>
    <row r="566">
      <c r="A566" s="203">
        <f>ROW()-1</f>
        <v/>
      </c>
      <c r="B566" s="128" t="inlineStr">
        <is>
          <t>RL7-AGC-201-ZSC-04A</t>
        </is>
      </c>
      <c r="C566" s="314" t="inlineStr">
        <is>
          <t>RL7-AGC-201-ZSC-04A</t>
        </is>
      </c>
      <c r="D566" s="262" t="inlineStr">
        <is>
          <t>SOL1106251</t>
        </is>
      </c>
      <c r="E566" s="128" t="inlineStr">
        <is>
          <t>JIC13B</t>
        </is>
      </c>
      <c r="F566" s="138" t="inlineStr">
        <is>
          <t>DISCHARGE AUGER CART SAFETY AIR DUMP SOLENOID STATUS SAFETY INPUT CH1</t>
        </is>
      </c>
      <c r="G566" s="131" t="inlineStr">
        <is>
          <t>DG7030</t>
        </is>
      </c>
      <c r="H566" s="128" t="inlineStr">
        <is>
          <t>CHILL</t>
        </is>
      </c>
      <c r="I566" s="132" t="inlineStr">
        <is>
          <t>RL7-DAGC1-RIO1</t>
        </is>
      </c>
      <c r="J566" s="133" t="n">
        <v>14</v>
      </c>
      <c r="K566" s="129" t="n">
        <v>2</v>
      </c>
      <c r="L566" s="129" t="n">
        <v>2</v>
      </c>
      <c r="M566" s="129" t="inlineStr">
        <is>
          <t>24 VDC SI</t>
        </is>
      </c>
      <c r="N566" s="129" t="inlineStr">
        <is>
          <t>5069-IB8S</t>
        </is>
      </c>
      <c r="O566" s="139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40" t="n"/>
      <c r="AA566" t="inlineStr">
        <is>
          <t>Matched</t>
        </is>
      </c>
      <c r="AB566" s="315" t="n">
        <v>0.99</v>
      </c>
      <c r="AC566" t="inlineStr">
        <is>
          <t>High</t>
        </is>
      </c>
      <c r="AD566" t="n">
        <v>1</v>
      </c>
      <c r="AE566" t="inlineStr">
        <is>
          <t>DG7030</t>
        </is>
      </c>
      <c r="AF566" t="n">
        <v>16</v>
      </c>
      <c r="AG566" t="inlineStr">
        <is>
          <t>drawing</t>
        </is>
      </c>
      <c r="AH566" t="inlineStr">
        <is>
          <t>stacked:isa</t>
        </is>
      </c>
      <c r="AI566" t="inlineStr">
        <is>
          <t>drawing zone; process page; mapped sheet; excel sheet match</t>
        </is>
      </c>
      <c r="AJ566" t="inlineStr">
        <is>
          <t>native</t>
        </is>
      </c>
      <c r="AK566" t="inlineStr">
        <is>
          <t>native-only</t>
        </is>
      </c>
      <c r="AM566" t="inlineStr">
        <is>
          <t>16</t>
        </is>
      </c>
      <c r="AN566" t="inlineStr">
        <is>
          <t>Yes</t>
        </is>
      </c>
      <c r="AO566" t="inlineStr">
        <is>
          <t>mapped sheet id</t>
        </is>
      </c>
      <c r="AP566" t="inlineStr">
        <is>
          <t>p16:native:127, p16:native:128</t>
        </is>
      </c>
      <c r="AQ566" t="n">
        <v>2</v>
      </c>
    </row>
    <row r="567">
      <c r="A567" s="203">
        <f>ROW()-1</f>
        <v/>
      </c>
      <c r="B567" s="128" t="inlineStr">
        <is>
          <t>RL7-AGC-201-ZSC-04B</t>
        </is>
      </c>
      <c r="C567" s="314" t="inlineStr">
        <is>
          <t>RL7-AGC-201-ZSC-04B</t>
        </is>
      </c>
      <c r="D567" s="262" t="inlineStr">
        <is>
          <t>SOL1106251</t>
        </is>
      </c>
      <c r="E567" s="128" t="inlineStr">
        <is>
          <t>JIC13B</t>
        </is>
      </c>
      <c r="F567" s="138" t="inlineStr">
        <is>
          <t>DISCHARGE AUGER CART SAFETY AIR DUMP SOLENOID STATUS SAFETY INPUT CH2</t>
        </is>
      </c>
      <c r="G567" s="131" t="inlineStr">
        <is>
          <t>DG7030</t>
        </is>
      </c>
      <c r="H567" s="128" t="inlineStr">
        <is>
          <t>CHILL</t>
        </is>
      </c>
      <c r="I567" s="132" t="inlineStr">
        <is>
          <t>RL7-DAGC1-RIO1</t>
        </is>
      </c>
      <c r="J567" s="133" t="n">
        <v>14</v>
      </c>
      <c r="K567" s="129" t="n">
        <v>2</v>
      </c>
      <c r="L567" s="129" t="n">
        <v>3</v>
      </c>
      <c r="M567" s="129" t="inlineStr">
        <is>
          <t>24 VDC SI</t>
        </is>
      </c>
      <c r="N567" s="129" t="inlineStr">
        <is>
          <t>5069-IB8S</t>
        </is>
      </c>
      <c r="O567" s="139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40" t="n"/>
      <c r="AA567" t="inlineStr">
        <is>
          <t>Matched</t>
        </is>
      </c>
      <c r="AB567" s="315" t="n">
        <v>0.99</v>
      </c>
      <c r="AC567" t="inlineStr">
        <is>
          <t>High</t>
        </is>
      </c>
      <c r="AD567" t="n">
        <v>1</v>
      </c>
      <c r="AE567" t="inlineStr">
        <is>
          <t>DG7030</t>
        </is>
      </c>
      <c r="AF567" t="n">
        <v>16</v>
      </c>
      <c r="AG567" t="inlineStr">
        <is>
          <t>drawing</t>
        </is>
      </c>
      <c r="AH567" t="inlineStr">
        <is>
          <t>stacked:isa</t>
        </is>
      </c>
      <c r="AI567" t="inlineStr">
        <is>
          <t>drawing zone; process page; mapped sheet; excel sheet match</t>
        </is>
      </c>
      <c r="AJ567" t="inlineStr">
        <is>
          <t>native</t>
        </is>
      </c>
      <c r="AK567" t="inlineStr">
        <is>
          <t>native-only</t>
        </is>
      </c>
      <c r="AM567" t="inlineStr">
        <is>
          <t>16</t>
        </is>
      </c>
      <c r="AN567" t="inlineStr">
        <is>
          <t>Yes</t>
        </is>
      </c>
      <c r="AO567" t="inlineStr">
        <is>
          <t>mapped sheet id</t>
        </is>
      </c>
      <c r="AP567" t="inlineStr">
        <is>
          <t>p16:native:129, p16:native:130</t>
        </is>
      </c>
      <c r="AQ567" t="n">
        <v>2</v>
      </c>
    </row>
    <row r="568" customFormat="1" s="149">
      <c r="A568" s="203">
        <f>ROW()-1</f>
        <v/>
      </c>
      <c r="B568" s="128" t="inlineStr">
        <is>
          <t>RL7-AGC-201-XYS-04A</t>
        </is>
      </c>
      <c r="C568" s="314" t="inlineStr">
        <is>
          <t>RL7-AGC-201-XYS-04A</t>
        </is>
      </c>
      <c r="D568" s="262" t="inlineStr">
        <is>
          <t>SOL1106251A</t>
        </is>
      </c>
      <c r="E568" s="128" t="inlineStr">
        <is>
          <t>JIC13B</t>
        </is>
      </c>
      <c r="F568" s="138" t="inlineStr">
        <is>
          <t>DISCHARGE AUGER CART SAFETY AIR DUMP SOLENOID A</t>
        </is>
      </c>
      <c r="G568" s="131" t="inlineStr">
        <is>
          <t>DG7030</t>
        </is>
      </c>
      <c r="H568" s="128" t="inlineStr">
        <is>
          <t>CHILL</t>
        </is>
      </c>
      <c r="I568" s="132" t="inlineStr">
        <is>
          <t>RL7-DAGC1-RIO1</t>
        </is>
      </c>
      <c r="J568" s="133" t="n">
        <v>14</v>
      </c>
      <c r="K568" s="129" t="n">
        <v>3</v>
      </c>
      <c r="L568" s="129" t="n">
        <v>0</v>
      </c>
      <c r="M568" s="129" t="inlineStr">
        <is>
          <t>24 VDC SO</t>
        </is>
      </c>
      <c r="N568" s="129" t="inlineStr">
        <is>
          <t>5069-OBV8S</t>
        </is>
      </c>
      <c r="O568" s="139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40" t="n"/>
      <c r="AA568" t="inlineStr">
        <is>
          <t>Matched</t>
        </is>
      </c>
      <c r="AB568" s="315" t="n">
        <v>0.99</v>
      </c>
      <c r="AC568" t="inlineStr">
        <is>
          <t>High</t>
        </is>
      </c>
      <c r="AD568" t="n">
        <v>1</v>
      </c>
      <c r="AE568" t="inlineStr">
        <is>
          <t>DG7030</t>
        </is>
      </c>
      <c r="AF568" t="n">
        <v>16</v>
      </c>
      <c r="AG568" t="inlineStr">
        <is>
          <t>drawing</t>
        </is>
      </c>
      <c r="AH568" t="inlineStr">
        <is>
          <t>stacked:isa</t>
        </is>
      </c>
      <c r="AI568" t="inlineStr">
        <is>
          <t>drawing zone; process page; mapped sheet; excel sheet match</t>
        </is>
      </c>
      <c r="AJ568" t="inlineStr">
        <is>
          <t>native</t>
        </is>
      </c>
      <c r="AK568" t="inlineStr">
        <is>
          <t>native-only</t>
        </is>
      </c>
      <c r="AM568" t="inlineStr">
        <is>
          <t>16</t>
        </is>
      </c>
      <c r="AN568" t="inlineStr">
        <is>
          <t>Yes</t>
        </is>
      </c>
      <c r="AO568" t="inlineStr">
        <is>
          <t>mapped sheet id</t>
        </is>
      </c>
      <c r="AP568" t="inlineStr">
        <is>
          <t>p16:native:121, p16:native:122</t>
        </is>
      </c>
      <c r="AQ568" t="n">
        <v>2</v>
      </c>
    </row>
    <row r="569" customFormat="1" s="149">
      <c r="A569" s="203">
        <f>ROW()-1</f>
        <v/>
      </c>
      <c r="B569" s="128" t="inlineStr">
        <is>
          <t>RL7-AGC-201-XYS-04B</t>
        </is>
      </c>
      <c r="C569" s="314" t="inlineStr">
        <is>
          <t>RL7-AGC-201-XYS-04B</t>
        </is>
      </c>
      <c r="D569" s="262" t="inlineStr">
        <is>
          <t>SOL1106251B</t>
        </is>
      </c>
      <c r="E569" s="128" t="inlineStr">
        <is>
          <t>JIC13B</t>
        </is>
      </c>
      <c r="F569" s="138" t="inlineStr">
        <is>
          <t>DISCHARGE AUGER CART SAFETY AIR DUMP SOLENOID B</t>
        </is>
      </c>
      <c r="G569" s="131" t="inlineStr">
        <is>
          <t>DG7030</t>
        </is>
      </c>
      <c r="H569" s="128" t="inlineStr">
        <is>
          <t>CHILL</t>
        </is>
      </c>
      <c r="I569" s="132" t="inlineStr">
        <is>
          <t>RL7-DAGC1-RIO1</t>
        </is>
      </c>
      <c r="J569" s="133" t="n">
        <v>14</v>
      </c>
      <c r="K569" s="129" t="n">
        <v>3</v>
      </c>
      <c r="L569" s="129" t="n">
        <v>1</v>
      </c>
      <c r="M569" s="129" t="inlineStr">
        <is>
          <t>24 VDC SO</t>
        </is>
      </c>
      <c r="N569" s="129" t="inlineStr">
        <is>
          <t>5069-OBV8S</t>
        </is>
      </c>
      <c r="O569" s="139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40" t="n"/>
      <c r="AA569" t="inlineStr">
        <is>
          <t>Matched</t>
        </is>
      </c>
      <c r="AB569" s="315" t="n">
        <v>0.99</v>
      </c>
      <c r="AC569" t="inlineStr">
        <is>
          <t>High</t>
        </is>
      </c>
      <c r="AD569" t="n">
        <v>1</v>
      </c>
      <c r="AE569" t="inlineStr">
        <is>
          <t>DG7030</t>
        </is>
      </c>
      <c r="AF569" t="n">
        <v>16</v>
      </c>
      <c r="AG569" t="inlineStr">
        <is>
          <t>drawing</t>
        </is>
      </c>
      <c r="AH569" t="inlineStr">
        <is>
          <t>stacked:isa</t>
        </is>
      </c>
      <c r="AI569" t="inlineStr">
        <is>
          <t>drawing zone; process page; mapped sheet; excel sheet match</t>
        </is>
      </c>
      <c r="AJ569" t="inlineStr">
        <is>
          <t>native</t>
        </is>
      </c>
      <c r="AK569" t="inlineStr">
        <is>
          <t>native-only</t>
        </is>
      </c>
      <c r="AM569" t="inlineStr">
        <is>
          <t>16</t>
        </is>
      </c>
      <c r="AN569" t="inlineStr">
        <is>
          <t>Yes</t>
        </is>
      </c>
      <c r="AO569" t="inlineStr">
        <is>
          <t>mapped sheet id</t>
        </is>
      </c>
      <c r="AP569" t="inlineStr">
        <is>
          <t>p16:native:123, p16:native:124</t>
        </is>
      </c>
      <c r="AQ569" t="n">
        <v>2</v>
      </c>
    </row>
    <row r="570">
      <c r="A570" s="203">
        <f>ROW()-1</f>
        <v/>
      </c>
      <c r="B570" s="128" t="inlineStr">
        <is>
          <t>RL7-AGC-201-ZSC-01</t>
        </is>
      </c>
      <c r="C570" s="314" t="inlineStr">
        <is>
          <t>RL7-AGC-201-ZSC-01</t>
        </is>
      </c>
      <c r="D570" s="262" t="inlineStr">
        <is>
          <t>PRS1107151</t>
        </is>
      </c>
      <c r="E570" s="128" t="n"/>
      <c r="F570" s="138" t="inlineStr">
        <is>
          <t xml:space="preserve">DISCHARGE AUGER CART LOCKBAR ENGAGED  </t>
        </is>
      </c>
      <c r="G570" s="131" t="inlineStr">
        <is>
          <t>DG7030</t>
        </is>
      </c>
      <c r="H570" s="128" t="inlineStr">
        <is>
          <t>CHILL</t>
        </is>
      </c>
      <c r="I570" s="132" t="inlineStr">
        <is>
          <t>RL7-DAGC1-RIO1</t>
        </is>
      </c>
      <c r="J570" s="133" t="n">
        <v>14</v>
      </c>
      <c r="K570" s="129" t="n">
        <v>4</v>
      </c>
      <c r="L570" s="129" t="n">
        <v>0</v>
      </c>
      <c r="M570" s="129" t="inlineStr">
        <is>
          <t>24 VDC DI</t>
        </is>
      </c>
      <c r="N570" s="129" t="inlineStr">
        <is>
          <t>5069-IB16</t>
        </is>
      </c>
      <c r="O570" s="139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40" t="n"/>
      <c r="AA570" t="inlineStr">
        <is>
          <t>Matched</t>
        </is>
      </c>
      <c r="AB570" s="315" t="n">
        <v>0.99</v>
      </c>
      <c r="AC570" t="inlineStr">
        <is>
          <t>High</t>
        </is>
      </c>
      <c r="AD570" t="n">
        <v>1</v>
      </c>
      <c r="AE570" t="inlineStr">
        <is>
          <t>DG7030</t>
        </is>
      </c>
      <c r="AF570" t="n">
        <v>16</v>
      </c>
      <c r="AG570" t="inlineStr">
        <is>
          <t>drawing</t>
        </is>
      </c>
      <c r="AH570" t="inlineStr">
        <is>
          <t>stacked:isa</t>
        </is>
      </c>
      <c r="AI570" t="inlineStr">
        <is>
          <t>drawing zone; process page; mapped sheet; excel sheet match</t>
        </is>
      </c>
      <c r="AJ570" t="inlineStr">
        <is>
          <t>native</t>
        </is>
      </c>
      <c r="AK570" t="inlineStr">
        <is>
          <t>native-only</t>
        </is>
      </c>
      <c r="AM570" t="inlineStr">
        <is>
          <t>16</t>
        </is>
      </c>
      <c r="AN570" t="inlineStr">
        <is>
          <t>Yes</t>
        </is>
      </c>
      <c r="AO570" t="inlineStr">
        <is>
          <t>mapped sheet id</t>
        </is>
      </c>
      <c r="AP570" t="inlineStr">
        <is>
          <t>p16:native:294, p16:native:295</t>
        </is>
      </c>
      <c r="AQ570" t="n">
        <v>2</v>
      </c>
    </row>
    <row r="571">
      <c r="A571" s="203">
        <f>ROW()-1</f>
        <v/>
      </c>
      <c r="B571" s="128" t="inlineStr">
        <is>
          <t>RL7-AGC-201-ZSO-01</t>
        </is>
      </c>
      <c r="C571" s="314" t="inlineStr">
        <is>
          <t>RL7-AGC-201-ZSO-01</t>
        </is>
      </c>
      <c r="D571" s="262" t="inlineStr">
        <is>
          <t>PRS1107171</t>
        </is>
      </c>
      <c r="E571" s="128" t="n"/>
      <c r="F571" s="138" t="inlineStr">
        <is>
          <t xml:space="preserve">DISCHARGE AUGER CART LOCKBAR RELEASED  </t>
        </is>
      </c>
      <c r="G571" s="131" t="inlineStr">
        <is>
          <t>DG7030</t>
        </is>
      </c>
      <c r="H571" s="128" t="inlineStr">
        <is>
          <t>CHILL</t>
        </is>
      </c>
      <c r="I571" s="132" t="inlineStr">
        <is>
          <t>RL7-DAGC1-RIO1</t>
        </is>
      </c>
      <c r="J571" s="133" t="n">
        <v>14</v>
      </c>
      <c r="K571" s="129" t="n">
        <v>4</v>
      </c>
      <c r="L571" s="129" t="n">
        <v>1</v>
      </c>
      <c r="M571" s="129" t="inlineStr">
        <is>
          <t>24 VDC DI</t>
        </is>
      </c>
      <c r="N571" s="129" t="inlineStr">
        <is>
          <t>5069-IB16</t>
        </is>
      </c>
      <c r="O571" s="139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40" t="n"/>
      <c r="AA571" t="inlineStr">
        <is>
          <t>Matched</t>
        </is>
      </c>
      <c r="AB571" s="315" t="n">
        <v>0.99</v>
      </c>
      <c r="AC571" t="inlineStr">
        <is>
          <t>High</t>
        </is>
      </c>
      <c r="AD571" t="n">
        <v>1</v>
      </c>
      <c r="AE571" t="inlineStr">
        <is>
          <t>DG7030</t>
        </is>
      </c>
      <c r="AF571" t="n">
        <v>16</v>
      </c>
      <c r="AG571" t="inlineStr">
        <is>
          <t>drawing</t>
        </is>
      </c>
      <c r="AH571" t="inlineStr">
        <is>
          <t>stacked:isa</t>
        </is>
      </c>
      <c r="AI571" t="inlineStr">
        <is>
          <t>drawing zone; process page; mapped sheet; excel sheet match</t>
        </is>
      </c>
      <c r="AJ571" t="inlineStr">
        <is>
          <t>native</t>
        </is>
      </c>
      <c r="AK571" t="inlineStr">
        <is>
          <t>native-only</t>
        </is>
      </c>
      <c r="AM571" t="inlineStr">
        <is>
          <t>16</t>
        </is>
      </c>
      <c r="AN571" t="inlineStr">
        <is>
          <t>Yes</t>
        </is>
      </c>
      <c r="AO571" t="inlineStr">
        <is>
          <t>mapped sheet id</t>
        </is>
      </c>
      <c r="AP571" t="inlineStr">
        <is>
          <t>p16:native:298, p16:native:299</t>
        </is>
      </c>
      <c r="AQ571" t="n">
        <v>2</v>
      </c>
    </row>
    <row r="572">
      <c r="A572" s="203">
        <f>ROW()-1</f>
        <v/>
      </c>
      <c r="B572" s="128" t="n"/>
      <c r="C572" s="314" t="inlineStr">
        <is>
          <t>RL7-AGC-201-HS-01A</t>
        </is>
      </c>
      <c r="D572" s="264" t="inlineStr">
        <is>
          <t>SS1107221</t>
        </is>
      </c>
      <c r="E572" s="133" t="inlineStr">
        <is>
          <t>OS13A</t>
        </is>
      </c>
      <c r="F572" s="141" t="inlineStr">
        <is>
          <t xml:space="preserve">DISCHARGE AUGER CART OPEN COVER SELECTOR SWITCH </t>
        </is>
      </c>
      <c r="G572" s="142" t="inlineStr">
        <is>
          <t>DG7030</t>
        </is>
      </c>
      <c r="H572" s="133" t="inlineStr">
        <is>
          <t>CHILL</t>
        </is>
      </c>
      <c r="I572" s="132" t="inlineStr">
        <is>
          <t>RL7-DAGC1-RIO1</t>
        </is>
      </c>
      <c r="J572" s="133" t="n">
        <v>14</v>
      </c>
      <c r="K572" s="129" t="n">
        <v>4</v>
      </c>
      <c r="L572" s="129" t="n">
        <v>6</v>
      </c>
      <c r="M572" s="129" t="inlineStr">
        <is>
          <t>24 VDC DI</t>
        </is>
      </c>
      <c r="N572" s="129" t="inlineStr">
        <is>
          <t>5069-IB16</t>
        </is>
      </c>
      <c r="O572" s="139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40" t="n"/>
      <c r="AA572" t="inlineStr">
        <is>
          <t>Matched</t>
        </is>
      </c>
      <c r="AB572" s="315" t="n">
        <v>0.99</v>
      </c>
      <c r="AC572" t="inlineStr">
        <is>
          <t>High</t>
        </is>
      </c>
      <c r="AD572" t="n">
        <v>1</v>
      </c>
      <c r="AE572" t="inlineStr">
        <is>
          <t>DG7030</t>
        </is>
      </c>
      <c r="AF572" t="n">
        <v>16</v>
      </c>
      <c r="AG572" t="inlineStr">
        <is>
          <t>drawing</t>
        </is>
      </c>
      <c r="AH572" t="inlineStr">
        <is>
          <t>stacked:isa</t>
        </is>
      </c>
      <c r="AI572" t="inlineStr">
        <is>
          <t>drawing zone; process page; mapped sheet; excel sheet match</t>
        </is>
      </c>
      <c r="AJ572" t="inlineStr">
        <is>
          <t>native</t>
        </is>
      </c>
      <c r="AK572" t="inlineStr">
        <is>
          <t>native-only</t>
        </is>
      </c>
      <c r="AM572" t="inlineStr">
        <is>
          <t>16</t>
        </is>
      </c>
      <c r="AN572" t="inlineStr">
        <is>
          <t>Yes</t>
        </is>
      </c>
      <c r="AO572" t="inlineStr">
        <is>
          <t>mapped sheet id</t>
        </is>
      </c>
      <c r="AP572" t="inlineStr">
        <is>
          <t>p16:native:133, p16:native:134</t>
        </is>
      </c>
      <c r="AQ572" t="n">
        <v>2</v>
      </c>
    </row>
    <row r="573">
      <c r="A573" s="203">
        <f>ROW()-1</f>
        <v/>
      </c>
      <c r="B573" s="128" t="n"/>
      <c r="C573" s="314" t="inlineStr">
        <is>
          <t>RL7-AGC-201-HS-01B</t>
        </is>
      </c>
      <c r="D573" s="264" t="inlineStr">
        <is>
          <t>SS1107221</t>
        </is>
      </c>
      <c r="E573" s="133" t="inlineStr">
        <is>
          <t>OS13A</t>
        </is>
      </c>
      <c r="F573" s="141" t="inlineStr">
        <is>
          <t xml:space="preserve">DISCHARGE AUGER CART CLOSE COVER SELECTOR SWITCH </t>
        </is>
      </c>
      <c r="G573" s="142" t="inlineStr">
        <is>
          <t>DG7030</t>
        </is>
      </c>
      <c r="H573" s="133" t="inlineStr">
        <is>
          <t>CHILL</t>
        </is>
      </c>
      <c r="I573" s="132" t="inlineStr">
        <is>
          <t>RL7-DAGC1-RIO1</t>
        </is>
      </c>
      <c r="J573" s="133" t="n">
        <v>14</v>
      </c>
      <c r="K573" s="129" t="n">
        <v>4</v>
      </c>
      <c r="L573" s="129" t="n">
        <v>7</v>
      </c>
      <c r="M573" s="129" t="inlineStr">
        <is>
          <t>24 VDC DI</t>
        </is>
      </c>
      <c r="N573" s="129" t="inlineStr">
        <is>
          <t>5069-IB16</t>
        </is>
      </c>
      <c r="O573" s="139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40" t="n"/>
      <c r="AA573" t="inlineStr">
        <is>
          <t>Matched</t>
        </is>
      </c>
      <c r="AB573" s="315" t="n">
        <v>0.99</v>
      </c>
      <c r="AC573" t="inlineStr">
        <is>
          <t>High</t>
        </is>
      </c>
      <c r="AD573" t="n">
        <v>1</v>
      </c>
      <c r="AE573" t="inlineStr">
        <is>
          <t>DG7030</t>
        </is>
      </c>
      <c r="AF573" t="n">
        <v>16</v>
      </c>
      <c r="AG573" t="inlineStr">
        <is>
          <t>drawing</t>
        </is>
      </c>
      <c r="AH573" t="inlineStr">
        <is>
          <t>stacked:isa</t>
        </is>
      </c>
      <c r="AI573" t="inlineStr">
        <is>
          <t>drawing zone; process page; mapped sheet; excel sheet match</t>
        </is>
      </c>
      <c r="AJ573" t="inlineStr">
        <is>
          <t>native</t>
        </is>
      </c>
      <c r="AK573" t="inlineStr">
        <is>
          <t>native-only</t>
        </is>
      </c>
      <c r="AM573" t="inlineStr">
        <is>
          <t>16</t>
        </is>
      </c>
      <c r="AN573" t="inlineStr">
        <is>
          <t>Yes</t>
        </is>
      </c>
      <c r="AO573" t="inlineStr">
        <is>
          <t>mapped sheet id</t>
        </is>
      </c>
      <c r="AP573" t="inlineStr">
        <is>
          <t>p16:native:135, p16:native:136</t>
        </is>
      </c>
      <c r="AQ573" t="n">
        <v>2</v>
      </c>
    </row>
    <row r="574">
      <c r="A574" s="203">
        <f>ROW()-1</f>
        <v/>
      </c>
      <c r="B574" s="128" t="inlineStr">
        <is>
          <t>RL7-AGC-201-HS-01A</t>
        </is>
      </c>
      <c r="C574" s="314" t="inlineStr">
        <is>
          <t>RL7-AGC-201-PB-02</t>
        </is>
      </c>
      <c r="D574" s="264" t="inlineStr">
        <is>
          <t>PB1107241</t>
        </is>
      </c>
      <c r="E574" s="133" t="inlineStr">
        <is>
          <t>OS13A</t>
        </is>
      </c>
      <c r="F574" s="141" t="inlineStr">
        <is>
          <t xml:space="preserve">DISCHARGE AUGER CART PUMP JOG PUSHBUTTON </t>
        </is>
      </c>
      <c r="G574" s="142" t="inlineStr">
        <is>
          <t>DG7030</t>
        </is>
      </c>
      <c r="H574" s="133" t="inlineStr">
        <is>
          <t>CHILL</t>
        </is>
      </c>
      <c r="I574" s="132" t="inlineStr">
        <is>
          <t>RL7-DAGC1-RIO1</t>
        </is>
      </c>
      <c r="J574" s="133" t="n">
        <v>14</v>
      </c>
      <c r="K574" s="129" t="n">
        <v>4</v>
      </c>
      <c r="L574" s="129" t="n">
        <v>8</v>
      </c>
      <c r="M574" s="129" t="inlineStr">
        <is>
          <t>24 VDC DI</t>
        </is>
      </c>
      <c r="N574" s="129" t="inlineStr">
        <is>
          <t>5069-IB16</t>
        </is>
      </c>
      <c r="O574" s="139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40" t="n"/>
      <c r="AA574" t="inlineStr">
        <is>
          <t>Matched</t>
        </is>
      </c>
      <c r="AB574" s="315" t="n">
        <v>0.99</v>
      </c>
      <c r="AC574" t="inlineStr">
        <is>
          <t>High</t>
        </is>
      </c>
      <c r="AD574" t="n">
        <v>1</v>
      </c>
      <c r="AE574" t="inlineStr">
        <is>
          <t>DG7030</t>
        </is>
      </c>
      <c r="AF574" t="n">
        <v>16</v>
      </c>
      <c r="AG574" t="inlineStr">
        <is>
          <t>drawing</t>
        </is>
      </c>
      <c r="AH574" t="inlineStr">
        <is>
          <t>stacked:isa</t>
        </is>
      </c>
      <c r="AI574" t="inlineStr">
        <is>
          <t>drawing zone; process page; mapped sheet; excel sheet match</t>
        </is>
      </c>
      <c r="AJ574" t="inlineStr">
        <is>
          <t>native</t>
        </is>
      </c>
      <c r="AK574" t="inlineStr">
        <is>
          <t>native-only</t>
        </is>
      </c>
      <c r="AM574" t="inlineStr">
        <is>
          <t>16</t>
        </is>
      </c>
      <c r="AN574" t="inlineStr">
        <is>
          <t>Yes</t>
        </is>
      </c>
      <c r="AO574" t="inlineStr">
        <is>
          <t>mapped sheet id</t>
        </is>
      </c>
      <c r="AP574" t="inlineStr">
        <is>
          <t>p16:native:137, p16:native:138</t>
        </is>
      </c>
      <c r="AQ574" t="n">
        <v>2</v>
      </c>
    </row>
    <row r="575">
      <c r="A575" s="203">
        <f>ROW()-1</f>
        <v/>
      </c>
      <c r="B575" s="133" t="inlineStr">
        <is>
          <t>RL7-AGC-201-ZSC-01</t>
        </is>
      </c>
      <c r="C575" s="314" t="inlineStr">
        <is>
          <t>RL7-AGC-201-ZSO-08</t>
        </is>
      </c>
      <c r="D575" s="264" t="n"/>
      <c r="E575" s="133" t="n"/>
      <c r="F575" s="141" t="inlineStr">
        <is>
          <t>DISCHARGE AUGER CART MIX PROOF VALVE TO CIP SKID IN PROCESS POSITION</t>
        </is>
      </c>
      <c r="G575" s="142" t="inlineStr">
        <is>
          <t>DG7030</t>
        </is>
      </c>
      <c r="H575" s="133" t="inlineStr">
        <is>
          <t>CHILL</t>
        </is>
      </c>
      <c r="I575" s="142" t="inlineStr">
        <is>
          <t>RL7-DAGC1-RIO1</t>
        </is>
      </c>
      <c r="J575" s="133" t="n">
        <v>14</v>
      </c>
      <c r="K575" s="133" t="n">
        <v>5</v>
      </c>
      <c r="L575" s="133" t="n">
        <v>0</v>
      </c>
      <c r="M575" s="133" t="inlineStr">
        <is>
          <t>24 VDC DI</t>
        </is>
      </c>
      <c r="N575" s="133" t="inlineStr">
        <is>
          <t>5069-IB16</t>
        </is>
      </c>
      <c r="O575" s="139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40" t="n"/>
      <c r="AA575" t="inlineStr">
        <is>
          <t>Matched</t>
        </is>
      </c>
      <c r="AB575" s="315" t="n">
        <v>0.99</v>
      </c>
      <c r="AC575" t="inlineStr">
        <is>
          <t>High</t>
        </is>
      </c>
      <c r="AD575" t="n">
        <v>1</v>
      </c>
      <c r="AE575" t="inlineStr">
        <is>
          <t>DG7030</t>
        </is>
      </c>
      <c r="AF575" t="n">
        <v>16</v>
      </c>
      <c r="AG575" t="inlineStr">
        <is>
          <t>drawing</t>
        </is>
      </c>
      <c r="AH575" t="inlineStr">
        <is>
          <t>stacked:isa</t>
        </is>
      </c>
      <c r="AI575" t="inlineStr">
        <is>
          <t>drawing zone; process page; mapped sheet; excel sheet match</t>
        </is>
      </c>
      <c r="AJ575" t="inlineStr">
        <is>
          <t>native</t>
        </is>
      </c>
      <c r="AK575" t="inlineStr">
        <is>
          <t>native-only</t>
        </is>
      </c>
      <c r="AM575" t="inlineStr">
        <is>
          <t>16</t>
        </is>
      </c>
      <c r="AN575" t="inlineStr">
        <is>
          <t>Yes</t>
        </is>
      </c>
      <c r="AO575" t="inlineStr">
        <is>
          <t>mapped sheet id</t>
        </is>
      </c>
      <c r="AP575" t="inlineStr">
        <is>
          <t>p16:native:306, p16:native:307</t>
        </is>
      </c>
      <c r="AQ575" t="n">
        <v>2</v>
      </c>
    </row>
    <row r="576">
      <c r="A576" s="203">
        <f>ROW()-1</f>
        <v/>
      </c>
      <c r="B576" s="133" t="inlineStr">
        <is>
          <t>RL7-AGC-201-ZSO-01</t>
        </is>
      </c>
      <c r="C576" s="314" t="inlineStr">
        <is>
          <t>RL7-AGC-201-ZSC-08</t>
        </is>
      </c>
      <c r="D576" s="264" t="n"/>
      <c r="E576" s="133" t="n"/>
      <c r="F576" s="141" t="inlineStr">
        <is>
          <t>DISCHARGE AUGER CART MIX PROOF VALVE TO CIP SKID IN SANITATION POSITION</t>
        </is>
      </c>
      <c r="G576" s="142" t="inlineStr">
        <is>
          <t>DG7030</t>
        </is>
      </c>
      <c r="H576" s="133" t="inlineStr">
        <is>
          <t>CHILL</t>
        </is>
      </c>
      <c r="I576" s="142" t="inlineStr">
        <is>
          <t>RL7-DAGC1-RIO1</t>
        </is>
      </c>
      <c r="J576" s="133" t="n">
        <v>14</v>
      </c>
      <c r="K576" s="133" t="n">
        <v>5</v>
      </c>
      <c r="L576" s="133" t="n">
        <v>1</v>
      </c>
      <c r="M576" s="133" t="inlineStr">
        <is>
          <t>24 VDC DI</t>
        </is>
      </c>
      <c r="N576" s="133" t="inlineStr">
        <is>
          <t>5069-IB16</t>
        </is>
      </c>
      <c r="O576" s="139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40" t="n"/>
      <c r="AA576" t="inlineStr">
        <is>
          <t>Matched</t>
        </is>
      </c>
      <c r="AB576" s="315" t="n">
        <v>0.99</v>
      </c>
      <c r="AC576" t="inlineStr">
        <is>
          <t>High</t>
        </is>
      </c>
      <c r="AD576" t="n">
        <v>1</v>
      </c>
      <c r="AE576" t="inlineStr">
        <is>
          <t>DG7030</t>
        </is>
      </c>
      <c r="AF576" t="n">
        <v>16</v>
      </c>
      <c r="AG576" t="inlineStr">
        <is>
          <t>drawing</t>
        </is>
      </c>
      <c r="AH576" t="inlineStr">
        <is>
          <t>stacked:isa</t>
        </is>
      </c>
      <c r="AI576" t="inlineStr">
        <is>
          <t>drawing zone; process page; mapped sheet; excel sheet match</t>
        </is>
      </c>
      <c r="AJ576" t="inlineStr">
        <is>
          <t>native</t>
        </is>
      </c>
      <c r="AK576" t="inlineStr">
        <is>
          <t>native-only</t>
        </is>
      </c>
      <c r="AM576" t="inlineStr">
        <is>
          <t>16</t>
        </is>
      </c>
      <c r="AN576" t="inlineStr">
        <is>
          <t>Yes</t>
        </is>
      </c>
      <c r="AO576" t="inlineStr">
        <is>
          <t>mapped sheet id</t>
        </is>
      </c>
      <c r="AP576" t="inlineStr">
        <is>
          <t>p16:native:267, p16:native:268</t>
        </is>
      </c>
      <c r="AQ576" t="n">
        <v>2</v>
      </c>
    </row>
    <row r="577">
      <c r="A577" s="203">
        <f>ROW()-1</f>
        <v/>
      </c>
      <c r="B577" s="133" t="inlineStr">
        <is>
          <t>RL7-AGC-201-PSL-01</t>
        </is>
      </c>
      <c r="C577" s="314" t="inlineStr">
        <is>
          <t>RL7-AGC-201-ZSO-09</t>
        </is>
      </c>
      <c r="D577" s="264" t="n"/>
      <c r="E577" s="133" t="n"/>
      <c r="F577" s="141" t="inlineStr">
        <is>
          <t>DISCHARGE AUGER CART MIX PROOF VALVE TO ROLLS MACHINE IN PROCESS POSITION</t>
        </is>
      </c>
      <c r="G577" s="142" t="inlineStr">
        <is>
          <t>DG7030</t>
        </is>
      </c>
      <c r="H577" s="133" t="inlineStr">
        <is>
          <t>CHILL</t>
        </is>
      </c>
      <c r="I577" s="142" t="inlineStr">
        <is>
          <t>RL7-DAGC1-RIO1</t>
        </is>
      </c>
      <c r="J577" s="133" t="n">
        <v>14</v>
      </c>
      <c r="K577" s="133" t="n">
        <v>5</v>
      </c>
      <c r="L577" s="133" t="n">
        <v>2</v>
      </c>
      <c r="M577" s="133" t="inlineStr">
        <is>
          <t>24 VDC DI</t>
        </is>
      </c>
      <c r="N577" s="133" t="inlineStr">
        <is>
          <t>5069-IB16</t>
        </is>
      </c>
      <c r="O577" s="139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40" t="n"/>
      <c r="AA577" t="inlineStr">
        <is>
          <t>Matched</t>
        </is>
      </c>
      <c r="AB577" s="315" t="n">
        <v>0.99</v>
      </c>
      <c r="AC577" t="inlineStr">
        <is>
          <t>High</t>
        </is>
      </c>
      <c r="AD577" t="n">
        <v>1</v>
      </c>
      <c r="AE577" t="inlineStr">
        <is>
          <t>DG7030</t>
        </is>
      </c>
      <c r="AF577" t="n">
        <v>16</v>
      </c>
      <c r="AG577" t="inlineStr">
        <is>
          <t>drawing</t>
        </is>
      </c>
      <c r="AH577" t="inlineStr">
        <is>
          <t>stacked:isa</t>
        </is>
      </c>
      <c r="AI577" t="inlineStr">
        <is>
          <t>drawing zone; process page; mapped sheet; excel sheet match</t>
        </is>
      </c>
      <c r="AJ577" t="inlineStr">
        <is>
          <t>native</t>
        </is>
      </c>
      <c r="AK577" t="inlineStr">
        <is>
          <t>native-only</t>
        </is>
      </c>
      <c r="AM577" t="inlineStr">
        <is>
          <t>16</t>
        </is>
      </c>
      <c r="AN577" t="inlineStr">
        <is>
          <t>Yes</t>
        </is>
      </c>
      <c r="AO577" t="inlineStr">
        <is>
          <t>mapped sheet id</t>
        </is>
      </c>
      <c r="AP577" t="inlineStr">
        <is>
          <t>p16:native:308, p16:native:309</t>
        </is>
      </c>
      <c r="AQ577" t="n">
        <v>2</v>
      </c>
    </row>
    <row r="578">
      <c r="A578" s="203">
        <f>ROW()-1</f>
        <v/>
      </c>
      <c r="B578" s="133" t="inlineStr">
        <is>
          <t>RL7-AGC-201-ZSC-03</t>
        </is>
      </c>
      <c r="C578" s="314" t="inlineStr">
        <is>
          <t>RL7-AGC-201-ZSC-09</t>
        </is>
      </c>
      <c r="D578" s="264" t="n"/>
      <c r="E578" s="133" t="n"/>
      <c r="F578" s="141" t="inlineStr">
        <is>
          <t>DISCHARGE AUGER CART MIX PROOF VALVE TO ROLLS MACHINE IN SANITATION POSITION</t>
        </is>
      </c>
      <c r="G578" s="142" t="inlineStr">
        <is>
          <t>DG7030</t>
        </is>
      </c>
      <c r="H578" s="133" t="inlineStr">
        <is>
          <t>CHILL</t>
        </is>
      </c>
      <c r="I578" s="142" t="inlineStr">
        <is>
          <t>RL7-DAGC1-RIO1</t>
        </is>
      </c>
      <c r="J578" s="133" t="n">
        <v>14</v>
      </c>
      <c r="K578" s="133" t="n">
        <v>5</v>
      </c>
      <c r="L578" s="133" t="n">
        <v>3</v>
      </c>
      <c r="M578" s="133" t="inlineStr">
        <is>
          <t>24 VDC DI</t>
        </is>
      </c>
      <c r="N578" s="133" t="inlineStr">
        <is>
          <t>5069-IB16</t>
        </is>
      </c>
      <c r="O578" s="139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40" t="n"/>
      <c r="AA578" t="inlineStr">
        <is>
          <t>Matched</t>
        </is>
      </c>
      <c r="AB578" s="315" t="n">
        <v>0.99</v>
      </c>
      <c r="AC578" t="inlineStr">
        <is>
          <t>High</t>
        </is>
      </c>
      <c r="AD578" t="n">
        <v>1</v>
      </c>
      <c r="AE578" t="inlineStr">
        <is>
          <t>DG7030</t>
        </is>
      </c>
      <c r="AF578" t="n">
        <v>16</v>
      </c>
      <c r="AG578" t="inlineStr">
        <is>
          <t>drawing</t>
        </is>
      </c>
      <c r="AH578" t="inlineStr">
        <is>
          <t>stacked:isa</t>
        </is>
      </c>
      <c r="AI578" t="inlineStr">
        <is>
          <t>drawing zone; process page; mapped sheet; excel sheet match</t>
        </is>
      </c>
      <c r="AJ578" t="inlineStr">
        <is>
          <t>native</t>
        </is>
      </c>
      <c r="AK578" t="inlineStr">
        <is>
          <t>native-only</t>
        </is>
      </c>
      <c r="AM578" t="inlineStr">
        <is>
          <t>16</t>
        </is>
      </c>
      <c r="AN578" t="inlineStr">
        <is>
          <t>Yes</t>
        </is>
      </c>
      <c r="AO578" t="inlineStr">
        <is>
          <t>mapped sheet id</t>
        </is>
      </c>
      <c r="AP578" t="inlineStr">
        <is>
          <t>p16:native:269, p16:native:270</t>
        </is>
      </c>
      <c r="AQ578" t="n">
        <v>2</v>
      </c>
    </row>
    <row r="579">
      <c r="A579" s="203">
        <f>ROW()-1</f>
        <v/>
      </c>
      <c r="B579" s="133" t="inlineStr">
        <is>
          <t>RL7-AGC-201-ZSC-04</t>
        </is>
      </c>
      <c r="C579" s="314" t="inlineStr">
        <is>
          <t>RL7-AGC-201-ZSO-10</t>
        </is>
      </c>
      <c r="D579" s="264" t="n"/>
      <c r="E579" s="133" t="n"/>
      <c r="F579" s="141" t="inlineStr">
        <is>
          <t>DISCHARGE AUGER CART MIX PROOF VALVE TO CIP SKID IN SNITATION POSITION</t>
        </is>
      </c>
      <c r="G579" s="142" t="inlineStr">
        <is>
          <t>DG7030</t>
        </is>
      </c>
      <c r="H579" s="133" t="inlineStr">
        <is>
          <t>CHILL</t>
        </is>
      </c>
      <c r="I579" s="142" t="inlineStr">
        <is>
          <t>RL7-DAGC1-RIO1</t>
        </is>
      </c>
      <c r="J579" s="133" t="n">
        <v>14</v>
      </c>
      <c r="K579" s="133" t="n">
        <v>5</v>
      </c>
      <c r="L579" s="133" t="n">
        <v>4</v>
      </c>
      <c r="M579" s="133" t="inlineStr">
        <is>
          <t>24 VDC DI</t>
        </is>
      </c>
      <c r="N579" s="133" t="inlineStr">
        <is>
          <t>5069-IB16</t>
        </is>
      </c>
      <c r="O579" s="139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40" t="n"/>
      <c r="AA579" t="inlineStr">
        <is>
          <t>Matched</t>
        </is>
      </c>
      <c r="AB579" s="315" t="n">
        <v>0.99</v>
      </c>
      <c r="AC579" t="inlineStr">
        <is>
          <t>High</t>
        </is>
      </c>
      <c r="AD579" t="n">
        <v>1</v>
      </c>
      <c r="AE579" t="inlineStr">
        <is>
          <t>DG7030</t>
        </is>
      </c>
      <c r="AF579" t="n">
        <v>16</v>
      </c>
      <c r="AG579" t="inlineStr">
        <is>
          <t>drawing</t>
        </is>
      </c>
      <c r="AH579" t="inlineStr">
        <is>
          <t>stacked:isa</t>
        </is>
      </c>
      <c r="AI579" t="inlineStr">
        <is>
          <t>drawing zone; process page; mapped sheet; excel sheet match</t>
        </is>
      </c>
      <c r="AJ579" t="inlineStr">
        <is>
          <t>native</t>
        </is>
      </c>
      <c r="AK579" t="inlineStr">
        <is>
          <t>native-only</t>
        </is>
      </c>
      <c r="AM579" t="inlineStr">
        <is>
          <t>16</t>
        </is>
      </c>
      <c r="AN579" t="inlineStr">
        <is>
          <t>Yes</t>
        </is>
      </c>
      <c r="AO579" t="inlineStr">
        <is>
          <t>mapped sheet id</t>
        </is>
      </c>
      <c r="AP579" t="inlineStr">
        <is>
          <t>p16:native:279, p16:native:280</t>
        </is>
      </c>
      <c r="AQ579" t="n">
        <v>2</v>
      </c>
    </row>
    <row r="580">
      <c r="A580" s="203">
        <f>ROW()-1</f>
        <v/>
      </c>
      <c r="B580" s="133" t="n"/>
      <c r="C580" s="314" t="inlineStr">
        <is>
          <t>RL7-AGC-201-ZSC-10</t>
        </is>
      </c>
      <c r="D580" s="264" t="n"/>
      <c r="E580" s="133" t="n"/>
      <c r="F580" s="141" t="inlineStr">
        <is>
          <t>DISCHARGE AUGER CART MIX PROOF VALVE TO CIP SKID IN PROCESS POSITION</t>
        </is>
      </c>
      <c r="G580" s="142" t="inlineStr">
        <is>
          <t>DG7030</t>
        </is>
      </c>
      <c r="H580" s="133" t="inlineStr">
        <is>
          <t>CHILL</t>
        </is>
      </c>
      <c r="I580" s="142" t="inlineStr">
        <is>
          <t>RL7-DAGC1-RIO1</t>
        </is>
      </c>
      <c r="J580" s="133" t="n">
        <v>14</v>
      </c>
      <c r="K580" s="133" t="n">
        <v>5</v>
      </c>
      <c r="L580" s="133" t="n">
        <v>5</v>
      </c>
      <c r="M580" s="133" t="inlineStr">
        <is>
          <t>24 VDC DI</t>
        </is>
      </c>
      <c r="N580" s="133" t="inlineStr">
        <is>
          <t>5069-IB16</t>
        </is>
      </c>
      <c r="O580" s="139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40" t="n"/>
      <c r="AA580" t="inlineStr">
        <is>
          <t>Matched</t>
        </is>
      </c>
      <c r="AB580" s="315" t="n">
        <v>0.99</v>
      </c>
      <c r="AC580" t="inlineStr">
        <is>
          <t>High</t>
        </is>
      </c>
      <c r="AD580" t="n">
        <v>1</v>
      </c>
      <c r="AE580" t="inlineStr">
        <is>
          <t>DG7030</t>
        </is>
      </c>
      <c r="AF580" t="n">
        <v>16</v>
      </c>
      <c r="AG580" t="inlineStr">
        <is>
          <t>drawing</t>
        </is>
      </c>
      <c r="AH580" t="inlineStr">
        <is>
          <t>stacked:isa</t>
        </is>
      </c>
      <c r="AI580" t="inlineStr">
        <is>
          <t>drawing zone; process page; mapped sheet; excel sheet match</t>
        </is>
      </c>
      <c r="AJ580" t="inlineStr">
        <is>
          <t>native</t>
        </is>
      </c>
      <c r="AK580" t="inlineStr">
        <is>
          <t>native-only</t>
        </is>
      </c>
      <c r="AM580" t="inlineStr">
        <is>
          <t>16</t>
        </is>
      </c>
      <c r="AN580" t="inlineStr">
        <is>
          <t>Yes</t>
        </is>
      </c>
      <c r="AO580" t="inlineStr">
        <is>
          <t>mapped sheet id</t>
        </is>
      </c>
      <c r="AP580" t="inlineStr">
        <is>
          <t>p16:native:281, p16:native:282</t>
        </is>
      </c>
      <c r="AQ580" t="n">
        <v>2</v>
      </c>
    </row>
    <row r="581">
      <c r="A581" s="203">
        <f>ROW()-1</f>
        <v/>
      </c>
      <c r="B581" s="133" t="n"/>
      <c r="C581" s="314" t="inlineStr">
        <is>
          <t>RL7-AGC-201-ZSO-11</t>
        </is>
      </c>
      <c r="D581" s="264" t="n"/>
      <c r="E581" s="133" t="n"/>
      <c r="F581" s="141" t="inlineStr">
        <is>
          <t>DISCHARGE AUGER CART MIX PROOF VALVE FROM PIPELINE MAGNET IN PROCESS POSITION</t>
        </is>
      </c>
      <c r="G581" s="142" t="inlineStr">
        <is>
          <t>DG7030</t>
        </is>
      </c>
      <c r="H581" s="133" t="inlineStr">
        <is>
          <t>CHILL</t>
        </is>
      </c>
      <c r="I581" s="142" t="inlineStr">
        <is>
          <t>RL7-DAGC1-RIO1</t>
        </is>
      </c>
      <c r="J581" s="133" t="n">
        <v>14</v>
      </c>
      <c r="K581" s="133" t="n">
        <v>5</v>
      </c>
      <c r="L581" s="133" t="n">
        <v>6</v>
      </c>
      <c r="M581" s="133" t="inlineStr">
        <is>
          <t>24 VDC DI</t>
        </is>
      </c>
      <c r="N581" s="133" t="inlineStr">
        <is>
          <t>5069-IB16</t>
        </is>
      </c>
      <c r="O581" s="139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40" t="n"/>
      <c r="AA581" t="inlineStr">
        <is>
          <t>Matched</t>
        </is>
      </c>
      <c r="AB581" s="315" t="n">
        <v>0.99</v>
      </c>
      <c r="AC581" t="inlineStr">
        <is>
          <t>High</t>
        </is>
      </c>
      <c r="AD581" t="n">
        <v>1</v>
      </c>
      <c r="AE581" t="inlineStr">
        <is>
          <t>DG7030</t>
        </is>
      </c>
      <c r="AF581" t="n">
        <v>16</v>
      </c>
      <c r="AG581" t="inlineStr">
        <is>
          <t>drawing</t>
        </is>
      </c>
      <c r="AH581" t="inlineStr">
        <is>
          <t>stacked:isa</t>
        </is>
      </c>
      <c r="AI581" t="inlineStr">
        <is>
          <t>drawing zone; process page; mapped sheet; excel sheet match</t>
        </is>
      </c>
      <c r="AJ581" t="inlineStr">
        <is>
          <t>native</t>
        </is>
      </c>
      <c r="AK581" t="inlineStr">
        <is>
          <t>native-only</t>
        </is>
      </c>
      <c r="AM581" t="inlineStr">
        <is>
          <t>16</t>
        </is>
      </c>
      <c r="AN581" t="inlineStr">
        <is>
          <t>Yes</t>
        </is>
      </c>
      <c r="AO581" t="inlineStr">
        <is>
          <t>mapped sheet id</t>
        </is>
      </c>
      <c r="AP581" t="inlineStr">
        <is>
          <t>p16:native:273, p16:native:274</t>
        </is>
      </c>
      <c r="AQ581" t="n">
        <v>2</v>
      </c>
    </row>
    <row r="582">
      <c r="A582" s="203">
        <f>ROW()-1</f>
        <v/>
      </c>
      <c r="B582" s="133" t="n"/>
      <c r="C582" s="314" t="inlineStr">
        <is>
          <t>RL7-AGC-201-ZSC-11</t>
        </is>
      </c>
      <c r="D582" s="264" t="n"/>
      <c r="E582" s="133" t="n"/>
      <c r="F582" s="141" t="inlineStr">
        <is>
          <t>DISCHARGE AUGER CART MIX PROOF VALVE FROM PIPELINE MAGNET IN SANITATION POSITION</t>
        </is>
      </c>
      <c r="G582" s="142" t="inlineStr">
        <is>
          <t>DG7030</t>
        </is>
      </c>
      <c r="H582" s="133" t="inlineStr">
        <is>
          <t>CHILL</t>
        </is>
      </c>
      <c r="I582" s="142" t="inlineStr">
        <is>
          <t>RL7-DAGC1-RIO1</t>
        </is>
      </c>
      <c r="J582" s="133" t="n">
        <v>14</v>
      </c>
      <c r="K582" s="133" t="n">
        <v>5</v>
      </c>
      <c r="L582" s="133" t="n">
        <v>7</v>
      </c>
      <c r="M582" s="133" t="inlineStr">
        <is>
          <t>24 VDC DI</t>
        </is>
      </c>
      <c r="N582" s="133" t="inlineStr">
        <is>
          <t>5069-IB16</t>
        </is>
      </c>
      <c r="O582" s="139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40" t="n"/>
      <c r="AA582" t="inlineStr">
        <is>
          <t>Matched</t>
        </is>
      </c>
      <c r="AB582" s="315" t="n">
        <v>0.99</v>
      </c>
      <c r="AC582" t="inlineStr">
        <is>
          <t>High</t>
        </is>
      </c>
      <c r="AD582" t="n">
        <v>1</v>
      </c>
      <c r="AE582" t="inlineStr">
        <is>
          <t>DG7030</t>
        </is>
      </c>
      <c r="AF582" t="n">
        <v>16</v>
      </c>
      <c r="AG582" t="inlineStr">
        <is>
          <t>drawing</t>
        </is>
      </c>
      <c r="AH582" t="inlineStr">
        <is>
          <t>stacked:isa</t>
        </is>
      </c>
      <c r="AI582" t="inlineStr">
        <is>
          <t>drawing zone; process page; mapped sheet; excel sheet match</t>
        </is>
      </c>
      <c r="AJ582" t="inlineStr">
        <is>
          <t>native</t>
        </is>
      </c>
      <c r="AK582" t="inlineStr">
        <is>
          <t>native-only</t>
        </is>
      </c>
      <c r="AM582" t="inlineStr">
        <is>
          <t>16</t>
        </is>
      </c>
      <c r="AN582" t="inlineStr">
        <is>
          <t>Yes</t>
        </is>
      </c>
      <c r="AO582" t="inlineStr">
        <is>
          <t>mapped sheet id</t>
        </is>
      </c>
      <c r="AP582" t="inlineStr">
        <is>
          <t>p16:native:275, p16:native:276</t>
        </is>
      </c>
      <c r="AQ582" t="n">
        <v>2</v>
      </c>
    </row>
    <row r="583">
      <c r="A583" s="203">
        <f>ROW()-1</f>
        <v/>
      </c>
      <c r="B583" s="133" t="inlineStr">
        <is>
          <t>RL7-AGC-201-HS-01A</t>
        </is>
      </c>
      <c r="C583" s="314" t="inlineStr">
        <is>
          <t>RL7-AGC-201-ZSO-25</t>
        </is>
      </c>
      <c r="D583" s="264" t="n"/>
      <c r="E583" s="133" t="n"/>
      <c r="F583" s="141" t="inlineStr">
        <is>
          <t>DISCHARGE AUGER CART MIX PROOF VALVE FROM CIP SKID IN SNITATION POSITION</t>
        </is>
      </c>
      <c r="G583" s="142" t="inlineStr">
        <is>
          <t>DG7030</t>
        </is>
      </c>
      <c r="H583" s="133" t="inlineStr">
        <is>
          <t>CHILL</t>
        </is>
      </c>
      <c r="I583" s="142" t="inlineStr">
        <is>
          <t>RL7-DAGC1-RIO1</t>
        </is>
      </c>
      <c r="J583" s="133" t="n">
        <v>14</v>
      </c>
      <c r="K583" s="133" t="n">
        <v>5</v>
      </c>
      <c r="L583" s="133" t="n">
        <v>8</v>
      </c>
      <c r="M583" s="133" t="inlineStr">
        <is>
          <t>24 VDC DI</t>
        </is>
      </c>
      <c r="N583" s="133" t="inlineStr">
        <is>
          <t>5069-IB16</t>
        </is>
      </c>
      <c r="O583" s="139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40" t="n"/>
      <c r="AA583" t="inlineStr">
        <is>
          <t>Matched</t>
        </is>
      </c>
      <c r="AB583" s="315" t="n">
        <v>0.99</v>
      </c>
      <c r="AC583" t="inlineStr">
        <is>
          <t>High</t>
        </is>
      </c>
      <c r="AD583" t="n">
        <v>1</v>
      </c>
      <c r="AE583" t="inlineStr">
        <is>
          <t>DG7030</t>
        </is>
      </c>
      <c r="AF583" t="n">
        <v>16</v>
      </c>
      <c r="AG583" t="inlineStr">
        <is>
          <t>drawing</t>
        </is>
      </c>
      <c r="AH583" t="inlineStr">
        <is>
          <t>stacked:isa</t>
        </is>
      </c>
      <c r="AI583" t="inlineStr">
        <is>
          <t>drawing zone; process page; mapped sheet; excel sheet match</t>
        </is>
      </c>
      <c r="AJ583" t="inlineStr">
        <is>
          <t>native</t>
        </is>
      </c>
      <c r="AK583" t="inlineStr">
        <is>
          <t>native-only</t>
        </is>
      </c>
      <c r="AM583" t="inlineStr">
        <is>
          <t>16</t>
        </is>
      </c>
      <c r="AN583" t="inlineStr">
        <is>
          <t>Yes</t>
        </is>
      </c>
      <c r="AO583" t="inlineStr">
        <is>
          <t>mapped sheet id</t>
        </is>
      </c>
      <c r="AP583" t="inlineStr">
        <is>
          <t>p16:native:246, p16:native:247</t>
        </is>
      </c>
      <c r="AQ583" t="n">
        <v>2</v>
      </c>
    </row>
    <row r="584" customFormat="1" s="149">
      <c r="A584" s="203">
        <f>ROW()-1</f>
        <v/>
      </c>
      <c r="B584" s="133" t="inlineStr">
        <is>
          <t>RL7-AGC-201-HS-01B</t>
        </is>
      </c>
      <c r="C584" s="314" t="inlineStr">
        <is>
          <t>RL7-AGC-201-ZSC-25</t>
        </is>
      </c>
      <c r="D584" s="264" t="n"/>
      <c r="E584" s="133" t="n"/>
      <c r="F584" s="141" t="inlineStr">
        <is>
          <t>DISCHARGE AUGER CART MIX PROOF VALVE FROM CIP SKID IN PROCESS POSITION</t>
        </is>
      </c>
      <c r="G584" s="142" t="inlineStr">
        <is>
          <t>DG7030</t>
        </is>
      </c>
      <c r="H584" s="133" t="inlineStr">
        <is>
          <t>CHILL</t>
        </is>
      </c>
      <c r="I584" s="142" t="inlineStr">
        <is>
          <t>RL7-DAGC1-RIO1</t>
        </is>
      </c>
      <c r="J584" s="133" t="n">
        <v>14</v>
      </c>
      <c r="K584" s="133" t="n">
        <v>5</v>
      </c>
      <c r="L584" s="133" t="n">
        <v>9</v>
      </c>
      <c r="M584" s="133" t="inlineStr">
        <is>
          <t>24 VDC DI</t>
        </is>
      </c>
      <c r="N584" s="133" t="inlineStr">
        <is>
          <t>5069-IB16</t>
        </is>
      </c>
      <c r="O584" s="139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40" t="n"/>
      <c r="AA584" t="inlineStr">
        <is>
          <t>Matched</t>
        </is>
      </c>
      <c r="AB584" s="315" t="n">
        <v>0.99</v>
      </c>
      <c r="AC584" t="inlineStr">
        <is>
          <t>High</t>
        </is>
      </c>
      <c r="AD584" t="n">
        <v>1</v>
      </c>
      <c r="AE584" t="inlineStr">
        <is>
          <t>DG7030</t>
        </is>
      </c>
      <c r="AF584" t="n">
        <v>16</v>
      </c>
      <c r="AG584" t="inlineStr">
        <is>
          <t>drawing</t>
        </is>
      </c>
      <c r="AH584" t="inlineStr">
        <is>
          <t>stacked:isa</t>
        </is>
      </c>
      <c r="AI584" t="inlineStr">
        <is>
          <t>drawing zone; process page; mapped sheet; excel sheet match</t>
        </is>
      </c>
      <c r="AJ584" t="inlineStr">
        <is>
          <t>native</t>
        </is>
      </c>
      <c r="AK584" t="inlineStr">
        <is>
          <t>native-only</t>
        </is>
      </c>
      <c r="AM584" t="inlineStr">
        <is>
          <t>16</t>
        </is>
      </c>
      <c r="AN584" t="inlineStr">
        <is>
          <t>Yes</t>
        </is>
      </c>
      <c r="AO584" t="inlineStr">
        <is>
          <t>mapped sheet id</t>
        </is>
      </c>
      <c r="AP584" t="inlineStr">
        <is>
          <t>p16:native:248, p16:native:249</t>
        </is>
      </c>
      <c r="AQ584" t="n">
        <v>2</v>
      </c>
    </row>
    <row r="585" customFormat="1" s="149">
      <c r="A585" s="203">
        <f>ROW()-1</f>
        <v/>
      </c>
      <c r="B585" s="128" t="inlineStr">
        <is>
          <t>RL7-AGC-201-PBL-01</t>
        </is>
      </c>
      <c r="C585" s="313" t="inlineStr">
        <is>
          <t>RL7-AGC-201-PBL-01</t>
        </is>
      </c>
      <c r="D585" s="262" t="inlineStr">
        <is>
          <t>PB1106191</t>
        </is>
      </c>
      <c r="E585" s="128" t="inlineStr">
        <is>
          <t>OS13A</t>
        </is>
      </c>
      <c r="F585" s="138" t="inlineStr">
        <is>
          <t xml:space="preserve">DISCHARGE AUGER CART E-STOP PB PILOT LIGHT </t>
        </is>
      </c>
      <c r="G585" s="131" t="inlineStr">
        <is>
          <t>DG7030</t>
        </is>
      </c>
      <c r="H585" s="128" t="inlineStr">
        <is>
          <t>CHILL</t>
        </is>
      </c>
      <c r="I585" s="132" t="inlineStr">
        <is>
          <t>RL7-DAGC1-RIO1</t>
        </is>
      </c>
      <c r="J585" s="133" t="n">
        <v>14</v>
      </c>
      <c r="K585" s="129" t="n">
        <v>7</v>
      </c>
      <c r="L585" s="129" t="n">
        <v>0</v>
      </c>
      <c r="M585" s="129" t="inlineStr">
        <is>
          <t>24 VDC DO</t>
        </is>
      </c>
      <c r="N585" s="129" t="inlineStr">
        <is>
          <t>5069-OB16</t>
        </is>
      </c>
      <c r="O585" s="139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40" t="n"/>
      <c r="AA585" t="inlineStr">
        <is>
          <t>Not found in PDF</t>
        </is>
      </c>
      <c r="AC585" t="inlineStr">
        <is>
          <t>Low</t>
        </is>
      </c>
      <c r="AM585" t="inlineStr">
        <is>
          <t>16</t>
        </is>
      </c>
      <c r="AN585" t="inlineStr">
        <is>
          <t>Yes</t>
        </is>
      </c>
      <c r="AO585" t="inlineStr">
        <is>
          <t>mapped sheet id</t>
        </is>
      </c>
    </row>
    <row r="586" customFormat="1" s="149">
      <c r="A586" s="203">
        <f>ROW()-1</f>
        <v/>
      </c>
      <c r="B586" s="128" t="inlineStr">
        <is>
          <t>RL7-AGC-201-XY-02</t>
        </is>
      </c>
      <c r="C586" s="314" t="inlineStr">
        <is>
          <t>RL7-AGC-201-XY-02A</t>
        </is>
      </c>
      <c r="D586" s="262" t="inlineStr">
        <is>
          <t>SOL1107021</t>
        </is>
      </c>
      <c r="E586" s="128" t="inlineStr">
        <is>
          <t>JIC13B</t>
        </is>
      </c>
      <c r="F586" s="138" t="inlineStr">
        <is>
          <t>DISCHARGE AUGER CART COVER OPEN SOLENOID</t>
        </is>
      </c>
      <c r="G586" s="131" t="inlineStr">
        <is>
          <t>DG7030</t>
        </is>
      </c>
      <c r="H586" s="128" t="inlineStr">
        <is>
          <t>CHILL</t>
        </is>
      </c>
      <c r="I586" s="132" t="inlineStr">
        <is>
          <t>RL7-DAGC1-RIO1</t>
        </is>
      </c>
      <c r="J586" s="133" t="n">
        <v>14</v>
      </c>
      <c r="K586" s="129" t="n">
        <v>7</v>
      </c>
      <c r="L586" s="129" t="n">
        <v>2</v>
      </c>
      <c r="M586" s="129" t="inlineStr">
        <is>
          <t>24 VDC DO</t>
        </is>
      </c>
      <c r="N586" s="129" t="inlineStr">
        <is>
          <t>5069-OB16</t>
        </is>
      </c>
      <c r="O586" s="139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40" t="n"/>
      <c r="AA586" t="inlineStr">
        <is>
          <t>Matched</t>
        </is>
      </c>
      <c r="AB586" s="315" t="n">
        <v>0.99</v>
      </c>
      <c r="AC586" t="inlineStr">
        <is>
          <t>High</t>
        </is>
      </c>
      <c r="AD586" t="n">
        <v>1</v>
      </c>
      <c r="AE586" t="inlineStr">
        <is>
          <t>DG7030</t>
        </is>
      </c>
      <c r="AF586" t="n">
        <v>16</v>
      </c>
      <c r="AG586" t="inlineStr">
        <is>
          <t>drawing</t>
        </is>
      </c>
      <c r="AH586" t="inlineStr">
        <is>
          <t>stacked:isa</t>
        </is>
      </c>
      <c r="AI586" t="inlineStr">
        <is>
          <t>drawing zone; process page; mapped sheet; excel sheet match</t>
        </is>
      </c>
      <c r="AJ586" t="inlineStr">
        <is>
          <t>native</t>
        </is>
      </c>
      <c r="AK586" t="inlineStr">
        <is>
          <t>native-only</t>
        </is>
      </c>
      <c r="AM586" t="inlineStr">
        <is>
          <t>16</t>
        </is>
      </c>
      <c r="AN586" t="inlineStr">
        <is>
          <t>Yes</t>
        </is>
      </c>
      <c r="AO586" t="inlineStr">
        <is>
          <t>mapped sheet id</t>
        </is>
      </c>
      <c r="AP586" t="inlineStr">
        <is>
          <t>p16:native:290, p16:native:291</t>
        </is>
      </c>
      <c r="AQ586" t="n">
        <v>2</v>
      </c>
    </row>
    <row r="587" customFormat="1" s="149">
      <c r="A587" s="203">
        <f>ROW()-1</f>
        <v/>
      </c>
      <c r="B587" s="128" t="inlineStr">
        <is>
          <t>RL7-AGC-201-XY-02</t>
        </is>
      </c>
      <c r="C587" s="314" t="inlineStr">
        <is>
          <t>RL7-AGC-201-XY-02B</t>
        </is>
      </c>
      <c r="D587" s="262" t="inlineStr">
        <is>
          <t>SOL1107021</t>
        </is>
      </c>
      <c r="E587" s="128" t="inlineStr">
        <is>
          <t>JIC13B</t>
        </is>
      </c>
      <c r="F587" s="138" t="inlineStr">
        <is>
          <t>DISCHARGE AUGER CART COVER CLOSE SOLENOID</t>
        </is>
      </c>
      <c r="G587" s="131" t="inlineStr">
        <is>
          <t>DG7030</t>
        </is>
      </c>
      <c r="H587" s="128" t="inlineStr">
        <is>
          <t>CHILL</t>
        </is>
      </c>
      <c r="I587" s="132" t="inlineStr">
        <is>
          <t>RL7-DAGC1-RIO1</t>
        </is>
      </c>
      <c r="J587" s="133" t="n">
        <v>14</v>
      </c>
      <c r="K587" s="129" t="n">
        <v>7</v>
      </c>
      <c r="L587" s="129" t="n">
        <v>3</v>
      </c>
      <c r="M587" s="129" t="inlineStr">
        <is>
          <t>24 VDC DO</t>
        </is>
      </c>
      <c r="N587" s="129" t="inlineStr">
        <is>
          <t>5069-OB16</t>
        </is>
      </c>
      <c r="O587" s="139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40" t="n"/>
      <c r="AA587" t="inlineStr">
        <is>
          <t>Matched</t>
        </is>
      </c>
      <c r="AB587" s="315" t="n">
        <v>0.99</v>
      </c>
      <c r="AC587" t="inlineStr">
        <is>
          <t>High</t>
        </is>
      </c>
      <c r="AD587" t="n">
        <v>1</v>
      </c>
      <c r="AE587" t="inlineStr">
        <is>
          <t>DG7030</t>
        </is>
      </c>
      <c r="AF587" t="n">
        <v>16</v>
      </c>
      <c r="AG587" t="inlineStr">
        <is>
          <t>drawing</t>
        </is>
      </c>
      <c r="AH587" t="inlineStr">
        <is>
          <t>stacked:isa</t>
        </is>
      </c>
      <c r="AI587" t="inlineStr">
        <is>
          <t>drawing zone; process page; mapped sheet; excel sheet match</t>
        </is>
      </c>
      <c r="AJ587" t="inlineStr">
        <is>
          <t>native</t>
        </is>
      </c>
      <c r="AK587" t="inlineStr">
        <is>
          <t>native-only</t>
        </is>
      </c>
      <c r="AM587" t="inlineStr">
        <is>
          <t>16</t>
        </is>
      </c>
      <c r="AN587" t="inlineStr">
        <is>
          <t>Yes</t>
        </is>
      </c>
      <c r="AO587" t="inlineStr">
        <is>
          <t>mapped sheet id</t>
        </is>
      </c>
      <c r="AP587" t="inlineStr">
        <is>
          <t>p16:native:286, p16:native:287</t>
        </is>
      </c>
      <c r="AQ587" t="n">
        <v>2</v>
      </c>
    </row>
    <row r="588" customFormat="1" s="149">
      <c r="A588" s="203">
        <f>ROW()-1</f>
        <v/>
      </c>
      <c r="B588" s="128" t="n"/>
      <c r="C588" s="316" t="inlineStr">
        <is>
          <t>RL7-AGC-201-XV-08</t>
        </is>
      </c>
      <c r="D588" s="262" t="n"/>
      <c r="E588" s="128" t="n"/>
      <c r="F588" s="141" t="inlineStr">
        <is>
          <t>DISCHARGE AUGER CART MIX PROOF VALVE TO CIP SKID IN PROCESS POSITION</t>
        </is>
      </c>
      <c r="G588" s="142" t="inlineStr">
        <is>
          <t>DG7030</t>
        </is>
      </c>
      <c r="H588" s="133" t="inlineStr">
        <is>
          <t>CHILL</t>
        </is>
      </c>
      <c r="I588" s="132" t="inlineStr">
        <is>
          <t>RL7-DAGC1-RIO1</t>
        </is>
      </c>
      <c r="J588" s="133" t="n">
        <v>14</v>
      </c>
      <c r="K588" s="129" t="n">
        <v>7</v>
      </c>
      <c r="L588" s="129" t="n">
        <v>4</v>
      </c>
      <c r="M588" s="129" t="inlineStr">
        <is>
          <t>24 VDC DO</t>
        </is>
      </c>
      <c r="N588" s="129" t="inlineStr">
        <is>
          <t>5069-OB16</t>
        </is>
      </c>
      <c r="O588" s="139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40" t="n"/>
      <c r="AA588" t="inlineStr">
        <is>
          <t>Matched</t>
        </is>
      </c>
      <c r="AB588" s="315" t="n">
        <v>0.99</v>
      </c>
      <c r="AC588" t="inlineStr">
        <is>
          <t>High</t>
        </is>
      </c>
      <c r="AD588" t="n">
        <v>1</v>
      </c>
      <c r="AE588" t="inlineStr">
        <is>
          <t>DG7030</t>
        </is>
      </c>
      <c r="AF588" t="n">
        <v>16</v>
      </c>
      <c r="AG588" t="inlineStr">
        <is>
          <t>drawing</t>
        </is>
      </c>
      <c r="AH588" t="inlineStr">
        <is>
          <t>stacked:isa</t>
        </is>
      </c>
      <c r="AI588" t="inlineStr">
        <is>
          <t>drawing zone; process page; mapped sheet; excel sheet match</t>
        </is>
      </c>
      <c r="AJ588" t="inlineStr">
        <is>
          <t>native</t>
        </is>
      </c>
      <c r="AK588" t="inlineStr">
        <is>
          <t>native-only</t>
        </is>
      </c>
      <c r="AM588" t="inlineStr">
        <is>
          <t>16</t>
        </is>
      </c>
      <c r="AN588" t="inlineStr">
        <is>
          <t>Yes</t>
        </is>
      </c>
      <c r="AO588" t="inlineStr">
        <is>
          <t>mapped sheet id</t>
        </is>
      </c>
      <c r="AP588" t="inlineStr">
        <is>
          <t>p16:native:310, p16:native:311</t>
        </is>
      </c>
      <c r="AQ588" t="n">
        <v>2</v>
      </c>
    </row>
    <row r="589" customFormat="1" s="149">
      <c r="A589" s="203">
        <f>ROW()-1</f>
        <v/>
      </c>
      <c r="B589" s="128" t="n"/>
      <c r="C589" s="316" t="inlineStr">
        <is>
          <t>RL7-AGC-201-XV-09</t>
        </is>
      </c>
      <c r="D589" s="262" t="n"/>
      <c r="E589" s="128" t="n"/>
      <c r="F589" s="141" t="inlineStr">
        <is>
          <t>DISCHARGE AUGER CART MIX PROOF VALVE TO ROLLS MACHINE IN PROCESS POSITION</t>
        </is>
      </c>
      <c r="G589" s="142" t="inlineStr">
        <is>
          <t>DG7030</t>
        </is>
      </c>
      <c r="H589" s="133" t="inlineStr">
        <is>
          <t>CHILL</t>
        </is>
      </c>
      <c r="I589" s="132" t="inlineStr">
        <is>
          <t>RL7-DAGC1-RIO1</t>
        </is>
      </c>
      <c r="J589" s="133" t="n">
        <v>14</v>
      </c>
      <c r="K589" s="129" t="n">
        <v>7</v>
      </c>
      <c r="L589" s="129" t="n">
        <v>5</v>
      </c>
      <c r="M589" s="129" t="inlineStr">
        <is>
          <t>24 VDC DO</t>
        </is>
      </c>
      <c r="N589" s="129" t="inlineStr">
        <is>
          <t>5069-OB16</t>
        </is>
      </c>
      <c r="O589" s="139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40" t="n"/>
      <c r="AA589" t="inlineStr">
        <is>
          <t>Matched</t>
        </is>
      </c>
      <c r="AB589" s="315" t="n">
        <v>0.99</v>
      </c>
      <c r="AC589" t="inlineStr">
        <is>
          <t>High</t>
        </is>
      </c>
      <c r="AD589" t="n">
        <v>1</v>
      </c>
      <c r="AE589" t="inlineStr">
        <is>
          <t>DG7030</t>
        </is>
      </c>
      <c r="AF589" t="n">
        <v>16</v>
      </c>
      <c r="AG589" t="inlineStr">
        <is>
          <t>drawing</t>
        </is>
      </c>
      <c r="AH589" t="inlineStr">
        <is>
          <t>stacked:isa</t>
        </is>
      </c>
      <c r="AI589" t="inlineStr">
        <is>
          <t>drawing zone; process page; mapped sheet; excel sheet match</t>
        </is>
      </c>
      <c r="AJ589" t="inlineStr">
        <is>
          <t>native</t>
        </is>
      </c>
      <c r="AK589" t="inlineStr">
        <is>
          <t>native-only</t>
        </is>
      </c>
      <c r="AM589" t="inlineStr">
        <is>
          <t>16</t>
        </is>
      </c>
      <c r="AN589" t="inlineStr">
        <is>
          <t>Yes</t>
        </is>
      </c>
      <c r="AO589" t="inlineStr">
        <is>
          <t>mapped sheet id</t>
        </is>
      </c>
      <c r="AP589" t="inlineStr">
        <is>
          <t>p16:native:312, p16:native:313</t>
        </is>
      </c>
      <c r="AQ589" t="n">
        <v>2</v>
      </c>
    </row>
    <row r="590" customFormat="1" s="149">
      <c r="A590" s="203">
        <f>ROW()-1</f>
        <v/>
      </c>
      <c r="B590" s="128" t="n"/>
      <c r="C590" s="314" t="inlineStr">
        <is>
          <t>RL7-AGC-201-XV-10</t>
        </is>
      </c>
      <c r="D590" s="264" t="n"/>
      <c r="E590" s="133" t="n"/>
      <c r="F590" s="141" t="inlineStr">
        <is>
          <t>DISCHARGE AUGER CART MIX PROOF VALVE TO CIP SKID IN PROCESS POSITION</t>
        </is>
      </c>
      <c r="G590" s="142" t="inlineStr">
        <is>
          <t>DG7030</t>
        </is>
      </c>
      <c r="H590" s="133" t="inlineStr">
        <is>
          <t>CHILL</t>
        </is>
      </c>
      <c r="I590" s="132" t="inlineStr">
        <is>
          <t>RL7-DAGC1-RIO1</t>
        </is>
      </c>
      <c r="J590" s="133" t="n">
        <v>14</v>
      </c>
      <c r="K590" s="129" t="n">
        <v>7</v>
      </c>
      <c r="L590" s="129" t="n">
        <v>6</v>
      </c>
      <c r="M590" s="129" t="inlineStr">
        <is>
          <t>24 VDC DO</t>
        </is>
      </c>
      <c r="N590" s="129" t="inlineStr">
        <is>
          <t>5069-OB16</t>
        </is>
      </c>
      <c r="O590" s="139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40" t="n"/>
      <c r="AA590" t="inlineStr">
        <is>
          <t>Matched</t>
        </is>
      </c>
      <c r="AB590" s="315" t="n">
        <v>0.99</v>
      </c>
      <c r="AC590" t="inlineStr">
        <is>
          <t>High</t>
        </is>
      </c>
      <c r="AD590" t="n">
        <v>1</v>
      </c>
      <c r="AE590" t="inlineStr">
        <is>
          <t>DG7030</t>
        </is>
      </c>
      <c r="AF590" t="n">
        <v>16</v>
      </c>
      <c r="AG590" t="inlineStr">
        <is>
          <t>drawing</t>
        </is>
      </c>
      <c r="AH590" t="inlineStr">
        <is>
          <t>stacked:isa</t>
        </is>
      </c>
      <c r="AI590" t="inlineStr">
        <is>
          <t>drawing zone; process page; mapped sheet; excel sheet match</t>
        </is>
      </c>
      <c r="AJ590" t="inlineStr">
        <is>
          <t>native</t>
        </is>
      </c>
      <c r="AK590" t="inlineStr">
        <is>
          <t>native-only</t>
        </is>
      </c>
      <c r="AM590" t="inlineStr">
        <is>
          <t>16</t>
        </is>
      </c>
      <c r="AN590" t="inlineStr">
        <is>
          <t>Yes</t>
        </is>
      </c>
      <c r="AO590" t="inlineStr">
        <is>
          <t>mapped sheet id</t>
        </is>
      </c>
      <c r="AP590" t="inlineStr">
        <is>
          <t>p16:native:277, p16:native:278</t>
        </is>
      </c>
      <c r="AQ590" t="n">
        <v>2</v>
      </c>
    </row>
    <row r="591" customFormat="1" s="149">
      <c r="A591" s="203">
        <f>ROW()-1</f>
        <v/>
      </c>
      <c r="B591" s="128" t="n"/>
      <c r="C591" s="314" t="inlineStr">
        <is>
          <t>RL7-AGC-201-XV-11</t>
        </is>
      </c>
      <c r="D591" s="264" t="n"/>
      <c r="E591" s="133" t="n"/>
      <c r="F591" s="141" t="inlineStr">
        <is>
          <t>DISCHARGE AUGER CART MIX PROOF VALVE FROM PIPELINE MAGNET IN PROCESS POSITION</t>
        </is>
      </c>
      <c r="G591" s="142" t="inlineStr">
        <is>
          <t>DG7030</t>
        </is>
      </c>
      <c r="H591" s="133" t="inlineStr">
        <is>
          <t>CHILL</t>
        </is>
      </c>
      <c r="I591" s="132" t="inlineStr">
        <is>
          <t>RL7-DAGC1-RIO1</t>
        </is>
      </c>
      <c r="J591" s="133" t="n">
        <v>14</v>
      </c>
      <c r="K591" s="129" t="n">
        <v>7</v>
      </c>
      <c r="L591" s="129" t="n">
        <v>7</v>
      </c>
      <c r="M591" s="129" t="inlineStr">
        <is>
          <t>24 VDC DO</t>
        </is>
      </c>
      <c r="N591" s="129" t="inlineStr">
        <is>
          <t>5069-OB16</t>
        </is>
      </c>
      <c r="O591" s="139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40" t="n"/>
      <c r="AA591" t="inlineStr">
        <is>
          <t>Matched</t>
        </is>
      </c>
      <c r="AB591" s="315" t="n">
        <v>0.99</v>
      </c>
      <c r="AC591" t="inlineStr">
        <is>
          <t>High</t>
        </is>
      </c>
      <c r="AD591" t="n">
        <v>1</v>
      </c>
      <c r="AE591" t="inlineStr">
        <is>
          <t>DG7030</t>
        </is>
      </c>
      <c r="AF591" t="n">
        <v>16</v>
      </c>
      <c r="AG591" t="inlineStr">
        <is>
          <t>drawing</t>
        </is>
      </c>
      <c r="AH591" t="inlineStr">
        <is>
          <t>stacked:isa</t>
        </is>
      </c>
      <c r="AI591" t="inlineStr">
        <is>
          <t>drawing zone; process page; mapped sheet; excel sheet match</t>
        </is>
      </c>
      <c r="AJ591" t="inlineStr">
        <is>
          <t>native</t>
        </is>
      </c>
      <c r="AK591" t="inlineStr">
        <is>
          <t>native-only</t>
        </is>
      </c>
      <c r="AM591" t="inlineStr">
        <is>
          <t>16</t>
        </is>
      </c>
      <c r="AN591" t="inlineStr">
        <is>
          <t>Yes</t>
        </is>
      </c>
      <c r="AO591" t="inlineStr">
        <is>
          <t>mapped sheet id</t>
        </is>
      </c>
      <c r="AP591" t="inlineStr">
        <is>
          <t>p16:native:271, p16:native:272</t>
        </is>
      </c>
      <c r="AQ591" t="n">
        <v>2</v>
      </c>
    </row>
    <row r="592" customFormat="1" s="149">
      <c r="A592" s="203">
        <f>ROW()-1</f>
        <v/>
      </c>
      <c r="B592" s="128" t="n"/>
      <c r="C592" s="314" t="inlineStr">
        <is>
          <t>RL7-AGC-201-XV-25</t>
        </is>
      </c>
      <c r="D592" s="264" t="n"/>
      <c r="E592" s="133" t="n"/>
      <c r="F592" s="141" t="inlineStr">
        <is>
          <t>DISCHARGE AUGER CART MIX PROOF VALVE FROM CIP SKID IN PROCESS POSITION</t>
        </is>
      </c>
      <c r="G592" s="142" t="inlineStr">
        <is>
          <t>DG7030</t>
        </is>
      </c>
      <c r="H592" s="133" t="inlineStr">
        <is>
          <t>CHILL</t>
        </is>
      </c>
      <c r="I592" s="132" t="inlineStr">
        <is>
          <t>RL7-DAGC1-RIO1</t>
        </is>
      </c>
      <c r="J592" s="133" t="n">
        <v>14</v>
      </c>
      <c r="K592" s="129" t="n">
        <v>7</v>
      </c>
      <c r="L592" s="129" t="n">
        <v>8</v>
      </c>
      <c r="M592" s="129" t="inlineStr">
        <is>
          <t>24 VDC DO</t>
        </is>
      </c>
      <c r="N592" s="129" t="inlineStr">
        <is>
          <t>5069-OB16</t>
        </is>
      </c>
      <c r="O592" s="139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40" t="n"/>
      <c r="AA592" t="inlineStr">
        <is>
          <t>Matched</t>
        </is>
      </c>
      <c r="AB592" s="315" t="n">
        <v>0.99</v>
      </c>
      <c r="AC592" t="inlineStr">
        <is>
          <t>High</t>
        </is>
      </c>
      <c r="AD592" t="n">
        <v>1</v>
      </c>
      <c r="AE592" t="inlineStr">
        <is>
          <t>DG7030</t>
        </is>
      </c>
      <c r="AF592" t="n">
        <v>16</v>
      </c>
      <c r="AG592" t="inlineStr">
        <is>
          <t>drawing</t>
        </is>
      </c>
      <c r="AH592" t="inlineStr">
        <is>
          <t>stacked:isa</t>
        </is>
      </c>
      <c r="AI592" t="inlineStr">
        <is>
          <t>drawing zone; process page; mapped sheet; excel sheet match</t>
        </is>
      </c>
      <c r="AJ592" t="inlineStr">
        <is>
          <t>native</t>
        </is>
      </c>
      <c r="AK592" t="inlineStr">
        <is>
          <t>native-only</t>
        </is>
      </c>
      <c r="AM592" t="inlineStr">
        <is>
          <t>16</t>
        </is>
      </c>
      <c r="AN592" t="inlineStr">
        <is>
          <t>Yes</t>
        </is>
      </c>
      <c r="AO592" t="inlineStr">
        <is>
          <t>mapped sheet id</t>
        </is>
      </c>
      <c r="AP592" t="inlineStr">
        <is>
          <t>p16:native:244, p16:native:245</t>
        </is>
      </c>
      <c r="AQ592" t="n">
        <v>2</v>
      </c>
    </row>
    <row r="593" customFormat="1" s="149">
      <c r="A593" s="203">
        <f>ROW()-1</f>
        <v/>
      </c>
      <c r="B593" s="128" t="inlineStr">
        <is>
          <t>RL7-AGC-201-AH-01</t>
        </is>
      </c>
      <c r="C593" s="314" t="inlineStr">
        <is>
          <t>RL7-AGC-201-AH-01</t>
        </is>
      </c>
      <c r="D593" s="262" t="n"/>
      <c r="E593" s="128" t="n"/>
      <c r="F593" s="138" t="inlineStr">
        <is>
          <t>DISCHARGE AUGER CART ALARM HORN</t>
        </is>
      </c>
      <c r="G593" s="131" t="inlineStr">
        <is>
          <t>DG7030</t>
        </is>
      </c>
      <c r="H593" s="128" t="inlineStr">
        <is>
          <t>CHILL</t>
        </is>
      </c>
      <c r="I593" s="132" t="inlineStr">
        <is>
          <t>RL7-DAGC1-RIO1</t>
        </is>
      </c>
      <c r="J593" s="133" t="n">
        <v>14</v>
      </c>
      <c r="K593" s="129" t="n">
        <v>7</v>
      </c>
      <c r="L593" s="129" t="n">
        <v>12</v>
      </c>
      <c r="M593" s="129" t="inlineStr">
        <is>
          <t>24 VDC DO</t>
        </is>
      </c>
      <c r="N593" s="129" t="inlineStr">
        <is>
          <t>5069-OB16</t>
        </is>
      </c>
      <c r="O593" s="139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40" t="n"/>
      <c r="AA593" t="inlineStr">
        <is>
          <t>Matched</t>
        </is>
      </c>
      <c r="AB593" s="315" t="n">
        <v>0.99</v>
      </c>
      <c r="AC593" t="inlineStr">
        <is>
          <t>High</t>
        </is>
      </c>
      <c r="AD593" t="n">
        <v>1</v>
      </c>
      <c r="AE593" t="inlineStr">
        <is>
          <t>DG7030</t>
        </is>
      </c>
      <c r="AF593" t="n">
        <v>16</v>
      </c>
      <c r="AG593" t="inlineStr">
        <is>
          <t>drawing</t>
        </is>
      </c>
      <c r="AH593" t="inlineStr">
        <is>
          <t>stacked:isa</t>
        </is>
      </c>
      <c r="AI593" t="inlineStr">
        <is>
          <t>drawing zone; process page; mapped sheet; excel sheet match</t>
        </is>
      </c>
      <c r="AJ593" t="inlineStr">
        <is>
          <t>native</t>
        </is>
      </c>
      <c r="AK593" t="inlineStr">
        <is>
          <t>native-only</t>
        </is>
      </c>
      <c r="AM593" t="inlineStr">
        <is>
          <t>16</t>
        </is>
      </c>
      <c r="AN593" t="inlineStr">
        <is>
          <t>Yes</t>
        </is>
      </c>
      <c r="AO593" t="inlineStr">
        <is>
          <t>mapped sheet id</t>
        </is>
      </c>
      <c r="AP593" t="inlineStr">
        <is>
          <t>p16:native:107, p16:native:108</t>
        </is>
      </c>
      <c r="AQ593" t="n">
        <v>2</v>
      </c>
    </row>
    <row r="594">
      <c r="A594" s="203">
        <f>ROW()-1</f>
        <v/>
      </c>
      <c r="B594" s="128" t="inlineStr">
        <is>
          <t>RL7-AGC-201-PL-01R</t>
        </is>
      </c>
      <c r="C594" s="314" t="inlineStr">
        <is>
          <t>RL7-AGC-201-PL-01R</t>
        </is>
      </c>
      <c r="D594" s="262" t="n"/>
      <c r="E594" s="128" t="n"/>
      <c r="F594" s="138" t="inlineStr">
        <is>
          <t xml:space="preserve">DISCHARGE AUGER CART RED PILOT LIGHT  </t>
        </is>
      </c>
      <c r="G594" s="131" t="inlineStr">
        <is>
          <t>DG7030</t>
        </is>
      </c>
      <c r="H594" s="128" t="inlineStr">
        <is>
          <t>CHILL</t>
        </is>
      </c>
      <c r="I594" s="132" t="inlineStr">
        <is>
          <t>RL7-DAGC1-RIO1</t>
        </is>
      </c>
      <c r="J594" s="133" t="n">
        <v>14</v>
      </c>
      <c r="K594" s="129" t="n">
        <v>7</v>
      </c>
      <c r="L594" s="129" t="n">
        <v>13</v>
      </c>
      <c r="M594" s="129" t="inlineStr">
        <is>
          <t>24 VDC DO</t>
        </is>
      </c>
      <c r="N594" s="129" t="inlineStr">
        <is>
          <t>5069-OB16</t>
        </is>
      </c>
      <c r="O594" s="139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40" t="n"/>
      <c r="AA594" t="inlineStr">
        <is>
          <t>Matched</t>
        </is>
      </c>
      <c r="AB594" s="315" t="n">
        <v>0.99</v>
      </c>
      <c r="AC594" t="inlineStr">
        <is>
          <t>High</t>
        </is>
      </c>
      <c r="AD594" t="n">
        <v>1</v>
      </c>
      <c r="AE594" t="inlineStr">
        <is>
          <t>DG7030</t>
        </is>
      </c>
      <c r="AF594" t="n">
        <v>16</v>
      </c>
      <c r="AG594" t="inlineStr">
        <is>
          <t>drawing</t>
        </is>
      </c>
      <c r="AH594" t="inlineStr">
        <is>
          <t>stacked:isa</t>
        </is>
      </c>
      <c r="AI594" t="inlineStr">
        <is>
          <t>drawing zone; process page; mapped sheet; excel sheet match</t>
        </is>
      </c>
      <c r="AJ594" t="inlineStr">
        <is>
          <t>native</t>
        </is>
      </c>
      <c r="AK594" t="inlineStr">
        <is>
          <t>native-only</t>
        </is>
      </c>
      <c r="AM594" t="inlineStr">
        <is>
          <t>16</t>
        </is>
      </c>
      <c r="AN594" t="inlineStr">
        <is>
          <t>Yes</t>
        </is>
      </c>
      <c r="AO594" t="inlineStr">
        <is>
          <t>mapped sheet id</t>
        </is>
      </c>
      <c r="AP594" t="inlineStr">
        <is>
          <t>p16:native:98, p16:native:99</t>
        </is>
      </c>
      <c r="AQ594" t="n">
        <v>2</v>
      </c>
    </row>
    <row r="595">
      <c r="A595" s="203">
        <f>ROW()-1</f>
        <v/>
      </c>
      <c r="B595" s="128" t="inlineStr">
        <is>
          <t>RL7-AGC-201-PL-01Y</t>
        </is>
      </c>
      <c r="C595" s="314" t="inlineStr">
        <is>
          <t>RL7-AGC-201-PL-01Y</t>
        </is>
      </c>
      <c r="D595" s="262" t="n"/>
      <c r="E595" s="128" t="n"/>
      <c r="F595" s="138" t="inlineStr">
        <is>
          <t xml:space="preserve">DISCHARGE AUGER CART YELLOW PILOT LIGHT  </t>
        </is>
      </c>
      <c r="G595" s="131" t="inlineStr">
        <is>
          <t>DG7030</t>
        </is>
      </c>
      <c r="H595" s="128" t="inlineStr">
        <is>
          <t>CHILL</t>
        </is>
      </c>
      <c r="I595" s="132" t="inlineStr">
        <is>
          <t>RL7-DAGC1-RIO1</t>
        </is>
      </c>
      <c r="J595" s="133" t="n">
        <v>14</v>
      </c>
      <c r="K595" s="129" t="n">
        <v>7</v>
      </c>
      <c r="L595" s="129" t="n">
        <v>14</v>
      </c>
      <c r="M595" s="129" t="inlineStr">
        <is>
          <t>24 VDC DO</t>
        </is>
      </c>
      <c r="N595" s="129" t="inlineStr">
        <is>
          <t>5069-OB16</t>
        </is>
      </c>
      <c r="O595" s="139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40" t="n"/>
      <c r="AA595" t="inlineStr">
        <is>
          <t>Matched</t>
        </is>
      </c>
      <c r="AB595" s="315" t="n">
        <v>0.99</v>
      </c>
      <c r="AC595" t="inlineStr">
        <is>
          <t>High</t>
        </is>
      </c>
      <c r="AD595" t="n">
        <v>1</v>
      </c>
      <c r="AE595" t="inlineStr">
        <is>
          <t>DG7030</t>
        </is>
      </c>
      <c r="AF595" t="n">
        <v>16</v>
      </c>
      <c r="AG595" t="inlineStr">
        <is>
          <t>drawing</t>
        </is>
      </c>
      <c r="AH595" t="inlineStr">
        <is>
          <t>stacked:isa</t>
        </is>
      </c>
      <c r="AI595" t="inlineStr">
        <is>
          <t>drawing zone; process page; mapped sheet; excel sheet match</t>
        </is>
      </c>
      <c r="AJ595" t="inlineStr">
        <is>
          <t>native</t>
        </is>
      </c>
      <c r="AK595" t="inlineStr">
        <is>
          <t>native-only</t>
        </is>
      </c>
      <c r="AM595" t="inlineStr">
        <is>
          <t>16</t>
        </is>
      </c>
      <c r="AN595" t="inlineStr">
        <is>
          <t>Yes</t>
        </is>
      </c>
      <c r="AO595" t="inlineStr">
        <is>
          <t>mapped sheet id</t>
        </is>
      </c>
      <c r="AP595" t="inlineStr">
        <is>
          <t>p16:native:100, p16:native:101</t>
        </is>
      </c>
      <c r="AQ595" t="n">
        <v>2</v>
      </c>
    </row>
    <row r="596" customFormat="1" s="149">
      <c r="A596" s="203">
        <f>ROW()-1</f>
        <v/>
      </c>
      <c r="B596" s="128" t="inlineStr">
        <is>
          <t>RL7-AGC-201-PL-01G</t>
        </is>
      </c>
      <c r="C596" s="314" t="inlineStr">
        <is>
          <t>RL7-AGC-201-PL-01G</t>
        </is>
      </c>
      <c r="D596" s="262" t="n"/>
      <c r="E596" s="128" t="n"/>
      <c r="F596" s="138" t="inlineStr">
        <is>
          <t xml:space="preserve">DISCHARGE AUGER CART GREEN PILOT LIGHT  </t>
        </is>
      </c>
      <c r="G596" s="131" t="inlineStr">
        <is>
          <t>DG7030</t>
        </is>
      </c>
      <c r="H596" s="128" t="inlineStr">
        <is>
          <t>CHILL</t>
        </is>
      </c>
      <c r="I596" s="132" t="inlineStr">
        <is>
          <t>RL7-DAGC1-RIO1</t>
        </is>
      </c>
      <c r="J596" s="133" t="n">
        <v>14</v>
      </c>
      <c r="K596" s="129" t="n">
        <v>7</v>
      </c>
      <c r="L596" s="129" t="n">
        <v>15</v>
      </c>
      <c r="M596" s="129" t="inlineStr">
        <is>
          <t>24 VDC DO</t>
        </is>
      </c>
      <c r="N596" s="129" t="inlineStr">
        <is>
          <t>5069-OB16</t>
        </is>
      </c>
      <c r="O596" s="139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40" t="n"/>
      <c r="AA596" t="inlineStr">
        <is>
          <t>Matched</t>
        </is>
      </c>
      <c r="AB596" s="315" t="n">
        <v>0.99</v>
      </c>
      <c r="AC596" t="inlineStr">
        <is>
          <t>High</t>
        </is>
      </c>
      <c r="AD596" t="n">
        <v>1</v>
      </c>
      <c r="AE596" t="inlineStr">
        <is>
          <t>DG7030</t>
        </is>
      </c>
      <c r="AF596" t="n">
        <v>16</v>
      </c>
      <c r="AG596" t="inlineStr">
        <is>
          <t>drawing</t>
        </is>
      </c>
      <c r="AH596" t="inlineStr">
        <is>
          <t>stacked:isa</t>
        </is>
      </c>
      <c r="AI596" t="inlineStr">
        <is>
          <t>drawing zone; process page; mapped sheet; excel sheet match</t>
        </is>
      </c>
      <c r="AJ596" t="inlineStr">
        <is>
          <t>native</t>
        </is>
      </c>
      <c r="AK596" t="inlineStr">
        <is>
          <t>native-only</t>
        </is>
      </c>
      <c r="AM596" t="inlineStr">
        <is>
          <t>16</t>
        </is>
      </c>
      <c r="AN596" t="inlineStr">
        <is>
          <t>Yes</t>
        </is>
      </c>
      <c r="AO596" t="inlineStr">
        <is>
          <t>mapped sheet id</t>
        </is>
      </c>
      <c r="AP596" t="inlineStr">
        <is>
          <t>p16:native:102, p16:native:103</t>
        </is>
      </c>
      <c r="AQ596" t="n">
        <v>2</v>
      </c>
    </row>
    <row r="597" customFormat="1" s="149">
      <c r="A597" s="203">
        <f>ROW()-1</f>
        <v/>
      </c>
      <c r="B597" s="128" t="inlineStr">
        <is>
          <t>RL7-AGC-201-TIT-01</t>
        </is>
      </c>
      <c r="C597" s="314" t="inlineStr">
        <is>
          <t>RL7-AGC-201-FIT-02</t>
        </is>
      </c>
      <c r="D597" s="264" t="n"/>
      <c r="E597" s="133" t="n"/>
      <c r="F597" s="141" t="inlineStr">
        <is>
          <t>DISCHARGE AUGER CART CIPS FLOW</t>
        </is>
      </c>
      <c r="G597" s="142" t="inlineStr">
        <is>
          <t>DG7030</t>
        </is>
      </c>
      <c r="H597" s="133" t="inlineStr">
        <is>
          <t>CHILL</t>
        </is>
      </c>
      <c r="I597" s="132" t="inlineStr">
        <is>
          <t>RL7-DAGC1-RIO1</t>
        </is>
      </c>
      <c r="J597" s="133" t="n">
        <v>14</v>
      </c>
      <c r="K597" s="129" t="n">
        <v>8</v>
      </c>
      <c r="L597" s="129" t="n">
        <v>0</v>
      </c>
      <c r="M597" s="129" t="inlineStr">
        <is>
          <t>4-20 mA AI</t>
        </is>
      </c>
      <c r="N597" s="129" t="inlineStr">
        <is>
          <t>5069-IF8</t>
        </is>
      </c>
      <c r="O597" s="139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40" t="n"/>
      <c r="AA597" t="inlineStr">
        <is>
          <t>Matched</t>
        </is>
      </c>
      <c r="AB597" s="315" t="n">
        <v>0.99</v>
      </c>
      <c r="AC597" t="inlineStr">
        <is>
          <t>High</t>
        </is>
      </c>
      <c r="AD597" t="n">
        <v>1</v>
      </c>
      <c r="AE597" t="inlineStr">
        <is>
          <t>DG7030</t>
        </is>
      </c>
      <c r="AF597" t="n">
        <v>16</v>
      </c>
      <c r="AG597" t="inlineStr">
        <is>
          <t>drawing</t>
        </is>
      </c>
      <c r="AH597" t="inlineStr">
        <is>
          <t>stacked:isa</t>
        </is>
      </c>
      <c r="AI597" t="inlineStr">
        <is>
          <t>drawing zone; process page; mapped sheet; excel sheet match</t>
        </is>
      </c>
      <c r="AJ597" t="inlineStr">
        <is>
          <t>native</t>
        </is>
      </c>
      <c r="AK597" t="inlineStr">
        <is>
          <t>native-only</t>
        </is>
      </c>
      <c r="AM597" t="inlineStr">
        <is>
          <t>16</t>
        </is>
      </c>
      <c r="AN597" t="inlineStr">
        <is>
          <t>Yes</t>
        </is>
      </c>
      <c r="AO597" t="inlineStr">
        <is>
          <t>mapped sheet id</t>
        </is>
      </c>
      <c r="AP597" t="inlineStr">
        <is>
          <t>p16:native:242, p16:native:243</t>
        </is>
      </c>
      <c r="AQ597" t="n">
        <v>2</v>
      </c>
    </row>
    <row r="598" customFormat="1" s="149">
      <c r="A598" s="203">
        <f>ROW()-1</f>
        <v/>
      </c>
      <c r="B598" s="128" t="inlineStr">
        <is>
          <t>RL7-AGC-201-TIT-02</t>
        </is>
      </c>
      <c r="C598" s="314" t="inlineStr">
        <is>
          <t>RL7-AGC-201-FVI-02</t>
        </is>
      </c>
      <c r="D598" s="264" t="n"/>
      <c r="E598" s="133" t="n"/>
      <c r="F598" s="141" t="inlineStr">
        <is>
          <t>DISCHARGE AUGER CART CIPS CONTROL VALVE POSITION FEEDBACK</t>
        </is>
      </c>
      <c r="G598" s="142" t="inlineStr">
        <is>
          <t>DG7030</t>
        </is>
      </c>
      <c r="H598" s="133" t="inlineStr">
        <is>
          <t>CHILL</t>
        </is>
      </c>
      <c r="I598" s="132" t="inlineStr">
        <is>
          <t>RL7-DAGC1-RIO1</t>
        </is>
      </c>
      <c r="J598" s="133" t="n">
        <v>14</v>
      </c>
      <c r="K598" s="129" t="n">
        <v>8</v>
      </c>
      <c r="L598" s="129" t="n">
        <v>1</v>
      </c>
      <c r="M598" s="129" t="inlineStr">
        <is>
          <t>4-20 mA AI</t>
        </is>
      </c>
      <c r="N598" s="129" t="inlineStr">
        <is>
          <t>5069-IF8</t>
        </is>
      </c>
      <c r="O598" s="139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40" t="n"/>
      <c r="AA598" t="inlineStr">
        <is>
          <t>Matched</t>
        </is>
      </c>
      <c r="AB598" s="315" t="n">
        <v>0.99</v>
      </c>
      <c r="AC598" t="inlineStr">
        <is>
          <t>High</t>
        </is>
      </c>
      <c r="AD598" t="n">
        <v>1</v>
      </c>
      <c r="AE598" t="inlineStr">
        <is>
          <t>DG7030</t>
        </is>
      </c>
      <c r="AF598" t="n">
        <v>16</v>
      </c>
      <c r="AG598" t="inlineStr">
        <is>
          <t>drawing</t>
        </is>
      </c>
      <c r="AH598" t="inlineStr">
        <is>
          <t>stacked:isa</t>
        </is>
      </c>
      <c r="AI598" t="inlineStr">
        <is>
          <t>drawing zone; process page; mapped sheet; excel sheet match</t>
        </is>
      </c>
      <c r="AJ598" t="inlineStr">
        <is>
          <t>native</t>
        </is>
      </c>
      <c r="AK598" t="inlineStr">
        <is>
          <t>native-only</t>
        </is>
      </c>
      <c r="AM598" t="inlineStr">
        <is>
          <t>16</t>
        </is>
      </c>
      <c r="AN598" t="inlineStr">
        <is>
          <t>Yes</t>
        </is>
      </c>
      <c r="AO598" t="inlineStr">
        <is>
          <t>mapped sheet id</t>
        </is>
      </c>
      <c r="AP598" t="inlineStr">
        <is>
          <t>p16:native:250, p16:native:251</t>
        </is>
      </c>
      <c r="AQ598" t="n">
        <v>2</v>
      </c>
    </row>
    <row r="599" customFormat="1" s="149">
      <c r="A599" s="203">
        <f>ROW()-1</f>
        <v/>
      </c>
      <c r="B599" s="128" t="n"/>
      <c r="C599" s="314" t="inlineStr">
        <is>
          <t>RL7-AGC-201-TIT-01</t>
        </is>
      </c>
      <c r="D599" s="264" t="n"/>
      <c r="E599" s="133" t="n"/>
      <c r="F599" s="141" t="inlineStr">
        <is>
          <t xml:space="preserve">DISCHARGE AUGER CART SIDE TEMPERATURE TRANSMITTER </t>
        </is>
      </c>
      <c r="G599" s="142" t="inlineStr">
        <is>
          <t>DG7030</t>
        </is>
      </c>
      <c r="H599" s="133" t="inlineStr">
        <is>
          <t>CHILL</t>
        </is>
      </c>
      <c r="I599" s="132" t="inlineStr">
        <is>
          <t>RL7-DAGC1-RIO1</t>
        </is>
      </c>
      <c r="J599" s="133" t="n">
        <v>14</v>
      </c>
      <c r="K599" s="129" t="n">
        <v>8</v>
      </c>
      <c r="L599" s="129" t="n">
        <v>2</v>
      </c>
      <c r="M599" s="129" t="inlineStr">
        <is>
          <t>4-20 mA AI</t>
        </is>
      </c>
      <c r="N599" s="129" t="inlineStr">
        <is>
          <t>5069-IF8</t>
        </is>
      </c>
      <c r="O599" s="139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40" t="n"/>
      <c r="AA599" t="inlineStr">
        <is>
          <t>Matched</t>
        </is>
      </c>
      <c r="AB599" s="315" t="n">
        <v>0.99</v>
      </c>
      <c r="AC599" t="inlineStr">
        <is>
          <t>High</t>
        </is>
      </c>
      <c r="AD599" t="n">
        <v>1</v>
      </c>
      <c r="AE599" t="inlineStr">
        <is>
          <t>DG7030</t>
        </is>
      </c>
      <c r="AF599" t="n">
        <v>16</v>
      </c>
      <c r="AG599" t="inlineStr">
        <is>
          <t>drawing</t>
        </is>
      </c>
      <c r="AH599" t="inlineStr">
        <is>
          <t>stacked:isa</t>
        </is>
      </c>
      <c r="AI599" t="inlineStr">
        <is>
          <t>drawing zone; process page; mapped sheet; excel sheet match</t>
        </is>
      </c>
      <c r="AJ599" t="inlineStr">
        <is>
          <t>native</t>
        </is>
      </c>
      <c r="AK599" t="inlineStr">
        <is>
          <t>native-only</t>
        </is>
      </c>
      <c r="AM599" t="inlineStr">
        <is>
          <t>16</t>
        </is>
      </c>
      <c r="AN599" t="inlineStr">
        <is>
          <t>Yes</t>
        </is>
      </c>
      <c r="AO599" t="inlineStr">
        <is>
          <t>mapped sheet id</t>
        </is>
      </c>
      <c r="AP599" t="inlineStr">
        <is>
          <t>p16:native:109, p16:native:110</t>
        </is>
      </c>
      <c r="AQ599" t="n">
        <v>2</v>
      </c>
    </row>
    <row r="600" customFormat="1" s="149">
      <c r="A600" s="203">
        <f>ROW()-1</f>
        <v/>
      </c>
      <c r="B600" s="128" t="n"/>
      <c r="C600" s="314" t="inlineStr">
        <is>
          <t>RL7-AGC-201-TIT-02</t>
        </is>
      </c>
      <c r="D600" s="264" t="n"/>
      <c r="E600" s="133" t="n"/>
      <c r="F600" s="141" t="inlineStr">
        <is>
          <t xml:space="preserve">DISCHARGE AUGER CART SIDE TEMPERATURE TRANSMITTER </t>
        </is>
      </c>
      <c r="G600" s="142" t="inlineStr">
        <is>
          <t>DG7030</t>
        </is>
      </c>
      <c r="H600" s="133" t="inlineStr">
        <is>
          <t>CHILL</t>
        </is>
      </c>
      <c r="I600" s="132" t="inlineStr">
        <is>
          <t>RL7-DAGC1-RIO1</t>
        </is>
      </c>
      <c r="J600" s="133" t="n">
        <v>14</v>
      </c>
      <c r="K600" s="129" t="n">
        <v>8</v>
      </c>
      <c r="L600" s="129" t="n">
        <v>3</v>
      </c>
      <c r="M600" s="129" t="inlineStr">
        <is>
          <t>4-20 mA AI</t>
        </is>
      </c>
      <c r="N600" s="129" t="inlineStr">
        <is>
          <t>5069-IF8</t>
        </is>
      </c>
      <c r="O600" s="139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40" t="n"/>
      <c r="AA600" t="inlineStr">
        <is>
          <t>Matched</t>
        </is>
      </c>
      <c r="AB600" s="315" t="n">
        <v>0.99</v>
      </c>
      <c r="AC600" t="inlineStr">
        <is>
          <t>High</t>
        </is>
      </c>
      <c r="AD600" t="n">
        <v>1</v>
      </c>
      <c r="AE600" t="inlineStr">
        <is>
          <t>DG7030</t>
        </is>
      </c>
      <c r="AF600" t="n">
        <v>16</v>
      </c>
      <c r="AG600" t="inlineStr">
        <is>
          <t>drawing</t>
        </is>
      </c>
      <c r="AH600" t="inlineStr">
        <is>
          <t>stacked:isa</t>
        </is>
      </c>
      <c r="AI600" t="inlineStr">
        <is>
          <t>drawing zone; process page; mapped sheet; excel sheet match</t>
        </is>
      </c>
      <c r="AJ600" t="inlineStr">
        <is>
          <t>native</t>
        </is>
      </c>
      <c r="AK600" t="inlineStr">
        <is>
          <t>native-only</t>
        </is>
      </c>
      <c r="AM600" t="inlineStr">
        <is>
          <t>16</t>
        </is>
      </c>
      <c r="AN600" t="inlineStr">
        <is>
          <t>Yes</t>
        </is>
      </c>
      <c r="AO600" t="inlineStr">
        <is>
          <t>mapped sheet id</t>
        </is>
      </c>
      <c r="AP600" t="inlineStr">
        <is>
          <t>p16:native:111, p16:native:112</t>
        </is>
      </c>
      <c r="AQ600" t="n">
        <v>2</v>
      </c>
    </row>
    <row r="601" customFormat="1" s="149">
      <c r="A601" s="203">
        <f>ROW()-1</f>
        <v/>
      </c>
      <c r="B601" s="128" t="n"/>
      <c r="C601" s="314" t="inlineStr">
        <is>
          <t>RL7-AGC-201-FCV-02</t>
        </is>
      </c>
      <c r="D601" s="264" t="n"/>
      <c r="E601" s="133" t="n"/>
      <c r="F601" s="141" t="inlineStr">
        <is>
          <t>DISCHARGE AUGER CART CIPS FLOW CONTROL VALVE</t>
        </is>
      </c>
      <c r="G601" s="142" t="inlineStr">
        <is>
          <t>DG7030</t>
        </is>
      </c>
      <c r="H601" s="133" t="inlineStr">
        <is>
          <t>CHILL</t>
        </is>
      </c>
      <c r="I601" s="132" t="inlineStr">
        <is>
          <t>RL7-DAGC1-RIO1</t>
        </is>
      </c>
      <c r="J601" s="133" t="n">
        <v>14</v>
      </c>
      <c r="K601" s="129" t="n">
        <v>9</v>
      </c>
      <c r="L601" s="129" t="n">
        <v>0</v>
      </c>
      <c r="M601" s="129" t="inlineStr">
        <is>
          <t>4-20 mA AO</t>
        </is>
      </c>
      <c r="N601" s="129" t="inlineStr">
        <is>
          <t>5069-OF8</t>
        </is>
      </c>
      <c r="O601" s="139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40" t="n"/>
      <c r="AA601" t="inlineStr">
        <is>
          <t>Matched</t>
        </is>
      </c>
      <c r="AB601" s="315" t="n">
        <v>0.99</v>
      </c>
      <c r="AC601" t="inlineStr">
        <is>
          <t>High</t>
        </is>
      </c>
      <c r="AD601" t="n">
        <v>1</v>
      </c>
      <c r="AE601" t="inlineStr">
        <is>
          <t>DG7030</t>
        </is>
      </c>
      <c r="AF601" t="n">
        <v>16</v>
      </c>
      <c r="AG601" t="inlineStr">
        <is>
          <t>drawing</t>
        </is>
      </c>
      <c r="AH601" t="inlineStr">
        <is>
          <t>stacked:isa</t>
        </is>
      </c>
      <c r="AI601" t="inlineStr">
        <is>
          <t>drawing zone; process page; mapped sheet; excel sheet match</t>
        </is>
      </c>
      <c r="AJ601" t="inlineStr">
        <is>
          <t>native</t>
        </is>
      </c>
      <c r="AK601" t="inlineStr">
        <is>
          <t>native-only</t>
        </is>
      </c>
      <c r="AM601" t="inlineStr">
        <is>
          <t>16</t>
        </is>
      </c>
      <c r="AN601" t="inlineStr">
        <is>
          <t>Yes</t>
        </is>
      </c>
      <c r="AO601" t="inlineStr">
        <is>
          <t>mapped sheet id</t>
        </is>
      </c>
      <c r="AP601" t="inlineStr">
        <is>
          <t>p16:native:240, p16:native:241</t>
        </is>
      </c>
      <c r="AQ601" t="n">
        <v>2</v>
      </c>
    </row>
    <row r="602">
      <c r="A602" s="203">
        <f>ROW()-1</f>
        <v/>
      </c>
      <c r="B602" s="128" t="inlineStr">
        <is>
          <t>RL7-PMP-208-FVl-01</t>
        </is>
      </c>
      <c r="C602" s="313" t="inlineStr">
        <is>
          <t>RL7-PMP-208-FVl-01</t>
        </is>
      </c>
      <c r="D602" s="262" t="n"/>
      <c r="E602" s="128" t="n"/>
      <c r="F602" s="138" t="inlineStr">
        <is>
          <t>COOLING WATER JACKET CHR CONTROL VALVE POSITION FEEDBACK</t>
        </is>
      </c>
      <c r="G602" s="142" t="inlineStr">
        <is>
          <t>DG7030</t>
        </is>
      </c>
      <c r="H602" s="128" t="inlineStr">
        <is>
          <t>INTSL</t>
        </is>
      </c>
      <c r="I602" s="142" t="inlineStr">
        <is>
          <t>RL7-INTSL-RIO2</t>
        </is>
      </c>
      <c r="J602" s="133" t="n">
        <v>19</v>
      </c>
      <c r="K602" s="129" t="n">
        <v>11</v>
      </c>
      <c r="L602" s="129" t="n">
        <v>2</v>
      </c>
      <c r="M602" s="129" t="inlineStr">
        <is>
          <t>4-20 mA AI</t>
        </is>
      </c>
      <c r="N602" s="129" t="inlineStr">
        <is>
          <t>5069-IF8</t>
        </is>
      </c>
      <c r="O602" s="134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40" t="n"/>
      <c r="AA602" t="inlineStr">
        <is>
          <t>Not found in PDF</t>
        </is>
      </c>
      <c r="AC602" t="inlineStr">
        <is>
          <t>Low</t>
        </is>
      </c>
      <c r="AM602" t="inlineStr">
        <is>
          <t>16</t>
        </is>
      </c>
      <c r="AN602" t="inlineStr">
        <is>
          <t>Yes</t>
        </is>
      </c>
      <c r="AO602" t="inlineStr">
        <is>
          <t>mapped sheet id</t>
        </is>
      </c>
    </row>
    <row r="603">
      <c r="A603" s="203">
        <f>ROW()-1</f>
        <v/>
      </c>
      <c r="B603" s="128" t="inlineStr">
        <is>
          <t>RL7-PMP-208-FCV-01</t>
        </is>
      </c>
      <c r="C603" s="314" t="inlineStr">
        <is>
          <t>RL7-PMP-208-FCV-01</t>
        </is>
      </c>
      <c r="D603" s="262" t="n"/>
      <c r="E603" s="128" t="n"/>
      <c r="F603" s="138" t="inlineStr">
        <is>
          <t>COOLING WATER JACKET CHR CONTROL VALVE</t>
        </is>
      </c>
      <c r="G603" s="142" t="inlineStr">
        <is>
          <t>DG7030</t>
        </is>
      </c>
      <c r="H603" s="128" t="inlineStr">
        <is>
          <t>INTSL</t>
        </is>
      </c>
      <c r="I603" s="142" t="inlineStr">
        <is>
          <t>RL7-INTSL-RIO2</t>
        </is>
      </c>
      <c r="J603" s="133" t="n">
        <v>19</v>
      </c>
      <c r="K603" s="129" t="n">
        <v>13</v>
      </c>
      <c r="L603" s="129" t="n">
        <v>3</v>
      </c>
      <c r="M603" s="129" t="inlineStr">
        <is>
          <t>4-20 mA AO</t>
        </is>
      </c>
      <c r="N603" s="129" t="inlineStr">
        <is>
          <t>5069-OF8</t>
        </is>
      </c>
      <c r="O603" s="134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40" t="n"/>
      <c r="AA603" t="inlineStr">
        <is>
          <t>Matched</t>
        </is>
      </c>
      <c r="AB603" s="315" t="n">
        <v>0.99</v>
      </c>
      <c r="AC603" t="inlineStr">
        <is>
          <t>High</t>
        </is>
      </c>
      <c r="AD603" t="n">
        <v>1</v>
      </c>
      <c r="AE603" t="inlineStr">
        <is>
          <t>DG7030</t>
        </is>
      </c>
      <c r="AF603" t="n">
        <v>16</v>
      </c>
      <c r="AG603" t="inlineStr">
        <is>
          <t>drawing</t>
        </is>
      </c>
      <c r="AH603" t="inlineStr">
        <is>
          <t>stacked:isa</t>
        </is>
      </c>
      <c r="AI603" t="inlineStr">
        <is>
          <t>drawing zone; process page; mapped sheet; excel sheet match</t>
        </is>
      </c>
      <c r="AJ603" t="inlineStr">
        <is>
          <t>native</t>
        </is>
      </c>
      <c r="AK603" t="inlineStr">
        <is>
          <t>native-only</t>
        </is>
      </c>
      <c r="AM603" t="inlineStr">
        <is>
          <t>16</t>
        </is>
      </c>
      <c r="AN603" t="inlineStr">
        <is>
          <t>Yes</t>
        </is>
      </c>
      <c r="AO603" t="inlineStr">
        <is>
          <t>mapped sheet id</t>
        </is>
      </c>
      <c r="AP603" t="inlineStr">
        <is>
          <t>p16:native:140, p16:native:141</t>
        </is>
      </c>
      <c r="AQ603" t="n">
        <v>2</v>
      </c>
    </row>
    <row r="604">
      <c r="A604" s="203">
        <f>ROW()-1</f>
        <v/>
      </c>
      <c r="B604" s="129" t="inlineStr">
        <is>
          <t>RL7-CNV-204-PB-01</t>
        </is>
      </c>
      <c r="C604" s="314" t="inlineStr">
        <is>
          <t>RL7-CNV-204-PB-01</t>
        </is>
      </c>
      <c r="D604" s="263" t="n"/>
      <c r="E604" s="129" t="n"/>
      <c r="F604" s="4" t="inlineStr">
        <is>
          <t>SERPENTINE INFEED CONVEYOR #2 E-STOP SAFETY INPUT CH1</t>
        </is>
      </c>
      <c r="G604" s="131" t="inlineStr">
        <is>
          <t>DG7032</t>
        </is>
      </c>
      <c r="H604" s="128" t="inlineStr">
        <is>
          <t>CHILL</t>
        </is>
      </c>
      <c r="I604" s="132" t="inlineStr">
        <is>
          <t>RL7-SERP-RIO1</t>
        </is>
      </c>
      <c r="J604" s="133" t="n">
        <v>15</v>
      </c>
      <c r="K604" s="129" t="n">
        <v>1</v>
      </c>
      <c r="L604" s="129" t="n">
        <v>4</v>
      </c>
      <c r="M604" s="129" t="inlineStr">
        <is>
          <t>24 VDC SI</t>
        </is>
      </c>
      <c r="N604" s="129" t="inlineStr">
        <is>
          <t>5069-IB8S</t>
        </is>
      </c>
      <c r="O604" s="139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53" t="n"/>
      <c r="AA604" t="inlineStr">
        <is>
          <t>Matched</t>
        </is>
      </c>
      <c r="AB604" s="315" t="n">
        <v>0.99</v>
      </c>
      <c r="AC604" t="inlineStr">
        <is>
          <t>High</t>
        </is>
      </c>
      <c r="AD604" t="n">
        <v>1</v>
      </c>
      <c r="AE604" t="inlineStr">
        <is>
          <t>DG7032</t>
        </is>
      </c>
      <c r="AF604" t="n">
        <v>18</v>
      </c>
      <c r="AG604" t="inlineStr">
        <is>
          <t>drawing</t>
        </is>
      </c>
      <c r="AH604" t="inlineStr">
        <is>
          <t>stacked:isa</t>
        </is>
      </c>
      <c r="AI604" t="inlineStr">
        <is>
          <t>drawing zone; process page; mapped sheet; excel sheet match</t>
        </is>
      </c>
      <c r="AJ604" t="inlineStr">
        <is>
          <t>native</t>
        </is>
      </c>
      <c r="AK604" t="inlineStr">
        <is>
          <t>native-only</t>
        </is>
      </c>
      <c r="AM604" t="inlineStr">
        <is>
          <t>18</t>
        </is>
      </c>
      <c r="AN604" t="inlineStr">
        <is>
          <t>Yes</t>
        </is>
      </c>
      <c r="AO604" t="inlineStr">
        <is>
          <t>mapped sheet id</t>
        </is>
      </c>
      <c r="AP604" t="inlineStr">
        <is>
          <t>p18:native:68, p18:native:69</t>
        </is>
      </c>
      <c r="AQ604" t="n">
        <v>2</v>
      </c>
    </row>
    <row r="605">
      <c r="A605" s="203">
        <f>ROW()-1</f>
        <v/>
      </c>
      <c r="B605" s="129" t="inlineStr">
        <is>
          <t>RL7-CNV-204-PB-01</t>
        </is>
      </c>
      <c r="C605" s="314" t="inlineStr">
        <is>
          <t>RL7-CNV-204-PB-01</t>
        </is>
      </c>
      <c r="D605" s="263" t="n"/>
      <c r="E605" s="129" t="n"/>
      <c r="F605" s="4" t="inlineStr">
        <is>
          <t>SERPENTINE INFEED CONVEYOR #2 E-STOP SAFETY INPUT CH2</t>
        </is>
      </c>
      <c r="G605" s="131" t="inlineStr">
        <is>
          <t>DG7032</t>
        </is>
      </c>
      <c r="H605" s="128" t="inlineStr">
        <is>
          <t>CHILL</t>
        </is>
      </c>
      <c r="I605" s="132" t="inlineStr">
        <is>
          <t>RL7-SERP-RIO1</t>
        </is>
      </c>
      <c r="J605" s="133" t="n">
        <v>15</v>
      </c>
      <c r="K605" s="129" t="n">
        <v>1</v>
      </c>
      <c r="L605" s="129" t="n">
        <v>5</v>
      </c>
      <c r="M605" s="129" t="inlineStr">
        <is>
          <t>24 VDC SI</t>
        </is>
      </c>
      <c r="N605" s="129" t="inlineStr">
        <is>
          <t>5069-IB8S</t>
        </is>
      </c>
      <c r="O605" s="139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53" t="n"/>
      <c r="AA605" t="inlineStr">
        <is>
          <t>Matched</t>
        </is>
      </c>
      <c r="AB605" s="315" t="n">
        <v>0.99</v>
      </c>
      <c r="AC605" t="inlineStr">
        <is>
          <t>High</t>
        </is>
      </c>
      <c r="AD605" t="n">
        <v>1</v>
      </c>
      <c r="AE605" t="inlineStr">
        <is>
          <t>DG7032</t>
        </is>
      </c>
      <c r="AF605" t="n">
        <v>18</v>
      </c>
      <c r="AG605" t="inlineStr">
        <is>
          <t>drawing</t>
        </is>
      </c>
      <c r="AH605" t="inlineStr">
        <is>
          <t>stacked:isa</t>
        </is>
      </c>
      <c r="AI605" t="inlineStr">
        <is>
          <t>drawing zone; process page; mapped sheet; excel sheet match</t>
        </is>
      </c>
      <c r="AJ605" t="inlineStr">
        <is>
          <t>native</t>
        </is>
      </c>
      <c r="AK605" t="inlineStr">
        <is>
          <t>native-only</t>
        </is>
      </c>
      <c r="AM605" t="inlineStr">
        <is>
          <t>18</t>
        </is>
      </c>
      <c r="AN605" t="inlineStr">
        <is>
          <t>Yes</t>
        </is>
      </c>
      <c r="AO605" t="inlineStr">
        <is>
          <t>mapped sheet id</t>
        </is>
      </c>
      <c r="AP605" t="inlineStr">
        <is>
          <t>p18:native:68, p18:native:69</t>
        </is>
      </c>
      <c r="AQ605" t="n">
        <v>2</v>
      </c>
    </row>
    <row r="606" customFormat="1" s="150">
      <c r="A606" s="203">
        <f>ROW()-1</f>
        <v/>
      </c>
      <c r="B606" s="128" t="inlineStr">
        <is>
          <t>RL7-CNV-204-ZEC-01</t>
        </is>
      </c>
      <c r="C606" s="314" t="inlineStr">
        <is>
          <t>RL7-CNV-204-ZEC-01</t>
        </is>
      </c>
      <c r="D606" s="262" t="n"/>
      <c r="E606" s="128" t="n"/>
      <c r="F606" s="138" t="inlineStr">
        <is>
          <t xml:space="preserve">INFEED COUNT PE  </t>
        </is>
      </c>
      <c r="G606" s="131" t="inlineStr">
        <is>
          <t>DG7032</t>
        </is>
      </c>
      <c r="H606" s="128" t="inlineStr">
        <is>
          <t>CHILL</t>
        </is>
      </c>
      <c r="I606" s="132" t="inlineStr">
        <is>
          <t>RL7-SERP-RIO1</t>
        </is>
      </c>
      <c r="J606" s="133" t="n">
        <v>15</v>
      </c>
      <c r="K606" s="129" t="n">
        <v>3</v>
      </c>
      <c r="L606" s="129" t="n">
        <v>7</v>
      </c>
      <c r="M606" s="129" t="inlineStr">
        <is>
          <t>24 VDC DI</t>
        </is>
      </c>
      <c r="N606" s="129" t="inlineStr">
        <is>
          <t>5069-IB16</t>
        </is>
      </c>
      <c r="O606" s="139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53" t="n"/>
      <c r="AA606" t="inlineStr">
        <is>
          <t>Matched - multiple PDF occurrences</t>
        </is>
      </c>
      <c r="AB606" s="315" t="n">
        <v>0.95</v>
      </c>
      <c r="AC606" t="inlineStr">
        <is>
          <t>High</t>
        </is>
      </c>
      <c r="AD606" t="n">
        <v>2</v>
      </c>
      <c r="AE606" t="inlineStr">
        <is>
          <t>DG7032</t>
        </is>
      </c>
      <c r="AF606" t="n">
        <v>18</v>
      </c>
      <c r="AG606" t="inlineStr">
        <is>
          <t>drawing</t>
        </is>
      </c>
      <c r="AH606" t="inlineStr">
        <is>
          <t>stacked:isa</t>
        </is>
      </c>
      <c r="AI606" t="inlineStr">
        <is>
          <t>drawing zone; process page; mapped sheet; repeated x2; excel sheet match; ambiguous x2</t>
        </is>
      </c>
      <c r="AJ606" t="inlineStr">
        <is>
          <t>native</t>
        </is>
      </c>
      <c r="AK606" t="inlineStr">
        <is>
          <t>native-only</t>
        </is>
      </c>
      <c r="AM606" t="inlineStr">
        <is>
          <t>18</t>
        </is>
      </c>
      <c r="AN606" t="inlineStr">
        <is>
          <t>Yes</t>
        </is>
      </c>
      <c r="AO606" t="inlineStr">
        <is>
          <t>mapped sheet id</t>
        </is>
      </c>
      <c r="AP606" t="inlineStr">
        <is>
          <t>p18:native:12, p18:native:13</t>
        </is>
      </c>
      <c r="AQ606" t="n">
        <v>2</v>
      </c>
    </row>
    <row r="607">
      <c r="A607" s="203">
        <f>ROW()-1</f>
        <v/>
      </c>
      <c r="B607" s="128" t="inlineStr">
        <is>
          <t>RL7-CNV-204-ZEC-02</t>
        </is>
      </c>
      <c r="C607" s="314" t="inlineStr">
        <is>
          <t>RL7-CNV-204-ZEC-02</t>
        </is>
      </c>
      <c r="D607" s="262" t="n"/>
      <c r="E607" s="128" t="n"/>
      <c r="F607" s="138" t="inlineStr">
        <is>
          <t>CAM SWITCH</t>
        </is>
      </c>
      <c r="G607" s="131" t="inlineStr">
        <is>
          <t>DG7032</t>
        </is>
      </c>
      <c r="H607" s="128" t="inlineStr">
        <is>
          <t>CHILL</t>
        </is>
      </c>
      <c r="I607" s="132" t="inlineStr">
        <is>
          <t>RL7-SERP-RIO1</t>
        </is>
      </c>
      <c r="J607" s="133" t="n">
        <v>15</v>
      </c>
      <c r="K607" s="129" t="n">
        <v>3</v>
      </c>
      <c r="L607" s="129" t="n">
        <v>9</v>
      </c>
      <c r="M607" s="129" t="inlineStr">
        <is>
          <t>24 VDC DI</t>
        </is>
      </c>
      <c r="N607" s="129" t="inlineStr">
        <is>
          <t>5069-IB16</t>
        </is>
      </c>
      <c r="O607" s="139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40" t="n"/>
      <c r="AA607" t="inlineStr">
        <is>
          <t>Matched - multiple PDF occurrences</t>
        </is>
      </c>
      <c r="AB607" s="315" t="n">
        <v>0.95</v>
      </c>
      <c r="AC607" t="inlineStr">
        <is>
          <t>High</t>
        </is>
      </c>
      <c r="AD607" t="n">
        <v>2</v>
      </c>
      <c r="AE607" t="inlineStr">
        <is>
          <t>DG7032</t>
        </is>
      </c>
      <c r="AF607" t="n">
        <v>18</v>
      </c>
      <c r="AG607" t="inlineStr">
        <is>
          <t>drawing</t>
        </is>
      </c>
      <c r="AH607" t="inlineStr">
        <is>
          <t>stacked:isa</t>
        </is>
      </c>
      <c r="AI607" t="inlineStr">
        <is>
          <t>drawing zone; process page; mapped sheet; repeated x2; excel sheet match; ambiguous x2</t>
        </is>
      </c>
      <c r="AJ607" t="inlineStr">
        <is>
          <t>native</t>
        </is>
      </c>
      <c r="AK607" t="inlineStr">
        <is>
          <t>native-only</t>
        </is>
      </c>
      <c r="AM607" t="inlineStr">
        <is>
          <t>18</t>
        </is>
      </c>
      <c r="AN607" t="inlineStr">
        <is>
          <t>Yes</t>
        </is>
      </c>
      <c r="AO607" t="inlineStr">
        <is>
          <t>mapped sheet id</t>
        </is>
      </c>
      <c r="AP607" t="inlineStr">
        <is>
          <t>p18:native:60, p18:native:61</t>
        </is>
      </c>
      <c r="AQ607" t="n">
        <v>2</v>
      </c>
    </row>
    <row r="608">
      <c r="A608" s="203">
        <f>ROW()-1</f>
        <v/>
      </c>
      <c r="B608" s="128" t="n"/>
      <c r="C608" s="313" t="inlineStr">
        <is>
          <t>RL7-CNV-204-PSL-01</t>
        </is>
      </c>
      <c r="D608" s="264" t="n"/>
      <c r="E608" s="133" t="n"/>
      <c r="F608" s="141" t="inlineStr">
        <is>
          <t>AIR PRESSURE GOOD</t>
        </is>
      </c>
      <c r="G608" s="142" t="inlineStr">
        <is>
          <t>DG7032</t>
        </is>
      </c>
      <c r="H608" s="133" t="inlineStr">
        <is>
          <t>CHILL</t>
        </is>
      </c>
      <c r="I608" s="132" t="inlineStr">
        <is>
          <t>RL7-SERP-RIO1</t>
        </is>
      </c>
      <c r="J608" s="133" t="n">
        <v>15</v>
      </c>
      <c r="K608" s="128" t="n">
        <v>3</v>
      </c>
      <c r="L608" s="128" t="n">
        <v>12</v>
      </c>
      <c r="M608" s="128" t="inlineStr">
        <is>
          <t>24 VDC DI</t>
        </is>
      </c>
      <c r="N608" s="128" t="inlineStr">
        <is>
          <t>5069-IB16</t>
        </is>
      </c>
      <c r="O608" s="139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40" t="n"/>
      <c r="AA608" t="inlineStr">
        <is>
          <t>Not found in PDF</t>
        </is>
      </c>
      <c r="AC608" t="inlineStr">
        <is>
          <t>Low</t>
        </is>
      </c>
      <c r="AM608" t="inlineStr">
        <is>
          <t>18</t>
        </is>
      </c>
      <c r="AN608" t="inlineStr">
        <is>
          <t>Yes</t>
        </is>
      </c>
      <c r="AO608" t="inlineStr">
        <is>
          <t>mapped sheet id</t>
        </is>
      </c>
    </row>
    <row r="609">
      <c r="A609" s="203">
        <f>ROW()-1</f>
        <v/>
      </c>
      <c r="B609" s="128" t="inlineStr">
        <is>
          <t>RL7-CNV-204-PB-03</t>
        </is>
      </c>
      <c r="C609" s="314" t="inlineStr">
        <is>
          <t>RL7-CNV-204-PB-03</t>
        </is>
      </c>
      <c r="D609" s="262" t="n"/>
      <c r="E609" s="128" t="n"/>
      <c r="F609" s="138" t="inlineStr">
        <is>
          <t>INFEED LOADER JAM REMOVAL JOG PUSHBUTTON</t>
        </is>
      </c>
      <c r="G609" s="131" t="inlineStr">
        <is>
          <t>DG7032</t>
        </is>
      </c>
      <c r="H609" s="128" t="inlineStr">
        <is>
          <t>CHILL</t>
        </is>
      </c>
      <c r="I609" s="132" t="inlineStr">
        <is>
          <t>RL7-SERP-RIO1</t>
        </is>
      </c>
      <c r="J609" s="133" t="n">
        <v>15</v>
      </c>
      <c r="K609" s="129" t="n">
        <v>4</v>
      </c>
      <c r="L609" s="129" t="n">
        <v>2</v>
      </c>
      <c r="M609" s="129" t="inlineStr">
        <is>
          <t>24 VDC DI</t>
        </is>
      </c>
      <c r="N609" s="129" t="inlineStr">
        <is>
          <t>5069-IB16</t>
        </is>
      </c>
      <c r="O609" s="139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57" t="n"/>
      <c r="AA609" t="inlineStr">
        <is>
          <t>Matched</t>
        </is>
      </c>
      <c r="AB609" s="315" t="n">
        <v>0.99</v>
      </c>
      <c r="AC609" t="inlineStr">
        <is>
          <t>High</t>
        </is>
      </c>
      <c r="AD609" t="n">
        <v>1</v>
      </c>
      <c r="AE609" t="inlineStr">
        <is>
          <t>DG7032</t>
        </is>
      </c>
      <c r="AF609" t="n">
        <v>18</v>
      </c>
      <c r="AG609" t="inlineStr">
        <is>
          <t>drawing</t>
        </is>
      </c>
      <c r="AH609" t="inlineStr">
        <is>
          <t>stacked:isa</t>
        </is>
      </c>
      <c r="AI609" t="inlineStr">
        <is>
          <t>drawing zone; process page; mapped sheet; excel sheet match</t>
        </is>
      </c>
      <c r="AJ609" t="inlineStr">
        <is>
          <t>native</t>
        </is>
      </c>
      <c r="AK609" t="inlineStr">
        <is>
          <t>native-only</t>
        </is>
      </c>
      <c r="AM609" t="inlineStr">
        <is>
          <t>18</t>
        </is>
      </c>
      <c r="AN609" t="inlineStr">
        <is>
          <t>Yes</t>
        </is>
      </c>
      <c r="AO609" t="inlineStr">
        <is>
          <t>mapped sheet id</t>
        </is>
      </c>
      <c r="AP609" t="inlineStr">
        <is>
          <t>p18:native:70, p18:native:71</t>
        </is>
      </c>
      <c r="AQ609" t="n">
        <v>2</v>
      </c>
    </row>
    <row r="610">
      <c r="A610" s="203">
        <f>ROW()-1</f>
        <v/>
      </c>
      <c r="B610" s="128" t="inlineStr">
        <is>
          <t>RL7-CNV-204-XY-01</t>
        </is>
      </c>
      <c r="C610" s="314" t="inlineStr">
        <is>
          <t>RL7-CNV-204-XY-01</t>
        </is>
      </c>
      <c r="D610" s="262" t="n"/>
      <c r="E610" s="128" t="n"/>
      <c r="F610" s="138" t="inlineStr">
        <is>
          <t xml:space="preserve">INFEED BRAKE 1 ADVANCE SOLENOID </t>
        </is>
      </c>
      <c r="G610" s="131" t="inlineStr">
        <is>
          <t>DG7032</t>
        </is>
      </c>
      <c r="H610" s="128" t="inlineStr">
        <is>
          <t>CHILL</t>
        </is>
      </c>
      <c r="I610" s="132" t="inlineStr">
        <is>
          <t>RL7-SERP-RIO1</t>
        </is>
      </c>
      <c r="J610" s="133" t="n">
        <v>15</v>
      </c>
      <c r="K610" s="129" t="n">
        <v>5</v>
      </c>
      <c r="L610" s="129" t="n">
        <v>4</v>
      </c>
      <c r="M610" s="129" t="inlineStr">
        <is>
          <t>24 VDC DO</t>
        </is>
      </c>
      <c r="N610" s="129" t="inlineStr">
        <is>
          <t>5069-OB16</t>
        </is>
      </c>
      <c r="O610" s="139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40" t="n"/>
      <c r="AA610" t="inlineStr">
        <is>
          <t>Matched</t>
        </is>
      </c>
      <c r="AB610" s="315" t="n">
        <v>0.99</v>
      </c>
      <c r="AC610" t="inlineStr">
        <is>
          <t>High</t>
        </is>
      </c>
      <c r="AD610" t="n">
        <v>1</v>
      </c>
      <c r="AE610" t="inlineStr">
        <is>
          <t>DG7032</t>
        </is>
      </c>
      <c r="AF610" t="n">
        <v>18</v>
      </c>
      <c r="AG610" t="inlineStr">
        <is>
          <t>drawing</t>
        </is>
      </c>
      <c r="AH610" t="inlineStr">
        <is>
          <t>stacked:isa</t>
        </is>
      </c>
      <c r="AI610" t="inlineStr">
        <is>
          <t>drawing zone; process page; mapped sheet; excel sheet match</t>
        </is>
      </c>
      <c r="AJ610" t="inlineStr">
        <is>
          <t>native</t>
        </is>
      </c>
      <c r="AK610" t="inlineStr">
        <is>
          <t>native-only</t>
        </is>
      </c>
      <c r="AM610" t="inlineStr">
        <is>
          <t>18</t>
        </is>
      </c>
      <c r="AN610" t="inlineStr">
        <is>
          <t>Yes</t>
        </is>
      </c>
      <c r="AO610" t="inlineStr">
        <is>
          <t>mapped sheet id</t>
        </is>
      </c>
      <c r="AP610" t="inlineStr">
        <is>
          <t>p18:native:52, p18:native:53</t>
        </is>
      </c>
      <c r="AQ610" t="n">
        <v>2</v>
      </c>
    </row>
    <row r="611" customFormat="1" s="149">
      <c r="A611" s="203">
        <f>ROW()-1</f>
        <v/>
      </c>
      <c r="B611" s="128" t="inlineStr">
        <is>
          <t>RL7-CNV-204-XY-02</t>
        </is>
      </c>
      <c r="C611" s="314" t="inlineStr">
        <is>
          <t>RL7-CNV-204-XY-02</t>
        </is>
      </c>
      <c r="D611" s="262" t="n"/>
      <c r="E611" s="128" t="n"/>
      <c r="F611" s="138" t="inlineStr">
        <is>
          <t xml:space="preserve">INFEED BRAKE 2 ADVANCE SOLENOID </t>
        </is>
      </c>
      <c r="G611" s="131" t="inlineStr">
        <is>
          <t>DG7032</t>
        </is>
      </c>
      <c r="H611" s="128" t="inlineStr">
        <is>
          <t>CHILL</t>
        </is>
      </c>
      <c r="I611" s="132" t="inlineStr">
        <is>
          <t>RL7-SERP-RIO1</t>
        </is>
      </c>
      <c r="J611" s="133" t="n">
        <v>15</v>
      </c>
      <c r="K611" s="129" t="n">
        <v>5</v>
      </c>
      <c r="L611" s="129" t="n">
        <v>6</v>
      </c>
      <c r="M611" s="129" t="inlineStr">
        <is>
          <t>24 VDC DO</t>
        </is>
      </c>
      <c r="N611" s="129" t="inlineStr">
        <is>
          <t>5069-OB16</t>
        </is>
      </c>
      <c r="O611" s="139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40" t="n"/>
      <c r="AA611" t="inlineStr">
        <is>
          <t>Matched</t>
        </is>
      </c>
      <c r="AB611" s="315" t="n">
        <v>0.99</v>
      </c>
      <c r="AC611" t="inlineStr">
        <is>
          <t>High</t>
        </is>
      </c>
      <c r="AD611" t="n">
        <v>1</v>
      </c>
      <c r="AE611" t="inlineStr">
        <is>
          <t>DG7032</t>
        </is>
      </c>
      <c r="AF611" t="n">
        <v>18</v>
      </c>
      <c r="AG611" t="inlineStr">
        <is>
          <t>drawing</t>
        </is>
      </c>
      <c r="AH611" t="inlineStr">
        <is>
          <t>stacked:isa</t>
        </is>
      </c>
      <c r="AI611" t="inlineStr">
        <is>
          <t>drawing zone; process page; mapped sheet; excel sheet match</t>
        </is>
      </c>
      <c r="AJ611" t="inlineStr">
        <is>
          <t>native</t>
        </is>
      </c>
      <c r="AK611" t="inlineStr">
        <is>
          <t>native-only</t>
        </is>
      </c>
      <c r="AM611" t="inlineStr">
        <is>
          <t>18</t>
        </is>
      </c>
      <c r="AN611" t="inlineStr">
        <is>
          <t>Yes</t>
        </is>
      </c>
      <c r="AO611" t="inlineStr">
        <is>
          <t>mapped sheet id</t>
        </is>
      </c>
      <c r="AP611" t="inlineStr">
        <is>
          <t>p18:native:54, p18:native:55</t>
        </is>
      </c>
      <c r="AQ611" t="n">
        <v>2</v>
      </c>
    </row>
    <row r="612" customFormat="1" s="149">
      <c r="A612" s="203">
        <f>ROW()-1</f>
        <v/>
      </c>
      <c r="B612" s="128" t="inlineStr">
        <is>
          <t>RL7-CNV-204-XY-03</t>
        </is>
      </c>
      <c r="C612" s="314" t="inlineStr">
        <is>
          <t>RL7-CNV-204-XY-03</t>
        </is>
      </c>
      <c r="D612" s="262" t="n"/>
      <c r="E612" s="128" t="n"/>
      <c r="F612" s="138" t="inlineStr">
        <is>
          <t>INFEED LOADER EXTEND SOLENOID</t>
        </is>
      </c>
      <c r="G612" s="131" t="inlineStr">
        <is>
          <t>DG7032</t>
        </is>
      </c>
      <c r="H612" s="128" t="inlineStr">
        <is>
          <t>CHILL</t>
        </is>
      </c>
      <c r="I612" s="132" t="inlineStr">
        <is>
          <t>RL7-SERP-RIO1</t>
        </is>
      </c>
      <c r="J612" s="133" t="n">
        <v>15</v>
      </c>
      <c r="K612" s="129" t="n">
        <v>5</v>
      </c>
      <c r="L612" s="129" t="n">
        <v>8</v>
      </c>
      <c r="M612" s="129" t="inlineStr">
        <is>
          <t>24 VDC DO</t>
        </is>
      </c>
      <c r="N612" s="129" t="inlineStr">
        <is>
          <t>5069-OB16</t>
        </is>
      </c>
      <c r="O612" s="139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40" t="n"/>
      <c r="AA612" t="inlineStr">
        <is>
          <t>Matched</t>
        </is>
      </c>
      <c r="AB612" s="315" t="n">
        <v>0.99</v>
      </c>
      <c r="AC612" t="inlineStr">
        <is>
          <t>High</t>
        </is>
      </c>
      <c r="AD612" t="n">
        <v>1</v>
      </c>
      <c r="AE612" t="inlineStr">
        <is>
          <t>DG7032</t>
        </is>
      </c>
      <c r="AF612" t="n">
        <v>18</v>
      </c>
      <c r="AG612" t="inlineStr">
        <is>
          <t>drawing</t>
        </is>
      </c>
      <c r="AH612" t="inlineStr">
        <is>
          <t>stacked:isa</t>
        </is>
      </c>
      <c r="AI612" t="inlineStr">
        <is>
          <t>drawing zone; process page; mapped sheet; excel sheet match</t>
        </is>
      </c>
      <c r="AJ612" t="inlineStr">
        <is>
          <t>native</t>
        </is>
      </c>
      <c r="AK612" t="inlineStr">
        <is>
          <t>native-only</t>
        </is>
      </c>
      <c r="AM612" t="inlineStr">
        <is>
          <t>18</t>
        </is>
      </c>
      <c r="AN612" t="inlineStr">
        <is>
          <t>Yes</t>
        </is>
      </c>
      <c r="AO612" t="inlineStr">
        <is>
          <t>mapped sheet id</t>
        </is>
      </c>
      <c r="AP612" t="inlineStr">
        <is>
          <t>p18:native:56, p18:native:57</t>
        </is>
      </c>
      <c r="AQ612" t="n">
        <v>2</v>
      </c>
    </row>
    <row r="613" customFormat="1" s="149">
      <c r="A613" s="203">
        <f>ROW()-1</f>
        <v/>
      </c>
      <c r="B613" s="128" t="inlineStr">
        <is>
          <t>RL7-CNV-204-XY-04</t>
        </is>
      </c>
      <c r="C613" s="314" t="inlineStr">
        <is>
          <t>RL7-CNV-204-XY-04</t>
        </is>
      </c>
      <c r="D613" s="262" t="n"/>
      <c r="E613" s="128" t="n"/>
      <c r="F613" s="138" t="inlineStr">
        <is>
          <t>INFEED LOADER RETRACT SOLENOID</t>
        </is>
      </c>
      <c r="G613" s="131" t="inlineStr">
        <is>
          <t>DG7032</t>
        </is>
      </c>
      <c r="H613" s="128" t="inlineStr">
        <is>
          <t>CHILL</t>
        </is>
      </c>
      <c r="I613" s="132" t="inlineStr">
        <is>
          <t>RL7-SERP-RIO1</t>
        </is>
      </c>
      <c r="J613" s="133" t="n">
        <v>15</v>
      </c>
      <c r="K613" s="129" t="n">
        <v>5</v>
      </c>
      <c r="L613" s="129" t="n">
        <v>9</v>
      </c>
      <c r="M613" s="129" t="inlineStr">
        <is>
          <t>24 VDC DO</t>
        </is>
      </c>
      <c r="N613" s="129" t="inlineStr">
        <is>
          <t>5069-OB16</t>
        </is>
      </c>
      <c r="O613" s="139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43" t="n"/>
      <c r="AA613" t="inlineStr">
        <is>
          <t>Matched</t>
        </is>
      </c>
      <c r="AB613" s="315" t="n">
        <v>0.99</v>
      </c>
      <c r="AC613" t="inlineStr">
        <is>
          <t>High</t>
        </is>
      </c>
      <c r="AD613" t="n">
        <v>1</v>
      </c>
      <c r="AE613" t="inlineStr">
        <is>
          <t>DG7032</t>
        </is>
      </c>
      <c r="AF613" t="n">
        <v>18</v>
      </c>
      <c r="AG613" t="inlineStr">
        <is>
          <t>drawing</t>
        </is>
      </c>
      <c r="AH613" t="inlineStr">
        <is>
          <t>stacked:isa</t>
        </is>
      </c>
      <c r="AI613" t="inlineStr">
        <is>
          <t>drawing zone; process page; mapped sheet; excel sheet match</t>
        </is>
      </c>
      <c r="AJ613" t="inlineStr">
        <is>
          <t>native</t>
        </is>
      </c>
      <c r="AK613" t="inlineStr">
        <is>
          <t>native-only</t>
        </is>
      </c>
      <c r="AM613" t="inlineStr">
        <is>
          <t>18</t>
        </is>
      </c>
      <c r="AN613" t="inlineStr">
        <is>
          <t>Yes</t>
        </is>
      </c>
      <c r="AO613" t="inlineStr">
        <is>
          <t>mapped sheet id</t>
        </is>
      </c>
      <c r="AP613" t="inlineStr">
        <is>
          <t>p18:native:58, p18:native:59</t>
        </is>
      </c>
      <c r="AQ613" t="n">
        <v>2</v>
      </c>
    </row>
    <row r="614" customFormat="1" s="149">
      <c r="A614" s="203">
        <f>ROW()-1</f>
        <v/>
      </c>
      <c r="B614" s="129" t="inlineStr">
        <is>
          <t>RL7-CNV-204-PBL-01</t>
        </is>
      </c>
      <c r="C614" s="313" t="inlineStr">
        <is>
          <t>RL7-CNV-204-PBL-01</t>
        </is>
      </c>
      <c r="D614" s="263" t="n"/>
      <c r="E614" s="129" t="n"/>
      <c r="F614" s="4" t="inlineStr">
        <is>
          <t>SERPENTINE INFEED CONVEYOR 2 E-STOP PB PILOT LIGHT</t>
        </is>
      </c>
      <c r="G614" s="131" t="inlineStr">
        <is>
          <t>DG7032</t>
        </is>
      </c>
      <c r="H614" s="128" t="inlineStr">
        <is>
          <t>CHILL</t>
        </is>
      </c>
      <c r="I614" s="132" t="inlineStr">
        <is>
          <t>RL7-SERP-RIO1</t>
        </is>
      </c>
      <c r="J614" s="133" t="n">
        <v>15</v>
      </c>
      <c r="K614" s="129" t="n">
        <v>5</v>
      </c>
      <c r="L614" s="129" t="n">
        <v>14</v>
      </c>
      <c r="M614" s="129" t="inlineStr">
        <is>
          <t>24 VDC DO</t>
        </is>
      </c>
      <c r="N614" s="129" t="inlineStr">
        <is>
          <t>5069-OB16</t>
        </is>
      </c>
      <c r="O614" s="139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53" t="n"/>
      <c r="AA614" t="inlineStr">
        <is>
          <t>Not found in PDF</t>
        </is>
      </c>
      <c r="AC614" t="inlineStr">
        <is>
          <t>Low</t>
        </is>
      </c>
      <c r="AM614" t="inlineStr">
        <is>
          <t>18</t>
        </is>
      </c>
      <c r="AN614" t="inlineStr">
        <is>
          <t>Yes</t>
        </is>
      </c>
      <c r="AO614" t="inlineStr">
        <is>
          <t>mapped sheet id</t>
        </is>
      </c>
    </row>
    <row r="615" customFormat="1" s="149">
      <c r="A615" s="203">
        <f>ROW()-1</f>
        <v/>
      </c>
      <c r="B615" s="133" t="n"/>
      <c r="C615" s="314" t="inlineStr">
        <is>
          <t>RL7-CNV-204-PB-02</t>
        </is>
      </c>
      <c r="D615" s="264" t="n"/>
      <c r="E615" s="133" t="n"/>
      <c r="F615" s="141" t="inlineStr">
        <is>
          <t>CHILLING PAUSE BUTTON</t>
        </is>
      </c>
      <c r="G615" s="142" t="inlineStr">
        <is>
          <t>DG7032</t>
        </is>
      </c>
      <c r="H615" s="133" t="inlineStr">
        <is>
          <t>CHILL</t>
        </is>
      </c>
      <c r="I615" s="142" t="inlineStr">
        <is>
          <t>RL7-INTSL-RIO2</t>
        </is>
      </c>
      <c r="J615" s="133" t="n">
        <v>19</v>
      </c>
      <c r="K615" s="129" t="n">
        <v>3</v>
      </c>
      <c r="L615" s="129" t="n">
        <v>11</v>
      </c>
      <c r="M615" s="129" t="inlineStr">
        <is>
          <t>24 VDC DI</t>
        </is>
      </c>
      <c r="N615" s="129" t="inlineStr">
        <is>
          <t>5069-IB16</t>
        </is>
      </c>
      <c r="O615" s="146" t="n"/>
      <c r="P615" s="146" t="n"/>
      <c r="Q615" s="146" t="n"/>
      <c r="R615" s="146" t="n"/>
      <c r="S615" s="146" t="n"/>
      <c r="T615" s="146" t="n"/>
      <c r="U615" s="146" t="n"/>
      <c r="V615" s="146" t="n"/>
      <c r="W615" s="146" t="n"/>
      <c r="X615" s="146" t="n"/>
      <c r="Y615" s="146" t="n"/>
      <c r="Z615" s="143" t="n"/>
      <c r="AA615" t="inlineStr">
        <is>
          <t>Matched</t>
        </is>
      </c>
      <c r="AB615" s="315" t="n">
        <v>0.99</v>
      </c>
      <c r="AC615" t="inlineStr">
        <is>
          <t>High</t>
        </is>
      </c>
      <c r="AD615" t="n">
        <v>1</v>
      </c>
      <c r="AE615" t="inlineStr">
        <is>
          <t>DG7032</t>
        </is>
      </c>
      <c r="AF615" t="n">
        <v>18</v>
      </c>
      <c r="AG615" t="inlineStr">
        <is>
          <t>drawing</t>
        </is>
      </c>
      <c r="AH615" t="inlineStr">
        <is>
          <t>stacked:isa</t>
        </is>
      </c>
      <c r="AI615" t="inlineStr">
        <is>
          <t>drawing zone; process page; mapped sheet; excel sheet match</t>
        </is>
      </c>
      <c r="AJ615" t="inlineStr">
        <is>
          <t>native</t>
        </is>
      </c>
      <c r="AK615" t="inlineStr">
        <is>
          <t>native-only</t>
        </is>
      </c>
      <c r="AM615" t="inlineStr">
        <is>
          <t>18</t>
        </is>
      </c>
      <c r="AN615" t="inlineStr">
        <is>
          <t>Yes</t>
        </is>
      </c>
      <c r="AO615" t="inlineStr">
        <is>
          <t>mapped sheet id</t>
        </is>
      </c>
      <c r="AP615" t="inlineStr">
        <is>
          <t>p18:native:66, p18:native:67</t>
        </is>
      </c>
      <c r="AQ615" t="n">
        <v>2</v>
      </c>
    </row>
    <row r="616" customFormat="1" s="149">
      <c r="A616" s="203">
        <f>ROW()-1</f>
        <v/>
      </c>
      <c r="B616" s="128" t="inlineStr">
        <is>
          <t>RL7-CHR-201-PB-02</t>
        </is>
      </c>
      <c r="C616" s="314" t="inlineStr">
        <is>
          <t>RL7-CHR-201-PB-01</t>
        </is>
      </c>
      <c r="D616" s="262" t="n"/>
      <c r="E616" s="128" t="n"/>
      <c r="F616" s="141" t="inlineStr">
        <is>
          <t>SERPENTINE E-STOP 1 SAFETY INPUT CH1</t>
        </is>
      </c>
      <c r="G616" s="131" t="inlineStr">
        <is>
          <t>DG7033</t>
        </is>
      </c>
      <c r="H616" s="128" t="inlineStr">
        <is>
          <t>CHILL</t>
        </is>
      </c>
      <c r="I616" s="132" t="inlineStr">
        <is>
          <t>RL7-SERP-RIO1</t>
        </is>
      </c>
      <c r="J616" s="133" t="n">
        <v>15</v>
      </c>
      <c r="K616" s="129" t="n">
        <v>1</v>
      </c>
      <c r="L616" s="129" t="n">
        <v>2</v>
      </c>
      <c r="M616" s="129" t="inlineStr">
        <is>
          <t>24 VDC SI</t>
        </is>
      </c>
      <c r="N616" s="129" t="inlineStr">
        <is>
          <t>5069-IB8S</t>
        </is>
      </c>
      <c r="O616" s="139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56" t="n"/>
      <c r="AA616" t="inlineStr">
        <is>
          <t>Matched</t>
        </is>
      </c>
      <c r="AB616" s="315" t="n">
        <v>0.99</v>
      </c>
      <c r="AC616" t="inlineStr">
        <is>
          <t>High</t>
        </is>
      </c>
      <c r="AD616" t="n">
        <v>1</v>
      </c>
      <c r="AE616" t="inlineStr">
        <is>
          <t>DG7033</t>
        </is>
      </c>
      <c r="AF616" t="n">
        <v>19</v>
      </c>
      <c r="AG616" t="inlineStr">
        <is>
          <t>drawing</t>
        </is>
      </c>
      <c r="AH616" t="inlineStr">
        <is>
          <t>stacked:isa</t>
        </is>
      </c>
      <c r="AI616" t="inlineStr">
        <is>
          <t>drawing zone; process page; mapped sheet; excel sheet match</t>
        </is>
      </c>
      <c r="AJ616" t="inlineStr">
        <is>
          <t>native</t>
        </is>
      </c>
      <c r="AK616" t="inlineStr">
        <is>
          <t>native-only</t>
        </is>
      </c>
      <c r="AM616" t="inlineStr">
        <is>
          <t>19</t>
        </is>
      </c>
      <c r="AN616" t="inlineStr">
        <is>
          <t>Yes</t>
        </is>
      </c>
      <c r="AO616" t="inlineStr">
        <is>
          <t>mapped sheet id</t>
        </is>
      </c>
      <c r="AP616" t="inlineStr">
        <is>
          <t>p19:native:206, p19:native:207</t>
        </is>
      </c>
      <c r="AQ616" t="n">
        <v>2</v>
      </c>
    </row>
    <row r="617" customFormat="1" s="149">
      <c r="A617" s="203">
        <f>ROW()-1</f>
        <v/>
      </c>
      <c r="B617" s="128" t="inlineStr">
        <is>
          <t>RL7-CHR-201-PB-02</t>
        </is>
      </c>
      <c r="C617" s="314" t="inlineStr">
        <is>
          <t>RL7-CHR-201-PB-01</t>
        </is>
      </c>
      <c r="D617" s="262" t="n"/>
      <c r="E617" s="128" t="n"/>
      <c r="F617" s="141" t="inlineStr">
        <is>
          <t>SERPENTINE E-STOP 1 SAFETY INPUT CH2</t>
        </is>
      </c>
      <c r="G617" s="131" t="inlineStr">
        <is>
          <t>DG7033</t>
        </is>
      </c>
      <c r="H617" s="128" t="inlineStr">
        <is>
          <t>CHILL</t>
        </is>
      </c>
      <c r="I617" s="132" t="inlineStr">
        <is>
          <t>RL7-SERP-RIO1</t>
        </is>
      </c>
      <c r="J617" s="133" t="n">
        <v>15</v>
      </c>
      <c r="K617" s="129" t="n">
        <v>1</v>
      </c>
      <c r="L617" s="129" t="n">
        <v>3</v>
      </c>
      <c r="M617" s="129" t="inlineStr">
        <is>
          <t>24 VDC SI</t>
        </is>
      </c>
      <c r="N617" s="129" t="inlineStr">
        <is>
          <t>5069-IB8S</t>
        </is>
      </c>
      <c r="O617" s="139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56" t="n"/>
      <c r="AA617" t="inlineStr">
        <is>
          <t>Matched</t>
        </is>
      </c>
      <c r="AB617" s="315" t="n">
        <v>0.99</v>
      </c>
      <c r="AC617" t="inlineStr">
        <is>
          <t>High</t>
        </is>
      </c>
      <c r="AD617" t="n">
        <v>1</v>
      </c>
      <c r="AE617" t="inlineStr">
        <is>
          <t>DG7033</t>
        </is>
      </c>
      <c r="AF617" t="n">
        <v>19</v>
      </c>
      <c r="AG617" t="inlineStr">
        <is>
          <t>drawing</t>
        </is>
      </c>
      <c r="AH617" t="inlineStr">
        <is>
          <t>stacked:isa</t>
        </is>
      </c>
      <c r="AI617" t="inlineStr">
        <is>
          <t>drawing zone; process page; mapped sheet; excel sheet match</t>
        </is>
      </c>
      <c r="AJ617" t="inlineStr">
        <is>
          <t>native</t>
        </is>
      </c>
      <c r="AK617" t="inlineStr">
        <is>
          <t>native-only</t>
        </is>
      </c>
      <c r="AM617" t="inlineStr">
        <is>
          <t>19</t>
        </is>
      </c>
      <c r="AN617" t="inlineStr">
        <is>
          <t>Yes</t>
        </is>
      </c>
      <c r="AO617" t="inlineStr">
        <is>
          <t>mapped sheet id</t>
        </is>
      </c>
      <c r="AP617" t="inlineStr">
        <is>
          <t>p19:native:206, p19:native:207</t>
        </is>
      </c>
      <c r="AQ617" t="n">
        <v>2</v>
      </c>
    </row>
    <row r="618">
      <c r="A618" s="203">
        <f>ROW()-1</f>
        <v/>
      </c>
      <c r="B618" s="128" t="inlineStr">
        <is>
          <t>RL7-CHR-201-PB-04</t>
        </is>
      </c>
      <c r="C618" s="314" t="inlineStr">
        <is>
          <t>RL7-CHR-201-PB-02</t>
        </is>
      </c>
      <c r="D618" s="262" t="n"/>
      <c r="E618" s="128" t="n"/>
      <c r="F618" s="141" t="inlineStr">
        <is>
          <t>SERPENTINE E-STOP 2 SAFETY INPUT CH1</t>
        </is>
      </c>
      <c r="G618" s="131" t="inlineStr">
        <is>
          <t>DG7033</t>
        </is>
      </c>
      <c r="H618" s="128" t="inlineStr">
        <is>
          <t>CHILL</t>
        </is>
      </c>
      <c r="I618" s="132" t="inlineStr">
        <is>
          <t>RL7-SERP-RIO1</t>
        </is>
      </c>
      <c r="J618" s="133" t="n">
        <v>15</v>
      </c>
      <c r="K618" s="129" t="n">
        <v>1</v>
      </c>
      <c r="L618" s="129" t="n">
        <v>6</v>
      </c>
      <c r="M618" s="129" t="inlineStr">
        <is>
          <t>24 VDC SI</t>
        </is>
      </c>
      <c r="N618" s="129" t="inlineStr">
        <is>
          <t>5069-IB8S</t>
        </is>
      </c>
      <c r="O618" s="139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53" t="n"/>
      <c r="AA618" t="inlineStr">
        <is>
          <t>Matched</t>
        </is>
      </c>
      <c r="AB618" s="315" t="n">
        <v>0.99</v>
      </c>
      <c r="AC618" t="inlineStr">
        <is>
          <t>High</t>
        </is>
      </c>
      <c r="AD618" t="n">
        <v>1</v>
      </c>
      <c r="AE618" t="inlineStr">
        <is>
          <t>DG7033</t>
        </is>
      </c>
      <c r="AF618" t="n">
        <v>19</v>
      </c>
      <c r="AG618" t="inlineStr">
        <is>
          <t>drawing</t>
        </is>
      </c>
      <c r="AH618" t="inlineStr">
        <is>
          <t>stacked:isa</t>
        </is>
      </c>
      <c r="AI618" t="inlineStr">
        <is>
          <t>drawing zone; process page; mapped sheet; excel sheet match</t>
        </is>
      </c>
      <c r="AJ618" t="inlineStr">
        <is>
          <t>native</t>
        </is>
      </c>
      <c r="AK618" t="inlineStr">
        <is>
          <t>native-only</t>
        </is>
      </c>
      <c r="AM618" t="inlineStr">
        <is>
          <t>19</t>
        </is>
      </c>
      <c r="AN618" t="inlineStr">
        <is>
          <t>Yes</t>
        </is>
      </c>
      <c r="AO618" t="inlineStr">
        <is>
          <t>mapped sheet id</t>
        </is>
      </c>
      <c r="AP618" t="inlineStr">
        <is>
          <t>p19:native:208, p19:native:209</t>
        </is>
      </c>
      <c r="AQ618" t="n">
        <v>2</v>
      </c>
    </row>
    <row r="619">
      <c r="A619" s="203">
        <f>ROW()-1</f>
        <v/>
      </c>
      <c r="B619" s="128" t="inlineStr">
        <is>
          <t>RL7-CHR-201-PB-04</t>
        </is>
      </c>
      <c r="C619" s="314" t="inlineStr">
        <is>
          <t>RL7-CHR-201-PB-02</t>
        </is>
      </c>
      <c r="D619" s="262" t="n"/>
      <c r="E619" s="128" t="n"/>
      <c r="F619" s="141" t="inlineStr">
        <is>
          <t>SERPENTINE E-STOP 2 SAFETY INPUT CH2</t>
        </is>
      </c>
      <c r="G619" s="131" t="inlineStr">
        <is>
          <t>DG7033</t>
        </is>
      </c>
      <c r="H619" s="128" t="inlineStr">
        <is>
          <t>CHILL</t>
        </is>
      </c>
      <c r="I619" s="132" t="inlineStr">
        <is>
          <t>RL7-SERP-RIO1</t>
        </is>
      </c>
      <c r="J619" s="133" t="n">
        <v>15</v>
      </c>
      <c r="K619" s="129" t="n">
        <v>1</v>
      </c>
      <c r="L619" s="129" t="n">
        <v>7</v>
      </c>
      <c r="M619" s="129" t="inlineStr">
        <is>
          <t>24 VDC SI</t>
        </is>
      </c>
      <c r="N619" s="129" t="inlineStr">
        <is>
          <t>5069-IB8S</t>
        </is>
      </c>
      <c r="O619" s="139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53" t="n"/>
      <c r="AA619" t="inlineStr">
        <is>
          <t>Matched</t>
        </is>
      </c>
      <c r="AB619" s="315" t="n">
        <v>0.99</v>
      </c>
      <c r="AC619" t="inlineStr">
        <is>
          <t>High</t>
        </is>
      </c>
      <c r="AD619" t="n">
        <v>1</v>
      </c>
      <c r="AE619" t="inlineStr">
        <is>
          <t>DG7033</t>
        </is>
      </c>
      <c r="AF619" t="n">
        <v>19</v>
      </c>
      <c r="AG619" t="inlineStr">
        <is>
          <t>drawing</t>
        </is>
      </c>
      <c r="AH619" t="inlineStr">
        <is>
          <t>stacked:isa</t>
        </is>
      </c>
      <c r="AI619" t="inlineStr">
        <is>
          <t>drawing zone; process page; mapped sheet; excel sheet match</t>
        </is>
      </c>
      <c r="AJ619" t="inlineStr">
        <is>
          <t>native</t>
        </is>
      </c>
      <c r="AK619" t="inlineStr">
        <is>
          <t>native-only</t>
        </is>
      </c>
      <c r="AM619" t="inlineStr">
        <is>
          <t>19</t>
        </is>
      </c>
      <c r="AN619" t="inlineStr">
        <is>
          <t>Yes</t>
        </is>
      </c>
      <c r="AO619" t="inlineStr">
        <is>
          <t>mapped sheet id</t>
        </is>
      </c>
      <c r="AP619" t="inlineStr">
        <is>
          <t>p19:native:208, p19:native:209</t>
        </is>
      </c>
      <c r="AQ619" t="n">
        <v>2</v>
      </c>
    </row>
    <row r="620">
      <c r="A620" s="203">
        <f>ROW()-1</f>
        <v/>
      </c>
      <c r="B620" s="128" t="inlineStr">
        <is>
          <t>RL7-CHR-201-ZSC-01L</t>
        </is>
      </c>
      <c r="C620" s="314" t="inlineStr">
        <is>
          <t>RL7-CHR-201-ZSC-01L</t>
        </is>
      </c>
      <c r="D620" s="262" t="n"/>
      <c r="E620" s="128" t="n"/>
      <c r="F620" s="138" t="inlineStr">
        <is>
          <t>SERPENTINE CHILLER JAM SENSOR</t>
        </is>
      </c>
      <c r="G620" s="131" t="inlineStr">
        <is>
          <t>DG7033</t>
        </is>
      </c>
      <c r="H620" s="128" t="inlineStr">
        <is>
          <t>CHILL</t>
        </is>
      </c>
      <c r="I620" s="132" t="inlineStr">
        <is>
          <t>RL7-SERP-RIO1</t>
        </is>
      </c>
      <c r="J620" s="133" t="n">
        <v>15</v>
      </c>
      <c r="K620" s="129" t="n">
        <v>3</v>
      </c>
      <c r="L620" s="129" t="n">
        <v>0</v>
      </c>
      <c r="M620" s="129" t="inlineStr">
        <is>
          <t>24 VDC DI</t>
        </is>
      </c>
      <c r="N620" s="129" t="inlineStr">
        <is>
          <t>5069-IB16</t>
        </is>
      </c>
      <c r="O620" s="139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53" t="n"/>
      <c r="AA620" t="inlineStr">
        <is>
          <t>Matched</t>
        </is>
      </c>
      <c r="AB620" s="315" t="n">
        <v>0.99</v>
      </c>
      <c r="AC620" t="inlineStr">
        <is>
          <t>High</t>
        </is>
      </c>
      <c r="AD620" t="n">
        <v>1</v>
      </c>
      <c r="AE620" t="inlineStr">
        <is>
          <t>DG7033</t>
        </is>
      </c>
      <c r="AF620" t="n">
        <v>19</v>
      </c>
      <c r="AG620" t="inlineStr">
        <is>
          <t>drawing</t>
        </is>
      </c>
      <c r="AH620" t="inlineStr">
        <is>
          <t>stacked:isa</t>
        </is>
      </c>
      <c r="AI620" t="inlineStr">
        <is>
          <t>drawing zone; process page; mapped sheet; excel sheet match</t>
        </is>
      </c>
      <c r="AJ620" t="inlineStr">
        <is>
          <t>native</t>
        </is>
      </c>
      <c r="AK620" t="inlineStr">
        <is>
          <t>native-only</t>
        </is>
      </c>
      <c r="AM620" t="inlineStr">
        <is>
          <t>19</t>
        </is>
      </c>
      <c r="AN620" t="inlineStr">
        <is>
          <t>Yes</t>
        </is>
      </c>
      <c r="AO620" t="inlineStr">
        <is>
          <t>mapped sheet id</t>
        </is>
      </c>
      <c r="AP620" t="inlineStr">
        <is>
          <t>p19:native:233, p19:native:234</t>
        </is>
      </c>
      <c r="AQ620" t="n">
        <v>2</v>
      </c>
    </row>
    <row r="621">
      <c r="A621" s="203">
        <f>ROW()-1</f>
        <v/>
      </c>
      <c r="B621" s="128" t="inlineStr">
        <is>
          <t>RL7-CHR-201-ZSC-02L</t>
        </is>
      </c>
      <c r="C621" s="314" t="inlineStr">
        <is>
          <t>RL7-CHR-201-ZSC-02L</t>
        </is>
      </c>
      <c r="D621" s="262" t="n"/>
      <c r="E621" s="128" t="n"/>
      <c r="F621" s="138" t="inlineStr">
        <is>
          <t>SERPENTINE CHILLER JAM SENSOR</t>
        </is>
      </c>
      <c r="G621" s="131" t="inlineStr">
        <is>
          <t>DG7033</t>
        </is>
      </c>
      <c r="H621" s="128" t="inlineStr">
        <is>
          <t>CHILL</t>
        </is>
      </c>
      <c r="I621" s="132" t="inlineStr">
        <is>
          <t>RL7-SERP-RIO1</t>
        </is>
      </c>
      <c r="J621" s="133" t="n">
        <v>15</v>
      </c>
      <c r="K621" s="129" t="n">
        <v>3</v>
      </c>
      <c r="L621" s="129" t="n">
        <v>1</v>
      </c>
      <c r="M621" s="129" t="inlineStr">
        <is>
          <t>24 VDC DI</t>
        </is>
      </c>
      <c r="N621" s="129" t="inlineStr">
        <is>
          <t>5069-IB16</t>
        </is>
      </c>
      <c r="O621" s="139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53" t="n"/>
      <c r="AA621" t="inlineStr">
        <is>
          <t>Matched</t>
        </is>
      </c>
      <c r="AB621" s="315" t="n">
        <v>0.99</v>
      </c>
      <c r="AC621" t="inlineStr">
        <is>
          <t>High</t>
        </is>
      </c>
      <c r="AD621" t="n">
        <v>1</v>
      </c>
      <c r="AE621" t="inlineStr">
        <is>
          <t>DG7033</t>
        </is>
      </c>
      <c r="AF621" t="n">
        <v>19</v>
      </c>
      <c r="AG621" t="inlineStr">
        <is>
          <t>drawing</t>
        </is>
      </c>
      <c r="AH621" t="inlineStr">
        <is>
          <t>stacked:isa</t>
        </is>
      </c>
      <c r="AI621" t="inlineStr">
        <is>
          <t>drawing zone; process page; mapped sheet; excel sheet match</t>
        </is>
      </c>
      <c r="AJ621" t="inlineStr">
        <is>
          <t>native</t>
        </is>
      </c>
      <c r="AK621" t="inlineStr">
        <is>
          <t>native-only</t>
        </is>
      </c>
      <c r="AM621" t="inlineStr">
        <is>
          <t>19</t>
        </is>
      </c>
      <c r="AN621" t="inlineStr">
        <is>
          <t>Yes</t>
        </is>
      </c>
      <c r="AO621" t="inlineStr">
        <is>
          <t>mapped sheet id</t>
        </is>
      </c>
      <c r="AP621" t="inlineStr">
        <is>
          <t>p19:native:237, p19:native:238</t>
        </is>
      </c>
      <c r="AQ621" t="n">
        <v>2</v>
      </c>
    </row>
    <row r="622">
      <c r="A622" s="203">
        <f>ROW()-1</f>
        <v/>
      </c>
      <c r="B622" s="128" t="inlineStr">
        <is>
          <t>RL7-CHR-201-ZSC-03L</t>
        </is>
      </c>
      <c r="C622" s="314" t="inlineStr">
        <is>
          <t>RL7-CHR-201-ZSC-03L</t>
        </is>
      </c>
      <c r="D622" s="262" t="n"/>
      <c r="E622" s="128" t="n"/>
      <c r="F622" s="138" t="inlineStr">
        <is>
          <t>SERPENTINE CHILLER JAM SENSOR</t>
        </is>
      </c>
      <c r="G622" s="131" t="inlineStr">
        <is>
          <t>DG7033</t>
        </is>
      </c>
      <c r="H622" s="128" t="inlineStr">
        <is>
          <t>CHILL</t>
        </is>
      </c>
      <c r="I622" s="132" t="inlineStr">
        <is>
          <t>RL7-SERP-RIO1</t>
        </is>
      </c>
      <c r="J622" s="133" t="n">
        <v>15</v>
      </c>
      <c r="K622" s="129" t="n">
        <v>3</v>
      </c>
      <c r="L622" s="129" t="n">
        <v>2</v>
      </c>
      <c r="M622" s="129" t="inlineStr">
        <is>
          <t>24 VDC DI</t>
        </is>
      </c>
      <c r="N622" s="129" t="inlineStr">
        <is>
          <t>5069-IB16</t>
        </is>
      </c>
      <c r="O622" s="139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53" t="n"/>
      <c r="AA622" t="inlineStr">
        <is>
          <t>Matched</t>
        </is>
      </c>
      <c r="AB622" s="315" t="n">
        <v>0.99</v>
      </c>
      <c r="AC622" t="inlineStr">
        <is>
          <t>High</t>
        </is>
      </c>
      <c r="AD622" t="n">
        <v>1</v>
      </c>
      <c r="AE622" t="inlineStr">
        <is>
          <t>DG7033</t>
        </is>
      </c>
      <c r="AF622" t="n">
        <v>19</v>
      </c>
      <c r="AG622" t="inlineStr">
        <is>
          <t>drawing</t>
        </is>
      </c>
      <c r="AH622" t="inlineStr">
        <is>
          <t>stacked:isa</t>
        </is>
      </c>
      <c r="AI622" t="inlineStr">
        <is>
          <t>drawing zone; process page; mapped sheet; excel sheet match</t>
        </is>
      </c>
      <c r="AJ622" t="inlineStr">
        <is>
          <t>native</t>
        </is>
      </c>
      <c r="AK622" t="inlineStr">
        <is>
          <t>native-only</t>
        </is>
      </c>
      <c r="AM622" t="inlineStr">
        <is>
          <t>19</t>
        </is>
      </c>
      <c r="AN622" t="inlineStr">
        <is>
          <t>Yes</t>
        </is>
      </c>
      <c r="AO622" t="inlineStr">
        <is>
          <t>mapped sheet id</t>
        </is>
      </c>
      <c r="AP622" t="inlineStr">
        <is>
          <t>p19:native:241, p19:native:242</t>
        </is>
      </c>
      <c r="AQ622" t="n">
        <v>2</v>
      </c>
    </row>
    <row r="623" customFormat="1" s="136">
      <c r="A623" s="203">
        <f>ROW()-1</f>
        <v/>
      </c>
      <c r="B623" s="128" t="inlineStr">
        <is>
          <t>RL7-CHR-201-ZSC-01R</t>
        </is>
      </c>
      <c r="C623" s="314" t="inlineStr">
        <is>
          <t>RL7-CHR-201-ZSC-01R</t>
        </is>
      </c>
      <c r="D623" s="262" t="n"/>
      <c r="E623" s="128" t="n"/>
      <c r="F623" s="138" t="inlineStr">
        <is>
          <t>SERPENTINE CHILLER JAM SENSOR</t>
        </is>
      </c>
      <c r="G623" s="131" t="inlineStr">
        <is>
          <t>DG7033</t>
        </is>
      </c>
      <c r="H623" s="128" t="inlineStr">
        <is>
          <t>CHILL</t>
        </is>
      </c>
      <c r="I623" s="132" t="inlineStr">
        <is>
          <t>RL7-SERP-RIO1</t>
        </is>
      </c>
      <c r="J623" s="133" t="n">
        <v>15</v>
      </c>
      <c r="K623" s="129" t="n">
        <v>3</v>
      </c>
      <c r="L623" s="129" t="n">
        <v>3</v>
      </c>
      <c r="M623" s="129" t="inlineStr">
        <is>
          <t>24 VDC DI</t>
        </is>
      </c>
      <c r="N623" s="129" t="inlineStr">
        <is>
          <t>5069-IB16</t>
        </is>
      </c>
      <c r="O623" s="139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53" t="n"/>
      <c r="AA623" t="inlineStr">
        <is>
          <t>Matched</t>
        </is>
      </c>
      <c r="AB623" s="315" t="n">
        <v>0.99</v>
      </c>
      <c r="AC623" t="inlineStr">
        <is>
          <t>High</t>
        </is>
      </c>
      <c r="AD623" t="n">
        <v>1</v>
      </c>
      <c r="AE623" t="inlineStr">
        <is>
          <t>DG7033</t>
        </is>
      </c>
      <c r="AF623" t="n">
        <v>19</v>
      </c>
      <c r="AG623" t="inlineStr">
        <is>
          <t>drawing</t>
        </is>
      </c>
      <c r="AH623" t="inlineStr">
        <is>
          <t>stacked:isa</t>
        </is>
      </c>
      <c r="AI623" t="inlineStr">
        <is>
          <t>drawing zone; process page; mapped sheet; excel sheet match</t>
        </is>
      </c>
      <c r="AJ623" t="inlineStr">
        <is>
          <t>native</t>
        </is>
      </c>
      <c r="AK623" t="inlineStr">
        <is>
          <t>native-only</t>
        </is>
      </c>
      <c r="AM623" t="inlineStr">
        <is>
          <t>19</t>
        </is>
      </c>
      <c r="AN623" t="inlineStr">
        <is>
          <t>Yes</t>
        </is>
      </c>
      <c r="AO623" t="inlineStr">
        <is>
          <t>mapped sheet id</t>
        </is>
      </c>
      <c r="AP623" t="inlineStr">
        <is>
          <t>p19:native:231, p19:native:232</t>
        </is>
      </c>
      <c r="AQ623" t="n">
        <v>2</v>
      </c>
    </row>
    <row r="624">
      <c r="A624" s="203">
        <f>ROW()-1</f>
        <v/>
      </c>
      <c r="B624" s="128" t="inlineStr">
        <is>
          <t>RL7-CHR-201-ZSC-02R</t>
        </is>
      </c>
      <c r="C624" s="314" t="inlineStr">
        <is>
          <t>RL7-CHR-201-ZSC-02R</t>
        </is>
      </c>
      <c r="D624" s="262" t="n"/>
      <c r="E624" s="128" t="n"/>
      <c r="F624" s="138" t="inlineStr">
        <is>
          <t>SERPENTINE CHILLER JAM SENSOR</t>
        </is>
      </c>
      <c r="G624" s="131" t="inlineStr">
        <is>
          <t>DG7033</t>
        </is>
      </c>
      <c r="H624" s="128" t="inlineStr">
        <is>
          <t>CHILL</t>
        </is>
      </c>
      <c r="I624" s="132" t="inlineStr">
        <is>
          <t>RL7-SERP-RIO1</t>
        </is>
      </c>
      <c r="J624" s="133" t="n">
        <v>15</v>
      </c>
      <c r="K624" s="129" t="n">
        <v>3</v>
      </c>
      <c r="L624" s="129" t="n">
        <v>4</v>
      </c>
      <c r="M624" s="129" t="inlineStr">
        <is>
          <t>24 VDC DI</t>
        </is>
      </c>
      <c r="N624" s="129" t="inlineStr">
        <is>
          <t>5069-IB16</t>
        </is>
      </c>
      <c r="O624" s="139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53" t="n"/>
      <c r="AA624" t="inlineStr">
        <is>
          <t>Matched</t>
        </is>
      </c>
      <c r="AB624" s="315" t="n">
        <v>0.99</v>
      </c>
      <c r="AC624" t="inlineStr">
        <is>
          <t>High</t>
        </is>
      </c>
      <c r="AD624" t="n">
        <v>1</v>
      </c>
      <c r="AE624" t="inlineStr">
        <is>
          <t>DG7033</t>
        </is>
      </c>
      <c r="AF624" t="n">
        <v>19</v>
      </c>
      <c r="AG624" t="inlineStr">
        <is>
          <t>drawing</t>
        </is>
      </c>
      <c r="AH624" t="inlineStr">
        <is>
          <t>stacked:isa</t>
        </is>
      </c>
      <c r="AI624" t="inlineStr">
        <is>
          <t>drawing zone; process page; mapped sheet; excel sheet match</t>
        </is>
      </c>
      <c r="AJ624" t="inlineStr">
        <is>
          <t>native</t>
        </is>
      </c>
      <c r="AK624" t="inlineStr">
        <is>
          <t>native-only</t>
        </is>
      </c>
      <c r="AM624" t="inlineStr">
        <is>
          <t>19</t>
        </is>
      </c>
      <c r="AN624" t="inlineStr">
        <is>
          <t>Yes</t>
        </is>
      </c>
      <c r="AO624" t="inlineStr">
        <is>
          <t>mapped sheet id</t>
        </is>
      </c>
      <c r="AP624" t="inlineStr">
        <is>
          <t>p19:native:235, p19:native:236</t>
        </is>
      </c>
      <c r="AQ624" t="n">
        <v>2</v>
      </c>
    </row>
    <row r="625">
      <c r="A625" s="203">
        <f>ROW()-1</f>
        <v/>
      </c>
      <c r="B625" s="128" t="inlineStr">
        <is>
          <t>RL7-CHR-201-ZSC-03R</t>
        </is>
      </c>
      <c r="C625" s="314" t="inlineStr">
        <is>
          <t>RL7-CHR-201-ZSC-03R</t>
        </is>
      </c>
      <c r="D625" s="262" t="n"/>
      <c r="E625" s="128" t="n"/>
      <c r="F625" s="138" t="inlineStr">
        <is>
          <t>SERPENTINE CHILLER JAM SENSOR</t>
        </is>
      </c>
      <c r="G625" s="131" t="inlineStr">
        <is>
          <t>DG7033</t>
        </is>
      </c>
      <c r="H625" s="128" t="inlineStr">
        <is>
          <t>CHILL</t>
        </is>
      </c>
      <c r="I625" s="132" t="inlineStr">
        <is>
          <t>RL7-SERP-RIO1</t>
        </is>
      </c>
      <c r="J625" s="133" t="n">
        <v>15</v>
      </c>
      <c r="K625" s="129" t="n">
        <v>3</v>
      </c>
      <c r="L625" s="129" t="n">
        <v>5</v>
      </c>
      <c r="M625" s="129" t="inlineStr">
        <is>
          <t>24 VDC DI</t>
        </is>
      </c>
      <c r="N625" s="129" t="inlineStr">
        <is>
          <t>5069-IB16</t>
        </is>
      </c>
      <c r="O625" s="139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53" t="n"/>
      <c r="AA625" t="inlineStr">
        <is>
          <t>Matched</t>
        </is>
      </c>
      <c r="AB625" s="315" t="n">
        <v>0.99</v>
      </c>
      <c r="AC625" t="inlineStr">
        <is>
          <t>High</t>
        </is>
      </c>
      <c r="AD625" t="n">
        <v>1</v>
      </c>
      <c r="AE625" t="inlineStr">
        <is>
          <t>DG7033</t>
        </is>
      </c>
      <c r="AF625" t="n">
        <v>19</v>
      </c>
      <c r="AG625" t="inlineStr">
        <is>
          <t>drawing</t>
        </is>
      </c>
      <c r="AH625" t="inlineStr">
        <is>
          <t>stacked:isa</t>
        </is>
      </c>
      <c r="AI625" t="inlineStr">
        <is>
          <t>drawing zone; process page; mapped sheet; excel sheet match</t>
        </is>
      </c>
      <c r="AJ625" t="inlineStr">
        <is>
          <t>native</t>
        </is>
      </c>
      <c r="AK625" t="inlineStr">
        <is>
          <t>native-only</t>
        </is>
      </c>
      <c r="AM625" t="inlineStr">
        <is>
          <t>19</t>
        </is>
      </c>
      <c r="AN625" t="inlineStr">
        <is>
          <t>Yes</t>
        </is>
      </c>
      <c r="AO625" t="inlineStr">
        <is>
          <t>mapped sheet id</t>
        </is>
      </c>
      <c r="AP625" t="inlineStr">
        <is>
          <t>p19:native:239, p19:native:240</t>
        </is>
      </c>
      <c r="AQ625" t="n">
        <v>2</v>
      </c>
    </row>
    <row r="626">
      <c r="A626" s="203">
        <f>ROW()-1</f>
        <v/>
      </c>
      <c r="B626" s="128" t="inlineStr">
        <is>
          <t>RL7-PMP-208-ZSO-01</t>
        </is>
      </c>
      <c r="C626" s="314" t="inlineStr">
        <is>
          <t>RL7-PMP-208-ZSO-01</t>
        </is>
      </c>
      <c r="D626" s="262" t="n"/>
      <c r="E626" s="128" t="n"/>
      <c r="F626" s="138" t="inlineStr">
        <is>
          <t>COOLING WATER JACKET CHS VALVE OPEN LIMIT SWITCH</t>
        </is>
      </c>
      <c r="G626" s="131" t="inlineStr">
        <is>
          <t>DG7033</t>
        </is>
      </c>
      <c r="H626" s="128" t="inlineStr">
        <is>
          <t>CHILL</t>
        </is>
      </c>
      <c r="I626" s="132" t="inlineStr">
        <is>
          <t>RL7-SERP-RIO1</t>
        </is>
      </c>
      <c r="J626" s="133" t="n">
        <v>15</v>
      </c>
      <c r="K626" s="129" t="n">
        <v>3</v>
      </c>
      <c r="L626" s="129" t="n">
        <v>14</v>
      </c>
      <c r="M626" s="129" t="inlineStr">
        <is>
          <t>24 VDC DI</t>
        </is>
      </c>
      <c r="N626" s="129" t="inlineStr">
        <is>
          <t>5069-IB16</t>
        </is>
      </c>
      <c r="O626" s="139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40" t="n"/>
      <c r="AA626" t="inlineStr">
        <is>
          <t>Matched</t>
        </is>
      </c>
      <c r="AB626" s="315" t="n">
        <v>0.99</v>
      </c>
      <c r="AC626" t="inlineStr">
        <is>
          <t>High</t>
        </is>
      </c>
      <c r="AD626" t="n">
        <v>1</v>
      </c>
      <c r="AE626" t="inlineStr">
        <is>
          <t>DG7033</t>
        </is>
      </c>
      <c r="AF626" t="n">
        <v>19</v>
      </c>
      <c r="AG626" t="inlineStr">
        <is>
          <t>drawing</t>
        </is>
      </c>
      <c r="AH626" t="inlineStr">
        <is>
          <t>stacked:isa</t>
        </is>
      </c>
      <c r="AI626" t="inlineStr">
        <is>
          <t>drawing zone; process page; mapped sheet; excel sheet match</t>
        </is>
      </c>
      <c r="AJ626" t="inlineStr">
        <is>
          <t>native</t>
        </is>
      </c>
      <c r="AK626" t="inlineStr">
        <is>
          <t>native-only</t>
        </is>
      </c>
      <c r="AM626" t="inlineStr">
        <is>
          <t>19</t>
        </is>
      </c>
      <c r="AN626" t="inlineStr">
        <is>
          <t>Yes</t>
        </is>
      </c>
      <c r="AO626" t="inlineStr">
        <is>
          <t>mapped sheet id</t>
        </is>
      </c>
      <c r="AP626" t="inlineStr">
        <is>
          <t>p19:native:220, p19:native:221</t>
        </is>
      </c>
      <c r="AQ626" t="n">
        <v>2</v>
      </c>
    </row>
    <row r="627">
      <c r="A627" s="203">
        <f>ROW()-1</f>
        <v/>
      </c>
      <c r="B627" s="128" t="inlineStr">
        <is>
          <t>RL7-PMP-208-ZSC-01</t>
        </is>
      </c>
      <c r="C627" s="314" t="inlineStr">
        <is>
          <t>RL7-PMP-208-ZSC-01</t>
        </is>
      </c>
      <c r="D627" s="262" t="n"/>
      <c r="E627" s="128" t="n"/>
      <c r="F627" s="138" t="inlineStr">
        <is>
          <t>COOLING WATER JACKET CHS VALVE CLOSED LIMIT SWITCH</t>
        </is>
      </c>
      <c r="G627" s="131" t="inlineStr">
        <is>
          <t>DG7033</t>
        </is>
      </c>
      <c r="H627" s="128" t="inlineStr">
        <is>
          <t>CHILL</t>
        </is>
      </c>
      <c r="I627" s="132" t="inlineStr">
        <is>
          <t>RL7-SERP-RIO1</t>
        </is>
      </c>
      <c r="J627" s="133" t="n">
        <v>15</v>
      </c>
      <c r="K627" s="129" t="n">
        <v>3</v>
      </c>
      <c r="L627" s="129" t="n">
        <v>15</v>
      </c>
      <c r="M627" s="129" t="inlineStr">
        <is>
          <t>24 VDC DI</t>
        </is>
      </c>
      <c r="N627" s="129" t="inlineStr">
        <is>
          <t>5069-IB16</t>
        </is>
      </c>
      <c r="O627" s="139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53" t="n"/>
      <c r="AA627" t="inlineStr">
        <is>
          <t>Matched</t>
        </is>
      </c>
      <c r="AB627" s="315" t="n">
        <v>0.99</v>
      </c>
      <c r="AC627" t="inlineStr">
        <is>
          <t>High</t>
        </is>
      </c>
      <c r="AD627" t="n">
        <v>1</v>
      </c>
      <c r="AE627" t="inlineStr">
        <is>
          <t>DG7033</t>
        </is>
      </c>
      <c r="AF627" t="n">
        <v>19</v>
      </c>
      <c r="AG627" t="inlineStr">
        <is>
          <t>drawing</t>
        </is>
      </c>
      <c r="AH627" t="inlineStr">
        <is>
          <t>stacked:isa</t>
        </is>
      </c>
      <c r="AI627" t="inlineStr">
        <is>
          <t>drawing zone; process page; mapped sheet; excel sheet match</t>
        </is>
      </c>
      <c r="AJ627" t="inlineStr">
        <is>
          <t>native</t>
        </is>
      </c>
      <c r="AK627" t="inlineStr">
        <is>
          <t>native-only</t>
        </is>
      </c>
      <c r="AM627" t="inlineStr">
        <is>
          <t>19</t>
        </is>
      </c>
      <c r="AN627" t="inlineStr">
        <is>
          <t>Yes</t>
        </is>
      </c>
      <c r="AO627" t="inlineStr">
        <is>
          <t>mapped sheet id</t>
        </is>
      </c>
      <c r="AP627" t="inlineStr">
        <is>
          <t>p19:native:218, p19:native:219</t>
        </is>
      </c>
      <c r="AQ627" t="n">
        <v>2</v>
      </c>
    </row>
    <row r="628">
      <c r="A628" s="203">
        <f>ROW()-1</f>
        <v/>
      </c>
      <c r="B628" s="128" t="inlineStr">
        <is>
          <t>RL7-FTR-205-ZSO-01</t>
        </is>
      </c>
      <c r="C628" s="314" t="inlineStr">
        <is>
          <t>RL7-FTR-205-ZSO-01</t>
        </is>
      </c>
      <c r="D628" s="262" t="n"/>
      <c r="E628" s="128" t="n"/>
      <c r="F628" s="138" t="inlineStr">
        <is>
          <t>SERPENTINE ZONE 2A FILTER PURGE VALVE OPEN LIMIT SWITCH</t>
        </is>
      </c>
      <c r="G628" s="131" t="inlineStr">
        <is>
          <t>DG7033</t>
        </is>
      </c>
      <c r="H628" s="128" t="inlineStr">
        <is>
          <t>CHILL</t>
        </is>
      </c>
      <c r="I628" s="132" t="inlineStr">
        <is>
          <t>RL7-SERP-RIO1</t>
        </is>
      </c>
      <c r="J628" s="133" t="n">
        <v>15</v>
      </c>
      <c r="K628" s="129" t="n">
        <v>4</v>
      </c>
      <c r="L628" s="129" t="n">
        <v>0</v>
      </c>
      <c r="M628" s="129" t="inlineStr">
        <is>
          <t>24 VDC DI</t>
        </is>
      </c>
      <c r="N628" s="129" t="inlineStr">
        <is>
          <t>5069-IB16</t>
        </is>
      </c>
      <c r="O628" s="139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40" t="n"/>
      <c r="AA628" t="inlineStr">
        <is>
          <t>Matched</t>
        </is>
      </c>
      <c r="AB628" s="315" t="n">
        <v>0.99</v>
      </c>
      <c r="AC628" t="inlineStr">
        <is>
          <t>High</t>
        </is>
      </c>
      <c r="AD628" t="n">
        <v>1</v>
      </c>
      <c r="AE628" t="inlineStr">
        <is>
          <t>DG7033</t>
        </is>
      </c>
      <c r="AF628" t="n">
        <v>19</v>
      </c>
      <c r="AG628" t="inlineStr">
        <is>
          <t>drawing</t>
        </is>
      </c>
      <c r="AH628" t="inlineStr">
        <is>
          <t>stacked:isa</t>
        </is>
      </c>
      <c r="AI628" t="inlineStr">
        <is>
          <t>drawing zone; process page; mapped sheet; excel sheet match</t>
        </is>
      </c>
      <c r="AJ628" t="inlineStr">
        <is>
          <t>native</t>
        </is>
      </c>
      <c r="AK628" t="inlineStr">
        <is>
          <t>native-only</t>
        </is>
      </c>
      <c r="AM628" t="inlineStr">
        <is>
          <t>19</t>
        </is>
      </c>
      <c r="AN628" t="inlineStr">
        <is>
          <t>Yes</t>
        </is>
      </c>
      <c r="AO628" t="inlineStr">
        <is>
          <t>mapped sheet id</t>
        </is>
      </c>
      <c r="AP628" t="inlineStr">
        <is>
          <t>p19:native:301, p19:native:302</t>
        </is>
      </c>
      <c r="AQ628" t="n">
        <v>2</v>
      </c>
    </row>
    <row r="629" customFormat="1" s="149">
      <c r="A629" s="203">
        <f>ROW()-1</f>
        <v/>
      </c>
      <c r="B629" s="128" t="inlineStr">
        <is>
          <t>RL7-FTR-205-ZSC-01</t>
        </is>
      </c>
      <c r="C629" s="314" t="inlineStr">
        <is>
          <t>RL7-FTR-205-ZSC-01</t>
        </is>
      </c>
      <c r="D629" s="262" t="n"/>
      <c r="E629" s="128" t="n"/>
      <c r="F629" s="138" t="inlineStr">
        <is>
          <t>SERPENTINE ZONE 2A FILTER PURGE VALVE CLOSED LIMIT SWITCH</t>
        </is>
      </c>
      <c r="G629" s="131" t="inlineStr">
        <is>
          <t>DG7033</t>
        </is>
      </c>
      <c r="H629" s="128" t="inlineStr">
        <is>
          <t>CHILL</t>
        </is>
      </c>
      <c r="I629" s="132" t="inlineStr">
        <is>
          <t>RL7-SERP-RIO1</t>
        </is>
      </c>
      <c r="J629" s="133" t="n">
        <v>15</v>
      </c>
      <c r="K629" s="129" t="n">
        <v>4</v>
      </c>
      <c r="L629" s="129" t="n">
        <v>1</v>
      </c>
      <c r="M629" s="129" t="inlineStr">
        <is>
          <t>24 VDC DI</t>
        </is>
      </c>
      <c r="N629" s="129" t="inlineStr">
        <is>
          <t>5069-IB16</t>
        </is>
      </c>
      <c r="O629" s="139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40" t="n"/>
      <c r="AA629" t="inlineStr">
        <is>
          <t>Matched</t>
        </is>
      </c>
      <c r="AB629" s="315" t="n">
        <v>0.99</v>
      </c>
      <c r="AC629" t="inlineStr">
        <is>
          <t>High</t>
        </is>
      </c>
      <c r="AD629" t="n">
        <v>1</v>
      </c>
      <c r="AE629" t="inlineStr">
        <is>
          <t>DG7033</t>
        </is>
      </c>
      <c r="AF629" t="n">
        <v>19</v>
      </c>
      <c r="AG629" t="inlineStr">
        <is>
          <t>drawing</t>
        </is>
      </c>
      <c r="AH629" t="inlineStr">
        <is>
          <t>stacked:isa</t>
        </is>
      </c>
      <c r="AI629" t="inlineStr">
        <is>
          <t>drawing zone; process page; mapped sheet; excel sheet match</t>
        </is>
      </c>
      <c r="AJ629" t="inlineStr">
        <is>
          <t>native</t>
        </is>
      </c>
      <c r="AK629" t="inlineStr">
        <is>
          <t>native-only</t>
        </is>
      </c>
      <c r="AM629" t="inlineStr">
        <is>
          <t>19</t>
        </is>
      </c>
      <c r="AN629" t="inlineStr">
        <is>
          <t>Yes</t>
        </is>
      </c>
      <c r="AO629" t="inlineStr">
        <is>
          <t>mapped sheet id</t>
        </is>
      </c>
      <c r="AP629" t="inlineStr">
        <is>
          <t>p19:native:303, p19:native:304</t>
        </is>
      </c>
      <c r="AQ629" t="n">
        <v>2</v>
      </c>
    </row>
    <row r="630" customFormat="1" s="149">
      <c r="A630" s="203">
        <f>ROW()-1</f>
        <v/>
      </c>
      <c r="B630" s="128" t="inlineStr">
        <is>
          <t>RL7-CHR-201-PL-01R</t>
        </is>
      </c>
      <c r="C630" s="314" t="inlineStr">
        <is>
          <t>RL7-CHR-201-PL-01R</t>
        </is>
      </c>
      <c r="D630" s="262" t="n"/>
      <c r="E630" s="128" t="n"/>
      <c r="F630" s="138" t="inlineStr">
        <is>
          <t>SERPENTINE RED STACK LIGHT</t>
        </is>
      </c>
      <c r="G630" s="131" t="inlineStr">
        <is>
          <t>DG7033</t>
        </is>
      </c>
      <c r="H630" s="128" t="inlineStr">
        <is>
          <t>CHILL</t>
        </is>
      </c>
      <c r="I630" s="132" t="inlineStr">
        <is>
          <t>RL7-SERP-RIO1</t>
        </is>
      </c>
      <c r="J630" s="133" t="n">
        <v>15</v>
      </c>
      <c r="K630" s="129" t="n">
        <v>5</v>
      </c>
      <c r="L630" s="129" t="n">
        <v>1</v>
      </c>
      <c r="M630" s="129" t="inlineStr">
        <is>
          <t>24 VDC DO</t>
        </is>
      </c>
      <c r="N630" s="129" t="inlineStr">
        <is>
          <t>5069-OB16</t>
        </is>
      </c>
      <c r="O630" s="139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53" t="n"/>
      <c r="AA630" t="inlineStr">
        <is>
          <t>Matched</t>
        </is>
      </c>
      <c r="AB630" s="315" t="n">
        <v>0.99</v>
      </c>
      <c r="AC630" t="inlineStr">
        <is>
          <t>High</t>
        </is>
      </c>
      <c r="AD630" t="n">
        <v>1</v>
      </c>
      <c r="AE630" t="inlineStr">
        <is>
          <t>DG7033</t>
        </is>
      </c>
      <c r="AF630" t="n">
        <v>19</v>
      </c>
      <c r="AG630" t="inlineStr">
        <is>
          <t>drawing</t>
        </is>
      </c>
      <c r="AH630" t="inlineStr">
        <is>
          <t>stacked:isa</t>
        </is>
      </c>
      <c r="AI630" t="inlineStr">
        <is>
          <t>drawing zone; process page; mapped sheet; excel sheet match</t>
        </is>
      </c>
      <c r="AJ630" t="inlineStr">
        <is>
          <t>native</t>
        </is>
      </c>
      <c r="AK630" t="inlineStr">
        <is>
          <t>native-only</t>
        </is>
      </c>
      <c r="AM630" t="inlineStr">
        <is>
          <t>19</t>
        </is>
      </c>
      <c r="AN630" t="inlineStr">
        <is>
          <t>Yes</t>
        </is>
      </c>
      <c r="AO630" t="inlineStr">
        <is>
          <t>mapped sheet id</t>
        </is>
      </c>
      <c r="AP630" t="inlineStr">
        <is>
          <t>p19:native:222, p19:native:223</t>
        </is>
      </c>
      <c r="AQ630" t="n">
        <v>2</v>
      </c>
    </row>
    <row r="631" customFormat="1" s="149">
      <c r="A631" s="203">
        <f>ROW()-1</f>
        <v/>
      </c>
      <c r="B631" s="128" t="inlineStr">
        <is>
          <t>RL7-CHR-201-PL-01Y</t>
        </is>
      </c>
      <c r="C631" s="314" t="inlineStr">
        <is>
          <t>RL7-CHR-201-PL-01Y</t>
        </is>
      </c>
      <c r="D631" s="262" t="n"/>
      <c r="E631" s="128" t="n"/>
      <c r="F631" s="138" t="inlineStr">
        <is>
          <t>SERPENTINE YELLOW STACK LIGHT</t>
        </is>
      </c>
      <c r="G631" s="131" t="inlineStr">
        <is>
          <t>DG7033</t>
        </is>
      </c>
      <c r="H631" s="128" t="inlineStr">
        <is>
          <t>CHILL</t>
        </is>
      </c>
      <c r="I631" s="132" t="inlineStr">
        <is>
          <t>RL7-SERP-RIO1</t>
        </is>
      </c>
      <c r="J631" s="133" t="n">
        <v>15</v>
      </c>
      <c r="K631" s="129" t="n">
        <v>5</v>
      </c>
      <c r="L631" s="129" t="n">
        <v>2</v>
      </c>
      <c r="M631" s="129" t="inlineStr">
        <is>
          <t>24 VDC DO</t>
        </is>
      </c>
      <c r="N631" s="129" t="inlineStr">
        <is>
          <t>5069-OB16</t>
        </is>
      </c>
      <c r="O631" s="139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53" t="n"/>
      <c r="AA631" t="inlineStr">
        <is>
          <t>Matched</t>
        </is>
      </c>
      <c r="AB631" s="315" t="n">
        <v>0.99</v>
      </c>
      <c r="AC631" t="inlineStr">
        <is>
          <t>High</t>
        </is>
      </c>
      <c r="AD631" t="n">
        <v>1</v>
      </c>
      <c r="AE631" t="inlineStr">
        <is>
          <t>DG7033</t>
        </is>
      </c>
      <c r="AF631" t="n">
        <v>19</v>
      </c>
      <c r="AG631" t="inlineStr">
        <is>
          <t>drawing</t>
        </is>
      </c>
      <c r="AH631" t="inlineStr">
        <is>
          <t>stacked:isa</t>
        </is>
      </c>
      <c r="AI631" t="inlineStr">
        <is>
          <t>drawing zone; process page; mapped sheet; excel sheet match</t>
        </is>
      </c>
      <c r="AJ631" t="inlineStr">
        <is>
          <t>native</t>
        </is>
      </c>
      <c r="AK631" t="inlineStr">
        <is>
          <t>native-only</t>
        </is>
      </c>
      <c r="AM631" t="inlineStr">
        <is>
          <t>19</t>
        </is>
      </c>
      <c r="AN631" t="inlineStr">
        <is>
          <t>Yes</t>
        </is>
      </c>
      <c r="AO631" t="inlineStr">
        <is>
          <t>mapped sheet id</t>
        </is>
      </c>
      <c r="AP631" t="inlineStr">
        <is>
          <t>p19:native:224, p19:native:225</t>
        </is>
      </c>
      <c r="AQ631" t="n">
        <v>2</v>
      </c>
    </row>
    <row r="632" customFormat="1" s="149">
      <c r="A632" s="203">
        <f>ROW()-1</f>
        <v/>
      </c>
      <c r="B632" s="128" t="inlineStr">
        <is>
          <t>RL7-CHR-201-PL-01G</t>
        </is>
      </c>
      <c r="C632" s="314" t="inlineStr">
        <is>
          <t>RL7-CHR-201-PL-01G</t>
        </is>
      </c>
      <c r="D632" s="262" t="n"/>
      <c r="E632" s="128" t="n"/>
      <c r="F632" s="138" t="inlineStr">
        <is>
          <t>SERPENTINE GREEN STACK LIGHT</t>
        </is>
      </c>
      <c r="G632" s="131" t="inlineStr">
        <is>
          <t>DG7033</t>
        </is>
      </c>
      <c r="H632" s="128" t="inlineStr">
        <is>
          <t>CHILL</t>
        </is>
      </c>
      <c r="I632" s="132" t="inlineStr">
        <is>
          <t>RL7-SERP-RIO1</t>
        </is>
      </c>
      <c r="J632" s="133" t="n">
        <v>15</v>
      </c>
      <c r="K632" s="129" t="n">
        <v>5</v>
      </c>
      <c r="L632" s="129" t="n">
        <v>3</v>
      </c>
      <c r="M632" s="129" t="inlineStr">
        <is>
          <t>24 VDC DO</t>
        </is>
      </c>
      <c r="N632" s="129" t="inlineStr">
        <is>
          <t>5069-OB16</t>
        </is>
      </c>
      <c r="O632" s="139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53" t="n"/>
      <c r="AA632" t="inlineStr">
        <is>
          <t>Matched</t>
        </is>
      </c>
      <c r="AB632" s="315" t="n">
        <v>0.99</v>
      </c>
      <c r="AC632" t="inlineStr">
        <is>
          <t>High</t>
        </is>
      </c>
      <c r="AD632" t="n">
        <v>1</v>
      </c>
      <c r="AE632" t="inlineStr">
        <is>
          <t>DG7033</t>
        </is>
      </c>
      <c r="AF632" t="n">
        <v>19</v>
      </c>
      <c r="AG632" t="inlineStr">
        <is>
          <t>drawing</t>
        </is>
      </c>
      <c r="AH632" t="inlineStr">
        <is>
          <t>stacked:isa</t>
        </is>
      </c>
      <c r="AI632" t="inlineStr">
        <is>
          <t>drawing zone; process page; mapped sheet; excel sheet match</t>
        </is>
      </c>
      <c r="AJ632" t="inlineStr">
        <is>
          <t>native</t>
        </is>
      </c>
      <c r="AK632" t="inlineStr">
        <is>
          <t>native-only</t>
        </is>
      </c>
      <c r="AM632" t="inlineStr">
        <is>
          <t>19</t>
        </is>
      </c>
      <c r="AN632" t="inlineStr">
        <is>
          <t>Yes</t>
        </is>
      </c>
      <c r="AO632" t="inlineStr">
        <is>
          <t>mapped sheet id</t>
        </is>
      </c>
      <c r="AP632" t="inlineStr">
        <is>
          <t>p19:native:226, p19:native:227</t>
        </is>
      </c>
      <c r="AQ632" t="n">
        <v>2</v>
      </c>
    </row>
    <row r="633" customFormat="1" s="149">
      <c r="A633" s="203">
        <f>ROW()-1</f>
        <v/>
      </c>
      <c r="B633" s="128" t="inlineStr">
        <is>
          <t>RL7-FTR-205-XV-01</t>
        </is>
      </c>
      <c r="C633" s="314" t="inlineStr">
        <is>
          <t>RL7-FTR-205-XV-01</t>
        </is>
      </c>
      <c r="D633" s="262" t="n"/>
      <c r="E633" s="128" t="n"/>
      <c r="F633" s="138" t="inlineStr">
        <is>
          <t>SERPENTINE ZONE 2A FILTER PURGE VALVE OPEN SOLENOID</t>
        </is>
      </c>
      <c r="G633" s="131" t="inlineStr">
        <is>
          <t>DG7033</t>
        </is>
      </c>
      <c r="H633" s="128" t="inlineStr">
        <is>
          <t>CHILL</t>
        </is>
      </c>
      <c r="I633" s="132" t="inlineStr">
        <is>
          <t>RL7-SERP-RIO1</t>
        </is>
      </c>
      <c r="J633" s="133" t="n">
        <v>15</v>
      </c>
      <c r="K633" s="129" t="n">
        <v>5</v>
      </c>
      <c r="L633" s="129" t="n">
        <v>10</v>
      </c>
      <c r="M633" s="129" t="inlineStr">
        <is>
          <t>24 VDC DO</t>
        </is>
      </c>
      <c r="N633" s="129" t="inlineStr">
        <is>
          <t>5069-OB16</t>
        </is>
      </c>
      <c r="O633" s="139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40" t="n"/>
      <c r="AA633" t="inlineStr">
        <is>
          <t>Matched</t>
        </is>
      </c>
      <c r="AB633" s="315" t="n">
        <v>0.99</v>
      </c>
      <c r="AC633" t="inlineStr">
        <is>
          <t>High</t>
        </is>
      </c>
      <c r="AD633" t="n">
        <v>1</v>
      </c>
      <c r="AE633" t="inlineStr">
        <is>
          <t>DG7033</t>
        </is>
      </c>
      <c r="AF633" t="n">
        <v>19</v>
      </c>
      <c r="AG633" t="inlineStr">
        <is>
          <t>drawing</t>
        </is>
      </c>
      <c r="AH633" t="inlineStr">
        <is>
          <t>stacked:isa</t>
        </is>
      </c>
      <c r="AI633" t="inlineStr">
        <is>
          <t>drawing zone; process page; mapped sheet; excel sheet match</t>
        </is>
      </c>
      <c r="AJ633" t="inlineStr">
        <is>
          <t>native</t>
        </is>
      </c>
      <c r="AK633" t="inlineStr">
        <is>
          <t>native-only</t>
        </is>
      </c>
      <c r="AM633" t="inlineStr">
        <is>
          <t>19</t>
        </is>
      </c>
      <c r="AN633" t="inlineStr">
        <is>
          <t>Yes</t>
        </is>
      </c>
      <c r="AO633" t="inlineStr">
        <is>
          <t>mapped sheet id</t>
        </is>
      </c>
      <c r="AP633" t="inlineStr">
        <is>
          <t>p19:native:299, p19:native:300</t>
        </is>
      </c>
      <c r="AQ633" t="n">
        <v>2</v>
      </c>
    </row>
    <row r="634">
      <c r="A634" s="203">
        <f>ROW()-1</f>
        <v/>
      </c>
      <c r="B634" s="129" t="inlineStr">
        <is>
          <t>RL7-PMP-210-XC-01</t>
        </is>
      </c>
      <c r="C634" s="314" t="inlineStr">
        <is>
          <t>RL7-PMP-210-XC-01</t>
        </is>
      </c>
      <c r="D634" s="262" t="n"/>
      <c r="E634" s="128" t="n"/>
      <c r="F634" s="4" t="inlineStr">
        <is>
          <t>ZONE 1 DOSING PUMP REMOTE START / STOP</t>
        </is>
      </c>
      <c r="G634" s="131" t="inlineStr">
        <is>
          <t>DG7033</t>
        </is>
      </c>
      <c r="H634" s="128" t="inlineStr">
        <is>
          <t>CHILL</t>
        </is>
      </c>
      <c r="I634" s="132" t="inlineStr">
        <is>
          <t>RL7-SERP-RIO1</t>
        </is>
      </c>
      <c r="J634" s="133" t="n">
        <v>15</v>
      </c>
      <c r="K634" s="129" t="n">
        <v>5</v>
      </c>
      <c r="L634" s="129" t="n">
        <v>11</v>
      </c>
      <c r="M634" s="129" t="inlineStr">
        <is>
          <t>24 VDC DO</t>
        </is>
      </c>
      <c r="N634" s="129" t="inlineStr">
        <is>
          <t>5069-OB16</t>
        </is>
      </c>
      <c r="O634" s="139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47" t="n"/>
      <c r="AA634" t="inlineStr">
        <is>
          <t>Matched</t>
        </is>
      </c>
      <c r="AB634" s="315" t="n">
        <v>0.99</v>
      </c>
      <c r="AC634" t="inlineStr">
        <is>
          <t>High</t>
        </is>
      </c>
      <c r="AD634" t="n">
        <v>1</v>
      </c>
      <c r="AE634" t="inlineStr">
        <is>
          <t>DG7033</t>
        </is>
      </c>
      <c r="AF634" t="n">
        <v>19</v>
      </c>
      <c r="AG634" t="inlineStr">
        <is>
          <t>drawing</t>
        </is>
      </c>
      <c r="AH634" t="inlineStr">
        <is>
          <t>stacked:isa</t>
        </is>
      </c>
      <c r="AI634" t="inlineStr">
        <is>
          <t>drawing zone; process page; mapped sheet; excel sheet match</t>
        </is>
      </c>
      <c r="AJ634" t="inlineStr">
        <is>
          <t>native</t>
        </is>
      </c>
      <c r="AK634" t="inlineStr">
        <is>
          <t>native-only</t>
        </is>
      </c>
      <c r="AM634" t="inlineStr">
        <is>
          <t>19</t>
        </is>
      </c>
      <c r="AN634" t="inlineStr">
        <is>
          <t>Yes</t>
        </is>
      </c>
      <c r="AO634" t="inlineStr">
        <is>
          <t>mapped sheet id</t>
        </is>
      </c>
      <c r="AP634" t="inlineStr">
        <is>
          <t>p19:native:328, p19:native:329</t>
        </is>
      </c>
      <c r="AQ634" t="n">
        <v>2</v>
      </c>
    </row>
    <row r="635">
      <c r="A635" s="203">
        <f>ROW()-1</f>
        <v/>
      </c>
      <c r="B635" s="129" t="inlineStr">
        <is>
          <t>RL7-PMP-209-XC-01</t>
        </is>
      </c>
      <c r="C635" s="314" t="inlineStr">
        <is>
          <t>RL7-PMP-209-XC-01</t>
        </is>
      </c>
      <c r="D635" s="262" t="n"/>
      <c r="E635" s="128" t="n"/>
      <c r="F635" s="4" t="inlineStr">
        <is>
          <t>ZONE 2 DOSING PUMP REMOTE START / STOP</t>
        </is>
      </c>
      <c r="G635" s="131" t="inlineStr">
        <is>
          <t>DG7033</t>
        </is>
      </c>
      <c r="H635" s="128" t="inlineStr">
        <is>
          <t>CHILL</t>
        </is>
      </c>
      <c r="I635" s="132" t="inlineStr">
        <is>
          <t>RL7-SERP-RIO1</t>
        </is>
      </c>
      <c r="J635" s="133" t="n">
        <v>15</v>
      </c>
      <c r="K635" s="129" t="n">
        <v>5</v>
      </c>
      <c r="L635" s="129" t="n">
        <v>12</v>
      </c>
      <c r="M635" s="129" t="inlineStr">
        <is>
          <t>24 VDC DO</t>
        </is>
      </c>
      <c r="N635" s="129" t="inlineStr">
        <is>
          <t>5069-OB16</t>
        </is>
      </c>
      <c r="O635" s="139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47" t="n"/>
      <c r="AA635" t="inlineStr">
        <is>
          <t>Matched</t>
        </is>
      </c>
      <c r="AB635" s="315" t="n">
        <v>0.99</v>
      </c>
      <c r="AC635" t="inlineStr">
        <is>
          <t>High</t>
        </is>
      </c>
      <c r="AD635" t="n">
        <v>1</v>
      </c>
      <c r="AE635" t="inlineStr">
        <is>
          <t>DG7033</t>
        </is>
      </c>
      <c r="AF635" t="n">
        <v>19</v>
      </c>
      <c r="AG635" t="inlineStr">
        <is>
          <t>drawing</t>
        </is>
      </c>
      <c r="AH635" t="inlineStr">
        <is>
          <t>stacked:isa</t>
        </is>
      </c>
      <c r="AI635" t="inlineStr">
        <is>
          <t>drawing zone; process page; mapped sheet; excel sheet match</t>
        </is>
      </c>
      <c r="AJ635" t="inlineStr">
        <is>
          <t>native</t>
        </is>
      </c>
      <c r="AK635" t="inlineStr">
        <is>
          <t>native-only</t>
        </is>
      </c>
      <c r="AM635" t="inlineStr">
        <is>
          <t>19</t>
        </is>
      </c>
      <c r="AN635" t="inlineStr">
        <is>
          <t>Yes</t>
        </is>
      </c>
      <c r="AO635" t="inlineStr">
        <is>
          <t>mapped sheet id</t>
        </is>
      </c>
      <c r="AP635" t="inlineStr">
        <is>
          <t>p19:native:326, p19:native:327</t>
        </is>
      </c>
      <c r="AQ635" t="n">
        <v>2</v>
      </c>
    </row>
    <row r="636">
      <c r="A636" s="203">
        <f>ROW()-1</f>
        <v/>
      </c>
      <c r="B636" s="128" t="inlineStr">
        <is>
          <t>RL7-CHR-201-PBL-02</t>
        </is>
      </c>
      <c r="C636" s="313" t="inlineStr">
        <is>
          <t>RL7-CHR-201-PBL-01</t>
        </is>
      </c>
      <c r="D636" s="262" t="n"/>
      <c r="E636" s="128" t="n"/>
      <c r="F636" s="141" t="inlineStr">
        <is>
          <t xml:space="preserve">SERPENTINE E-STOP 1 PB LIGHT </t>
        </is>
      </c>
      <c r="G636" s="131" t="inlineStr">
        <is>
          <t>DG7033</t>
        </is>
      </c>
      <c r="H636" s="128" t="inlineStr">
        <is>
          <t>CHILL</t>
        </is>
      </c>
      <c r="I636" s="132" t="inlineStr">
        <is>
          <t>RL7-SERP-RIO1</t>
        </is>
      </c>
      <c r="J636" s="133" t="n">
        <v>15</v>
      </c>
      <c r="K636" s="129" t="n">
        <v>5</v>
      </c>
      <c r="L636" s="129" t="n">
        <v>13</v>
      </c>
      <c r="M636" s="129" t="inlineStr">
        <is>
          <t>24 VDC DO</t>
        </is>
      </c>
      <c r="N636" s="129" t="inlineStr">
        <is>
          <t>5069-OB16</t>
        </is>
      </c>
      <c r="O636" s="139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53" t="n"/>
      <c r="AA636" t="inlineStr">
        <is>
          <t>Not found in PDF</t>
        </is>
      </c>
      <c r="AC636" t="inlineStr">
        <is>
          <t>Low</t>
        </is>
      </c>
      <c r="AM636" t="inlineStr">
        <is>
          <t>19</t>
        </is>
      </c>
      <c r="AN636" t="inlineStr">
        <is>
          <t>Yes</t>
        </is>
      </c>
      <c r="AO636" t="inlineStr">
        <is>
          <t>mapped sheet id</t>
        </is>
      </c>
    </row>
    <row r="637">
      <c r="A637" s="203">
        <f>ROW()-1</f>
        <v/>
      </c>
      <c r="B637" s="128" t="inlineStr">
        <is>
          <t>RL7-CHR-201-PBL-04</t>
        </is>
      </c>
      <c r="C637" s="313" t="inlineStr">
        <is>
          <t>RL7-CHR-201-PBL-02</t>
        </is>
      </c>
      <c r="D637" s="262" t="n"/>
      <c r="E637" s="128" t="n"/>
      <c r="F637" s="141" t="inlineStr">
        <is>
          <t xml:space="preserve">SERPENTINE E-STOP 2 PB LIGHT </t>
        </is>
      </c>
      <c r="G637" s="131" t="inlineStr">
        <is>
          <t>DG7033</t>
        </is>
      </c>
      <c r="H637" s="128" t="inlineStr">
        <is>
          <t>CHILL</t>
        </is>
      </c>
      <c r="I637" s="132" t="inlineStr">
        <is>
          <t>RL7-SERP-RIO1</t>
        </is>
      </c>
      <c r="J637" s="133" t="n">
        <v>15</v>
      </c>
      <c r="K637" s="129" t="n">
        <v>5</v>
      </c>
      <c r="L637" s="129" t="n">
        <v>15</v>
      </c>
      <c r="M637" s="129" t="inlineStr">
        <is>
          <t>24 VDC DO</t>
        </is>
      </c>
      <c r="N637" s="129" t="inlineStr">
        <is>
          <t>5069-OB16</t>
        </is>
      </c>
      <c r="O637" s="139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53" t="n"/>
      <c r="AA637" t="inlineStr">
        <is>
          <t>Not found in PDF</t>
        </is>
      </c>
      <c r="AC637" t="inlineStr">
        <is>
          <t>Low</t>
        </is>
      </c>
      <c r="AM637" t="inlineStr">
        <is>
          <t>19</t>
        </is>
      </c>
      <c r="AN637" t="inlineStr">
        <is>
          <t>Yes</t>
        </is>
      </c>
      <c r="AO637" t="inlineStr">
        <is>
          <t>mapped sheet id</t>
        </is>
      </c>
    </row>
    <row r="638">
      <c r="A638" s="203">
        <f>ROW()-1</f>
        <v/>
      </c>
      <c r="B638" s="128" t="inlineStr">
        <is>
          <t>RL7-PMP-208-XV-01</t>
        </is>
      </c>
      <c r="C638" s="314" t="inlineStr">
        <is>
          <t>RL7-PMP-208-XV-01</t>
        </is>
      </c>
      <c r="D638" s="262" t="n"/>
      <c r="E638" s="128" t="n"/>
      <c r="F638" s="138" t="inlineStr">
        <is>
          <t>COOLING WATER JACKET CHS VALVE OPEN SOLENOID</t>
        </is>
      </c>
      <c r="G638" s="131" t="inlineStr">
        <is>
          <t>DG7033</t>
        </is>
      </c>
      <c r="H638" s="128" t="inlineStr">
        <is>
          <t>CHILL</t>
        </is>
      </c>
      <c r="I638" s="132" t="inlineStr">
        <is>
          <t>RL7-SERP-RIO1</t>
        </is>
      </c>
      <c r="J638" s="133" t="n">
        <v>15</v>
      </c>
      <c r="K638" s="129" t="n">
        <v>6</v>
      </c>
      <c r="L638" s="129" t="n">
        <v>3</v>
      </c>
      <c r="M638" s="129" t="inlineStr">
        <is>
          <t>24 VDC DO</t>
        </is>
      </c>
      <c r="N638" s="129" t="inlineStr">
        <is>
          <t>5069-OB16</t>
        </is>
      </c>
      <c r="O638" s="139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53" t="n"/>
      <c r="AA638" t="inlineStr">
        <is>
          <t>Matched</t>
        </is>
      </c>
      <c r="AB638" s="315" t="n">
        <v>0.99</v>
      </c>
      <c r="AC638" t="inlineStr">
        <is>
          <t>High</t>
        </is>
      </c>
      <c r="AD638" t="n">
        <v>1</v>
      </c>
      <c r="AE638" t="inlineStr">
        <is>
          <t>DG7033</t>
        </is>
      </c>
      <c r="AF638" t="n">
        <v>19</v>
      </c>
      <c r="AG638" t="inlineStr">
        <is>
          <t>drawing</t>
        </is>
      </c>
      <c r="AH638" t="inlineStr">
        <is>
          <t>stacked:isa</t>
        </is>
      </c>
      <c r="AI638" t="inlineStr">
        <is>
          <t>drawing zone; process page; mapped sheet; excel sheet match</t>
        </is>
      </c>
      <c r="AJ638" t="inlineStr">
        <is>
          <t>native</t>
        </is>
      </c>
      <c r="AK638" t="inlineStr">
        <is>
          <t>native-only</t>
        </is>
      </c>
      <c r="AM638" t="inlineStr">
        <is>
          <t>19</t>
        </is>
      </c>
      <c r="AN638" t="inlineStr">
        <is>
          <t>Yes</t>
        </is>
      </c>
      <c r="AO638" t="inlineStr">
        <is>
          <t>mapped sheet id</t>
        </is>
      </c>
      <c r="AP638" t="inlineStr">
        <is>
          <t>p19:native:216, p19:native:217</t>
        </is>
      </c>
      <c r="AQ638" t="n">
        <v>2</v>
      </c>
    </row>
    <row r="639">
      <c r="A639" s="203">
        <f>ROW()-1</f>
        <v/>
      </c>
      <c r="B639" s="128" t="inlineStr">
        <is>
          <t>RL7-CHR-201-PIT-01</t>
        </is>
      </c>
      <c r="C639" s="314" t="inlineStr">
        <is>
          <t>RL7-CHR-201-PIT-01</t>
        </is>
      </c>
      <c r="D639" s="262" t="n"/>
      <c r="E639" s="128" t="n"/>
      <c r="F639" s="138" t="inlineStr">
        <is>
          <t>SERPENTINE ZONE 1 LEVEL</t>
        </is>
      </c>
      <c r="G639" s="131" t="inlineStr">
        <is>
          <t>DG7033</t>
        </is>
      </c>
      <c r="H639" s="128" t="inlineStr">
        <is>
          <t>CHILL</t>
        </is>
      </c>
      <c r="I639" s="132" t="inlineStr">
        <is>
          <t>RL7-SERP-RIO1</t>
        </is>
      </c>
      <c r="J639" s="133" t="n">
        <v>15</v>
      </c>
      <c r="K639" s="129" t="n">
        <v>7</v>
      </c>
      <c r="L639" s="129" t="n">
        <v>0</v>
      </c>
      <c r="M639" s="129" t="inlineStr">
        <is>
          <t>4-20 mA AI</t>
        </is>
      </c>
      <c r="N639" s="129" t="inlineStr">
        <is>
          <t>5069-IF8</t>
        </is>
      </c>
      <c r="O639" s="139" t="inlineStr">
        <is>
          <t>0 - 1 PSI</t>
        </is>
      </c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53" t="n"/>
      <c r="AA639" t="inlineStr">
        <is>
          <t>Matched</t>
        </is>
      </c>
      <c r="AB639" s="315" t="n">
        <v>0.99</v>
      </c>
      <c r="AC639" t="inlineStr">
        <is>
          <t>High</t>
        </is>
      </c>
      <c r="AD639" t="n">
        <v>1</v>
      </c>
      <c r="AE639" t="inlineStr">
        <is>
          <t>DG7033</t>
        </is>
      </c>
      <c r="AF639" t="n">
        <v>19</v>
      </c>
      <c r="AG639" t="inlineStr">
        <is>
          <t>drawing</t>
        </is>
      </c>
      <c r="AH639" t="inlineStr">
        <is>
          <t>stacked:isa</t>
        </is>
      </c>
      <c r="AI639" t="inlineStr">
        <is>
          <t>drawing zone; process page; mapped sheet; excel sheet match</t>
        </is>
      </c>
      <c r="AJ639" t="inlineStr">
        <is>
          <t>native</t>
        </is>
      </c>
      <c r="AK639" t="inlineStr">
        <is>
          <t>native-only</t>
        </is>
      </c>
      <c r="AM639" t="inlineStr">
        <is>
          <t>19</t>
        </is>
      </c>
      <c r="AN639" t="inlineStr">
        <is>
          <t>Yes</t>
        </is>
      </c>
      <c r="AO639" t="inlineStr">
        <is>
          <t>mapped sheet id</t>
        </is>
      </c>
      <c r="AP639" t="inlineStr">
        <is>
          <t>p19:native:395, p19:native:396</t>
        </is>
      </c>
      <c r="AQ639" t="n">
        <v>2</v>
      </c>
    </row>
    <row r="640">
      <c r="A640" s="203">
        <f>ROW()-1</f>
        <v/>
      </c>
      <c r="B640" s="128" t="inlineStr">
        <is>
          <t>RL7-CHR-201-TIT-01</t>
        </is>
      </c>
      <c r="C640" s="314" t="inlineStr">
        <is>
          <t>RL7-CHR-201-TIT-01</t>
        </is>
      </c>
      <c r="D640" s="262" t="n"/>
      <c r="E640" s="128" t="n"/>
      <c r="F640" s="138" t="inlineStr">
        <is>
          <t xml:space="preserve">SERPENTINE ZONE 1 SUMP TEMPERATURE  </t>
        </is>
      </c>
      <c r="G640" s="131" t="inlineStr">
        <is>
          <t>DG7033</t>
        </is>
      </c>
      <c r="H640" s="128" t="inlineStr">
        <is>
          <t>CHILL</t>
        </is>
      </c>
      <c r="I640" s="132" t="inlineStr">
        <is>
          <t>RL7-SERP-RIO1</t>
        </is>
      </c>
      <c r="J640" s="133" t="n">
        <v>15</v>
      </c>
      <c r="K640" s="129" t="n">
        <v>7</v>
      </c>
      <c r="L640" s="129" t="n">
        <v>1</v>
      </c>
      <c r="M640" s="129" t="inlineStr">
        <is>
          <t>4-20 mA AI</t>
        </is>
      </c>
      <c r="N640" s="129" t="inlineStr">
        <is>
          <t>5069-IF8</t>
        </is>
      </c>
      <c r="O640" s="139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53" t="n"/>
      <c r="AA640" t="inlineStr">
        <is>
          <t>Matched</t>
        </is>
      </c>
      <c r="AB640" s="315" t="n">
        <v>0.99</v>
      </c>
      <c r="AC640" t="inlineStr">
        <is>
          <t>High</t>
        </is>
      </c>
      <c r="AD640" t="n">
        <v>1</v>
      </c>
      <c r="AE640" t="inlineStr">
        <is>
          <t>DG7033</t>
        </is>
      </c>
      <c r="AF640" t="n">
        <v>19</v>
      </c>
      <c r="AG640" t="inlineStr">
        <is>
          <t>drawing</t>
        </is>
      </c>
      <c r="AH640" t="inlineStr">
        <is>
          <t>stacked:isa</t>
        </is>
      </c>
      <c r="AI640" t="inlineStr">
        <is>
          <t>drawing zone; process page; mapped sheet; excel sheet match</t>
        </is>
      </c>
      <c r="AJ640" t="inlineStr">
        <is>
          <t>native</t>
        </is>
      </c>
      <c r="AK640" t="inlineStr">
        <is>
          <t>native-only</t>
        </is>
      </c>
      <c r="AM640" t="inlineStr">
        <is>
          <t>19</t>
        </is>
      </c>
      <c r="AN640" t="inlineStr">
        <is>
          <t>Yes</t>
        </is>
      </c>
      <c r="AO640" t="inlineStr">
        <is>
          <t>mapped sheet id</t>
        </is>
      </c>
      <c r="AP640" t="inlineStr">
        <is>
          <t>p19:native:397, p19:native:398</t>
        </is>
      </c>
      <c r="AQ640" t="n">
        <v>2</v>
      </c>
    </row>
    <row r="641">
      <c r="A641" s="203">
        <f>ROW()-1</f>
        <v/>
      </c>
      <c r="B641" s="128" t="inlineStr">
        <is>
          <t>RL7-PMP-203-PIT-01</t>
        </is>
      </c>
      <c r="C641" s="314" t="inlineStr">
        <is>
          <t>RL7-PMP-203-PIT-01</t>
        </is>
      </c>
      <c r="D641" s="262" t="n"/>
      <c r="E641" s="128" t="n"/>
      <c r="F641" s="138" t="inlineStr">
        <is>
          <t>SERPENTINE ZONE 1 CHR PRESSURE</t>
        </is>
      </c>
      <c r="G641" s="131" t="inlineStr">
        <is>
          <t>DG7033</t>
        </is>
      </c>
      <c r="H641" s="128" t="inlineStr">
        <is>
          <t>CHILL</t>
        </is>
      </c>
      <c r="I641" s="132" t="inlineStr">
        <is>
          <t>RL7-SERP-RIO1</t>
        </is>
      </c>
      <c r="J641" s="133" t="n">
        <v>15</v>
      </c>
      <c r="K641" s="129" t="n">
        <v>7</v>
      </c>
      <c r="L641" s="129" t="n">
        <v>2</v>
      </c>
      <c r="M641" s="129" t="inlineStr">
        <is>
          <t>4-20 mA AI</t>
        </is>
      </c>
      <c r="N641" s="129" t="inlineStr">
        <is>
          <t>5069-IF8</t>
        </is>
      </c>
      <c r="O641" s="139" t="inlineStr">
        <is>
          <t>0 - 150 PSI</t>
        </is>
      </c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53" t="n"/>
      <c r="AA641" t="inlineStr">
        <is>
          <t>Matched</t>
        </is>
      </c>
      <c r="AB641" s="315" t="n">
        <v>0.99</v>
      </c>
      <c r="AC641" t="inlineStr">
        <is>
          <t>High</t>
        </is>
      </c>
      <c r="AD641" t="n">
        <v>1</v>
      </c>
      <c r="AE641" t="inlineStr">
        <is>
          <t>DG7033</t>
        </is>
      </c>
      <c r="AF641" t="n">
        <v>19</v>
      </c>
      <c r="AG641" t="inlineStr">
        <is>
          <t>drawing</t>
        </is>
      </c>
      <c r="AH641" t="inlineStr">
        <is>
          <t>stacked:isa</t>
        </is>
      </c>
      <c r="AI641" t="inlineStr">
        <is>
          <t>drawing zone; process page; mapped sheet; excel sheet match</t>
        </is>
      </c>
      <c r="AJ641" t="inlineStr">
        <is>
          <t>native</t>
        </is>
      </c>
      <c r="AK641" t="inlineStr">
        <is>
          <t>native-only</t>
        </is>
      </c>
      <c r="AM641" t="inlineStr">
        <is>
          <t>19</t>
        </is>
      </c>
      <c r="AN641" t="inlineStr">
        <is>
          <t>Yes</t>
        </is>
      </c>
      <c r="AO641" t="inlineStr">
        <is>
          <t>mapped sheet id</t>
        </is>
      </c>
      <c r="AP641" t="inlineStr">
        <is>
          <t>p19:native:6, p19:native:7</t>
        </is>
      </c>
      <c r="AQ641" t="n">
        <v>2</v>
      </c>
    </row>
    <row r="642" customFormat="1" s="149">
      <c r="A642" s="203">
        <f>ROW()-1</f>
        <v/>
      </c>
      <c r="B642" s="128" t="inlineStr">
        <is>
          <t>RL7-PMP-204-PIT-01</t>
        </is>
      </c>
      <c r="C642" s="314" t="inlineStr">
        <is>
          <t>RL7-PMP-204-PIT-01</t>
        </is>
      </c>
      <c r="D642" s="262" t="n"/>
      <c r="E642" s="128" t="n"/>
      <c r="F642" s="138" t="inlineStr">
        <is>
          <t>SERPENTINE ZONE 2A RECIRC PRESSURE</t>
        </is>
      </c>
      <c r="G642" s="131" t="inlineStr">
        <is>
          <t>DG7033</t>
        </is>
      </c>
      <c r="H642" s="128" t="inlineStr">
        <is>
          <t>CHILL</t>
        </is>
      </c>
      <c r="I642" s="132" t="inlineStr">
        <is>
          <t>RL7-SERP-RIO1</t>
        </is>
      </c>
      <c r="J642" s="133" t="n">
        <v>15</v>
      </c>
      <c r="K642" s="129" t="n">
        <v>7</v>
      </c>
      <c r="L642" s="129" t="n">
        <v>3</v>
      </c>
      <c r="M642" s="129" t="inlineStr">
        <is>
          <t>4-20 mA AI</t>
        </is>
      </c>
      <c r="N642" s="129" t="inlineStr">
        <is>
          <t>5069-IF8</t>
        </is>
      </c>
      <c r="O642" s="139" t="inlineStr">
        <is>
          <t>0 - 150 PSI</t>
        </is>
      </c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53" t="n"/>
      <c r="AA642" t="inlineStr">
        <is>
          <t>Matched</t>
        </is>
      </c>
      <c r="AB642" s="315" t="n">
        <v>0.99</v>
      </c>
      <c r="AC642" t="inlineStr">
        <is>
          <t>High</t>
        </is>
      </c>
      <c r="AD642" t="n">
        <v>1</v>
      </c>
      <c r="AE642" t="inlineStr">
        <is>
          <t>DG7033</t>
        </is>
      </c>
      <c r="AF642" t="n">
        <v>19</v>
      </c>
      <c r="AG642" t="inlineStr">
        <is>
          <t>drawing</t>
        </is>
      </c>
      <c r="AH642" t="inlineStr">
        <is>
          <t>stacked:isa</t>
        </is>
      </c>
      <c r="AI642" t="inlineStr">
        <is>
          <t>drawing zone; process page; mapped sheet; excel sheet match</t>
        </is>
      </c>
      <c r="AJ642" t="inlineStr">
        <is>
          <t>native</t>
        </is>
      </c>
      <c r="AK642" t="inlineStr">
        <is>
          <t>native-only</t>
        </is>
      </c>
      <c r="AM642" t="inlineStr">
        <is>
          <t>19</t>
        </is>
      </c>
      <c r="AN642" t="inlineStr">
        <is>
          <t>Yes</t>
        </is>
      </c>
      <c r="AO642" t="inlineStr">
        <is>
          <t>mapped sheet id</t>
        </is>
      </c>
      <c r="AP642" t="inlineStr">
        <is>
          <t>p19:native:4, p19:native:5</t>
        </is>
      </c>
      <c r="AQ642" t="n">
        <v>2</v>
      </c>
    </row>
    <row r="643" customFormat="1" s="149">
      <c r="A643" s="203">
        <f>ROW()-1</f>
        <v/>
      </c>
      <c r="B643" s="128" t="inlineStr">
        <is>
          <t>RL7-CHR-201-PIT-02</t>
        </is>
      </c>
      <c r="C643" s="314" t="inlineStr">
        <is>
          <t>RL7-CHR-201-PIT-02</t>
        </is>
      </c>
      <c r="D643" s="262" t="n"/>
      <c r="E643" s="128" t="n"/>
      <c r="F643" s="138" t="inlineStr">
        <is>
          <t>SERPENTINE ZONE 2A LEVEL</t>
        </is>
      </c>
      <c r="G643" s="131" t="inlineStr">
        <is>
          <t>DG7033</t>
        </is>
      </c>
      <c r="H643" s="128" t="inlineStr">
        <is>
          <t>CHILL</t>
        </is>
      </c>
      <c r="I643" s="132" t="inlineStr">
        <is>
          <t>RL7-SERP-RIO1</t>
        </is>
      </c>
      <c r="J643" s="133" t="n">
        <v>15</v>
      </c>
      <c r="K643" s="129" t="n">
        <v>7</v>
      </c>
      <c r="L643" s="129" t="n">
        <v>4</v>
      </c>
      <c r="M643" s="129" t="inlineStr">
        <is>
          <t>4-20 mA AI</t>
        </is>
      </c>
      <c r="N643" s="129" t="inlineStr">
        <is>
          <t>5069-IF8</t>
        </is>
      </c>
      <c r="O643" s="139" t="inlineStr">
        <is>
          <t>0 - 1 PSI</t>
        </is>
      </c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53" t="n"/>
      <c r="AA643" t="inlineStr">
        <is>
          <t>Matched</t>
        </is>
      </c>
      <c r="AB643" s="315" t="n">
        <v>0.99</v>
      </c>
      <c r="AC643" t="inlineStr">
        <is>
          <t>High</t>
        </is>
      </c>
      <c r="AD643" t="n">
        <v>1</v>
      </c>
      <c r="AE643" t="inlineStr">
        <is>
          <t>DG7033</t>
        </is>
      </c>
      <c r="AF643" t="n">
        <v>19</v>
      </c>
      <c r="AG643" t="inlineStr">
        <is>
          <t>drawing</t>
        </is>
      </c>
      <c r="AH643" t="inlineStr">
        <is>
          <t>stacked:isa</t>
        </is>
      </c>
      <c r="AI643" t="inlineStr">
        <is>
          <t>drawing zone; process page; mapped sheet; excel sheet match</t>
        </is>
      </c>
      <c r="AJ643" t="inlineStr">
        <is>
          <t>native</t>
        </is>
      </c>
      <c r="AK643" t="inlineStr">
        <is>
          <t>native-only</t>
        </is>
      </c>
      <c r="AM643" t="inlineStr">
        <is>
          <t>19</t>
        </is>
      </c>
      <c r="AN643" t="inlineStr">
        <is>
          <t>Yes</t>
        </is>
      </c>
      <c r="AO643" t="inlineStr">
        <is>
          <t>mapped sheet id</t>
        </is>
      </c>
      <c r="AP643" t="inlineStr">
        <is>
          <t>p19:native:28, p19:native:29</t>
        </is>
      </c>
      <c r="AQ643" t="n">
        <v>2</v>
      </c>
    </row>
    <row r="644" customFormat="1" s="149">
      <c r="A644" s="203">
        <f>ROW()-1</f>
        <v/>
      </c>
      <c r="B644" s="128" t="inlineStr">
        <is>
          <t>RL7-CHR-201-TIT-02</t>
        </is>
      </c>
      <c r="C644" s="314" t="inlineStr">
        <is>
          <t>RL7-CHR-201-TIT-02</t>
        </is>
      </c>
      <c r="D644" s="262" t="n"/>
      <c r="E644" s="128" t="n"/>
      <c r="F644" s="138" t="inlineStr">
        <is>
          <t>SERPENTINE ZONE 2A SUMP TEMPERATURE</t>
        </is>
      </c>
      <c r="G644" s="131" t="inlineStr">
        <is>
          <t>DG7033</t>
        </is>
      </c>
      <c r="H644" s="128" t="inlineStr">
        <is>
          <t>CHILL</t>
        </is>
      </c>
      <c r="I644" s="132" t="inlineStr">
        <is>
          <t>RL7-SERP-RIO1</t>
        </is>
      </c>
      <c r="J644" s="133" t="n">
        <v>15</v>
      </c>
      <c r="K644" s="129" t="n">
        <v>7</v>
      </c>
      <c r="L644" s="129" t="n">
        <v>5</v>
      </c>
      <c r="M644" s="129" t="inlineStr">
        <is>
          <t>4-20 mA AI</t>
        </is>
      </c>
      <c r="N644" s="129" t="inlineStr">
        <is>
          <t>5069-IF8</t>
        </is>
      </c>
      <c r="O644" s="139" t="inlineStr">
        <is>
          <t>0 - 100 F</t>
        </is>
      </c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53" t="n"/>
      <c r="AA644" t="inlineStr">
        <is>
          <t>Matched</t>
        </is>
      </c>
      <c r="AB644" s="315" t="n">
        <v>0.99</v>
      </c>
      <c r="AC644" t="inlineStr">
        <is>
          <t>High</t>
        </is>
      </c>
      <c r="AD644" t="n">
        <v>1</v>
      </c>
      <c r="AE644" t="inlineStr">
        <is>
          <t>DG7033</t>
        </is>
      </c>
      <c r="AF644" t="n">
        <v>19</v>
      </c>
      <c r="AG644" t="inlineStr">
        <is>
          <t>drawing</t>
        </is>
      </c>
      <c r="AH644" t="inlineStr">
        <is>
          <t>stacked:isa</t>
        </is>
      </c>
      <c r="AI644" t="inlineStr">
        <is>
          <t>drawing zone; process page; mapped sheet; excel sheet match</t>
        </is>
      </c>
      <c r="AJ644" t="inlineStr">
        <is>
          <t>native</t>
        </is>
      </c>
      <c r="AK644" t="inlineStr">
        <is>
          <t>native-only</t>
        </is>
      </c>
      <c r="AM644" t="inlineStr">
        <is>
          <t>19</t>
        </is>
      </c>
      <c r="AN644" t="inlineStr">
        <is>
          <t>Yes</t>
        </is>
      </c>
      <c r="AO644" t="inlineStr">
        <is>
          <t>mapped sheet id</t>
        </is>
      </c>
      <c r="AP644" t="inlineStr">
        <is>
          <t>p19:native:30, p19:native:31</t>
        </is>
      </c>
      <c r="AQ644" t="n">
        <v>2</v>
      </c>
    </row>
    <row r="645" customFormat="1" s="149">
      <c r="A645" s="203">
        <f>ROW()-1</f>
        <v/>
      </c>
      <c r="B645" s="128" t="inlineStr">
        <is>
          <t>RL7-PMP-203-TIT-01</t>
        </is>
      </c>
      <c r="C645" s="314" t="inlineStr">
        <is>
          <t>RL7-PMP-203-TIT-01</t>
        </is>
      </c>
      <c r="D645" s="262" t="n"/>
      <c r="E645" s="128" t="n"/>
      <c r="F645" s="138" t="inlineStr">
        <is>
          <t>SERPENTINE ZONE 1 CHS TEMPERATURE</t>
        </is>
      </c>
      <c r="G645" s="131" t="inlineStr">
        <is>
          <t>DG7033</t>
        </is>
      </c>
      <c r="H645" s="128" t="inlineStr">
        <is>
          <t>CHILL</t>
        </is>
      </c>
      <c r="I645" s="132" t="inlineStr">
        <is>
          <t>RL7-SERP-RIO1</t>
        </is>
      </c>
      <c r="J645" s="133" t="n">
        <v>15</v>
      </c>
      <c r="K645" s="129" t="n">
        <v>7</v>
      </c>
      <c r="L645" s="129" t="n">
        <v>6</v>
      </c>
      <c r="M645" s="129" t="inlineStr">
        <is>
          <t>4-20 mA AI</t>
        </is>
      </c>
      <c r="N645" s="129" t="inlineStr">
        <is>
          <t>5069-IF8</t>
        </is>
      </c>
      <c r="O645" s="139" t="inlineStr">
        <is>
          <t>0 - 100 F</t>
        </is>
      </c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53" t="n"/>
      <c r="AA645" t="inlineStr">
        <is>
          <t>Matched</t>
        </is>
      </c>
      <c r="AB645" s="315" t="n">
        <v>0.99</v>
      </c>
      <c r="AC645" t="inlineStr">
        <is>
          <t>High</t>
        </is>
      </c>
      <c r="AD645" t="n">
        <v>1</v>
      </c>
      <c r="AE645" t="inlineStr">
        <is>
          <t>DG7033</t>
        </is>
      </c>
      <c r="AF645" t="n">
        <v>19</v>
      </c>
      <c r="AG645" t="inlineStr">
        <is>
          <t>drawing</t>
        </is>
      </c>
      <c r="AH645" t="inlineStr">
        <is>
          <t>stacked:isa</t>
        </is>
      </c>
      <c r="AI645" t="inlineStr">
        <is>
          <t>drawing zone; process page; mapped sheet; excel sheet match</t>
        </is>
      </c>
      <c r="AJ645" t="inlineStr">
        <is>
          <t>native</t>
        </is>
      </c>
      <c r="AK645" t="inlineStr">
        <is>
          <t>native-only</t>
        </is>
      </c>
      <c r="AM645" t="inlineStr">
        <is>
          <t>19</t>
        </is>
      </c>
      <c r="AN645" t="inlineStr">
        <is>
          <t>Yes</t>
        </is>
      </c>
      <c r="AO645" t="inlineStr">
        <is>
          <t>mapped sheet id</t>
        </is>
      </c>
      <c r="AP645" t="inlineStr">
        <is>
          <t>p19:native:382, p19:native:383</t>
        </is>
      </c>
      <c r="AQ645" t="n">
        <v>2</v>
      </c>
    </row>
    <row r="646" customFormat="1" s="149">
      <c r="A646" s="203">
        <f>ROW()-1</f>
        <v/>
      </c>
      <c r="B646" s="128" t="n"/>
      <c r="C646" s="314" t="inlineStr">
        <is>
          <t>RL7-PMP-208-PIT-01</t>
        </is>
      </c>
      <c r="D646" s="264" t="n"/>
      <c r="E646" s="133" t="n"/>
      <c r="F646" s="141" t="inlineStr">
        <is>
          <t>COOLING WATER JACKET CHS PRESSURE</t>
        </is>
      </c>
      <c r="G646" s="142" t="inlineStr">
        <is>
          <t>DG7033</t>
        </is>
      </c>
      <c r="H646" s="133" t="inlineStr">
        <is>
          <t>CHILL</t>
        </is>
      </c>
      <c r="I646" s="132" t="inlineStr">
        <is>
          <t>RL7-SERP-RIO1</t>
        </is>
      </c>
      <c r="J646" s="133" t="n">
        <v>15</v>
      </c>
      <c r="K646" s="128" t="n">
        <v>8</v>
      </c>
      <c r="L646" s="128" t="n">
        <v>0</v>
      </c>
      <c r="M646" s="128" t="inlineStr">
        <is>
          <t>4-20 mA AI</t>
        </is>
      </c>
      <c r="N646" s="128" t="inlineStr">
        <is>
          <t>5069-IF8</t>
        </is>
      </c>
      <c r="O646" s="139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40" t="n"/>
      <c r="AA646" t="inlineStr">
        <is>
          <t>Matched</t>
        </is>
      </c>
      <c r="AB646" s="315" t="n">
        <v>0.99</v>
      </c>
      <c r="AC646" t="inlineStr">
        <is>
          <t>High</t>
        </is>
      </c>
      <c r="AD646" t="n">
        <v>1</v>
      </c>
      <c r="AE646" t="inlineStr">
        <is>
          <t>DG7033</t>
        </is>
      </c>
      <c r="AF646" t="n">
        <v>19</v>
      </c>
      <c r="AG646" t="inlineStr">
        <is>
          <t>drawing</t>
        </is>
      </c>
      <c r="AH646" t="inlineStr">
        <is>
          <t>stacked:isa</t>
        </is>
      </c>
      <c r="AI646" t="inlineStr">
        <is>
          <t>drawing zone; process page; mapped sheet; excel sheet match</t>
        </is>
      </c>
      <c r="AJ646" t="inlineStr">
        <is>
          <t>native</t>
        </is>
      </c>
      <c r="AK646" t="inlineStr">
        <is>
          <t>native-only</t>
        </is>
      </c>
      <c r="AM646" t="inlineStr">
        <is>
          <t>19</t>
        </is>
      </c>
      <c r="AN646" t="inlineStr">
        <is>
          <t>Yes</t>
        </is>
      </c>
      <c r="AO646" t="inlineStr">
        <is>
          <t>mapped sheet id</t>
        </is>
      </c>
      <c r="AP646" t="inlineStr">
        <is>
          <t>p19:native:89, p19:native:90</t>
        </is>
      </c>
      <c r="AQ646" t="n">
        <v>2</v>
      </c>
    </row>
    <row r="647" customFormat="1" s="149">
      <c r="A647" s="203">
        <f>ROW()-1</f>
        <v/>
      </c>
      <c r="B647" s="128" t="n"/>
      <c r="C647" s="314" t="inlineStr">
        <is>
          <t>RL7-PMP-208-TIT-01</t>
        </is>
      </c>
      <c r="D647" s="264" t="n"/>
      <c r="E647" s="133" t="n"/>
      <c r="F647" s="141" t="inlineStr">
        <is>
          <t>COOLING WATER JACKET CHS TEMPERATURE</t>
        </is>
      </c>
      <c r="G647" s="142" t="inlineStr">
        <is>
          <t>DG7033</t>
        </is>
      </c>
      <c r="H647" s="133" t="inlineStr">
        <is>
          <t>CHILL</t>
        </is>
      </c>
      <c r="I647" s="132" t="inlineStr">
        <is>
          <t>RL7-SERP-RIO1</t>
        </is>
      </c>
      <c r="J647" s="133" t="n">
        <v>15</v>
      </c>
      <c r="K647" s="128" t="n">
        <v>8</v>
      </c>
      <c r="L647" s="128" t="n">
        <v>1</v>
      </c>
      <c r="M647" s="128" t="inlineStr">
        <is>
          <t>4-20 mA AI</t>
        </is>
      </c>
      <c r="N647" s="128" t="inlineStr">
        <is>
          <t>5069-IF8</t>
        </is>
      </c>
      <c r="O647" s="139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40" t="n"/>
      <c r="AA647" t="inlineStr">
        <is>
          <t>Matched</t>
        </is>
      </c>
      <c r="AB647" s="315" t="n">
        <v>0.99</v>
      </c>
      <c r="AC647" t="inlineStr">
        <is>
          <t>High</t>
        </is>
      </c>
      <c r="AD647" t="n">
        <v>1</v>
      </c>
      <c r="AE647" t="inlineStr">
        <is>
          <t>DG7033</t>
        </is>
      </c>
      <c r="AF647" t="n">
        <v>19</v>
      </c>
      <c r="AG647" t="inlineStr">
        <is>
          <t>drawing</t>
        </is>
      </c>
      <c r="AH647" t="inlineStr">
        <is>
          <t>stacked:isa</t>
        </is>
      </c>
      <c r="AI647" t="inlineStr">
        <is>
          <t>drawing zone; process page; mapped sheet; excel sheet match</t>
        </is>
      </c>
      <c r="AJ647" t="inlineStr">
        <is>
          <t>native</t>
        </is>
      </c>
      <c r="AK647" t="inlineStr">
        <is>
          <t>native-only</t>
        </is>
      </c>
      <c r="AM647" t="inlineStr">
        <is>
          <t>19</t>
        </is>
      </c>
      <c r="AN647" t="inlineStr">
        <is>
          <t>Yes</t>
        </is>
      </c>
      <c r="AO647" t="inlineStr">
        <is>
          <t>mapped sheet id</t>
        </is>
      </c>
      <c r="AP647" t="inlineStr">
        <is>
          <t>p19:native:91, p19:native:92</t>
        </is>
      </c>
      <c r="AQ647" t="n">
        <v>2</v>
      </c>
    </row>
    <row r="648" customFormat="1" s="149">
      <c r="A648" s="203">
        <f>ROW()-1</f>
        <v/>
      </c>
      <c r="B648" s="128" t="inlineStr">
        <is>
          <t>RL7-FTR-205-PT-01</t>
        </is>
      </c>
      <c r="C648" s="314" t="inlineStr">
        <is>
          <t>RL7-FTR-205-PT-01</t>
        </is>
      </c>
      <c r="D648" s="262" t="n"/>
      <c r="E648" s="128" t="n"/>
      <c r="F648" s="138" t="inlineStr">
        <is>
          <t>SERPENTINE ZONE 2A FILTER PURGE INLET PRESSURE</t>
        </is>
      </c>
      <c r="G648" s="131" t="inlineStr">
        <is>
          <t>DG7033</t>
        </is>
      </c>
      <c r="H648" s="128" t="inlineStr">
        <is>
          <t>CHILL</t>
        </is>
      </c>
      <c r="I648" s="132" t="inlineStr">
        <is>
          <t>RL7-SERP-RIO1</t>
        </is>
      </c>
      <c r="J648" s="133" t="n">
        <v>15</v>
      </c>
      <c r="K648" s="129" t="n">
        <v>8</v>
      </c>
      <c r="L648" s="129" t="n">
        <v>2</v>
      </c>
      <c r="M648" s="129" t="inlineStr">
        <is>
          <t>4-20 mA AI</t>
        </is>
      </c>
      <c r="N648" s="129" t="inlineStr">
        <is>
          <t>5069-IF8</t>
        </is>
      </c>
      <c r="O648" s="139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53" t="n"/>
      <c r="AA648" t="inlineStr">
        <is>
          <t>Matched</t>
        </is>
      </c>
      <c r="AB648" s="315" t="n">
        <v>0.99</v>
      </c>
      <c r="AC648" t="inlineStr">
        <is>
          <t>High</t>
        </is>
      </c>
      <c r="AD648" t="n">
        <v>1</v>
      </c>
      <c r="AE648" t="inlineStr">
        <is>
          <t>DG7033</t>
        </is>
      </c>
      <c r="AF648" t="n">
        <v>19</v>
      </c>
      <c r="AG648" t="inlineStr">
        <is>
          <t>drawing</t>
        </is>
      </c>
      <c r="AH648" t="inlineStr">
        <is>
          <t>stacked:isa</t>
        </is>
      </c>
      <c r="AI648" t="inlineStr">
        <is>
          <t>drawing zone; process page; mapped sheet; excel sheet match</t>
        </is>
      </c>
      <c r="AJ648" t="inlineStr">
        <is>
          <t>native</t>
        </is>
      </c>
      <c r="AK648" t="inlineStr">
        <is>
          <t>native-only</t>
        </is>
      </c>
      <c r="AM648" t="inlineStr">
        <is>
          <t>19</t>
        </is>
      </c>
      <c r="AN648" t="inlineStr">
        <is>
          <t>Yes</t>
        </is>
      </c>
      <c r="AO648" t="inlineStr">
        <is>
          <t>mapped sheet id</t>
        </is>
      </c>
      <c r="AP648" t="inlineStr">
        <is>
          <t>p19:native:309, p19:native:310</t>
        </is>
      </c>
      <c r="AQ648" t="n">
        <v>2</v>
      </c>
    </row>
    <row r="649" customFormat="1" s="149">
      <c r="A649" s="203">
        <f>ROW()-1</f>
        <v/>
      </c>
      <c r="B649" s="128" t="inlineStr">
        <is>
          <t>RL7-FTR-205-PT-02</t>
        </is>
      </c>
      <c r="C649" s="314" t="inlineStr">
        <is>
          <t>RL7-FTR-205-PT-02</t>
        </is>
      </c>
      <c r="D649" s="262" t="n"/>
      <c r="E649" s="128" t="n"/>
      <c r="F649" s="138" t="inlineStr">
        <is>
          <t>SERPENTINE ZONE 2A FILTER PURGE OUTLET PRESSURE</t>
        </is>
      </c>
      <c r="G649" s="131" t="inlineStr">
        <is>
          <t>DG7033</t>
        </is>
      </c>
      <c r="H649" s="128" t="inlineStr">
        <is>
          <t>CHILL</t>
        </is>
      </c>
      <c r="I649" s="132" t="inlineStr">
        <is>
          <t>RL7-SERP-RIO1</t>
        </is>
      </c>
      <c r="J649" s="133" t="n">
        <v>15</v>
      </c>
      <c r="K649" s="129" t="n">
        <v>8</v>
      </c>
      <c r="L649" s="129" t="n">
        <v>3</v>
      </c>
      <c r="M649" s="129" t="inlineStr">
        <is>
          <t>4-20 mA AI</t>
        </is>
      </c>
      <c r="N649" s="129" t="inlineStr">
        <is>
          <t>5069-IF8</t>
        </is>
      </c>
      <c r="O649" s="139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53" t="n"/>
      <c r="AA649" t="inlineStr">
        <is>
          <t>Matched</t>
        </is>
      </c>
      <c r="AB649" s="315" t="n">
        <v>0.99</v>
      </c>
      <c r="AC649" t="inlineStr">
        <is>
          <t>High</t>
        </is>
      </c>
      <c r="AD649" t="n">
        <v>1</v>
      </c>
      <c r="AE649" t="inlineStr">
        <is>
          <t>DG7033</t>
        </is>
      </c>
      <c r="AF649" t="n">
        <v>19</v>
      </c>
      <c r="AG649" t="inlineStr">
        <is>
          <t>drawing</t>
        </is>
      </c>
      <c r="AH649" t="inlineStr">
        <is>
          <t>stacked:isa</t>
        </is>
      </c>
      <c r="AI649" t="inlineStr">
        <is>
          <t>drawing zone; process page; mapped sheet; excel sheet match</t>
        </is>
      </c>
      <c r="AJ649" t="inlineStr">
        <is>
          <t>native</t>
        </is>
      </c>
      <c r="AK649" t="inlineStr">
        <is>
          <t>native-only</t>
        </is>
      </c>
      <c r="AM649" t="inlineStr">
        <is>
          <t>19</t>
        </is>
      </c>
      <c r="AN649" t="inlineStr">
        <is>
          <t>Yes</t>
        </is>
      </c>
      <c r="AO649" t="inlineStr">
        <is>
          <t>mapped sheet id</t>
        </is>
      </c>
      <c r="AP649" t="inlineStr">
        <is>
          <t>p19:native:311, p19:native:312</t>
        </is>
      </c>
      <c r="AQ649" t="n">
        <v>2</v>
      </c>
    </row>
    <row r="650">
      <c r="A650" s="203">
        <f>ROW()-1</f>
        <v/>
      </c>
      <c r="B650" s="128" t="inlineStr">
        <is>
          <t>RL7-PMP-203-FIT-01</t>
        </is>
      </c>
      <c r="C650" s="314" t="inlineStr">
        <is>
          <t>RL7-PMP-203-FIT-01</t>
        </is>
      </c>
      <c r="D650" s="262" t="n"/>
      <c r="E650" s="128" t="n"/>
      <c r="F650" s="138" t="inlineStr">
        <is>
          <t>SERPENTINE ZONE 1 CHR FLOW</t>
        </is>
      </c>
      <c r="G650" s="131" t="inlineStr">
        <is>
          <t>DG7033</t>
        </is>
      </c>
      <c r="H650" s="128" t="inlineStr">
        <is>
          <t>CHILL</t>
        </is>
      </c>
      <c r="I650" s="132" t="inlineStr">
        <is>
          <t>RL7-SERP-RIO1</t>
        </is>
      </c>
      <c r="J650" s="133" t="n">
        <v>15</v>
      </c>
      <c r="K650" s="129" t="n">
        <v>8</v>
      </c>
      <c r="L650" s="129" t="n">
        <v>4</v>
      </c>
      <c r="M650" s="129" t="inlineStr">
        <is>
          <t>4-20 mA AI</t>
        </is>
      </c>
      <c r="N650" s="129" t="inlineStr">
        <is>
          <t>5069-IF8</t>
        </is>
      </c>
      <c r="O650" s="139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53" t="n"/>
      <c r="AA650" t="inlineStr">
        <is>
          <t>Matched</t>
        </is>
      </c>
      <c r="AB650" s="315" t="n">
        <v>0.99</v>
      </c>
      <c r="AC650" t="inlineStr">
        <is>
          <t>High</t>
        </is>
      </c>
      <c r="AD650" t="n">
        <v>1</v>
      </c>
      <c r="AE650" t="inlineStr">
        <is>
          <t>DG7033</t>
        </is>
      </c>
      <c r="AF650" t="n">
        <v>19</v>
      </c>
      <c r="AG650" t="inlineStr">
        <is>
          <t>drawing</t>
        </is>
      </c>
      <c r="AH650" t="inlineStr">
        <is>
          <t>stacked:isa</t>
        </is>
      </c>
      <c r="AI650" t="inlineStr">
        <is>
          <t>drawing zone; process page; mapped sheet; excel sheet match</t>
        </is>
      </c>
      <c r="AJ650" t="inlineStr">
        <is>
          <t>native</t>
        </is>
      </c>
      <c r="AK650" t="inlineStr">
        <is>
          <t>native-only</t>
        </is>
      </c>
      <c r="AM650" t="inlineStr">
        <is>
          <t>19</t>
        </is>
      </c>
      <c r="AN650" t="inlineStr">
        <is>
          <t>Yes</t>
        </is>
      </c>
      <c r="AO650" t="inlineStr">
        <is>
          <t>mapped sheet id</t>
        </is>
      </c>
      <c r="AP650" t="inlineStr">
        <is>
          <t>p19:native:18, p19:native:19</t>
        </is>
      </c>
      <c r="AQ650" t="n">
        <v>2</v>
      </c>
    </row>
    <row r="651">
      <c r="A651" s="203">
        <f>ROW()-1</f>
        <v/>
      </c>
      <c r="B651" s="128" t="inlineStr">
        <is>
          <t>RL7-PMP-204-FIT-01</t>
        </is>
      </c>
      <c r="C651" s="314" t="inlineStr">
        <is>
          <t>RL7-PMP-204-FIT-01</t>
        </is>
      </c>
      <c r="D651" s="262" t="n"/>
      <c r="E651" s="128" t="n"/>
      <c r="F651" s="138" t="inlineStr">
        <is>
          <t>SERPENTINE ZONE 2A RECIRC FLOW</t>
        </is>
      </c>
      <c r="G651" s="131" t="inlineStr">
        <is>
          <t>DG7033</t>
        </is>
      </c>
      <c r="H651" s="128" t="inlineStr">
        <is>
          <t>CHILL</t>
        </is>
      </c>
      <c r="I651" s="132" t="inlineStr">
        <is>
          <t>RL7-SERP-RIO1</t>
        </is>
      </c>
      <c r="J651" s="133" t="n">
        <v>15</v>
      </c>
      <c r="K651" s="129" t="n">
        <v>8</v>
      </c>
      <c r="L651" s="129" t="n">
        <v>5</v>
      </c>
      <c r="M651" s="129" t="inlineStr">
        <is>
          <t>4-20 mA AI</t>
        </is>
      </c>
      <c r="N651" s="129" t="inlineStr">
        <is>
          <t>5069-IF8</t>
        </is>
      </c>
      <c r="O651" s="139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53" t="n"/>
      <c r="AA651" t="inlineStr">
        <is>
          <t>Matched</t>
        </is>
      </c>
      <c r="AB651" s="315" t="n">
        <v>0.99</v>
      </c>
      <c r="AC651" t="inlineStr">
        <is>
          <t>High</t>
        </is>
      </c>
      <c r="AD651" t="n">
        <v>1</v>
      </c>
      <c r="AE651" t="inlineStr">
        <is>
          <t>DG7033</t>
        </is>
      </c>
      <c r="AF651" t="n">
        <v>19</v>
      </c>
      <c r="AG651" t="inlineStr">
        <is>
          <t>drawing</t>
        </is>
      </c>
      <c r="AH651" t="inlineStr">
        <is>
          <t>stacked:isa</t>
        </is>
      </c>
      <c r="AI651" t="inlineStr">
        <is>
          <t>drawing zone; process page; mapped sheet; excel sheet match</t>
        </is>
      </c>
      <c r="AJ651" t="inlineStr">
        <is>
          <t>native</t>
        </is>
      </c>
      <c r="AK651" t="inlineStr">
        <is>
          <t>native-only</t>
        </is>
      </c>
      <c r="AM651" t="inlineStr">
        <is>
          <t>19</t>
        </is>
      </c>
      <c r="AN651" t="inlineStr">
        <is>
          <t>Yes</t>
        </is>
      </c>
      <c r="AO651" t="inlineStr">
        <is>
          <t>mapped sheet id</t>
        </is>
      </c>
      <c r="AP651" t="inlineStr">
        <is>
          <t>p19:native:34, p19:native:35</t>
        </is>
      </c>
      <c r="AQ651" t="n">
        <v>2</v>
      </c>
    </row>
    <row r="652">
      <c r="A652" s="203">
        <f>ROW()-1</f>
        <v/>
      </c>
      <c r="B652" s="128" t="inlineStr">
        <is>
          <t>RL7-PMP-208-FIT-01</t>
        </is>
      </c>
      <c r="C652" s="314" t="inlineStr">
        <is>
          <t>RL7-PMP-208-FIT-01</t>
        </is>
      </c>
      <c r="D652" s="262" t="n"/>
      <c r="E652" s="128" t="n"/>
      <c r="F652" s="138" t="inlineStr">
        <is>
          <t>COOLING WATER JACKET CHS FLOW</t>
        </is>
      </c>
      <c r="G652" s="131" t="inlineStr">
        <is>
          <t>DG7033</t>
        </is>
      </c>
      <c r="H652" s="128" t="inlineStr">
        <is>
          <t>CHILL</t>
        </is>
      </c>
      <c r="I652" s="132" t="inlineStr">
        <is>
          <t>RL7-SERP-RIO1</t>
        </is>
      </c>
      <c r="J652" s="133" t="n">
        <v>15</v>
      </c>
      <c r="K652" s="129" t="n">
        <v>8</v>
      </c>
      <c r="L652" s="129" t="n">
        <v>6</v>
      </c>
      <c r="M652" s="129" t="inlineStr">
        <is>
          <t>4-20 mA AI</t>
        </is>
      </c>
      <c r="N652" s="129" t="inlineStr">
        <is>
          <t>5069-IF8</t>
        </is>
      </c>
      <c r="O652" s="139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53" t="n"/>
      <c r="AA652" t="inlineStr">
        <is>
          <t>Matched</t>
        </is>
      </c>
      <c r="AB652" s="315" t="n">
        <v>0.99</v>
      </c>
      <c r="AC652" t="inlineStr">
        <is>
          <t>High</t>
        </is>
      </c>
      <c r="AD652" t="n">
        <v>1</v>
      </c>
      <c r="AE652" t="inlineStr">
        <is>
          <t>DG7033</t>
        </is>
      </c>
      <c r="AF652" t="n">
        <v>19</v>
      </c>
      <c r="AG652" t="inlineStr">
        <is>
          <t>drawing</t>
        </is>
      </c>
      <c r="AH652" t="inlineStr">
        <is>
          <t>stacked:isa</t>
        </is>
      </c>
      <c r="AI652" t="inlineStr">
        <is>
          <t>drawing zone; process page; mapped sheet; excel sheet match</t>
        </is>
      </c>
      <c r="AJ652" t="inlineStr">
        <is>
          <t>native</t>
        </is>
      </c>
      <c r="AK652" t="inlineStr">
        <is>
          <t>native-only</t>
        </is>
      </c>
      <c r="AM652" t="inlineStr">
        <is>
          <t>19</t>
        </is>
      </c>
      <c r="AN652" t="inlineStr">
        <is>
          <t>Yes</t>
        </is>
      </c>
      <c r="AO652" t="inlineStr">
        <is>
          <t>mapped sheet id</t>
        </is>
      </c>
      <c r="AP652" t="inlineStr">
        <is>
          <t>p19:native:95, p19:native:96</t>
        </is>
      </c>
      <c r="AQ652" t="n">
        <v>2</v>
      </c>
    </row>
    <row r="653">
      <c r="A653" s="203">
        <f>ROW()-1</f>
        <v/>
      </c>
      <c r="B653" s="128" t="inlineStr">
        <is>
          <t>RL7-CHR-201-PB-05</t>
        </is>
      </c>
      <c r="C653" s="314" t="inlineStr">
        <is>
          <t>RL7-CHR-201-PB-03</t>
        </is>
      </c>
      <c r="D653" s="262" t="n"/>
      <c r="E653" s="128" t="n"/>
      <c r="F653" s="141" t="inlineStr">
        <is>
          <t>SERPENTINE E-STOP 3 SAFETY INPUT CH1</t>
        </is>
      </c>
      <c r="G653" s="131" t="inlineStr">
        <is>
          <t>DG7033</t>
        </is>
      </c>
      <c r="H653" s="128" t="inlineStr">
        <is>
          <t>CHILL</t>
        </is>
      </c>
      <c r="I653" s="132" t="inlineStr">
        <is>
          <t>RL7-SERP-RIO2</t>
        </is>
      </c>
      <c r="J653" s="133" t="n">
        <v>16</v>
      </c>
      <c r="K653" s="129" t="n">
        <v>1</v>
      </c>
      <c r="L653" s="129" t="n">
        <v>0</v>
      </c>
      <c r="M653" s="129" t="inlineStr">
        <is>
          <t>24 VDC SI</t>
        </is>
      </c>
      <c r="N653" s="129" t="inlineStr">
        <is>
          <t>5069-IB8S</t>
        </is>
      </c>
      <c r="O653" s="139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53" t="n"/>
      <c r="AA653" t="inlineStr">
        <is>
          <t>Matched</t>
        </is>
      </c>
      <c r="AB653" s="315" t="n">
        <v>0.99</v>
      </c>
      <c r="AC653" t="inlineStr">
        <is>
          <t>High</t>
        </is>
      </c>
      <c r="AD653" t="n">
        <v>1</v>
      </c>
      <c r="AE653" t="inlineStr">
        <is>
          <t>DG7033</t>
        </is>
      </c>
      <c r="AF653" t="n">
        <v>19</v>
      </c>
      <c r="AG653" t="inlineStr">
        <is>
          <t>drawing</t>
        </is>
      </c>
      <c r="AH653" t="inlineStr">
        <is>
          <t>stacked:isa</t>
        </is>
      </c>
      <c r="AI653" t="inlineStr">
        <is>
          <t>drawing zone; process page; mapped sheet; excel sheet match</t>
        </is>
      </c>
      <c r="AJ653" t="inlineStr">
        <is>
          <t>native</t>
        </is>
      </c>
      <c r="AK653" t="inlineStr">
        <is>
          <t>native-only</t>
        </is>
      </c>
      <c r="AM653" t="inlineStr">
        <is>
          <t>19</t>
        </is>
      </c>
      <c r="AN653" t="inlineStr">
        <is>
          <t>Yes</t>
        </is>
      </c>
      <c r="AO653" t="inlineStr">
        <is>
          <t>mapped sheet id</t>
        </is>
      </c>
      <c r="AP653" t="inlineStr">
        <is>
          <t>p19:native:210, p19:native:211</t>
        </is>
      </c>
      <c r="AQ653" t="n">
        <v>2</v>
      </c>
    </row>
    <row r="654">
      <c r="A654" s="203">
        <f>ROW()-1</f>
        <v/>
      </c>
      <c r="B654" s="128" t="inlineStr">
        <is>
          <t>RL7-CHR-201-PB-05</t>
        </is>
      </c>
      <c r="C654" s="314" t="inlineStr">
        <is>
          <t>RL7-CHR-201-PB-03</t>
        </is>
      </c>
      <c r="D654" s="262" t="n"/>
      <c r="E654" s="128" t="n"/>
      <c r="F654" s="141" t="inlineStr">
        <is>
          <t>SERPENTINE E-STOP 3 SAFETY INPUT CH2</t>
        </is>
      </c>
      <c r="G654" s="131" t="inlineStr">
        <is>
          <t>DG7033</t>
        </is>
      </c>
      <c r="H654" s="128" t="inlineStr">
        <is>
          <t>CHILL</t>
        </is>
      </c>
      <c r="I654" s="132" t="inlineStr">
        <is>
          <t>RL7-SERP-RIO2</t>
        </is>
      </c>
      <c r="J654" s="133" t="n">
        <v>16</v>
      </c>
      <c r="K654" s="129" t="n">
        <v>1</v>
      </c>
      <c r="L654" s="129" t="n">
        <v>1</v>
      </c>
      <c r="M654" s="129" t="inlineStr">
        <is>
          <t>24 VDC SI</t>
        </is>
      </c>
      <c r="N654" s="129" t="inlineStr">
        <is>
          <t>5069-IB8S</t>
        </is>
      </c>
      <c r="O654" s="139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53" t="n"/>
      <c r="AA654" t="inlineStr">
        <is>
          <t>Matched</t>
        </is>
      </c>
      <c r="AB654" s="315" t="n">
        <v>0.99</v>
      </c>
      <c r="AC654" t="inlineStr">
        <is>
          <t>High</t>
        </is>
      </c>
      <c r="AD654" t="n">
        <v>1</v>
      </c>
      <c r="AE654" t="inlineStr">
        <is>
          <t>DG7033</t>
        </is>
      </c>
      <c r="AF654" t="n">
        <v>19</v>
      </c>
      <c r="AG654" t="inlineStr">
        <is>
          <t>drawing</t>
        </is>
      </c>
      <c r="AH654" t="inlineStr">
        <is>
          <t>stacked:isa</t>
        </is>
      </c>
      <c r="AI654" t="inlineStr">
        <is>
          <t>drawing zone; process page; mapped sheet; excel sheet match</t>
        </is>
      </c>
      <c r="AJ654" t="inlineStr">
        <is>
          <t>native</t>
        </is>
      </c>
      <c r="AK654" t="inlineStr">
        <is>
          <t>native-only</t>
        </is>
      </c>
      <c r="AM654" t="inlineStr">
        <is>
          <t>19</t>
        </is>
      </c>
      <c r="AN654" t="inlineStr">
        <is>
          <t>Yes</t>
        </is>
      </c>
      <c r="AO654" t="inlineStr">
        <is>
          <t>mapped sheet id</t>
        </is>
      </c>
      <c r="AP654" t="inlineStr">
        <is>
          <t>p19:native:210, p19:native:211</t>
        </is>
      </c>
      <c r="AQ654" t="n">
        <v>2</v>
      </c>
    </row>
    <row r="655">
      <c r="A655" s="203">
        <f>ROW()-1</f>
        <v/>
      </c>
      <c r="B655" s="128" t="inlineStr">
        <is>
          <t>RL7-CHR-201-PB-06</t>
        </is>
      </c>
      <c r="C655" s="314" t="inlineStr">
        <is>
          <t>RL7-CHR-201-PB-04</t>
        </is>
      </c>
      <c r="D655" s="262" t="n"/>
      <c r="E655" s="128" t="n"/>
      <c r="F655" s="141" t="inlineStr">
        <is>
          <t>SERPENTINE E-STOP 4 SAFETY INPUT CH1</t>
        </is>
      </c>
      <c r="G655" s="131" t="inlineStr">
        <is>
          <t>DG7033</t>
        </is>
      </c>
      <c r="H655" s="128" t="inlineStr">
        <is>
          <t>CHILL</t>
        </is>
      </c>
      <c r="I655" s="132" t="inlineStr">
        <is>
          <t>RL7-SERP-RIO2</t>
        </is>
      </c>
      <c r="J655" s="133" t="n">
        <v>16</v>
      </c>
      <c r="K655" s="129" t="n">
        <v>1</v>
      </c>
      <c r="L655" s="129" t="n">
        <v>2</v>
      </c>
      <c r="M655" s="129" t="inlineStr">
        <is>
          <t>24 VDC SI</t>
        </is>
      </c>
      <c r="N655" s="129" t="inlineStr">
        <is>
          <t>5069-IB8S</t>
        </is>
      </c>
      <c r="O655" s="139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53" t="n"/>
      <c r="AA655" t="inlineStr">
        <is>
          <t>Matched</t>
        </is>
      </c>
      <c r="AB655" s="315" t="n">
        <v>0.99</v>
      </c>
      <c r="AC655" t="inlineStr">
        <is>
          <t>High</t>
        </is>
      </c>
      <c r="AD655" t="n">
        <v>1</v>
      </c>
      <c r="AE655" t="inlineStr">
        <is>
          <t>DG7033</t>
        </is>
      </c>
      <c r="AF655" t="n">
        <v>19</v>
      </c>
      <c r="AG655" t="inlineStr">
        <is>
          <t>drawing</t>
        </is>
      </c>
      <c r="AH655" t="inlineStr">
        <is>
          <t>stacked:isa</t>
        </is>
      </c>
      <c r="AI655" t="inlineStr">
        <is>
          <t>drawing zone; process page; mapped sheet; excel sheet match</t>
        </is>
      </c>
      <c r="AJ655" t="inlineStr">
        <is>
          <t>native</t>
        </is>
      </c>
      <c r="AK655" t="inlineStr">
        <is>
          <t>native-only</t>
        </is>
      </c>
      <c r="AM655" t="inlineStr">
        <is>
          <t>19</t>
        </is>
      </c>
      <c r="AN655" t="inlineStr">
        <is>
          <t>Yes</t>
        </is>
      </c>
      <c r="AO655" t="inlineStr">
        <is>
          <t>mapped sheet id</t>
        </is>
      </c>
      <c r="AP655" t="inlineStr">
        <is>
          <t>p19:native:212, p19:native:213</t>
        </is>
      </c>
      <c r="AQ655" t="n">
        <v>2</v>
      </c>
    </row>
    <row r="656">
      <c r="A656" s="203">
        <f>ROW()-1</f>
        <v/>
      </c>
      <c r="B656" s="128" t="inlineStr">
        <is>
          <t>RL7-CHR-201-PB-06</t>
        </is>
      </c>
      <c r="C656" s="314" t="inlineStr">
        <is>
          <t>RL7-CHR-201-PB-04</t>
        </is>
      </c>
      <c r="D656" s="262" t="n"/>
      <c r="E656" s="128" t="n"/>
      <c r="F656" s="141" t="inlineStr">
        <is>
          <t>SERPENTINE E-STOP 4 SAFETY INPUT CH2</t>
        </is>
      </c>
      <c r="G656" s="131" t="inlineStr">
        <is>
          <t>DG7033</t>
        </is>
      </c>
      <c r="H656" s="128" t="inlineStr">
        <is>
          <t>CHILL</t>
        </is>
      </c>
      <c r="I656" s="132" t="inlineStr">
        <is>
          <t>RL7-SERP-RIO2</t>
        </is>
      </c>
      <c r="J656" s="133" t="n">
        <v>16</v>
      </c>
      <c r="K656" s="129" t="n">
        <v>1</v>
      </c>
      <c r="L656" s="129" t="n">
        <v>3</v>
      </c>
      <c r="M656" s="129" t="inlineStr">
        <is>
          <t>24 VDC SI</t>
        </is>
      </c>
      <c r="N656" s="129" t="inlineStr">
        <is>
          <t>5069-IB8S</t>
        </is>
      </c>
      <c r="O656" s="139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53" t="n"/>
      <c r="AA656" t="inlineStr">
        <is>
          <t>Matched</t>
        </is>
      </c>
      <c r="AB656" s="315" t="n">
        <v>0.99</v>
      </c>
      <c r="AC656" t="inlineStr">
        <is>
          <t>High</t>
        </is>
      </c>
      <c r="AD656" t="n">
        <v>1</v>
      </c>
      <c r="AE656" t="inlineStr">
        <is>
          <t>DG7033</t>
        </is>
      </c>
      <c r="AF656" t="n">
        <v>19</v>
      </c>
      <c r="AG656" t="inlineStr">
        <is>
          <t>drawing</t>
        </is>
      </c>
      <c r="AH656" t="inlineStr">
        <is>
          <t>stacked:isa</t>
        </is>
      </c>
      <c r="AI656" t="inlineStr">
        <is>
          <t>drawing zone; process page; mapped sheet; excel sheet match</t>
        </is>
      </c>
      <c r="AJ656" t="inlineStr">
        <is>
          <t>native</t>
        </is>
      </c>
      <c r="AK656" t="inlineStr">
        <is>
          <t>native-only</t>
        </is>
      </c>
      <c r="AM656" t="inlineStr">
        <is>
          <t>19</t>
        </is>
      </c>
      <c r="AN656" t="inlineStr">
        <is>
          <t>Yes</t>
        </is>
      </c>
      <c r="AO656" t="inlineStr">
        <is>
          <t>mapped sheet id</t>
        </is>
      </c>
      <c r="AP656" t="inlineStr">
        <is>
          <t>p19:native:212, p19:native:213</t>
        </is>
      </c>
      <c r="AQ656" t="n">
        <v>2</v>
      </c>
    </row>
    <row r="657">
      <c r="A657" s="203">
        <f>ROW()-1</f>
        <v/>
      </c>
      <c r="B657" s="128" t="inlineStr">
        <is>
          <t>RL7-CHR-201-PB-07</t>
        </is>
      </c>
      <c r="C657" s="314" t="inlineStr">
        <is>
          <t>RL7-CHR-201-PB-05</t>
        </is>
      </c>
      <c r="D657" s="262" t="n"/>
      <c r="E657" s="128" t="n"/>
      <c r="F657" s="141" t="inlineStr">
        <is>
          <t>SERPENTINE E-STOP 5 SAFETY INPUT CH1</t>
        </is>
      </c>
      <c r="G657" s="131" t="inlineStr">
        <is>
          <t>DG7033</t>
        </is>
      </c>
      <c r="H657" s="128" t="inlineStr">
        <is>
          <t>CHILL</t>
        </is>
      </c>
      <c r="I657" s="132" t="inlineStr">
        <is>
          <t>RL7-SERP-RIO2</t>
        </is>
      </c>
      <c r="J657" s="133" t="n">
        <v>16</v>
      </c>
      <c r="K657" s="129" t="n">
        <v>1</v>
      </c>
      <c r="L657" s="129" t="n">
        <v>4</v>
      </c>
      <c r="M657" s="129" t="inlineStr">
        <is>
          <t>24 VDC SI</t>
        </is>
      </c>
      <c r="N657" s="129" t="inlineStr">
        <is>
          <t>5069-IB8S</t>
        </is>
      </c>
      <c r="O657" s="139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53" t="n"/>
      <c r="AA657" t="inlineStr">
        <is>
          <t>Matched</t>
        </is>
      </c>
      <c r="AB657" s="315" t="n">
        <v>0.99</v>
      </c>
      <c r="AC657" t="inlineStr">
        <is>
          <t>High</t>
        </is>
      </c>
      <c r="AD657" t="n">
        <v>1</v>
      </c>
      <c r="AE657" t="inlineStr">
        <is>
          <t>DG7033</t>
        </is>
      </c>
      <c r="AF657" t="n">
        <v>19</v>
      </c>
      <c r="AG657" t="inlineStr">
        <is>
          <t>drawing</t>
        </is>
      </c>
      <c r="AH657" t="inlineStr">
        <is>
          <t>stacked:isa</t>
        </is>
      </c>
      <c r="AI657" t="inlineStr">
        <is>
          <t>drawing zone; process page; mapped sheet; excel sheet match</t>
        </is>
      </c>
      <c r="AJ657" t="inlineStr">
        <is>
          <t>native</t>
        </is>
      </c>
      <c r="AK657" t="inlineStr">
        <is>
          <t>native-only</t>
        </is>
      </c>
      <c r="AM657" t="inlineStr">
        <is>
          <t>19</t>
        </is>
      </c>
      <c r="AN657" t="inlineStr">
        <is>
          <t>Yes</t>
        </is>
      </c>
      <c r="AO657" t="inlineStr">
        <is>
          <t>mapped sheet id</t>
        </is>
      </c>
      <c r="AP657" t="inlineStr">
        <is>
          <t>p19:native:214, p19:native:215</t>
        </is>
      </c>
      <c r="AQ657" t="n">
        <v>2</v>
      </c>
    </row>
    <row r="658">
      <c r="A658" s="203">
        <f>ROW()-1</f>
        <v/>
      </c>
      <c r="B658" s="128" t="inlineStr">
        <is>
          <t>RL7-CHR-201-PB-07</t>
        </is>
      </c>
      <c r="C658" s="314" t="inlineStr">
        <is>
          <t>RL7-CHR-201-PB-05</t>
        </is>
      </c>
      <c r="D658" s="262" t="n"/>
      <c r="E658" s="128" t="n"/>
      <c r="F658" s="141" t="inlineStr">
        <is>
          <t>SERPENTINE E-STOP 5 SAFETY INPUT CH2</t>
        </is>
      </c>
      <c r="G658" s="131" t="inlineStr">
        <is>
          <t>DG7033</t>
        </is>
      </c>
      <c r="H658" s="128" t="inlineStr">
        <is>
          <t>CHILL</t>
        </is>
      </c>
      <c r="I658" s="132" t="inlineStr">
        <is>
          <t>RL7-SERP-RIO2</t>
        </is>
      </c>
      <c r="J658" s="133" t="n">
        <v>16</v>
      </c>
      <c r="K658" s="129" t="n">
        <v>1</v>
      </c>
      <c r="L658" s="129" t="n">
        <v>5</v>
      </c>
      <c r="M658" s="129" t="inlineStr">
        <is>
          <t>24 VDC SI</t>
        </is>
      </c>
      <c r="N658" s="129" t="inlineStr">
        <is>
          <t>5069-IB8S</t>
        </is>
      </c>
      <c r="O658" s="139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53" t="n"/>
      <c r="AA658" t="inlineStr">
        <is>
          <t>Matched</t>
        </is>
      </c>
      <c r="AB658" s="315" t="n">
        <v>0.99</v>
      </c>
      <c r="AC658" t="inlineStr">
        <is>
          <t>High</t>
        </is>
      </c>
      <c r="AD658" t="n">
        <v>1</v>
      </c>
      <c r="AE658" t="inlineStr">
        <is>
          <t>DG7033</t>
        </is>
      </c>
      <c r="AF658" t="n">
        <v>19</v>
      </c>
      <c r="AG658" t="inlineStr">
        <is>
          <t>drawing</t>
        </is>
      </c>
      <c r="AH658" t="inlineStr">
        <is>
          <t>stacked:isa</t>
        </is>
      </c>
      <c r="AI658" t="inlineStr">
        <is>
          <t>drawing zone; process page; mapped sheet; excel sheet match</t>
        </is>
      </c>
      <c r="AJ658" t="inlineStr">
        <is>
          <t>native</t>
        </is>
      </c>
      <c r="AK658" t="inlineStr">
        <is>
          <t>native-only</t>
        </is>
      </c>
      <c r="AM658" t="inlineStr">
        <is>
          <t>19</t>
        </is>
      </c>
      <c r="AN658" t="inlineStr">
        <is>
          <t>Yes</t>
        </is>
      </c>
      <c r="AO658" t="inlineStr">
        <is>
          <t>mapped sheet id</t>
        </is>
      </c>
      <c r="AP658" t="inlineStr">
        <is>
          <t>p19:native:214, p19:native:215</t>
        </is>
      </c>
      <c r="AQ658" t="n">
        <v>2</v>
      </c>
    </row>
    <row r="659">
      <c r="A659" s="203">
        <f>ROW()-1</f>
        <v/>
      </c>
      <c r="B659" s="128" t="inlineStr">
        <is>
          <t>RL7-CHR-201-ZSC-04L</t>
        </is>
      </c>
      <c r="C659" s="314" t="inlineStr">
        <is>
          <t>RL7-CHR-201-ZSC-04L</t>
        </is>
      </c>
      <c r="D659" s="262" t="n"/>
      <c r="E659" s="128" t="n"/>
      <c r="F659" s="138" t="inlineStr">
        <is>
          <t>SERPENTINE CHILLER JAM SENSOR</t>
        </is>
      </c>
      <c r="G659" s="131" t="inlineStr">
        <is>
          <t>DG7033</t>
        </is>
      </c>
      <c r="H659" s="128" t="inlineStr">
        <is>
          <t>CHILL</t>
        </is>
      </c>
      <c r="I659" s="132" t="inlineStr">
        <is>
          <t>RL7-SERP-RIO2</t>
        </is>
      </c>
      <c r="J659" s="133" t="n">
        <v>16</v>
      </c>
      <c r="K659" s="129" t="n">
        <v>3</v>
      </c>
      <c r="L659" s="129" t="n">
        <v>0</v>
      </c>
      <c r="M659" s="129" t="inlineStr">
        <is>
          <t>24 VDC DI</t>
        </is>
      </c>
      <c r="N659" s="129" t="inlineStr">
        <is>
          <t>5069-IB16</t>
        </is>
      </c>
      <c r="O659" s="139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53" t="n"/>
      <c r="AA659" t="inlineStr">
        <is>
          <t>Matched</t>
        </is>
      </c>
      <c r="AB659" s="315" t="n">
        <v>0.99</v>
      </c>
      <c r="AC659" t="inlineStr">
        <is>
          <t>High</t>
        </is>
      </c>
      <c r="AD659" t="n">
        <v>1</v>
      </c>
      <c r="AE659" t="inlineStr">
        <is>
          <t>DG7033</t>
        </is>
      </c>
      <c r="AF659" t="n">
        <v>19</v>
      </c>
      <c r="AG659" t="inlineStr">
        <is>
          <t>drawing</t>
        </is>
      </c>
      <c r="AH659" t="inlineStr">
        <is>
          <t>stacked:isa</t>
        </is>
      </c>
      <c r="AI659" t="inlineStr">
        <is>
          <t>drawing zone; process page; mapped sheet; excel sheet match</t>
        </is>
      </c>
      <c r="AJ659" t="inlineStr">
        <is>
          <t>native</t>
        </is>
      </c>
      <c r="AK659" t="inlineStr">
        <is>
          <t>native-only</t>
        </is>
      </c>
      <c r="AM659" t="inlineStr">
        <is>
          <t>19</t>
        </is>
      </c>
      <c r="AN659" t="inlineStr">
        <is>
          <t>Yes</t>
        </is>
      </c>
      <c r="AO659" t="inlineStr">
        <is>
          <t>mapped sheet id</t>
        </is>
      </c>
      <c r="AP659" t="inlineStr">
        <is>
          <t>p19:native:245, p19:native:246</t>
        </is>
      </c>
      <c r="AQ659" t="n">
        <v>2</v>
      </c>
    </row>
    <row r="660">
      <c r="A660" s="203">
        <f>ROW()-1</f>
        <v/>
      </c>
      <c r="B660" s="128" t="inlineStr">
        <is>
          <t>RL7-FTR-207-ZSO-01</t>
        </is>
      </c>
      <c r="C660" s="314" t="inlineStr">
        <is>
          <t>RL7-FTR-207-ZSO-01</t>
        </is>
      </c>
      <c r="D660" s="262" t="n"/>
      <c r="E660" s="128" t="n"/>
      <c r="F660" s="138" t="inlineStr">
        <is>
          <t>SERPENTINE ZONE 2B FILTER PURGE VALVE OPEN LIMIT SWITCH</t>
        </is>
      </c>
      <c r="G660" s="131" t="inlineStr">
        <is>
          <t>DG7033</t>
        </is>
      </c>
      <c r="H660" s="128" t="inlineStr">
        <is>
          <t>CHILL</t>
        </is>
      </c>
      <c r="I660" s="132" t="inlineStr">
        <is>
          <t>RL7-SERP-RIO2</t>
        </is>
      </c>
      <c r="J660" s="133" t="n">
        <v>16</v>
      </c>
      <c r="K660" s="129" t="n">
        <v>3</v>
      </c>
      <c r="L660" s="129" t="n">
        <v>1</v>
      </c>
      <c r="M660" s="129" t="inlineStr">
        <is>
          <t>24 VDC DI</t>
        </is>
      </c>
      <c r="N660" s="129" t="inlineStr">
        <is>
          <t>5069-IB16</t>
        </is>
      </c>
      <c r="O660" s="139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53" t="n"/>
      <c r="AA660" t="inlineStr">
        <is>
          <t>Matched</t>
        </is>
      </c>
      <c r="AB660" s="315" t="n">
        <v>0.99</v>
      </c>
      <c r="AC660" t="inlineStr">
        <is>
          <t>High</t>
        </is>
      </c>
      <c r="AD660" t="n">
        <v>1</v>
      </c>
      <c r="AE660" t="inlineStr">
        <is>
          <t>DG7033</t>
        </is>
      </c>
      <c r="AF660" t="n">
        <v>19</v>
      </c>
      <c r="AG660" t="inlineStr">
        <is>
          <t>drawing</t>
        </is>
      </c>
      <c r="AH660" t="inlineStr">
        <is>
          <t>stacked:isa</t>
        </is>
      </c>
      <c r="AI660" t="inlineStr">
        <is>
          <t>drawing zone; process page; mapped sheet; excel sheet match</t>
        </is>
      </c>
      <c r="AJ660" t="inlineStr">
        <is>
          <t>native</t>
        </is>
      </c>
      <c r="AK660" t="inlineStr">
        <is>
          <t>native-only</t>
        </is>
      </c>
      <c r="AM660" t="inlineStr">
        <is>
          <t>19</t>
        </is>
      </c>
      <c r="AN660" t="inlineStr">
        <is>
          <t>Yes</t>
        </is>
      </c>
      <c r="AO660" t="inlineStr">
        <is>
          <t>mapped sheet id</t>
        </is>
      </c>
      <c r="AP660" t="inlineStr">
        <is>
          <t>p19:native:272, p19:native:273</t>
        </is>
      </c>
      <c r="AQ660" t="n">
        <v>2</v>
      </c>
    </row>
    <row r="661">
      <c r="A661" s="203">
        <f>ROW()-1</f>
        <v/>
      </c>
      <c r="B661" s="128" t="inlineStr">
        <is>
          <t>RL7-FTR-207-ZSC-01</t>
        </is>
      </c>
      <c r="C661" s="314" t="inlineStr">
        <is>
          <t>RL7-FTR-207-ZSC-01</t>
        </is>
      </c>
      <c r="D661" s="262" t="n"/>
      <c r="E661" s="128" t="n"/>
      <c r="F661" s="138" t="inlineStr">
        <is>
          <t>SERPENTINE ZONE 2B FILTER PURGE VALVE CLOSED LIMIT SWITCH</t>
        </is>
      </c>
      <c r="G661" s="131" t="inlineStr">
        <is>
          <t>DG7033</t>
        </is>
      </c>
      <c r="H661" s="128" t="inlineStr">
        <is>
          <t>CHILL</t>
        </is>
      </c>
      <c r="I661" s="132" t="inlineStr">
        <is>
          <t>RL7-SERP-RIO2</t>
        </is>
      </c>
      <c r="J661" s="133" t="n">
        <v>16</v>
      </c>
      <c r="K661" s="129" t="n">
        <v>3</v>
      </c>
      <c r="L661" s="129" t="n">
        <v>2</v>
      </c>
      <c r="M661" s="129" t="inlineStr">
        <is>
          <t>24 VDC DI</t>
        </is>
      </c>
      <c r="N661" s="129" t="inlineStr">
        <is>
          <t>5069-IB16</t>
        </is>
      </c>
      <c r="O661" s="139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53" t="n"/>
      <c r="AA661" t="inlineStr">
        <is>
          <t>Matched</t>
        </is>
      </c>
      <c r="AB661" s="315" t="n">
        <v>0.99</v>
      </c>
      <c r="AC661" t="inlineStr">
        <is>
          <t>High</t>
        </is>
      </c>
      <c r="AD661" t="n">
        <v>1</v>
      </c>
      <c r="AE661" t="inlineStr">
        <is>
          <t>DG7033</t>
        </is>
      </c>
      <c r="AF661" t="n">
        <v>19</v>
      </c>
      <c r="AG661" t="inlineStr">
        <is>
          <t>drawing</t>
        </is>
      </c>
      <c r="AH661" t="inlineStr">
        <is>
          <t>stacked:isa</t>
        </is>
      </c>
      <c r="AI661" t="inlineStr">
        <is>
          <t>drawing zone; process page; mapped sheet; excel sheet match</t>
        </is>
      </c>
      <c r="AJ661" t="inlineStr">
        <is>
          <t>native</t>
        </is>
      </c>
      <c r="AK661" t="inlineStr">
        <is>
          <t>native-only</t>
        </is>
      </c>
      <c r="AM661" t="inlineStr">
        <is>
          <t>19</t>
        </is>
      </c>
      <c r="AN661" t="inlineStr">
        <is>
          <t>Yes</t>
        </is>
      </c>
      <c r="AO661" t="inlineStr">
        <is>
          <t>mapped sheet id</t>
        </is>
      </c>
      <c r="AP661" t="inlineStr">
        <is>
          <t>p19:native:274, p19:native:275</t>
        </is>
      </c>
      <c r="AQ661" t="n">
        <v>2</v>
      </c>
    </row>
    <row r="662">
      <c r="A662" s="203">
        <f>ROW()-1</f>
        <v/>
      </c>
      <c r="B662" s="128" t="inlineStr">
        <is>
          <t>RL7-CHR-201-ZSC-04R</t>
        </is>
      </c>
      <c r="C662" s="314" t="inlineStr">
        <is>
          <t>RL7-CHR-201-ZSC-04R</t>
        </is>
      </c>
      <c r="D662" s="262" t="n"/>
      <c r="E662" s="128" t="n"/>
      <c r="F662" s="138" t="inlineStr">
        <is>
          <t>SERPENTINE CHILLER JAM SENSOR</t>
        </is>
      </c>
      <c r="G662" s="131" t="inlineStr">
        <is>
          <t>DG7033</t>
        </is>
      </c>
      <c r="H662" s="128" t="inlineStr">
        <is>
          <t>CHILL</t>
        </is>
      </c>
      <c r="I662" s="132" t="inlineStr">
        <is>
          <t>RL7-SERP-RIO2</t>
        </is>
      </c>
      <c r="J662" s="133" t="n">
        <v>16</v>
      </c>
      <c r="K662" s="129" t="n">
        <v>3</v>
      </c>
      <c r="L662" s="129" t="n">
        <v>3</v>
      </c>
      <c r="M662" s="129" t="inlineStr">
        <is>
          <t>24 VDC DI</t>
        </is>
      </c>
      <c r="N662" s="129" t="inlineStr">
        <is>
          <t>5069-IB16</t>
        </is>
      </c>
      <c r="O662" s="139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53" t="n"/>
      <c r="AA662" t="inlineStr">
        <is>
          <t>Matched</t>
        </is>
      </c>
      <c r="AB662" s="315" t="n">
        <v>0.99</v>
      </c>
      <c r="AC662" t="inlineStr">
        <is>
          <t>High</t>
        </is>
      </c>
      <c r="AD662" t="n">
        <v>1</v>
      </c>
      <c r="AE662" t="inlineStr">
        <is>
          <t>DG7033</t>
        </is>
      </c>
      <c r="AF662" t="n">
        <v>19</v>
      </c>
      <c r="AG662" t="inlineStr">
        <is>
          <t>drawing</t>
        </is>
      </c>
      <c r="AH662" t="inlineStr">
        <is>
          <t>stacked:isa</t>
        </is>
      </c>
      <c r="AI662" t="inlineStr">
        <is>
          <t>drawing zone; process page; mapped sheet; excel sheet match</t>
        </is>
      </c>
      <c r="AJ662" t="inlineStr">
        <is>
          <t>native</t>
        </is>
      </c>
      <c r="AK662" t="inlineStr">
        <is>
          <t>native-only</t>
        </is>
      </c>
      <c r="AM662" t="inlineStr">
        <is>
          <t>19</t>
        </is>
      </c>
      <c r="AN662" t="inlineStr">
        <is>
          <t>Yes</t>
        </is>
      </c>
      <c r="AO662" t="inlineStr">
        <is>
          <t>mapped sheet id</t>
        </is>
      </c>
      <c r="AP662" t="inlineStr">
        <is>
          <t>p19:native:243, p19:native:244</t>
        </is>
      </c>
      <c r="AQ662" t="n">
        <v>2</v>
      </c>
    </row>
    <row r="663">
      <c r="A663" s="203">
        <f>ROW()-1</f>
        <v/>
      </c>
      <c r="B663" s="128" t="inlineStr">
        <is>
          <t>RL7-FTR-207-XV-01</t>
        </is>
      </c>
      <c r="C663" s="313" t="inlineStr">
        <is>
          <t>RL7-FTR-207-XV-01</t>
        </is>
      </c>
      <c r="D663" s="262" t="n"/>
      <c r="E663" s="128" t="n"/>
      <c r="F663" s="138" t="inlineStr">
        <is>
          <t>SERPENTINE ZONE 2B FILTER PURGE VALVE OPEN SOLENOID</t>
        </is>
      </c>
      <c r="G663" s="131" t="inlineStr">
        <is>
          <t>DG7033</t>
        </is>
      </c>
      <c r="H663" s="128" t="inlineStr">
        <is>
          <t>CHILL</t>
        </is>
      </c>
      <c r="I663" s="132" t="inlineStr">
        <is>
          <t>RL7-SERP-RIO2</t>
        </is>
      </c>
      <c r="J663" s="133" t="n">
        <v>16</v>
      </c>
      <c r="K663" s="129" t="n">
        <v>5</v>
      </c>
      <c r="L663" s="129" t="n">
        <v>11</v>
      </c>
      <c r="M663" s="129" t="inlineStr">
        <is>
          <t>24 VDC DO</t>
        </is>
      </c>
      <c r="N663" s="129" t="inlineStr">
        <is>
          <t>5069-OB16</t>
        </is>
      </c>
      <c r="O663" s="139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40" t="n"/>
      <c r="AA663" t="inlineStr">
        <is>
          <t>Matched</t>
        </is>
      </c>
      <c r="AB663" s="315" t="n">
        <v>0.7600000000000001</v>
      </c>
      <c r="AC663" t="inlineStr">
        <is>
          <t>Medium</t>
        </is>
      </c>
      <c r="AD663" t="n">
        <v>1</v>
      </c>
      <c r="AE663" t="inlineStr">
        <is>
          <t>DG7033</t>
        </is>
      </c>
      <c r="AF663" t="n">
        <v>19</v>
      </c>
      <c r="AG663" t="inlineStr">
        <is>
          <t>title-block/bottom</t>
        </is>
      </c>
      <c r="AH663" t="inlineStr">
        <is>
          <t>stacked:isa</t>
        </is>
      </c>
      <c r="AI663" t="inlineStr">
        <is>
          <t>title-block penalty; process page; mapped sheet; excel sheet match</t>
        </is>
      </c>
      <c r="AJ663" t="inlineStr">
        <is>
          <t>native</t>
        </is>
      </c>
      <c r="AK663" t="inlineStr">
        <is>
          <t>native-only</t>
        </is>
      </c>
      <c r="AM663" t="inlineStr">
        <is>
          <t>19</t>
        </is>
      </c>
      <c r="AN663" t="inlineStr">
        <is>
          <t>Yes</t>
        </is>
      </c>
      <c r="AO663" t="inlineStr">
        <is>
          <t>mapped sheet id</t>
        </is>
      </c>
      <c r="AP663" t="inlineStr">
        <is>
          <t>p19:native:270, p19:native:271</t>
        </is>
      </c>
      <c r="AQ663" t="n">
        <v>2</v>
      </c>
    </row>
    <row r="664">
      <c r="A664" s="203">
        <f>ROW()-1</f>
        <v/>
      </c>
      <c r="B664" s="128" t="inlineStr">
        <is>
          <t>RL7-CHR-201-PBL-05</t>
        </is>
      </c>
      <c r="C664" s="313" t="inlineStr">
        <is>
          <t>RL7-CHR-201-PBL-03</t>
        </is>
      </c>
      <c r="D664" s="262" t="n"/>
      <c r="E664" s="128" t="n"/>
      <c r="F664" s="141" t="inlineStr">
        <is>
          <t xml:space="preserve">SERPENTINE E-STOP 3 PB LIGHT </t>
        </is>
      </c>
      <c r="G664" s="131" t="inlineStr">
        <is>
          <t>DG7033</t>
        </is>
      </c>
      <c r="H664" s="128" t="inlineStr">
        <is>
          <t>CHILL</t>
        </is>
      </c>
      <c r="I664" s="132" t="inlineStr">
        <is>
          <t>RL7-SERP-RIO2</t>
        </is>
      </c>
      <c r="J664" s="133" t="n">
        <v>16</v>
      </c>
      <c r="K664" s="129" t="n">
        <v>5</v>
      </c>
      <c r="L664" s="129" t="n">
        <v>12</v>
      </c>
      <c r="M664" s="129" t="inlineStr">
        <is>
          <t>24 VDC DO</t>
        </is>
      </c>
      <c r="N664" s="129" t="inlineStr">
        <is>
          <t>5069-OB16</t>
        </is>
      </c>
      <c r="O664" s="139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53" t="n"/>
      <c r="AA664" t="inlineStr">
        <is>
          <t>Not found in PDF</t>
        </is>
      </c>
      <c r="AC664" t="inlineStr">
        <is>
          <t>Low</t>
        </is>
      </c>
      <c r="AM664" t="inlineStr">
        <is>
          <t>19</t>
        </is>
      </c>
      <c r="AN664" t="inlineStr">
        <is>
          <t>Yes</t>
        </is>
      </c>
      <c r="AO664" t="inlineStr">
        <is>
          <t>mapped sheet id</t>
        </is>
      </c>
    </row>
    <row r="665">
      <c r="A665" s="203">
        <f>ROW()-1</f>
        <v/>
      </c>
      <c r="B665" s="128" t="inlineStr">
        <is>
          <t>RL7-CHR-201-PBL-06</t>
        </is>
      </c>
      <c r="C665" s="313" t="inlineStr">
        <is>
          <t>RL7-CHR-201-PBL-04</t>
        </is>
      </c>
      <c r="D665" s="262" t="n"/>
      <c r="E665" s="128" t="n"/>
      <c r="F665" s="141" t="inlineStr">
        <is>
          <t xml:space="preserve">SERPENTINE E-STOP 4 PB LIGHT </t>
        </is>
      </c>
      <c r="G665" s="131" t="inlineStr">
        <is>
          <t>DG7033</t>
        </is>
      </c>
      <c r="H665" s="128" t="inlineStr">
        <is>
          <t>CHILL</t>
        </is>
      </c>
      <c r="I665" s="132" t="inlineStr">
        <is>
          <t>RL7-SERP-RIO2</t>
        </is>
      </c>
      <c r="J665" s="133" t="n">
        <v>16</v>
      </c>
      <c r="K665" s="129" t="n">
        <v>5</v>
      </c>
      <c r="L665" s="129" t="n">
        <v>13</v>
      </c>
      <c r="M665" s="129" t="inlineStr">
        <is>
          <t>24 VDC DO</t>
        </is>
      </c>
      <c r="N665" s="129" t="inlineStr">
        <is>
          <t>5069-OB16</t>
        </is>
      </c>
      <c r="O665" s="139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53" t="n"/>
      <c r="AA665" t="inlineStr">
        <is>
          <t>Not found in PDF</t>
        </is>
      </c>
      <c r="AC665" t="inlineStr">
        <is>
          <t>Low</t>
        </is>
      </c>
      <c r="AM665" t="inlineStr">
        <is>
          <t>19</t>
        </is>
      </c>
      <c r="AN665" t="inlineStr">
        <is>
          <t>Yes</t>
        </is>
      </c>
      <c r="AO665" t="inlineStr">
        <is>
          <t>mapped sheet id</t>
        </is>
      </c>
    </row>
    <row r="666">
      <c r="A666" s="203">
        <f>ROW()-1</f>
        <v/>
      </c>
      <c r="B666" s="128" t="inlineStr">
        <is>
          <t>RL7-CHR-201-PBL-07</t>
        </is>
      </c>
      <c r="C666" s="313" t="inlineStr">
        <is>
          <t>RL7-CHR-201-PBL-05</t>
        </is>
      </c>
      <c r="D666" s="262" t="n"/>
      <c r="E666" s="128" t="n"/>
      <c r="F666" s="141" t="inlineStr">
        <is>
          <t xml:space="preserve">SERPENTINE E-STOP 5 PB LIGHT </t>
        </is>
      </c>
      <c r="G666" s="131" t="inlineStr">
        <is>
          <t>DG7033</t>
        </is>
      </c>
      <c r="H666" s="128" t="inlineStr">
        <is>
          <t>CHILL</t>
        </is>
      </c>
      <c r="I666" s="132" t="inlineStr">
        <is>
          <t>RL7-SERP-RIO2</t>
        </is>
      </c>
      <c r="J666" s="133" t="n">
        <v>16</v>
      </c>
      <c r="K666" s="129" t="n">
        <v>5</v>
      </c>
      <c r="L666" s="129" t="n">
        <v>14</v>
      </c>
      <c r="M666" s="129" t="inlineStr">
        <is>
          <t>24 VDC DO</t>
        </is>
      </c>
      <c r="N666" s="129" t="inlineStr">
        <is>
          <t>5069-OB16</t>
        </is>
      </c>
      <c r="O666" s="139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53" t="n"/>
      <c r="AA666" t="inlineStr">
        <is>
          <t>Not found in PDF</t>
        </is>
      </c>
      <c r="AC666" t="inlineStr">
        <is>
          <t>Low</t>
        </is>
      </c>
      <c r="AM666" t="inlineStr">
        <is>
          <t>19</t>
        </is>
      </c>
      <c r="AN666" t="inlineStr">
        <is>
          <t>Yes</t>
        </is>
      </c>
      <c r="AO666" t="inlineStr">
        <is>
          <t>mapped sheet id</t>
        </is>
      </c>
    </row>
    <row r="667">
      <c r="A667" s="203">
        <f>ROW()-1</f>
        <v/>
      </c>
      <c r="B667" s="128" t="inlineStr">
        <is>
          <t>RL7-PMP-205-TIT-01</t>
        </is>
      </c>
      <c r="C667" s="314" t="inlineStr">
        <is>
          <t>RL7-PMP-205-TIT-01</t>
        </is>
      </c>
      <c r="D667" s="262" t="n"/>
      <c r="E667" s="128" t="n"/>
      <c r="F667" s="138" t="inlineStr">
        <is>
          <t>SERPENTINE ZONE 2A CHS TEMPERATURE</t>
        </is>
      </c>
      <c r="G667" s="131" t="inlineStr">
        <is>
          <t>DG7033</t>
        </is>
      </c>
      <c r="H667" s="128" t="inlineStr">
        <is>
          <t>CHILL</t>
        </is>
      </c>
      <c r="I667" s="132" t="inlineStr">
        <is>
          <t>RL7-SERP-RIO2</t>
        </is>
      </c>
      <c r="J667" s="133" t="n">
        <v>16</v>
      </c>
      <c r="K667" s="129" t="n">
        <v>7</v>
      </c>
      <c r="L667" s="129" t="n">
        <v>0</v>
      </c>
      <c r="M667" s="129" t="inlineStr">
        <is>
          <t>4-20 mA AI</t>
        </is>
      </c>
      <c r="N667" s="129" t="inlineStr">
        <is>
          <t>5069-IF8</t>
        </is>
      </c>
      <c r="O667" s="139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53" t="n"/>
      <c r="AA667" t="inlineStr">
        <is>
          <t>Matched</t>
        </is>
      </c>
      <c r="AB667" s="315" t="n">
        <v>0.99</v>
      </c>
      <c r="AC667" t="inlineStr">
        <is>
          <t>High</t>
        </is>
      </c>
      <c r="AD667" t="n">
        <v>1</v>
      </c>
      <c r="AE667" t="inlineStr">
        <is>
          <t>DG7033</t>
        </is>
      </c>
      <c r="AF667" t="n">
        <v>19</v>
      </c>
      <c r="AG667" t="inlineStr">
        <is>
          <t>drawing</t>
        </is>
      </c>
      <c r="AH667" t="inlineStr">
        <is>
          <t>stacked:isa</t>
        </is>
      </c>
      <c r="AI667" t="inlineStr">
        <is>
          <t>drawing zone; process page; mapped sheet; excel sheet match</t>
        </is>
      </c>
      <c r="AJ667" t="inlineStr">
        <is>
          <t>native</t>
        </is>
      </c>
      <c r="AK667" t="inlineStr">
        <is>
          <t>native-only</t>
        </is>
      </c>
      <c r="AM667" t="inlineStr">
        <is>
          <t>19</t>
        </is>
      </c>
      <c r="AN667" t="inlineStr">
        <is>
          <t>Yes</t>
        </is>
      </c>
      <c r="AO667" t="inlineStr">
        <is>
          <t>mapped sheet id</t>
        </is>
      </c>
      <c r="AP667" t="inlineStr">
        <is>
          <t>p19:native:104, p19:native:105</t>
        </is>
      </c>
      <c r="AQ667" t="n">
        <v>2</v>
      </c>
    </row>
    <row r="668">
      <c r="A668" s="203">
        <f>ROW()-1</f>
        <v/>
      </c>
      <c r="B668" s="128" t="inlineStr">
        <is>
          <t>RL7-PMP-205-PIT-01</t>
        </is>
      </c>
      <c r="C668" s="314" t="inlineStr">
        <is>
          <t>RL7-PMP-205-PIT-01</t>
        </is>
      </c>
      <c r="D668" s="262" t="n"/>
      <c r="E668" s="128" t="n"/>
      <c r="F668" s="138" t="inlineStr">
        <is>
          <t>SERPENTINE ZONE 2A CHR PRESSURE</t>
        </is>
      </c>
      <c r="G668" s="131" t="inlineStr">
        <is>
          <t>DG7033</t>
        </is>
      </c>
      <c r="H668" s="128" t="inlineStr">
        <is>
          <t>CHILL</t>
        </is>
      </c>
      <c r="I668" s="132" t="inlineStr">
        <is>
          <t>RL7-SERP-RIO2</t>
        </is>
      </c>
      <c r="J668" s="133" t="n">
        <v>16</v>
      </c>
      <c r="K668" s="129" t="n">
        <v>7</v>
      </c>
      <c r="L668" s="129" t="n">
        <v>1</v>
      </c>
      <c r="M668" s="129" t="inlineStr">
        <is>
          <t>4-20 mA AI</t>
        </is>
      </c>
      <c r="N668" s="129" t="inlineStr">
        <is>
          <t>5069-IF8</t>
        </is>
      </c>
      <c r="O668" s="139" t="inlineStr">
        <is>
          <t>0 - 150 PSI</t>
        </is>
      </c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53" t="n"/>
      <c r="AA668" t="inlineStr">
        <is>
          <t>Matched</t>
        </is>
      </c>
      <c r="AB668" s="315" t="n">
        <v>0.99</v>
      </c>
      <c r="AC668" t="inlineStr">
        <is>
          <t>High</t>
        </is>
      </c>
      <c r="AD668" t="n">
        <v>1</v>
      </c>
      <c r="AE668" t="inlineStr">
        <is>
          <t>DG7033</t>
        </is>
      </c>
      <c r="AF668" t="n">
        <v>19</v>
      </c>
      <c r="AG668" t="inlineStr">
        <is>
          <t>drawing</t>
        </is>
      </c>
      <c r="AH668" t="inlineStr">
        <is>
          <t>stacked:isa</t>
        </is>
      </c>
      <c r="AI668" t="inlineStr">
        <is>
          <t>drawing zone; process page; mapped sheet; excel sheet match</t>
        </is>
      </c>
      <c r="AJ668" t="inlineStr">
        <is>
          <t>native</t>
        </is>
      </c>
      <c r="AK668" t="inlineStr">
        <is>
          <t>native-only</t>
        </is>
      </c>
      <c r="AM668" t="inlineStr">
        <is>
          <t>19</t>
        </is>
      </c>
      <c r="AN668" t="inlineStr">
        <is>
          <t>Yes</t>
        </is>
      </c>
      <c r="AO668" t="inlineStr">
        <is>
          <t>mapped sheet id</t>
        </is>
      </c>
      <c r="AP668" t="inlineStr">
        <is>
          <t>p19:native:36, p19:native:37</t>
        </is>
      </c>
      <c r="AQ668" t="n">
        <v>2</v>
      </c>
    </row>
    <row r="669">
      <c r="A669" s="203">
        <f>ROW()-1</f>
        <v/>
      </c>
      <c r="B669" s="128" t="inlineStr">
        <is>
          <t>RL7-PMP-206-PIT-01</t>
        </is>
      </c>
      <c r="C669" s="314" t="inlineStr">
        <is>
          <t>RL7-PMP-206-PIT-01</t>
        </is>
      </c>
      <c r="D669" s="262" t="n"/>
      <c r="E669" s="128" t="n"/>
      <c r="F669" s="138" t="inlineStr">
        <is>
          <t>SERPENTINE ZONE 2B RECIRC PRESSURE</t>
        </is>
      </c>
      <c r="G669" s="131" t="inlineStr">
        <is>
          <t>DG7033</t>
        </is>
      </c>
      <c r="H669" s="128" t="inlineStr">
        <is>
          <t>CHILL</t>
        </is>
      </c>
      <c r="I669" s="132" t="inlineStr">
        <is>
          <t>RL7-SERP-RIO2</t>
        </is>
      </c>
      <c r="J669" s="133" t="n">
        <v>16</v>
      </c>
      <c r="K669" s="129" t="n">
        <v>7</v>
      </c>
      <c r="L669" s="129" t="n">
        <v>2</v>
      </c>
      <c r="M669" s="129" t="inlineStr">
        <is>
          <t>4-20 mA AI</t>
        </is>
      </c>
      <c r="N669" s="129" t="inlineStr">
        <is>
          <t>5069-IF8</t>
        </is>
      </c>
      <c r="O669" s="139" t="inlineStr">
        <is>
          <t>0 - 150 PSI</t>
        </is>
      </c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53" t="n"/>
      <c r="AA669" t="inlineStr">
        <is>
          <t>Matched</t>
        </is>
      </c>
      <c r="AB669" s="315" t="n">
        <v>0.99</v>
      </c>
      <c r="AC669" t="inlineStr">
        <is>
          <t>High</t>
        </is>
      </c>
      <c r="AD669" t="n">
        <v>1</v>
      </c>
      <c r="AE669" t="inlineStr">
        <is>
          <t>DG7033</t>
        </is>
      </c>
      <c r="AF669" t="n">
        <v>19</v>
      </c>
      <c r="AG669" t="inlineStr">
        <is>
          <t>drawing</t>
        </is>
      </c>
      <c r="AH669" t="inlineStr">
        <is>
          <t>stacked:isa</t>
        </is>
      </c>
      <c r="AI669" t="inlineStr">
        <is>
          <t>drawing zone; process page; mapped sheet; excel sheet match</t>
        </is>
      </c>
      <c r="AJ669" t="inlineStr">
        <is>
          <t>native</t>
        </is>
      </c>
      <c r="AK669" t="inlineStr">
        <is>
          <t>native-only</t>
        </is>
      </c>
      <c r="AM669" t="inlineStr">
        <is>
          <t>19</t>
        </is>
      </c>
      <c r="AN669" t="inlineStr">
        <is>
          <t>Yes</t>
        </is>
      </c>
      <c r="AO669" t="inlineStr">
        <is>
          <t>mapped sheet id</t>
        </is>
      </c>
      <c r="AP669" t="inlineStr">
        <is>
          <t>p19:native:2, p19:native:3</t>
        </is>
      </c>
      <c r="AQ669" t="n">
        <v>2</v>
      </c>
    </row>
    <row r="670">
      <c r="A670" s="203">
        <f>ROW()-1</f>
        <v/>
      </c>
      <c r="B670" s="128" t="inlineStr">
        <is>
          <t>RL7-PMP-206-TIT-01</t>
        </is>
      </c>
      <c r="C670" s="314" t="inlineStr">
        <is>
          <t>RL7-PMP-206-TIT-01</t>
        </is>
      </c>
      <c r="D670" s="262" t="n"/>
      <c r="E670" s="128" t="n"/>
      <c r="F670" s="138" t="inlineStr">
        <is>
          <t>SERPENTINE ZONE 2B CHS TEMPERATURE</t>
        </is>
      </c>
      <c r="G670" s="131" t="inlineStr">
        <is>
          <t>DG7033</t>
        </is>
      </c>
      <c r="H670" s="128" t="inlineStr">
        <is>
          <t>CHILL</t>
        </is>
      </c>
      <c r="I670" s="132" t="inlineStr">
        <is>
          <t>RL7-SERP-RIO2</t>
        </is>
      </c>
      <c r="J670" s="133" t="n">
        <v>16</v>
      </c>
      <c r="K670" s="129" t="n">
        <v>7</v>
      </c>
      <c r="L670" s="129" t="n">
        <v>3</v>
      </c>
      <c r="M670" s="129" t="inlineStr">
        <is>
          <t>4-20 mA AI</t>
        </is>
      </c>
      <c r="N670" s="129" t="inlineStr">
        <is>
          <t>5069-IF8</t>
        </is>
      </c>
      <c r="O670" s="139" t="inlineStr">
        <is>
          <t>0 - 100 F</t>
        </is>
      </c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53" t="n"/>
      <c r="AA670" t="inlineStr">
        <is>
          <t>Matched</t>
        </is>
      </c>
      <c r="AB670" s="315" t="n">
        <v>0.99</v>
      </c>
      <c r="AC670" t="inlineStr">
        <is>
          <t>High</t>
        </is>
      </c>
      <c r="AD670" t="n">
        <v>1</v>
      </c>
      <c r="AE670" t="inlineStr">
        <is>
          <t>DG7033</t>
        </is>
      </c>
      <c r="AF670" t="n">
        <v>19</v>
      </c>
      <c r="AG670" t="inlineStr">
        <is>
          <t>drawing</t>
        </is>
      </c>
      <c r="AH670" t="inlineStr">
        <is>
          <t>stacked:isa</t>
        </is>
      </c>
      <c r="AI670" t="inlineStr">
        <is>
          <t>drawing zone; process page; mapped sheet; excel sheet match</t>
        </is>
      </c>
      <c r="AJ670" t="inlineStr">
        <is>
          <t>native</t>
        </is>
      </c>
      <c r="AK670" t="inlineStr">
        <is>
          <t>native-only</t>
        </is>
      </c>
      <c r="AM670" t="inlineStr">
        <is>
          <t>19</t>
        </is>
      </c>
      <c r="AN670" t="inlineStr">
        <is>
          <t>Yes</t>
        </is>
      </c>
      <c r="AO670" t="inlineStr">
        <is>
          <t>mapped sheet id</t>
        </is>
      </c>
      <c r="AP670" t="inlineStr">
        <is>
          <t>p19:native:100, p19:native:101</t>
        </is>
      </c>
      <c r="AQ670" t="n">
        <v>2</v>
      </c>
    </row>
    <row r="671">
      <c r="A671" s="203">
        <f>ROW()-1</f>
        <v/>
      </c>
      <c r="B671" s="128" t="inlineStr">
        <is>
          <t>RL7-PMP-207-PIT-01</t>
        </is>
      </c>
      <c r="C671" s="314" t="inlineStr">
        <is>
          <t>RL7-PMP-207-PIT-01</t>
        </is>
      </c>
      <c r="D671" s="262" t="n"/>
      <c r="E671" s="128" t="n"/>
      <c r="F671" s="138" t="inlineStr">
        <is>
          <t>SERPENTINE ZONE 2B CHR PRESSURE</t>
        </is>
      </c>
      <c r="G671" s="131" t="inlineStr">
        <is>
          <t>DG7033</t>
        </is>
      </c>
      <c r="H671" s="128" t="inlineStr">
        <is>
          <t>CHILL</t>
        </is>
      </c>
      <c r="I671" s="132" t="inlineStr">
        <is>
          <t>RL7-SERP-RIO2</t>
        </is>
      </c>
      <c r="J671" s="133" t="n">
        <v>16</v>
      </c>
      <c r="K671" s="129" t="n">
        <v>7</v>
      </c>
      <c r="L671" s="129" t="n">
        <v>4</v>
      </c>
      <c r="M671" s="129" t="inlineStr">
        <is>
          <t>4-20 mA AI</t>
        </is>
      </c>
      <c r="N671" s="129" t="inlineStr">
        <is>
          <t>5069-IF8</t>
        </is>
      </c>
      <c r="O671" s="139" t="inlineStr">
        <is>
          <t>0 - 150 PSI</t>
        </is>
      </c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53" t="n"/>
      <c r="AA671" t="inlineStr">
        <is>
          <t>Matched</t>
        </is>
      </c>
      <c r="AB671" s="315" t="n">
        <v>0.99</v>
      </c>
      <c r="AC671" t="inlineStr">
        <is>
          <t>High</t>
        </is>
      </c>
      <c r="AD671" t="n">
        <v>1</v>
      </c>
      <c r="AE671" t="inlineStr">
        <is>
          <t>DG7033</t>
        </is>
      </c>
      <c r="AF671" t="n">
        <v>19</v>
      </c>
      <c r="AG671" t="inlineStr">
        <is>
          <t>drawing</t>
        </is>
      </c>
      <c r="AH671" t="inlineStr">
        <is>
          <t>stacked:isa</t>
        </is>
      </c>
      <c r="AI671" t="inlineStr">
        <is>
          <t>drawing zone; process page; mapped sheet; excel sheet match</t>
        </is>
      </c>
      <c r="AJ671" t="inlineStr">
        <is>
          <t>native</t>
        </is>
      </c>
      <c r="AK671" t="inlineStr">
        <is>
          <t>native-only</t>
        </is>
      </c>
      <c r="AM671" t="inlineStr">
        <is>
          <t>19</t>
        </is>
      </c>
      <c r="AN671" t="inlineStr">
        <is>
          <t>Yes</t>
        </is>
      </c>
      <c r="AO671" t="inlineStr">
        <is>
          <t>mapped sheet id</t>
        </is>
      </c>
      <c r="AP671" t="inlineStr">
        <is>
          <t>p19:native:0, p19:native:1</t>
        </is>
      </c>
      <c r="AQ671" t="n">
        <v>2</v>
      </c>
    </row>
    <row r="672">
      <c r="A672" s="203">
        <f>ROW()-1</f>
        <v/>
      </c>
      <c r="B672" s="128" t="inlineStr">
        <is>
          <t>RL7-FTR-207-PT-01</t>
        </is>
      </c>
      <c r="C672" s="314" t="inlineStr">
        <is>
          <t>RL7-FTR-207-PT-01</t>
        </is>
      </c>
      <c r="D672" s="262" t="n"/>
      <c r="E672" s="128" t="n"/>
      <c r="F672" s="138" t="inlineStr">
        <is>
          <t>SERPENTINE ZONE 2B FILTER INLET PRESSURE</t>
        </is>
      </c>
      <c r="G672" s="131" t="inlineStr">
        <is>
          <t>DG7033</t>
        </is>
      </c>
      <c r="H672" s="128" t="inlineStr">
        <is>
          <t>CHILL</t>
        </is>
      </c>
      <c r="I672" s="132" t="inlineStr">
        <is>
          <t>RL7-SERP-RIO2</t>
        </is>
      </c>
      <c r="J672" s="133" t="n">
        <v>16</v>
      </c>
      <c r="K672" s="129" t="n">
        <v>7</v>
      </c>
      <c r="L672" s="129" t="n">
        <v>5</v>
      </c>
      <c r="M672" s="129" t="inlineStr">
        <is>
          <t>4-20 mA AI</t>
        </is>
      </c>
      <c r="N672" s="129" t="inlineStr">
        <is>
          <t>5069-IF8</t>
        </is>
      </c>
      <c r="O672" s="139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53" t="n"/>
      <c r="AA672" t="inlineStr">
        <is>
          <t>Matched</t>
        </is>
      </c>
      <c r="AB672" s="315" t="n">
        <v>0.99</v>
      </c>
      <c r="AC672" t="inlineStr">
        <is>
          <t>High</t>
        </is>
      </c>
      <c r="AD672" t="n">
        <v>1</v>
      </c>
      <c r="AE672" t="inlineStr">
        <is>
          <t>DG7033</t>
        </is>
      </c>
      <c r="AF672" t="n">
        <v>19</v>
      </c>
      <c r="AG672" t="inlineStr">
        <is>
          <t>drawing</t>
        </is>
      </c>
      <c r="AH672" t="inlineStr">
        <is>
          <t>stacked:isa</t>
        </is>
      </c>
      <c r="AI672" t="inlineStr">
        <is>
          <t>drawing zone; process page; mapped sheet; excel sheet match</t>
        </is>
      </c>
      <c r="AJ672" t="inlineStr">
        <is>
          <t>native</t>
        </is>
      </c>
      <c r="AK672" t="inlineStr">
        <is>
          <t>native-only</t>
        </is>
      </c>
      <c r="AM672" t="inlineStr">
        <is>
          <t>19</t>
        </is>
      </c>
      <c r="AN672" t="inlineStr">
        <is>
          <t>Yes</t>
        </is>
      </c>
      <c r="AO672" t="inlineStr">
        <is>
          <t>mapped sheet id</t>
        </is>
      </c>
      <c r="AP672" t="inlineStr">
        <is>
          <t>p19:native:305, p19:native:306</t>
        </is>
      </c>
      <c r="AQ672" t="n">
        <v>2</v>
      </c>
    </row>
    <row r="673">
      <c r="A673" s="203">
        <f>ROW()-1</f>
        <v/>
      </c>
      <c r="B673" s="128" t="inlineStr">
        <is>
          <t>RL7-FTR-207-PT-02</t>
        </is>
      </c>
      <c r="C673" s="314" t="inlineStr">
        <is>
          <t>RL7-FTR-207-PT-02</t>
        </is>
      </c>
      <c r="D673" s="262" t="n"/>
      <c r="E673" s="128" t="n"/>
      <c r="F673" s="138" t="inlineStr">
        <is>
          <t>SERPENTINE ZONE 2B FILTER OUTLET PRESSURE</t>
        </is>
      </c>
      <c r="G673" s="131" t="inlineStr">
        <is>
          <t>DG7033</t>
        </is>
      </c>
      <c r="H673" s="128" t="inlineStr">
        <is>
          <t>CHILL</t>
        </is>
      </c>
      <c r="I673" s="132" t="inlineStr">
        <is>
          <t>RL7-SERP-RIO2</t>
        </is>
      </c>
      <c r="J673" s="133" t="n">
        <v>16</v>
      </c>
      <c r="K673" s="129" t="n">
        <v>7</v>
      </c>
      <c r="L673" s="129" t="n">
        <v>6</v>
      </c>
      <c r="M673" s="129" t="inlineStr">
        <is>
          <t>4-20 mA AI</t>
        </is>
      </c>
      <c r="N673" s="129" t="inlineStr">
        <is>
          <t>5069-IF8</t>
        </is>
      </c>
      <c r="O673" s="139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40" t="n"/>
      <c r="AA673" t="inlineStr">
        <is>
          <t>Matched</t>
        </is>
      </c>
      <c r="AB673" s="315" t="n">
        <v>0.99</v>
      </c>
      <c r="AC673" t="inlineStr">
        <is>
          <t>High</t>
        </is>
      </c>
      <c r="AD673" t="n">
        <v>1</v>
      </c>
      <c r="AE673" t="inlineStr">
        <is>
          <t>DG7033</t>
        </is>
      </c>
      <c r="AF673" t="n">
        <v>19</v>
      </c>
      <c r="AG673" t="inlineStr">
        <is>
          <t>drawing</t>
        </is>
      </c>
      <c r="AH673" t="inlineStr">
        <is>
          <t>stacked:isa</t>
        </is>
      </c>
      <c r="AI673" t="inlineStr">
        <is>
          <t>drawing zone; process page; mapped sheet; excel sheet match</t>
        </is>
      </c>
      <c r="AJ673" t="inlineStr">
        <is>
          <t>native</t>
        </is>
      </c>
      <c r="AK673" t="inlineStr">
        <is>
          <t>native-only</t>
        </is>
      </c>
      <c r="AM673" t="inlineStr">
        <is>
          <t>19</t>
        </is>
      </c>
      <c r="AN673" t="inlineStr">
        <is>
          <t>Yes</t>
        </is>
      </c>
      <c r="AO673" t="inlineStr">
        <is>
          <t>mapped sheet id</t>
        </is>
      </c>
      <c r="AP673" t="inlineStr">
        <is>
          <t>p19:native:307, p19:native:308</t>
        </is>
      </c>
      <c r="AQ673" t="n">
        <v>2</v>
      </c>
    </row>
    <row r="674">
      <c r="A674" s="203">
        <f>ROW()-1</f>
        <v/>
      </c>
      <c r="B674" s="129" t="inlineStr">
        <is>
          <t>RL7-CHR-201-TIT-03</t>
        </is>
      </c>
      <c r="C674" s="314" t="inlineStr">
        <is>
          <t>RL7-CHR-201-TIT-03</t>
        </is>
      </c>
      <c r="D674" s="262" t="n"/>
      <c r="E674" s="128" t="n"/>
      <c r="F674" s="4" t="inlineStr">
        <is>
          <t>SERPENTINE ZONE 2B BASIN TEMPERATURE</t>
        </is>
      </c>
      <c r="G674" s="131" t="inlineStr">
        <is>
          <t>DG7033</t>
        </is>
      </c>
      <c r="H674" s="129" t="inlineStr">
        <is>
          <t>CHILL</t>
        </is>
      </c>
      <c r="I674" s="132" t="inlineStr">
        <is>
          <t>RL7-SERP-RIO2</t>
        </is>
      </c>
      <c r="J674" s="133" t="n">
        <v>16</v>
      </c>
      <c r="K674" s="129" t="n">
        <v>7</v>
      </c>
      <c r="L674" s="129" t="n">
        <v>7</v>
      </c>
      <c r="M674" s="129" t="inlineStr">
        <is>
          <t>4-20 mA AI</t>
        </is>
      </c>
      <c r="N674" s="129" t="inlineStr">
        <is>
          <t>5069-IF8</t>
        </is>
      </c>
      <c r="O674" s="139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40" t="n"/>
      <c r="AA674" t="inlineStr">
        <is>
          <t>Matched</t>
        </is>
      </c>
      <c r="AB674" s="315" t="n">
        <v>0.99</v>
      </c>
      <c r="AC674" t="inlineStr">
        <is>
          <t>High</t>
        </is>
      </c>
      <c r="AD674" t="n">
        <v>1</v>
      </c>
      <c r="AE674" t="inlineStr">
        <is>
          <t>DG7033</t>
        </is>
      </c>
      <c r="AF674" t="n">
        <v>19</v>
      </c>
      <c r="AG674" t="inlineStr">
        <is>
          <t>drawing</t>
        </is>
      </c>
      <c r="AH674" t="inlineStr">
        <is>
          <t>stacked:isa</t>
        </is>
      </c>
      <c r="AI674" t="inlineStr">
        <is>
          <t>drawing zone; process page; mapped sheet; excel sheet match</t>
        </is>
      </c>
      <c r="AJ674" t="inlineStr">
        <is>
          <t>native</t>
        </is>
      </c>
      <c r="AK674" t="inlineStr">
        <is>
          <t>native-only</t>
        </is>
      </c>
      <c r="AM674" t="inlineStr">
        <is>
          <t>19</t>
        </is>
      </c>
      <c r="AN674" t="inlineStr">
        <is>
          <t>Yes</t>
        </is>
      </c>
      <c r="AO674" t="inlineStr">
        <is>
          <t>mapped sheet id</t>
        </is>
      </c>
      <c r="AP674" t="inlineStr">
        <is>
          <t>p19:native:424, p19:native:425</t>
        </is>
      </c>
      <c r="AQ674" t="n">
        <v>2</v>
      </c>
    </row>
    <row r="675">
      <c r="A675" s="203">
        <f>ROW()-1</f>
        <v/>
      </c>
      <c r="B675" s="128" t="inlineStr">
        <is>
          <t>RL7-PMP-205-FIT-01</t>
        </is>
      </c>
      <c r="C675" s="314" t="inlineStr">
        <is>
          <t>RL7-PMP-205-FIT-01</t>
        </is>
      </c>
      <c r="D675" s="262" t="n"/>
      <c r="E675" s="128" t="n"/>
      <c r="F675" s="138" t="inlineStr">
        <is>
          <t>SERPENTINE ZONE 2A CHR FLOW</t>
        </is>
      </c>
      <c r="G675" s="131" t="inlineStr">
        <is>
          <t>DG7033</t>
        </is>
      </c>
      <c r="H675" s="128" t="inlineStr">
        <is>
          <t>CHILL</t>
        </is>
      </c>
      <c r="I675" s="132" t="inlineStr">
        <is>
          <t>RL7-SERP-RIO2</t>
        </is>
      </c>
      <c r="J675" s="133" t="n">
        <v>16</v>
      </c>
      <c r="K675" s="129" t="n">
        <v>8</v>
      </c>
      <c r="L675" s="129" t="n">
        <v>0</v>
      </c>
      <c r="M675" s="129" t="inlineStr">
        <is>
          <t>4-20 mA AI</t>
        </is>
      </c>
      <c r="N675" s="129" t="inlineStr">
        <is>
          <t>5069-IF8</t>
        </is>
      </c>
      <c r="O675" s="139" t="inlineStr">
        <is>
          <t>0 - 2425 GPM</t>
        </is>
      </c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53" t="n"/>
      <c r="AA675" t="inlineStr">
        <is>
          <t>Matched</t>
        </is>
      </c>
      <c r="AB675" s="315" t="n">
        <v>0.99</v>
      </c>
      <c r="AC675" t="inlineStr">
        <is>
          <t>High</t>
        </is>
      </c>
      <c r="AD675" t="n">
        <v>1</v>
      </c>
      <c r="AE675" t="inlineStr">
        <is>
          <t>DG7033</t>
        </is>
      </c>
      <c r="AF675" t="n">
        <v>19</v>
      </c>
      <c r="AG675" t="inlineStr">
        <is>
          <t>drawing</t>
        </is>
      </c>
      <c r="AH675" t="inlineStr">
        <is>
          <t>stacked:isa</t>
        </is>
      </c>
      <c r="AI675" t="inlineStr">
        <is>
          <t>drawing zone; process page; mapped sheet; excel sheet match</t>
        </is>
      </c>
      <c r="AJ675" t="inlineStr">
        <is>
          <t>native</t>
        </is>
      </c>
      <c r="AK675" t="inlineStr">
        <is>
          <t>native-only</t>
        </is>
      </c>
      <c r="AM675" t="inlineStr">
        <is>
          <t>19</t>
        </is>
      </c>
      <c r="AN675" t="inlineStr">
        <is>
          <t>Yes</t>
        </is>
      </c>
      <c r="AO675" t="inlineStr">
        <is>
          <t>mapped sheet id</t>
        </is>
      </c>
      <c r="AP675" t="inlineStr">
        <is>
          <t>p19:native:42, p19:native:43</t>
        </is>
      </c>
      <c r="AQ675" t="n">
        <v>2</v>
      </c>
    </row>
    <row r="676">
      <c r="A676" s="203">
        <f>ROW()-1</f>
        <v/>
      </c>
      <c r="B676" s="128" t="inlineStr">
        <is>
          <t>RL7-PMP-206-FIT-01</t>
        </is>
      </c>
      <c r="C676" s="314" t="inlineStr">
        <is>
          <t>RL7-PMP-206-FIT-01</t>
        </is>
      </c>
      <c r="D676" s="262" t="n"/>
      <c r="E676" s="128" t="n"/>
      <c r="F676" s="138" t="inlineStr">
        <is>
          <t>SERPENTINE ZONE 2B RECIRC FLOW</t>
        </is>
      </c>
      <c r="G676" s="131" t="inlineStr">
        <is>
          <t>DG7033</t>
        </is>
      </c>
      <c r="H676" s="128" t="inlineStr">
        <is>
          <t>CHILL</t>
        </is>
      </c>
      <c r="I676" s="132" t="inlineStr">
        <is>
          <t>RL7-SERP-RIO2</t>
        </is>
      </c>
      <c r="J676" s="133" t="n">
        <v>16</v>
      </c>
      <c r="K676" s="129" t="n">
        <v>8</v>
      </c>
      <c r="L676" s="129" t="n">
        <v>1</v>
      </c>
      <c r="M676" s="129" t="inlineStr">
        <is>
          <t>4-20 mA AI</t>
        </is>
      </c>
      <c r="N676" s="129" t="inlineStr">
        <is>
          <t>5069-IF8</t>
        </is>
      </c>
      <c r="O676" s="139" t="inlineStr">
        <is>
          <t>0 - 2425 GPM</t>
        </is>
      </c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53" t="n"/>
      <c r="AA676" t="inlineStr">
        <is>
          <t>Matched</t>
        </is>
      </c>
      <c r="AB676" s="315" t="n">
        <v>0.99</v>
      </c>
      <c r="AC676" t="inlineStr">
        <is>
          <t>High</t>
        </is>
      </c>
      <c r="AD676" t="n">
        <v>1</v>
      </c>
      <c r="AE676" t="inlineStr">
        <is>
          <t>DG7033</t>
        </is>
      </c>
      <c r="AF676" t="n">
        <v>19</v>
      </c>
      <c r="AG676" t="inlineStr">
        <is>
          <t>drawing</t>
        </is>
      </c>
      <c r="AH676" t="inlineStr">
        <is>
          <t>stacked:isa</t>
        </is>
      </c>
      <c r="AI676" t="inlineStr">
        <is>
          <t>drawing zone; process page; mapped sheet; excel sheet match</t>
        </is>
      </c>
      <c r="AJ676" t="inlineStr">
        <is>
          <t>native</t>
        </is>
      </c>
      <c r="AK676" t="inlineStr">
        <is>
          <t>native-only</t>
        </is>
      </c>
      <c r="AM676" t="inlineStr">
        <is>
          <t>19</t>
        </is>
      </c>
      <c r="AN676" t="inlineStr">
        <is>
          <t>Yes</t>
        </is>
      </c>
      <c r="AO676" t="inlineStr">
        <is>
          <t>mapped sheet id</t>
        </is>
      </c>
      <c r="AP676" t="inlineStr">
        <is>
          <t>p19:native:14, p19:native:15</t>
        </is>
      </c>
      <c r="AQ676" t="n">
        <v>2</v>
      </c>
    </row>
    <row r="677">
      <c r="A677" s="203">
        <f>ROW()-1</f>
        <v/>
      </c>
      <c r="B677" s="128" t="inlineStr">
        <is>
          <t>RL7-PMP-207-FIT-01</t>
        </is>
      </c>
      <c r="C677" s="314" t="inlineStr">
        <is>
          <t>RL7-PMP-207-FIT-01</t>
        </is>
      </c>
      <c r="D677" s="262" t="n"/>
      <c r="E677" s="128" t="n"/>
      <c r="F677" s="138" t="inlineStr">
        <is>
          <t>SERPENTINE ZONE 2B CHR FLOW</t>
        </is>
      </c>
      <c r="G677" s="131" t="inlineStr">
        <is>
          <t>DG7033</t>
        </is>
      </c>
      <c r="H677" s="128" t="inlineStr">
        <is>
          <t>CHILL</t>
        </is>
      </c>
      <c r="I677" s="132" t="inlineStr">
        <is>
          <t>RL7-SERP-RIO2</t>
        </is>
      </c>
      <c r="J677" s="133" t="n">
        <v>16</v>
      </c>
      <c r="K677" s="129" t="n">
        <v>8</v>
      </c>
      <c r="L677" s="129" t="n">
        <v>2</v>
      </c>
      <c r="M677" s="129" t="inlineStr">
        <is>
          <t>4-20 mA AI</t>
        </is>
      </c>
      <c r="N677" s="129" t="inlineStr">
        <is>
          <t>5069-IF8</t>
        </is>
      </c>
      <c r="O677" s="139" t="inlineStr">
        <is>
          <t>0 - 2425 GPM</t>
        </is>
      </c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53" t="n"/>
      <c r="AA677" t="inlineStr">
        <is>
          <t>Matched</t>
        </is>
      </c>
      <c r="AB677" s="315" t="n">
        <v>0.99</v>
      </c>
      <c r="AC677" t="inlineStr">
        <is>
          <t>High</t>
        </is>
      </c>
      <c r="AD677" t="n">
        <v>1</v>
      </c>
      <c r="AE677" t="inlineStr">
        <is>
          <t>DG7033</t>
        </is>
      </c>
      <c r="AF677" t="n">
        <v>19</v>
      </c>
      <c r="AG677" t="inlineStr">
        <is>
          <t>drawing</t>
        </is>
      </c>
      <c r="AH677" t="inlineStr">
        <is>
          <t>stacked:isa</t>
        </is>
      </c>
      <c r="AI677" t="inlineStr">
        <is>
          <t>drawing zone; process page; mapped sheet; excel sheet match</t>
        </is>
      </c>
      <c r="AJ677" t="inlineStr">
        <is>
          <t>native</t>
        </is>
      </c>
      <c r="AK677" t="inlineStr">
        <is>
          <t>native-only</t>
        </is>
      </c>
      <c r="AM677" t="inlineStr">
        <is>
          <t>19</t>
        </is>
      </c>
      <c r="AN677" t="inlineStr">
        <is>
          <t>Yes</t>
        </is>
      </c>
      <c r="AO677" t="inlineStr">
        <is>
          <t>mapped sheet id</t>
        </is>
      </c>
      <c r="AP677" t="inlineStr">
        <is>
          <t>p19:native:10, p19:native:11</t>
        </is>
      </c>
      <c r="AQ677" t="n">
        <v>2</v>
      </c>
    </row>
    <row r="678">
      <c r="A678" s="203">
        <f>ROW()-1</f>
        <v/>
      </c>
      <c r="B678" s="128" t="inlineStr">
        <is>
          <t>RL7-CHR-201-ZSC-03</t>
        </is>
      </c>
      <c r="C678" s="314" t="inlineStr">
        <is>
          <t>RL7-CHR-201-ZSO-03</t>
        </is>
      </c>
      <c r="D678" s="262" t="n"/>
      <c r="E678" s="128" t="n"/>
      <c r="F678" s="138" t="inlineStr">
        <is>
          <t>SERPENTINE ZONE 1 MAKEUP WATER VALVE OPEN LIMIT SWITCH</t>
        </is>
      </c>
      <c r="G678" s="131" t="inlineStr">
        <is>
          <t>DG7033</t>
        </is>
      </c>
      <c r="H678" s="128" t="inlineStr">
        <is>
          <t>INTSL</t>
        </is>
      </c>
      <c r="I678" s="142" t="inlineStr">
        <is>
          <t>RL7-INTSL-RIO2</t>
        </is>
      </c>
      <c r="J678" s="133" t="n">
        <v>19</v>
      </c>
      <c r="K678" s="129" t="n">
        <v>3</v>
      </c>
      <c r="L678" s="129" t="n">
        <v>0</v>
      </c>
      <c r="M678" s="129" t="inlineStr">
        <is>
          <t>24 VDC DI</t>
        </is>
      </c>
      <c r="N678" s="129" t="inlineStr">
        <is>
          <t>5069-IB16</t>
        </is>
      </c>
      <c r="O678" s="139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40" t="n"/>
      <c r="AA678" t="inlineStr">
        <is>
          <t>Matched</t>
        </is>
      </c>
      <c r="AB678" s="315" t="n">
        <v>0.99</v>
      </c>
      <c r="AC678" t="inlineStr">
        <is>
          <t>High</t>
        </is>
      </c>
      <c r="AD678" t="n">
        <v>1</v>
      </c>
      <c r="AE678" t="inlineStr">
        <is>
          <t>DG7033</t>
        </is>
      </c>
      <c r="AF678" t="n">
        <v>19</v>
      </c>
      <c r="AG678" t="inlineStr">
        <is>
          <t>drawing</t>
        </is>
      </c>
      <c r="AH678" t="inlineStr">
        <is>
          <t>stacked:isa</t>
        </is>
      </c>
      <c r="AI678" t="inlineStr">
        <is>
          <t>drawing zone; process page; mapped sheet; excel sheet match</t>
        </is>
      </c>
      <c r="AJ678" t="inlineStr">
        <is>
          <t>native</t>
        </is>
      </c>
      <c r="AK678" t="inlineStr">
        <is>
          <t>native-only</t>
        </is>
      </c>
      <c r="AM678" t="inlineStr">
        <is>
          <t>19</t>
        </is>
      </c>
      <c r="AN678" t="inlineStr">
        <is>
          <t>Yes</t>
        </is>
      </c>
      <c r="AO678" t="inlineStr">
        <is>
          <t>mapped sheet id</t>
        </is>
      </c>
      <c r="AP678" t="inlineStr">
        <is>
          <t>p19:native:201, p19:native:202</t>
        </is>
      </c>
      <c r="AQ678" t="n">
        <v>2</v>
      </c>
    </row>
    <row r="679">
      <c r="A679" s="203">
        <f>ROW()-1</f>
        <v/>
      </c>
      <c r="B679" s="128" t="inlineStr">
        <is>
          <t>RL7-CHR-201-ZSC-03</t>
        </is>
      </c>
      <c r="C679" s="314" t="inlineStr">
        <is>
          <t>RL7-CHR-201-ZSC-03</t>
        </is>
      </c>
      <c r="D679" s="262" t="n"/>
      <c r="E679" s="128" t="n"/>
      <c r="F679" s="138" t="inlineStr">
        <is>
          <t>SERPENTINE ZONE 1 MAKEUP WATER VALVE CLOSED LIMIT SWITCH</t>
        </is>
      </c>
      <c r="G679" s="131" t="inlineStr">
        <is>
          <t>DG7033</t>
        </is>
      </c>
      <c r="H679" s="128" t="inlineStr">
        <is>
          <t>INTSL</t>
        </is>
      </c>
      <c r="I679" s="142" t="inlineStr">
        <is>
          <t>RL7-INTSL-RIO2</t>
        </is>
      </c>
      <c r="J679" s="133" t="n">
        <v>19</v>
      </c>
      <c r="K679" s="129" t="n">
        <v>3</v>
      </c>
      <c r="L679" s="129" t="n">
        <v>1</v>
      </c>
      <c r="M679" s="129" t="inlineStr">
        <is>
          <t>24 VDC DI</t>
        </is>
      </c>
      <c r="N679" s="129" t="inlineStr">
        <is>
          <t>5069-IB16</t>
        </is>
      </c>
      <c r="O679" s="139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40" t="n"/>
      <c r="AA679" t="inlineStr">
        <is>
          <t>Matched</t>
        </is>
      </c>
      <c r="AB679" s="315" t="n">
        <v>0.99</v>
      </c>
      <c r="AC679" t="inlineStr">
        <is>
          <t>High</t>
        </is>
      </c>
      <c r="AD679" t="n">
        <v>1</v>
      </c>
      <c r="AE679" t="inlineStr">
        <is>
          <t>DG7033</t>
        </is>
      </c>
      <c r="AF679" t="n">
        <v>19</v>
      </c>
      <c r="AG679" t="inlineStr">
        <is>
          <t>drawing</t>
        </is>
      </c>
      <c r="AH679" t="inlineStr">
        <is>
          <t>stacked:isa</t>
        </is>
      </c>
      <c r="AI679" t="inlineStr">
        <is>
          <t>drawing zone; process page; mapped sheet; excel sheet match</t>
        </is>
      </c>
      <c r="AJ679" t="inlineStr">
        <is>
          <t>native</t>
        </is>
      </c>
      <c r="AK679" t="inlineStr">
        <is>
          <t>native-only</t>
        </is>
      </c>
      <c r="AM679" t="inlineStr">
        <is>
          <t>19</t>
        </is>
      </c>
      <c r="AN679" t="inlineStr">
        <is>
          <t>Yes</t>
        </is>
      </c>
      <c r="AO679" t="inlineStr">
        <is>
          <t>mapped sheet id</t>
        </is>
      </c>
      <c r="AP679" t="inlineStr">
        <is>
          <t>p19:native:203, p19:native:204</t>
        </is>
      </c>
      <c r="AQ679" t="n">
        <v>2</v>
      </c>
    </row>
    <row r="680">
      <c r="A680" s="203">
        <f>ROW()-1</f>
        <v/>
      </c>
      <c r="B680" s="128" t="inlineStr">
        <is>
          <t>RL7-CHR-201-ZSC-04</t>
        </is>
      </c>
      <c r="C680" s="314" t="inlineStr">
        <is>
          <t>RL7-CHR-201-ZSO-04</t>
        </is>
      </c>
      <c r="D680" s="262" t="n"/>
      <c r="E680" s="128" t="n"/>
      <c r="F680" s="141" t="inlineStr">
        <is>
          <t>SERPENTINE ZONE 2A MAKEUP WATER VALVE OPEN LIMIT SWITCH</t>
        </is>
      </c>
      <c r="G680" s="131" t="inlineStr">
        <is>
          <t>DG7033</t>
        </is>
      </c>
      <c r="H680" s="128" t="inlineStr">
        <is>
          <t>INTSL</t>
        </is>
      </c>
      <c r="I680" s="142" t="inlineStr">
        <is>
          <t>RL7-INTSL-RIO2</t>
        </is>
      </c>
      <c r="J680" s="133" t="n">
        <v>19</v>
      </c>
      <c r="K680" s="129" t="n">
        <v>3</v>
      </c>
      <c r="L680" s="129" t="n">
        <v>2</v>
      </c>
      <c r="M680" s="129" t="inlineStr">
        <is>
          <t>24 VDC DI</t>
        </is>
      </c>
      <c r="N680" s="129" t="inlineStr">
        <is>
          <t>5069-IB16</t>
        </is>
      </c>
      <c r="O680" s="139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40" t="n"/>
      <c r="AA680" t="inlineStr">
        <is>
          <t>Matched</t>
        </is>
      </c>
      <c r="AB680" s="315" t="n">
        <v>0.99</v>
      </c>
      <c r="AC680" t="inlineStr">
        <is>
          <t>High</t>
        </is>
      </c>
      <c r="AD680" t="n">
        <v>1</v>
      </c>
      <c r="AE680" t="inlineStr">
        <is>
          <t>DG7033</t>
        </is>
      </c>
      <c r="AF680" t="n">
        <v>19</v>
      </c>
      <c r="AG680" t="inlineStr">
        <is>
          <t>drawing</t>
        </is>
      </c>
      <c r="AH680" t="inlineStr">
        <is>
          <t>stacked:isa</t>
        </is>
      </c>
      <c r="AI680" t="inlineStr">
        <is>
          <t>drawing zone; process page; mapped sheet; excel sheet match</t>
        </is>
      </c>
      <c r="AJ680" t="inlineStr">
        <is>
          <t>native</t>
        </is>
      </c>
      <c r="AK680" t="inlineStr">
        <is>
          <t>native-only</t>
        </is>
      </c>
      <c r="AM680" t="inlineStr">
        <is>
          <t>19</t>
        </is>
      </c>
      <c r="AN680" t="inlineStr">
        <is>
          <t>Yes</t>
        </is>
      </c>
      <c r="AO680" t="inlineStr">
        <is>
          <t>mapped sheet id</t>
        </is>
      </c>
      <c r="AP680" t="inlineStr">
        <is>
          <t>p19:native:197, p19:native:198</t>
        </is>
      </c>
      <c r="AQ680" t="n">
        <v>2</v>
      </c>
    </row>
    <row r="681">
      <c r="A681" s="203">
        <f>ROW()-1</f>
        <v/>
      </c>
      <c r="B681" s="128" t="inlineStr">
        <is>
          <t>RL7-CHR-201-ZSC-04</t>
        </is>
      </c>
      <c r="C681" s="314" t="inlineStr">
        <is>
          <t>RL7-CHR-201-ZSC-04</t>
        </is>
      </c>
      <c r="D681" s="262" t="n"/>
      <c r="E681" s="128" t="n"/>
      <c r="F681" s="141" t="inlineStr">
        <is>
          <t>SERPENTINE ZONE 2A MAKEUP WATER VALVE CLOSED LIMIT SWITCH</t>
        </is>
      </c>
      <c r="G681" s="131" t="inlineStr">
        <is>
          <t>DG7033</t>
        </is>
      </c>
      <c r="H681" s="128" t="inlineStr">
        <is>
          <t>INTSL</t>
        </is>
      </c>
      <c r="I681" s="142" t="inlineStr">
        <is>
          <t>RL7-INTSL-RIO2</t>
        </is>
      </c>
      <c r="J681" s="133" t="n">
        <v>19</v>
      </c>
      <c r="K681" s="129" t="n">
        <v>3</v>
      </c>
      <c r="L681" s="129" t="n">
        <v>3</v>
      </c>
      <c r="M681" s="129" t="inlineStr">
        <is>
          <t>24 VDC DI</t>
        </is>
      </c>
      <c r="N681" s="129" t="inlineStr">
        <is>
          <t>5069-IB16</t>
        </is>
      </c>
      <c r="O681" s="139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40" t="n"/>
      <c r="AA681" t="inlineStr">
        <is>
          <t>Matched</t>
        </is>
      </c>
      <c r="AB681" s="315" t="n">
        <v>0.99</v>
      </c>
      <c r="AC681" t="inlineStr">
        <is>
          <t>High</t>
        </is>
      </c>
      <c r="AD681" t="n">
        <v>1</v>
      </c>
      <c r="AE681" t="inlineStr">
        <is>
          <t>DG7033</t>
        </is>
      </c>
      <c r="AF681" t="n">
        <v>19</v>
      </c>
      <c r="AG681" t="inlineStr">
        <is>
          <t>drawing</t>
        </is>
      </c>
      <c r="AH681" t="inlineStr">
        <is>
          <t>stacked:isa</t>
        </is>
      </c>
      <c r="AI681" t="inlineStr">
        <is>
          <t>drawing zone; process page; mapped sheet; excel sheet match</t>
        </is>
      </c>
      <c r="AJ681" t="inlineStr">
        <is>
          <t>native</t>
        </is>
      </c>
      <c r="AK681" t="inlineStr">
        <is>
          <t>native-only</t>
        </is>
      </c>
      <c r="AM681" t="inlineStr">
        <is>
          <t>19</t>
        </is>
      </c>
      <c r="AN681" t="inlineStr">
        <is>
          <t>Yes</t>
        </is>
      </c>
      <c r="AO681" t="inlineStr">
        <is>
          <t>mapped sheet id</t>
        </is>
      </c>
      <c r="AP681" t="inlineStr">
        <is>
          <t>p19:native:199, p19:native:200</t>
        </is>
      </c>
      <c r="AQ681" t="n">
        <v>2</v>
      </c>
    </row>
    <row r="682">
      <c r="A682" s="203">
        <f>ROW()-1</f>
        <v/>
      </c>
      <c r="B682" s="128" t="inlineStr">
        <is>
          <t>RL7-CNV-401-XY-01</t>
        </is>
      </c>
      <c r="C682" s="314" t="inlineStr">
        <is>
          <t>RL7-CHR-201-XV-03</t>
        </is>
      </c>
      <c r="D682" s="264" t="n"/>
      <c r="E682" s="133" t="n"/>
      <c r="F682" s="141" t="inlineStr">
        <is>
          <t>SERPENTINE ZONE 1 MAKEUP WATER VALVE OPEN SOLENOID</t>
        </is>
      </c>
      <c r="G682" s="142" t="inlineStr">
        <is>
          <t>DG7033</t>
        </is>
      </c>
      <c r="H682" s="133" t="inlineStr">
        <is>
          <t>INTSL</t>
        </is>
      </c>
      <c r="I682" s="142" t="inlineStr">
        <is>
          <t>RL7-INTSL-RIO2</t>
        </is>
      </c>
      <c r="J682" s="133" t="n">
        <v>19</v>
      </c>
      <c r="K682" s="129" t="n">
        <v>7</v>
      </c>
      <c r="L682" s="129" t="n">
        <v>2</v>
      </c>
      <c r="M682" s="129" t="inlineStr">
        <is>
          <t>24 VDC DO</t>
        </is>
      </c>
      <c r="N682" s="129" t="inlineStr">
        <is>
          <t>5069-OB16</t>
        </is>
      </c>
      <c r="O682" s="139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40" t="n"/>
      <c r="AA682" t="inlineStr">
        <is>
          <t>Matched</t>
        </is>
      </c>
      <c r="AB682" s="315" t="n">
        <v>0.99</v>
      </c>
      <c r="AC682" t="inlineStr">
        <is>
          <t>High</t>
        </is>
      </c>
      <c r="AD682" t="n">
        <v>1</v>
      </c>
      <c r="AE682" t="inlineStr">
        <is>
          <t>DG7033</t>
        </is>
      </c>
      <c r="AF682" t="n">
        <v>19</v>
      </c>
      <c r="AG682" t="inlineStr">
        <is>
          <t>drawing</t>
        </is>
      </c>
      <c r="AH682" t="inlineStr">
        <is>
          <t>stacked:isa</t>
        </is>
      </c>
      <c r="AI682" t="inlineStr">
        <is>
          <t>drawing zone; process page; mapped sheet; excel sheet match</t>
        </is>
      </c>
      <c r="AJ682" t="inlineStr">
        <is>
          <t>native</t>
        </is>
      </c>
      <c r="AK682" t="inlineStr">
        <is>
          <t>native-only</t>
        </is>
      </c>
      <c r="AM682" t="inlineStr">
        <is>
          <t>19</t>
        </is>
      </c>
      <c r="AN682" t="inlineStr">
        <is>
          <t>Yes</t>
        </is>
      </c>
      <c r="AO682" t="inlineStr">
        <is>
          <t>mapped sheet id</t>
        </is>
      </c>
      <c r="AP682" t="inlineStr">
        <is>
          <t>p19:native:179, p19:native:180</t>
        </is>
      </c>
      <c r="AQ682" t="n">
        <v>2</v>
      </c>
    </row>
    <row r="683">
      <c r="A683" s="203">
        <f>ROW()-1</f>
        <v/>
      </c>
      <c r="B683" s="164" t="inlineStr">
        <is>
          <t>RL7-CNV-404-XY-01</t>
        </is>
      </c>
      <c r="C683" s="314" t="inlineStr">
        <is>
          <t>RL7-CHR-201-XV-04</t>
        </is>
      </c>
      <c r="D683" s="264" t="n"/>
      <c r="E683" s="133" t="n"/>
      <c r="F683" s="141" t="inlineStr">
        <is>
          <t>SERPENTINE ZONE 2A MAKEUP WATER VALVE OPEN SOLENOID</t>
        </is>
      </c>
      <c r="G683" s="142" t="inlineStr">
        <is>
          <t>DG7033</t>
        </is>
      </c>
      <c r="H683" s="133" t="inlineStr">
        <is>
          <t>INTSL</t>
        </is>
      </c>
      <c r="I683" s="142" t="inlineStr">
        <is>
          <t>RL7-INTSL-RIO2</t>
        </is>
      </c>
      <c r="J683" s="133" t="n">
        <v>19</v>
      </c>
      <c r="K683" s="129" t="n">
        <v>7</v>
      </c>
      <c r="L683" s="129" t="n">
        <v>3</v>
      </c>
      <c r="M683" s="129" t="inlineStr">
        <is>
          <t>24 VDC DO</t>
        </is>
      </c>
      <c r="N683" s="129" t="inlineStr">
        <is>
          <t>5069-OB16</t>
        </is>
      </c>
      <c r="O683" s="139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40" t="n"/>
      <c r="AA683" t="inlineStr">
        <is>
          <t>Matched</t>
        </is>
      </c>
      <c r="AB683" s="315" t="n">
        <v>0.99</v>
      </c>
      <c r="AC683" t="inlineStr">
        <is>
          <t>High</t>
        </is>
      </c>
      <c r="AD683" t="n">
        <v>1</v>
      </c>
      <c r="AE683" t="inlineStr">
        <is>
          <t>DG7033</t>
        </is>
      </c>
      <c r="AF683" t="n">
        <v>19</v>
      </c>
      <c r="AG683" t="inlineStr">
        <is>
          <t>drawing</t>
        </is>
      </c>
      <c r="AH683" t="inlineStr">
        <is>
          <t>stacked:isa</t>
        </is>
      </c>
      <c r="AI683" t="inlineStr">
        <is>
          <t>drawing zone; process page; mapped sheet; excel sheet match</t>
        </is>
      </c>
      <c r="AJ683" t="inlineStr">
        <is>
          <t>native</t>
        </is>
      </c>
      <c r="AK683" t="inlineStr">
        <is>
          <t>native-only</t>
        </is>
      </c>
      <c r="AM683" t="inlineStr">
        <is>
          <t>19</t>
        </is>
      </c>
      <c r="AN683" t="inlineStr">
        <is>
          <t>Yes</t>
        </is>
      </c>
      <c r="AO683" t="inlineStr">
        <is>
          <t>mapped sheet id</t>
        </is>
      </c>
      <c r="AP683" t="inlineStr">
        <is>
          <t>p19:native:177, p19:native:178</t>
        </is>
      </c>
      <c r="AQ683" t="n">
        <v>2</v>
      </c>
    </row>
    <row r="684">
      <c r="A684" s="203">
        <f>ROW()-1</f>
        <v/>
      </c>
      <c r="B684" s="133" t="inlineStr">
        <is>
          <t>RL7-CHR-201-FVI-01</t>
        </is>
      </c>
      <c r="C684" s="314" t="inlineStr">
        <is>
          <t>RL7-CHR-201-FVI-01</t>
        </is>
      </c>
      <c r="D684" s="264" t="n"/>
      <c r="E684" s="133" t="n"/>
      <c r="F684" s="141" t="inlineStr">
        <is>
          <t>SERPENTINE ZONE 1 FLOW CONTROL VALVE POSITION FEEDBACK</t>
        </is>
      </c>
      <c r="G684" s="131" t="inlineStr">
        <is>
          <t>DG7033</t>
        </is>
      </c>
      <c r="H684" s="133" t="inlineStr">
        <is>
          <t>HX / LA</t>
        </is>
      </c>
      <c r="I684" s="142" t="inlineStr">
        <is>
          <t>RL7-INTSL-RIO2</t>
        </is>
      </c>
      <c r="J684" s="133" t="n">
        <v>19</v>
      </c>
      <c r="K684" s="129" t="n">
        <v>10</v>
      </c>
      <c r="L684" s="129" t="n">
        <v>0</v>
      </c>
      <c r="M684" s="129" t="inlineStr">
        <is>
          <t>4-20 mA AI</t>
        </is>
      </c>
      <c r="N684" s="129" t="inlineStr">
        <is>
          <t>5069-IF8</t>
        </is>
      </c>
      <c r="O684" s="134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40" t="n"/>
      <c r="AA684" t="inlineStr">
        <is>
          <t>Matched</t>
        </is>
      </c>
      <c r="AB684" s="315" t="n">
        <v>0.99</v>
      </c>
      <c r="AC684" t="inlineStr">
        <is>
          <t>High</t>
        </is>
      </c>
      <c r="AD684" t="n">
        <v>1</v>
      </c>
      <c r="AE684" t="inlineStr">
        <is>
          <t>DG7033</t>
        </is>
      </c>
      <c r="AF684" t="n">
        <v>19</v>
      </c>
      <c r="AG684" t="inlineStr">
        <is>
          <t>drawing</t>
        </is>
      </c>
      <c r="AH684" t="inlineStr">
        <is>
          <t>stacked:isa</t>
        </is>
      </c>
      <c r="AI684" t="inlineStr">
        <is>
          <t>drawing zone; process page; mapped sheet; excel sheet match</t>
        </is>
      </c>
      <c r="AJ684" t="inlineStr">
        <is>
          <t>native</t>
        </is>
      </c>
      <c r="AK684" t="inlineStr">
        <is>
          <t>native-only</t>
        </is>
      </c>
      <c r="AM684" t="inlineStr">
        <is>
          <t>19</t>
        </is>
      </c>
      <c r="AN684" t="inlineStr">
        <is>
          <t>Yes</t>
        </is>
      </c>
      <c r="AO684" t="inlineStr">
        <is>
          <t>mapped sheet id</t>
        </is>
      </c>
      <c r="AP684" t="inlineStr">
        <is>
          <t>p19:native:342, p19:native:343</t>
        </is>
      </c>
      <c r="AQ684" t="n">
        <v>2</v>
      </c>
    </row>
    <row r="685">
      <c r="A685" s="203">
        <f>ROW()-1</f>
        <v/>
      </c>
      <c r="B685" s="133" t="inlineStr">
        <is>
          <t>RL7-CHR-201-FVI-02</t>
        </is>
      </c>
      <c r="C685" s="314" t="inlineStr">
        <is>
          <t>RL7-CHR-201-FVI-02</t>
        </is>
      </c>
      <c r="D685" s="264" t="n"/>
      <c r="E685" s="133" t="n"/>
      <c r="F685" s="141" t="inlineStr">
        <is>
          <t>SERPENTINE ZONE 2A PCW FLOW CONTROL VALVE POSITION FEEDBACK</t>
        </is>
      </c>
      <c r="G685" s="131" t="inlineStr">
        <is>
          <t>DG7033</t>
        </is>
      </c>
      <c r="H685" s="133" t="inlineStr">
        <is>
          <t>HX / LA</t>
        </is>
      </c>
      <c r="I685" s="142" t="inlineStr">
        <is>
          <t>RL7-INTSL-RIO2</t>
        </is>
      </c>
      <c r="J685" s="133" t="n">
        <v>19</v>
      </c>
      <c r="K685" s="129" t="n">
        <v>10</v>
      </c>
      <c r="L685" s="129" t="n">
        <v>1</v>
      </c>
      <c r="M685" s="129" t="inlineStr">
        <is>
          <t>4-20 mA AI</t>
        </is>
      </c>
      <c r="N685" s="129" t="inlineStr">
        <is>
          <t>5069-IF8</t>
        </is>
      </c>
      <c r="O685" s="134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40" t="n"/>
      <c r="AA685" t="inlineStr">
        <is>
          <t>Matched</t>
        </is>
      </c>
      <c r="AB685" s="315" t="n">
        <v>0.99</v>
      </c>
      <c r="AC685" t="inlineStr">
        <is>
          <t>High</t>
        </is>
      </c>
      <c r="AD685" t="n">
        <v>1</v>
      </c>
      <c r="AE685" t="inlineStr">
        <is>
          <t>DG7033</t>
        </is>
      </c>
      <c r="AF685" t="n">
        <v>19</v>
      </c>
      <c r="AG685" t="inlineStr">
        <is>
          <t>drawing</t>
        </is>
      </c>
      <c r="AH685" t="inlineStr">
        <is>
          <t>stacked:isa</t>
        </is>
      </c>
      <c r="AI685" t="inlineStr">
        <is>
          <t>drawing zone; process page; mapped sheet; excel sheet match</t>
        </is>
      </c>
      <c r="AJ685" t="inlineStr">
        <is>
          <t>native</t>
        </is>
      </c>
      <c r="AK685" t="inlineStr">
        <is>
          <t>native-only</t>
        </is>
      </c>
      <c r="AM685" t="inlineStr">
        <is>
          <t>19</t>
        </is>
      </c>
      <c r="AN685" t="inlineStr">
        <is>
          <t>Yes</t>
        </is>
      </c>
      <c r="AO685" t="inlineStr">
        <is>
          <t>mapped sheet id</t>
        </is>
      </c>
      <c r="AP685" t="inlineStr">
        <is>
          <t>p19:native:344, p19:native:345</t>
        </is>
      </c>
      <c r="AQ685" t="n">
        <v>2</v>
      </c>
    </row>
    <row r="686">
      <c r="A686" s="203">
        <f>ROW()-1</f>
        <v/>
      </c>
      <c r="B686" s="128" t="inlineStr">
        <is>
          <t>RL7-CHR-201-FCV-01</t>
        </is>
      </c>
      <c r="C686" s="314" t="inlineStr">
        <is>
          <t>RL7-CHR-201-FCV-01</t>
        </is>
      </c>
      <c r="D686" s="262" t="n"/>
      <c r="E686" s="128" t="n"/>
      <c r="F686" s="138" t="inlineStr">
        <is>
          <t>SERPENTINE ZONE 1 PCW CONTROL VALVE</t>
        </is>
      </c>
      <c r="G686" s="131" t="inlineStr">
        <is>
          <t>DG7033</t>
        </is>
      </c>
      <c r="H686" s="128" t="inlineStr">
        <is>
          <t>INTSL</t>
        </is>
      </c>
      <c r="I686" s="142" t="inlineStr">
        <is>
          <t>RL7-INTSL-RIO2</t>
        </is>
      </c>
      <c r="J686" s="133" t="n">
        <v>19</v>
      </c>
      <c r="K686" s="129" t="n">
        <v>13</v>
      </c>
      <c r="L686" s="129" t="n">
        <v>0</v>
      </c>
      <c r="M686" s="129" t="inlineStr">
        <is>
          <t>4-20 mA AO</t>
        </is>
      </c>
      <c r="N686" s="129" t="inlineStr">
        <is>
          <t>5069-OF8</t>
        </is>
      </c>
      <c r="O686" s="134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40" t="n"/>
      <c r="AA686" t="inlineStr">
        <is>
          <t>Matched</t>
        </is>
      </c>
      <c r="AB686" s="315" t="n">
        <v>0.99</v>
      </c>
      <c r="AC686" t="inlineStr">
        <is>
          <t>High</t>
        </is>
      </c>
      <c r="AD686" t="n">
        <v>1</v>
      </c>
      <c r="AE686" t="inlineStr">
        <is>
          <t>DG7033</t>
        </is>
      </c>
      <c r="AF686" t="n">
        <v>19</v>
      </c>
      <c r="AG686" t="inlineStr">
        <is>
          <t>drawing</t>
        </is>
      </c>
      <c r="AH686" t="inlineStr">
        <is>
          <t>stacked:isa</t>
        </is>
      </c>
      <c r="AI686" t="inlineStr">
        <is>
          <t>drawing zone; process page; mapped sheet; excel sheet match</t>
        </is>
      </c>
      <c r="AJ686" t="inlineStr">
        <is>
          <t>native</t>
        </is>
      </c>
      <c r="AK686" t="inlineStr">
        <is>
          <t>native-only</t>
        </is>
      </c>
      <c r="AM686" t="inlineStr">
        <is>
          <t>19</t>
        </is>
      </c>
      <c r="AN686" t="inlineStr">
        <is>
          <t>Yes</t>
        </is>
      </c>
      <c r="AO686" t="inlineStr">
        <is>
          <t>mapped sheet id</t>
        </is>
      </c>
      <c r="AP686" t="inlineStr">
        <is>
          <t>p19:native:82, p19:native:83</t>
        </is>
      </c>
      <c r="AQ686" t="n">
        <v>2</v>
      </c>
    </row>
    <row r="687">
      <c r="A687" s="203">
        <f>ROW()-1</f>
        <v/>
      </c>
      <c r="B687" s="128" t="inlineStr">
        <is>
          <t>RL7-CHR-201-FCV-02</t>
        </is>
      </c>
      <c r="C687" s="314" t="inlineStr">
        <is>
          <t>RL7-CHR-201-FCV-02</t>
        </is>
      </c>
      <c r="D687" s="262" t="n"/>
      <c r="E687" s="128" t="n"/>
      <c r="F687" s="138" t="inlineStr">
        <is>
          <t>SERPENTINE ZONE 2 PCW CONTROL VALVE</t>
        </is>
      </c>
      <c r="G687" s="131" t="inlineStr">
        <is>
          <t>DG7033</t>
        </is>
      </c>
      <c r="H687" s="128" t="inlineStr">
        <is>
          <t>INTSL</t>
        </is>
      </c>
      <c r="I687" s="142" t="inlineStr">
        <is>
          <t>RL7-INTSL-RIO2</t>
        </is>
      </c>
      <c r="J687" s="133" t="n">
        <v>19</v>
      </c>
      <c r="K687" s="129" t="n">
        <v>13</v>
      </c>
      <c r="L687" s="129" t="n">
        <v>1</v>
      </c>
      <c r="M687" s="129" t="inlineStr">
        <is>
          <t>4-20 mA AO</t>
        </is>
      </c>
      <c r="N687" s="129" t="inlineStr">
        <is>
          <t>5069-OF8</t>
        </is>
      </c>
      <c r="O687" s="134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40" t="n"/>
      <c r="AA687" t="inlineStr">
        <is>
          <t>Matched</t>
        </is>
      </c>
      <c r="AB687" s="315" t="n">
        <v>0.99</v>
      </c>
      <c r="AC687" t="inlineStr">
        <is>
          <t>High</t>
        </is>
      </c>
      <c r="AD687" t="n">
        <v>1</v>
      </c>
      <c r="AE687" t="inlineStr">
        <is>
          <t>DG7033</t>
        </is>
      </c>
      <c r="AF687" t="n">
        <v>19</v>
      </c>
      <c r="AG687" t="inlineStr">
        <is>
          <t>drawing</t>
        </is>
      </c>
      <c r="AH687" t="inlineStr">
        <is>
          <t>stacked:isa</t>
        </is>
      </c>
      <c r="AI687" t="inlineStr">
        <is>
          <t>drawing zone; process page; mapped sheet; excel sheet match</t>
        </is>
      </c>
      <c r="AJ687" t="inlineStr">
        <is>
          <t>native</t>
        </is>
      </c>
      <c r="AK687" t="inlineStr">
        <is>
          <t>native-only</t>
        </is>
      </c>
      <c r="AM687" t="inlineStr">
        <is>
          <t>19</t>
        </is>
      </c>
      <c r="AN687" t="inlineStr">
        <is>
          <t>Yes</t>
        </is>
      </c>
      <c r="AO687" t="inlineStr">
        <is>
          <t>mapped sheet id</t>
        </is>
      </c>
      <c r="AP687" t="inlineStr">
        <is>
          <t>p19:native:80, p19:native:81</t>
        </is>
      </c>
      <c r="AQ687" t="n">
        <v>2</v>
      </c>
    </row>
    <row r="688">
      <c r="A688" s="203">
        <f>ROW()-1</f>
        <v/>
      </c>
      <c r="B688" s="128" t="inlineStr">
        <is>
          <t>RL7-CNV-205-PB-01</t>
        </is>
      </c>
      <c r="C688" s="314" t="inlineStr">
        <is>
          <t>RL7-CNV-205-PB-01</t>
        </is>
      </c>
      <c r="D688" s="262" t="n"/>
      <c r="E688" s="128" t="n"/>
      <c r="F688" s="138" t="inlineStr">
        <is>
          <t>SERPENTINE OUTFEED CONVEYOR E-STOP PULL ROPE SAFETY INPUT CH1</t>
        </is>
      </c>
      <c r="G688" s="131" t="inlineStr">
        <is>
          <t>DG7034</t>
        </is>
      </c>
      <c r="H688" s="128" t="inlineStr">
        <is>
          <t>CHILL</t>
        </is>
      </c>
      <c r="I688" s="132" t="inlineStr">
        <is>
          <t>RL7-SERP-RIO1</t>
        </is>
      </c>
      <c r="J688" s="133" t="n">
        <v>15</v>
      </c>
      <c r="K688" s="129" t="n">
        <v>2</v>
      </c>
      <c r="L688" s="129" t="n">
        <v>2</v>
      </c>
      <c r="M688" s="129" t="inlineStr">
        <is>
          <t>24 VDC SI</t>
        </is>
      </c>
      <c r="N688" s="129" t="inlineStr">
        <is>
          <t>5069-IB8S</t>
        </is>
      </c>
      <c r="O688" s="139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53" t="n"/>
      <c r="AA688" t="inlineStr">
        <is>
          <t>Matched</t>
        </is>
      </c>
      <c r="AB688" s="315" t="n">
        <v>0.99</v>
      </c>
      <c r="AC688" t="inlineStr">
        <is>
          <t>High</t>
        </is>
      </c>
      <c r="AD688" t="n">
        <v>1</v>
      </c>
      <c r="AE688" t="inlineStr">
        <is>
          <t>DG7034</t>
        </is>
      </c>
      <c r="AF688" t="n">
        <v>20</v>
      </c>
      <c r="AG688" t="inlineStr">
        <is>
          <t>drawing</t>
        </is>
      </c>
      <c r="AH688" t="inlineStr">
        <is>
          <t>stacked:isa</t>
        </is>
      </c>
      <c r="AI688" t="inlineStr">
        <is>
          <t>drawing zone; process page; mapped sheet; excel sheet match</t>
        </is>
      </c>
      <c r="AJ688" t="inlineStr">
        <is>
          <t>native</t>
        </is>
      </c>
      <c r="AK688" t="inlineStr">
        <is>
          <t>native-only</t>
        </is>
      </c>
      <c r="AM688" t="inlineStr">
        <is>
          <t>20</t>
        </is>
      </c>
      <c r="AN688" t="inlineStr">
        <is>
          <t>Yes</t>
        </is>
      </c>
      <c r="AO688" t="inlineStr">
        <is>
          <t>mapped sheet id</t>
        </is>
      </c>
      <c r="AP688" t="inlineStr">
        <is>
          <t>p20:native:107, p20:native:108</t>
        </is>
      </c>
      <c r="AQ688" t="n">
        <v>2</v>
      </c>
    </row>
    <row r="689">
      <c r="A689" s="203">
        <f>ROW()-1</f>
        <v/>
      </c>
      <c r="B689" s="128" t="inlineStr">
        <is>
          <t>RL7-CNV-205-PB-01</t>
        </is>
      </c>
      <c r="C689" s="314" t="inlineStr">
        <is>
          <t>RL7-CNV-205-PB-01</t>
        </is>
      </c>
      <c r="D689" s="262" t="n"/>
      <c r="E689" s="128" t="n"/>
      <c r="F689" s="138" t="inlineStr">
        <is>
          <t>SERPENTINE OUTFEED CONVEYOR E-STOP PULL ROPE SAFETY INPUT CH2</t>
        </is>
      </c>
      <c r="G689" s="131" t="inlineStr">
        <is>
          <t>DG7034</t>
        </is>
      </c>
      <c r="H689" s="128" t="inlineStr">
        <is>
          <t>CHILL</t>
        </is>
      </c>
      <c r="I689" s="132" t="inlineStr">
        <is>
          <t>RL7-SERP-RIO1</t>
        </is>
      </c>
      <c r="J689" s="133" t="n">
        <v>15</v>
      </c>
      <c r="K689" s="129" t="n">
        <v>2</v>
      </c>
      <c r="L689" s="129" t="n">
        <v>3</v>
      </c>
      <c r="M689" s="129" t="inlineStr">
        <is>
          <t>24 VDC SI</t>
        </is>
      </c>
      <c r="N689" s="129" t="inlineStr">
        <is>
          <t>5069-IB8S</t>
        </is>
      </c>
      <c r="O689" s="139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53" t="n"/>
      <c r="AA689" t="inlineStr">
        <is>
          <t>Matched</t>
        </is>
      </c>
      <c r="AB689" s="315" t="n">
        <v>0.99</v>
      </c>
      <c r="AC689" t="inlineStr">
        <is>
          <t>High</t>
        </is>
      </c>
      <c r="AD689" t="n">
        <v>1</v>
      </c>
      <c r="AE689" t="inlineStr">
        <is>
          <t>DG7034</t>
        </is>
      </c>
      <c r="AF689" t="n">
        <v>20</v>
      </c>
      <c r="AG689" t="inlineStr">
        <is>
          <t>drawing</t>
        </is>
      </c>
      <c r="AH689" t="inlineStr">
        <is>
          <t>stacked:isa</t>
        </is>
      </c>
      <c r="AI689" t="inlineStr">
        <is>
          <t>drawing zone; process page; mapped sheet; excel sheet match</t>
        </is>
      </c>
      <c r="AJ689" t="inlineStr">
        <is>
          <t>native</t>
        </is>
      </c>
      <c r="AK689" t="inlineStr">
        <is>
          <t>native-only</t>
        </is>
      </c>
      <c r="AM689" t="inlineStr">
        <is>
          <t>20</t>
        </is>
      </c>
      <c r="AN689" t="inlineStr">
        <is>
          <t>Yes</t>
        </is>
      </c>
      <c r="AO689" t="inlineStr">
        <is>
          <t>mapped sheet id</t>
        </is>
      </c>
      <c r="AP689" t="inlineStr">
        <is>
          <t>p20:native:107, p20:native:108</t>
        </is>
      </c>
      <c r="AQ689" t="n">
        <v>2</v>
      </c>
    </row>
    <row r="690">
      <c r="A690" s="203">
        <f>ROW()-1</f>
        <v/>
      </c>
      <c r="B690" s="128" t="inlineStr">
        <is>
          <t>RL7-CNV-205-ZEC-01</t>
        </is>
      </c>
      <c r="C690" s="314" t="inlineStr">
        <is>
          <t>RL7-CNV-205-ZEC-01</t>
        </is>
      </c>
      <c r="D690" s="262" t="n"/>
      <c r="E690" s="128" t="n"/>
      <c r="F690" s="138" t="inlineStr">
        <is>
          <t xml:space="preserve">DISCHARGE COUNT PE  </t>
        </is>
      </c>
      <c r="G690" s="131" t="inlineStr">
        <is>
          <t>DG7034</t>
        </is>
      </c>
      <c r="H690" s="128" t="inlineStr">
        <is>
          <t>CHILL</t>
        </is>
      </c>
      <c r="I690" s="132" t="inlineStr">
        <is>
          <t>RL7-SERP-RIO1</t>
        </is>
      </c>
      <c r="J690" s="133" t="n">
        <v>15</v>
      </c>
      <c r="K690" s="129" t="n">
        <v>3</v>
      </c>
      <c r="L690" s="129" t="n">
        <v>8</v>
      </c>
      <c r="M690" s="129" t="inlineStr">
        <is>
          <t>24 VDC DI</t>
        </is>
      </c>
      <c r="N690" s="129" t="inlineStr">
        <is>
          <t>5069-IB16</t>
        </is>
      </c>
      <c r="O690" s="139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53" t="n"/>
      <c r="AA690" t="inlineStr">
        <is>
          <t>Matched - multiple PDF occurrences</t>
        </is>
      </c>
      <c r="AB690" s="315" t="n">
        <v>0.95</v>
      </c>
      <c r="AC690" t="inlineStr">
        <is>
          <t>High</t>
        </is>
      </c>
      <c r="AD690" t="n">
        <v>2</v>
      </c>
      <c r="AE690" t="inlineStr">
        <is>
          <t>DG7034</t>
        </is>
      </c>
      <c r="AF690" t="n">
        <v>20</v>
      </c>
      <c r="AG690" t="inlineStr">
        <is>
          <t>drawing</t>
        </is>
      </c>
      <c r="AH690" t="inlineStr">
        <is>
          <t>stacked:isa</t>
        </is>
      </c>
      <c r="AI690" t="inlineStr">
        <is>
          <t>drawing zone; process page; mapped sheet; repeated x2; excel sheet match; ambiguous x2</t>
        </is>
      </c>
      <c r="AJ690" t="inlineStr">
        <is>
          <t>native</t>
        </is>
      </c>
      <c r="AK690" t="inlineStr">
        <is>
          <t>native-only</t>
        </is>
      </c>
      <c r="AM690" t="inlineStr">
        <is>
          <t>20</t>
        </is>
      </c>
      <c r="AN690" t="inlineStr">
        <is>
          <t>Yes</t>
        </is>
      </c>
      <c r="AO690" t="inlineStr">
        <is>
          <t>mapped sheet id</t>
        </is>
      </c>
      <c r="AP690" t="inlineStr">
        <is>
          <t>p20:native:4, p20:native:5</t>
        </is>
      </c>
      <c r="AQ690" t="n">
        <v>2</v>
      </c>
    </row>
    <row r="691">
      <c r="A691" s="203">
        <f>ROW()-1</f>
        <v/>
      </c>
      <c r="B691" s="128" t="inlineStr">
        <is>
          <t>RL7-CNV-205-ZEC-02</t>
        </is>
      </c>
      <c r="C691" s="314" t="inlineStr">
        <is>
          <t>RL7-CNV-205-ZEC-02</t>
        </is>
      </c>
      <c r="D691" s="262" t="n"/>
      <c r="E691" s="128" t="n"/>
      <c r="F691" s="138" t="inlineStr">
        <is>
          <t>DISCHARGE CONVEYOR BLOCKED PE</t>
        </is>
      </c>
      <c r="G691" s="131" t="inlineStr">
        <is>
          <t>DG7034</t>
        </is>
      </c>
      <c r="H691" s="128" t="inlineStr">
        <is>
          <t>CHILL</t>
        </is>
      </c>
      <c r="I691" s="132" t="inlineStr">
        <is>
          <t>RL7-SERP-RIO1</t>
        </is>
      </c>
      <c r="J691" s="133" t="n">
        <v>15</v>
      </c>
      <c r="K691" s="129" t="n">
        <v>3</v>
      </c>
      <c r="L691" s="129" t="n">
        <v>11</v>
      </c>
      <c r="M691" s="129" t="inlineStr">
        <is>
          <t>24 VDC DI</t>
        </is>
      </c>
      <c r="N691" s="129" t="inlineStr">
        <is>
          <t>5069-IB16</t>
        </is>
      </c>
      <c r="O691" s="139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40" t="n"/>
      <c r="AA691" t="inlineStr">
        <is>
          <t>Matched - multiple PDF occurrences</t>
        </is>
      </c>
      <c r="AB691" s="315" t="n">
        <v>0.95</v>
      </c>
      <c r="AC691" t="inlineStr">
        <is>
          <t>High</t>
        </is>
      </c>
      <c r="AD691" t="n">
        <v>2</v>
      </c>
      <c r="AE691" t="inlineStr">
        <is>
          <t>DG7034</t>
        </is>
      </c>
      <c r="AF691" t="n">
        <v>20</v>
      </c>
      <c r="AG691" t="inlineStr">
        <is>
          <t>drawing</t>
        </is>
      </c>
      <c r="AH691" t="inlineStr">
        <is>
          <t>stacked:isa</t>
        </is>
      </c>
      <c r="AI691" t="inlineStr">
        <is>
          <t>drawing zone; process page; mapped sheet; repeated x2; excel sheet match; ambiguous x2</t>
        </is>
      </c>
      <c r="AJ691" t="inlineStr">
        <is>
          <t>native</t>
        </is>
      </c>
      <c r="AK691" t="inlineStr">
        <is>
          <t>native-only</t>
        </is>
      </c>
      <c r="AM691" t="inlineStr">
        <is>
          <t>20</t>
        </is>
      </c>
      <c r="AN691" t="inlineStr">
        <is>
          <t>Yes</t>
        </is>
      </c>
      <c r="AO691" t="inlineStr">
        <is>
          <t>mapped sheet id</t>
        </is>
      </c>
      <c r="AP691" t="inlineStr">
        <is>
          <t>p20:native:101, p20:native:102</t>
        </is>
      </c>
      <c r="AQ691" t="n">
        <v>2</v>
      </c>
    </row>
    <row r="692">
      <c r="A692" s="203">
        <f>ROW()-1</f>
        <v/>
      </c>
      <c r="B692" s="128" t="inlineStr">
        <is>
          <t>RL7-CNV-205-XY-01</t>
        </is>
      </c>
      <c r="C692" s="314" t="inlineStr">
        <is>
          <t>RL7-CNV-205-XY-01</t>
        </is>
      </c>
      <c r="D692" s="262" t="n"/>
      <c r="E692" s="128" t="n"/>
      <c r="F692" s="138" t="inlineStr">
        <is>
          <t>SERPENTINE DISCHARGE CONVEYOR 1 BACKSTOP RAISE SOLENOID</t>
        </is>
      </c>
      <c r="G692" s="131" t="inlineStr">
        <is>
          <t>DG7034</t>
        </is>
      </c>
      <c r="H692" s="128" t="inlineStr">
        <is>
          <t>CHILL</t>
        </is>
      </c>
      <c r="I692" s="132" t="inlineStr">
        <is>
          <t>RL7-SERP-RIO1</t>
        </is>
      </c>
      <c r="J692" s="133" t="n">
        <v>15</v>
      </c>
      <c r="K692" s="129" t="n">
        <v>6</v>
      </c>
      <c r="L692" s="129" t="n">
        <v>1</v>
      </c>
      <c r="M692" s="129" t="inlineStr">
        <is>
          <t>24 VDC DO</t>
        </is>
      </c>
      <c r="N692" s="129" t="inlineStr">
        <is>
          <t>5069-OB16</t>
        </is>
      </c>
      <c r="O692" s="139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53" t="n"/>
      <c r="AA692" t="inlineStr">
        <is>
          <t>Matched</t>
        </is>
      </c>
      <c r="AB692" s="315" t="n">
        <v>0.99</v>
      </c>
      <c r="AC692" t="inlineStr">
        <is>
          <t>High</t>
        </is>
      </c>
      <c r="AD692" t="n">
        <v>1</v>
      </c>
      <c r="AE692" t="inlineStr">
        <is>
          <t>DG7034</t>
        </is>
      </c>
      <c r="AF692" t="n">
        <v>20</v>
      </c>
      <c r="AG692" t="inlineStr">
        <is>
          <t>drawing</t>
        </is>
      </c>
      <c r="AH692" t="inlineStr">
        <is>
          <t>stacked:isa</t>
        </is>
      </c>
      <c r="AI692" t="inlineStr">
        <is>
          <t>drawing zone; process page; mapped sheet; excel sheet match</t>
        </is>
      </c>
      <c r="AJ692" t="inlineStr">
        <is>
          <t>native</t>
        </is>
      </c>
      <c r="AK692" t="inlineStr">
        <is>
          <t>native-only</t>
        </is>
      </c>
      <c r="AM692" t="inlineStr">
        <is>
          <t>20</t>
        </is>
      </c>
      <c r="AN692" t="inlineStr">
        <is>
          <t>Yes</t>
        </is>
      </c>
      <c r="AO692" t="inlineStr">
        <is>
          <t>mapped sheet id</t>
        </is>
      </c>
      <c r="AP692" t="inlineStr">
        <is>
          <t>p20:native:105, p20:native:106</t>
        </is>
      </c>
      <c r="AQ692" t="n">
        <v>2</v>
      </c>
    </row>
    <row r="693">
      <c r="A693" s="203">
        <f>ROW()-1</f>
        <v/>
      </c>
      <c r="B693" s="128" t="inlineStr">
        <is>
          <t>RL7-CNV-205-XY-02</t>
        </is>
      </c>
      <c r="C693" s="314" t="inlineStr">
        <is>
          <t>RL7-CNV-205-XY-02</t>
        </is>
      </c>
      <c r="D693" s="262" t="n"/>
      <c r="E693" s="128" t="n"/>
      <c r="F693" s="138" t="inlineStr">
        <is>
          <t>SERPENTINE DISCHARGE CONVEYOR 1 BACKSTOP LOWER SOLENOID</t>
        </is>
      </c>
      <c r="G693" s="131" t="inlineStr">
        <is>
          <t>DG7034</t>
        </is>
      </c>
      <c r="H693" s="128" t="inlineStr">
        <is>
          <t>CHILL</t>
        </is>
      </c>
      <c r="I693" s="132" t="inlineStr">
        <is>
          <t>RL7-SERP-RIO1</t>
        </is>
      </c>
      <c r="J693" s="133" t="n">
        <v>15</v>
      </c>
      <c r="K693" s="129" t="n">
        <v>6</v>
      </c>
      <c r="L693" s="129" t="n">
        <v>2</v>
      </c>
      <c r="M693" s="129" t="inlineStr">
        <is>
          <t>24 VDC DO</t>
        </is>
      </c>
      <c r="N693" s="129" t="inlineStr">
        <is>
          <t>5069-OB16</t>
        </is>
      </c>
      <c r="O693" s="139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53" t="n"/>
      <c r="AA693" t="inlineStr">
        <is>
          <t>Matched</t>
        </is>
      </c>
      <c r="AB693" s="315" t="n">
        <v>0.99</v>
      </c>
      <c r="AC693" t="inlineStr">
        <is>
          <t>High</t>
        </is>
      </c>
      <c r="AD693" t="n">
        <v>1</v>
      </c>
      <c r="AE693" t="inlineStr">
        <is>
          <t>DG7034</t>
        </is>
      </c>
      <c r="AF693" t="n">
        <v>20</v>
      </c>
      <c r="AG693" t="inlineStr">
        <is>
          <t>drawing</t>
        </is>
      </c>
      <c r="AH693" t="inlineStr">
        <is>
          <t>stacked:isa</t>
        </is>
      </c>
      <c r="AI693" t="inlineStr">
        <is>
          <t>drawing zone; process page; mapped sheet; excel sheet match</t>
        </is>
      </c>
      <c r="AJ693" t="inlineStr">
        <is>
          <t>native</t>
        </is>
      </c>
      <c r="AK693" t="inlineStr">
        <is>
          <t>native-only</t>
        </is>
      </c>
      <c r="AM693" t="inlineStr">
        <is>
          <t>20</t>
        </is>
      </c>
      <c r="AN693" t="inlineStr">
        <is>
          <t>Yes</t>
        </is>
      </c>
      <c r="AO693" t="inlineStr">
        <is>
          <t>mapped sheet id</t>
        </is>
      </c>
      <c r="AP693" t="inlineStr">
        <is>
          <t>p20:native:103, p20:native:104</t>
        </is>
      </c>
      <c r="AQ693" t="n">
        <v>2</v>
      </c>
    </row>
    <row r="694">
      <c r="A694" s="203">
        <f>ROW()-1</f>
        <v/>
      </c>
      <c r="B694" s="129" t="n"/>
      <c r="C694" s="314" t="inlineStr">
        <is>
          <t>RL7-CNV-401-ZSO-01</t>
        </is>
      </c>
      <c r="D694" s="264" t="n"/>
      <c r="E694" s="133" t="n"/>
      <c r="F694" s="141" t="inlineStr">
        <is>
          <t>INSPECTION CONVEYOR REJECT ARM 1 RETRACTED</t>
        </is>
      </c>
      <c r="G694" s="142" t="inlineStr">
        <is>
          <t>DG7034</t>
        </is>
      </c>
      <c r="H694" s="133" t="inlineStr">
        <is>
          <t>INTSL</t>
        </is>
      </c>
      <c r="I694" s="129" t="inlineStr">
        <is>
          <t>RL7-PKOUT-RIO1</t>
        </is>
      </c>
      <c r="J694" s="133" t="n">
        <v>17</v>
      </c>
      <c r="K694" s="129" t="n">
        <v>1</v>
      </c>
      <c r="L694" s="129" t="n">
        <v>0</v>
      </c>
      <c r="M694" s="129" t="inlineStr">
        <is>
          <t>24 VDC DI</t>
        </is>
      </c>
      <c r="N694" s="129" t="inlineStr">
        <is>
          <t>5069-OBV8S</t>
        </is>
      </c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40" t="n"/>
      <c r="AA694" t="inlineStr">
        <is>
          <t>Matched</t>
        </is>
      </c>
      <c r="AB694" s="315" t="n">
        <v>0.99</v>
      </c>
      <c r="AC694" t="inlineStr">
        <is>
          <t>High</t>
        </is>
      </c>
      <c r="AD694" t="n">
        <v>1</v>
      </c>
      <c r="AE694" t="inlineStr">
        <is>
          <t>DG7034</t>
        </is>
      </c>
      <c r="AF694" t="n">
        <v>20</v>
      </c>
      <c r="AG694" t="inlineStr">
        <is>
          <t>drawing</t>
        </is>
      </c>
      <c r="AH694" t="inlineStr">
        <is>
          <t>stacked:isa</t>
        </is>
      </c>
      <c r="AI694" t="inlineStr">
        <is>
          <t>drawing zone; process page; mapped sheet; excel sheet match</t>
        </is>
      </c>
      <c r="AJ694" t="inlineStr">
        <is>
          <t>native</t>
        </is>
      </c>
      <c r="AK694" t="inlineStr">
        <is>
          <t>native-only</t>
        </is>
      </c>
      <c r="AM694" t="inlineStr">
        <is>
          <t>20</t>
        </is>
      </c>
      <c r="AN694" t="inlineStr">
        <is>
          <t>Yes</t>
        </is>
      </c>
      <c r="AO694" t="inlineStr">
        <is>
          <t>mapped sheet id</t>
        </is>
      </c>
      <c r="AP694" t="inlineStr">
        <is>
          <t>p20:native:113, p20:native:114</t>
        </is>
      </c>
      <c r="AQ694" t="n">
        <v>2</v>
      </c>
    </row>
    <row r="695">
      <c r="A695" s="203">
        <f>ROW()-1</f>
        <v/>
      </c>
      <c r="B695" s="129" t="n"/>
      <c r="C695" s="318" t="inlineStr">
        <is>
          <t>RL7-CNV-401-ZSC-01</t>
        </is>
      </c>
      <c r="D695" s="264" t="n"/>
      <c r="E695" s="133" t="n"/>
      <c r="F695" s="141" t="inlineStr">
        <is>
          <t>INSPECTION CONVEYOR REJECT ARM 1 EXTENDED</t>
        </is>
      </c>
      <c r="G695" s="142" t="inlineStr">
        <is>
          <t>DG7034</t>
        </is>
      </c>
      <c r="H695" s="133" t="inlineStr">
        <is>
          <t>INTSL</t>
        </is>
      </c>
      <c r="I695" s="129" t="inlineStr">
        <is>
          <t>RL7-PKOUT-RIO1</t>
        </is>
      </c>
      <c r="J695" s="133" t="n">
        <v>17</v>
      </c>
      <c r="K695" s="129" t="n">
        <v>1</v>
      </c>
      <c r="L695" s="129" t="n">
        <v>1</v>
      </c>
      <c r="M695" s="129" t="inlineStr">
        <is>
          <t>24 VDC DI</t>
        </is>
      </c>
      <c r="N695" s="129" t="inlineStr">
        <is>
          <t>5069-OBV8S</t>
        </is>
      </c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40" t="n"/>
      <c r="AA695" t="inlineStr">
        <is>
          <t>Matched</t>
        </is>
      </c>
      <c r="AB695" s="315" t="n">
        <v>0.99</v>
      </c>
      <c r="AC695" t="inlineStr">
        <is>
          <t>High</t>
        </is>
      </c>
      <c r="AD695" t="n">
        <v>1</v>
      </c>
      <c r="AE695" t="inlineStr">
        <is>
          <t>DG7034</t>
        </is>
      </c>
      <c r="AF695" t="n">
        <v>20</v>
      </c>
      <c r="AG695" t="inlineStr">
        <is>
          <t>drawing</t>
        </is>
      </c>
      <c r="AH695" t="inlineStr">
        <is>
          <t>stacked:isa</t>
        </is>
      </c>
      <c r="AI695" t="inlineStr">
        <is>
          <t>drawing zone; process page; mapped sheet; excel sheet match</t>
        </is>
      </c>
      <c r="AJ695" t="inlineStr">
        <is>
          <t>native</t>
        </is>
      </c>
      <c r="AK695" t="inlineStr">
        <is>
          <t>native-only</t>
        </is>
      </c>
      <c r="AM695" t="inlineStr">
        <is>
          <t>20</t>
        </is>
      </c>
      <c r="AN695" t="inlineStr">
        <is>
          <t>Yes</t>
        </is>
      </c>
      <c r="AO695" t="inlineStr">
        <is>
          <t>mapped sheet id</t>
        </is>
      </c>
      <c r="AP695" t="inlineStr">
        <is>
          <t>p20:native:115, p20:native:116</t>
        </is>
      </c>
      <c r="AQ695" t="n">
        <v>2</v>
      </c>
    </row>
    <row r="696">
      <c r="A696" s="203">
        <f>ROW()-1</f>
        <v/>
      </c>
      <c r="B696" s="128" t="n"/>
      <c r="C696" s="318" t="inlineStr">
        <is>
          <t>RL7-CNV-401-ZSO-02</t>
        </is>
      </c>
      <c r="D696" s="264" t="n"/>
      <c r="E696" s="133" t="n"/>
      <c r="F696" s="141" t="inlineStr">
        <is>
          <t>INSPECTION CONVEYOR REJECT ARM 2 RETRACTED</t>
        </is>
      </c>
      <c r="G696" s="142" t="inlineStr">
        <is>
          <t>DG7034</t>
        </is>
      </c>
      <c r="H696" s="133" t="inlineStr">
        <is>
          <t>INTSL</t>
        </is>
      </c>
      <c r="I696" s="129" t="inlineStr">
        <is>
          <t>RL7-PKOUT-RIO1</t>
        </is>
      </c>
      <c r="J696" s="133" t="n">
        <v>17</v>
      </c>
      <c r="K696" s="129" t="n">
        <v>1</v>
      </c>
      <c r="L696" s="129" t="n">
        <v>2</v>
      </c>
      <c r="M696" s="129" t="inlineStr">
        <is>
          <t>24 VDC DI</t>
        </is>
      </c>
      <c r="N696" s="129" t="inlineStr">
        <is>
          <t>5069-OBV8S</t>
        </is>
      </c>
      <c r="O696" s="139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40" t="n"/>
      <c r="AA696" t="inlineStr">
        <is>
          <t>Matched</t>
        </is>
      </c>
      <c r="AB696" s="315" t="n">
        <v>0.99</v>
      </c>
      <c r="AC696" t="inlineStr">
        <is>
          <t>High</t>
        </is>
      </c>
      <c r="AD696" t="n">
        <v>1</v>
      </c>
      <c r="AE696" t="inlineStr">
        <is>
          <t>DG7034</t>
        </is>
      </c>
      <c r="AF696" t="n">
        <v>20</v>
      </c>
      <c r="AG696" t="inlineStr">
        <is>
          <t>drawing</t>
        </is>
      </c>
      <c r="AH696" t="inlineStr">
        <is>
          <t>stacked:isa</t>
        </is>
      </c>
      <c r="AI696" t="inlineStr">
        <is>
          <t>drawing zone; process page; mapped sheet; excel sheet match</t>
        </is>
      </c>
      <c r="AJ696" t="inlineStr">
        <is>
          <t>native</t>
        </is>
      </c>
      <c r="AK696" t="inlineStr">
        <is>
          <t>native-only</t>
        </is>
      </c>
      <c r="AM696" t="inlineStr">
        <is>
          <t>20</t>
        </is>
      </c>
      <c r="AN696" t="inlineStr">
        <is>
          <t>Yes</t>
        </is>
      </c>
      <c r="AO696" t="inlineStr">
        <is>
          <t>mapped sheet id</t>
        </is>
      </c>
      <c r="AP696" t="inlineStr">
        <is>
          <t>p20:native:109, p20:native:110</t>
        </is>
      </c>
      <c r="AQ696" t="n">
        <v>2</v>
      </c>
    </row>
    <row r="697">
      <c r="A697" s="203">
        <f>ROW()-1</f>
        <v/>
      </c>
      <c r="B697" s="128" t="n"/>
      <c r="C697" s="318" t="inlineStr">
        <is>
          <t>RL7-CNV-401-ZSC-02</t>
        </is>
      </c>
      <c r="D697" s="264" t="n"/>
      <c r="E697" s="133" t="n"/>
      <c r="F697" s="141" t="inlineStr">
        <is>
          <t>INSPECTION CONVEYOR REJECT ARM 2 EXTENDED</t>
        </is>
      </c>
      <c r="G697" s="142" t="inlineStr">
        <is>
          <t>DG7034</t>
        </is>
      </c>
      <c r="H697" s="133" t="inlineStr">
        <is>
          <t>INTSL</t>
        </is>
      </c>
      <c r="I697" s="129" t="inlineStr">
        <is>
          <t>RL7-PKOUT-RIO1</t>
        </is>
      </c>
      <c r="J697" s="133" t="n">
        <v>17</v>
      </c>
      <c r="K697" s="129" t="n">
        <v>1</v>
      </c>
      <c r="L697" s="129" t="n">
        <v>3</v>
      </c>
      <c r="M697" s="129" t="inlineStr">
        <is>
          <t>24 VDC DI</t>
        </is>
      </c>
      <c r="N697" s="129" t="inlineStr">
        <is>
          <t>5069-OBV8S</t>
        </is>
      </c>
      <c r="O697" s="139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40" t="n"/>
      <c r="AA697" t="inlineStr">
        <is>
          <t>Matched</t>
        </is>
      </c>
      <c r="AB697" s="315" t="n">
        <v>0.99</v>
      </c>
      <c r="AC697" t="inlineStr">
        <is>
          <t>High</t>
        </is>
      </c>
      <c r="AD697" t="n">
        <v>1</v>
      </c>
      <c r="AE697" t="inlineStr">
        <is>
          <t>DG7034</t>
        </is>
      </c>
      <c r="AF697" t="n">
        <v>20</v>
      </c>
      <c r="AG697" t="inlineStr">
        <is>
          <t>drawing</t>
        </is>
      </c>
      <c r="AH697" t="inlineStr">
        <is>
          <t>stacked:isa</t>
        </is>
      </c>
      <c r="AI697" t="inlineStr">
        <is>
          <t>drawing zone; process page; mapped sheet; excel sheet match</t>
        </is>
      </c>
      <c r="AJ697" t="inlineStr">
        <is>
          <t>native</t>
        </is>
      </c>
      <c r="AK697" t="inlineStr">
        <is>
          <t>native-only</t>
        </is>
      </c>
      <c r="AM697" t="inlineStr">
        <is>
          <t>20</t>
        </is>
      </c>
      <c r="AN697" t="inlineStr">
        <is>
          <t>Yes</t>
        </is>
      </c>
      <c r="AO697" t="inlineStr">
        <is>
          <t>mapped sheet id</t>
        </is>
      </c>
      <c r="AP697" t="inlineStr">
        <is>
          <t>p20:native:111, p20:native:112</t>
        </is>
      </c>
      <c r="AQ697" t="n">
        <v>2</v>
      </c>
    </row>
    <row r="698">
      <c r="A698" s="203">
        <f>ROW()-1</f>
        <v/>
      </c>
      <c r="B698" s="129" t="n"/>
      <c r="C698" s="314" t="inlineStr">
        <is>
          <t>RL7-CNV-401-PB-01</t>
        </is>
      </c>
      <c r="D698" s="264" t="n"/>
      <c r="E698" s="133" t="n"/>
      <c r="F698" s="141" t="inlineStr">
        <is>
          <t>SECONDARY PACKAGING PAUSE BUTTON</t>
        </is>
      </c>
      <c r="G698" s="142" t="inlineStr">
        <is>
          <t>DG7034</t>
        </is>
      </c>
      <c r="H698" s="133" t="inlineStr">
        <is>
          <t>INTSL</t>
        </is>
      </c>
      <c r="I698" s="129" t="inlineStr">
        <is>
          <t>RL7-PKOUT-RIO1</t>
        </is>
      </c>
      <c r="J698" s="133" t="n">
        <v>17</v>
      </c>
      <c r="K698" s="129" t="n">
        <v>1</v>
      </c>
      <c r="L698" s="129" t="n">
        <v>8</v>
      </c>
      <c r="M698" s="129" t="inlineStr">
        <is>
          <t>24 VDC DI</t>
        </is>
      </c>
      <c r="N698" s="129" t="inlineStr">
        <is>
          <t>5069-OBV8S</t>
        </is>
      </c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40" t="n"/>
      <c r="AA698" t="inlineStr">
        <is>
          <t>Matched</t>
        </is>
      </c>
      <c r="AB698" s="315" t="n">
        <v>0.99</v>
      </c>
      <c r="AC698" t="inlineStr">
        <is>
          <t>High</t>
        </is>
      </c>
      <c r="AD698" t="n">
        <v>1</v>
      </c>
      <c r="AE698" t="inlineStr">
        <is>
          <t>DG7034</t>
        </is>
      </c>
      <c r="AF698" t="n">
        <v>20</v>
      </c>
      <c r="AG698" t="inlineStr">
        <is>
          <t>drawing</t>
        </is>
      </c>
      <c r="AH698" t="inlineStr">
        <is>
          <t>stacked:isa</t>
        </is>
      </c>
      <c r="AI698" t="inlineStr">
        <is>
          <t>drawing zone; process page; mapped sheet; excel sheet match</t>
        </is>
      </c>
      <c r="AJ698" t="inlineStr">
        <is>
          <t>native</t>
        </is>
      </c>
      <c r="AK698" t="inlineStr">
        <is>
          <t>native-only</t>
        </is>
      </c>
      <c r="AM698" t="inlineStr">
        <is>
          <t>20</t>
        </is>
      </c>
      <c r="AN698" t="inlineStr">
        <is>
          <t>Yes</t>
        </is>
      </c>
      <c r="AO698" t="inlineStr">
        <is>
          <t>mapped sheet id</t>
        </is>
      </c>
      <c r="AP698" t="inlineStr">
        <is>
          <t>p20:native:117, p20:native:118</t>
        </is>
      </c>
      <c r="AQ698" t="n">
        <v>2</v>
      </c>
    </row>
    <row r="699">
      <c r="A699" s="203">
        <f>ROW()-1</f>
        <v/>
      </c>
      <c r="B699" s="129" t="n"/>
      <c r="C699" s="314" t="inlineStr">
        <is>
          <t>RL7-CNV-401-XY-01</t>
        </is>
      </c>
      <c r="D699" s="264" t="n"/>
      <c r="E699" s="133" t="n"/>
      <c r="F699" s="141" t="inlineStr">
        <is>
          <t>INSPECTION CONVEYOR REJECT ARMS 1 &amp; 2 SOLENOID VALVE</t>
        </is>
      </c>
      <c r="G699" s="142" t="inlineStr">
        <is>
          <t>DG7034</t>
        </is>
      </c>
      <c r="H699" s="133" t="inlineStr">
        <is>
          <t>INTSL</t>
        </is>
      </c>
      <c r="I699" s="129" t="inlineStr">
        <is>
          <t>RL7-PKOUT-RIO1</t>
        </is>
      </c>
      <c r="J699" s="133" t="n">
        <v>17</v>
      </c>
      <c r="K699" s="129" t="n">
        <v>3</v>
      </c>
      <c r="L699" s="129" t="n">
        <v>0</v>
      </c>
      <c r="M699" s="129" t="inlineStr">
        <is>
          <t>24 VDC DO</t>
        </is>
      </c>
      <c r="N699" s="129" t="inlineStr">
        <is>
          <t>5069-OBV8S</t>
        </is>
      </c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40" t="n"/>
      <c r="AA699" t="inlineStr">
        <is>
          <t>Matched</t>
        </is>
      </c>
      <c r="AB699" s="315" t="n">
        <v>0.99</v>
      </c>
      <c r="AC699" t="inlineStr">
        <is>
          <t>High</t>
        </is>
      </c>
      <c r="AD699" t="n">
        <v>1</v>
      </c>
      <c r="AE699" t="inlineStr">
        <is>
          <t>DG7034</t>
        </is>
      </c>
      <c r="AF699" t="n">
        <v>20</v>
      </c>
      <c r="AG699" t="inlineStr">
        <is>
          <t>drawing</t>
        </is>
      </c>
      <c r="AH699" t="inlineStr">
        <is>
          <t>stacked:isa</t>
        </is>
      </c>
      <c r="AI699" t="inlineStr">
        <is>
          <t>drawing zone; process page; mapped sheet; excel sheet match</t>
        </is>
      </c>
      <c r="AJ699" t="inlineStr">
        <is>
          <t>native</t>
        </is>
      </c>
      <c r="AK699" t="inlineStr">
        <is>
          <t>native-only</t>
        </is>
      </c>
      <c r="AM699" t="inlineStr">
        <is>
          <t>20</t>
        </is>
      </c>
      <c r="AN699" t="inlineStr">
        <is>
          <t>Yes</t>
        </is>
      </c>
      <c r="AO699" t="inlineStr">
        <is>
          <t>mapped sheet id</t>
        </is>
      </c>
      <c r="AP699" t="inlineStr">
        <is>
          <t>p20:native:120, p20:native:121</t>
        </is>
      </c>
      <c r="AQ699" t="n">
        <v>2</v>
      </c>
    </row>
    <row r="700">
      <c r="A700" s="203">
        <f>ROW()-1</f>
        <v/>
      </c>
      <c r="B700" s="128" t="n"/>
      <c r="C700" s="318" t="inlineStr">
        <is>
          <t>RL7-CNV-404-ZSO-01</t>
        </is>
      </c>
      <c r="D700" s="264" t="n"/>
      <c r="E700" s="133" t="n"/>
      <c r="F700" s="141" t="inlineStr">
        <is>
          <t>CASE PACKER INFEED CONVEYOR 1 REJECT ARM 1 RETRACTED</t>
        </is>
      </c>
      <c r="G700" s="142" t="inlineStr">
        <is>
          <t>DG7040</t>
        </is>
      </c>
      <c r="H700" s="133" t="inlineStr">
        <is>
          <t>INTSL</t>
        </is>
      </c>
      <c r="I700" s="129" t="inlineStr">
        <is>
          <t>RL7-PKOUT-RIO1</t>
        </is>
      </c>
      <c r="J700" s="133" t="n">
        <v>17</v>
      </c>
      <c r="K700" s="129" t="n">
        <v>1</v>
      </c>
      <c r="L700" s="129" t="n">
        <v>4</v>
      </c>
      <c r="M700" s="129" t="inlineStr">
        <is>
          <t>24 VDC DI</t>
        </is>
      </c>
      <c r="N700" s="129" t="inlineStr">
        <is>
          <t>5069-OBV8S</t>
        </is>
      </c>
      <c r="O700" s="139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40" t="n"/>
      <c r="AA700" t="inlineStr">
        <is>
          <t>Matched</t>
        </is>
      </c>
      <c r="AB700" s="315" t="n">
        <v>0.99</v>
      </c>
      <c r="AC700" t="inlineStr">
        <is>
          <t>High</t>
        </is>
      </c>
      <c r="AD700" t="n">
        <v>1</v>
      </c>
      <c r="AE700" t="inlineStr">
        <is>
          <t>DG7040</t>
        </is>
      </c>
      <c r="AF700" t="n">
        <v>21</v>
      </c>
      <c r="AG700" t="inlineStr">
        <is>
          <t>drawing</t>
        </is>
      </c>
      <c r="AH700" t="inlineStr">
        <is>
          <t>stacked:isa</t>
        </is>
      </c>
      <c r="AI700" t="inlineStr">
        <is>
          <t>drawing zone; process page; mapped sheet; excel sheet match</t>
        </is>
      </c>
      <c r="AJ700" t="inlineStr">
        <is>
          <t>native</t>
        </is>
      </c>
      <c r="AK700" t="inlineStr">
        <is>
          <t>native-only</t>
        </is>
      </c>
      <c r="AM700" t="inlineStr">
        <is>
          <t>21</t>
        </is>
      </c>
      <c r="AN700" t="inlineStr">
        <is>
          <t>Yes</t>
        </is>
      </c>
      <c r="AO700" t="inlineStr">
        <is>
          <t>mapped sheet id</t>
        </is>
      </c>
      <c r="AP700" t="inlineStr">
        <is>
          <t>p21:native:134, p21:native:135</t>
        </is>
      </c>
      <c r="AQ700" t="n">
        <v>2</v>
      </c>
    </row>
    <row r="701">
      <c r="A701" s="203">
        <f>ROW()-1</f>
        <v/>
      </c>
      <c r="B701" s="128" t="n"/>
      <c r="C701" s="318" t="inlineStr">
        <is>
          <t>RL7-CNV-404-ZSC-01</t>
        </is>
      </c>
      <c r="D701" s="264" t="n"/>
      <c r="E701" s="133" t="n"/>
      <c r="F701" s="141" t="inlineStr">
        <is>
          <t>CASE PACKER INFEED CONVEYOR 1 REJECT ARM 1 EXTENDED</t>
        </is>
      </c>
      <c r="G701" s="142" t="inlineStr">
        <is>
          <t>DG7040</t>
        </is>
      </c>
      <c r="H701" s="133" t="inlineStr">
        <is>
          <t>INTSL</t>
        </is>
      </c>
      <c r="I701" s="129" t="inlineStr">
        <is>
          <t>RL7-PKOUT-RIO1</t>
        </is>
      </c>
      <c r="J701" s="133" t="n">
        <v>17</v>
      </c>
      <c r="K701" s="129" t="n">
        <v>1</v>
      </c>
      <c r="L701" s="129" t="n">
        <v>5</v>
      </c>
      <c r="M701" s="129" t="inlineStr">
        <is>
          <t>24 VDC DI</t>
        </is>
      </c>
      <c r="N701" s="129" t="inlineStr">
        <is>
          <t>5069-OBV8S</t>
        </is>
      </c>
      <c r="O701" s="139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40" t="n"/>
      <c r="AA701" t="inlineStr">
        <is>
          <t>Matched</t>
        </is>
      </c>
      <c r="AB701" s="315" t="n">
        <v>0.99</v>
      </c>
      <c r="AC701" t="inlineStr">
        <is>
          <t>High</t>
        </is>
      </c>
      <c r="AD701" t="n">
        <v>1</v>
      </c>
      <c r="AE701" t="inlineStr">
        <is>
          <t>DG7040</t>
        </is>
      </c>
      <c r="AF701" t="n">
        <v>21</v>
      </c>
      <c r="AG701" t="inlineStr">
        <is>
          <t>drawing</t>
        </is>
      </c>
      <c r="AH701" t="inlineStr">
        <is>
          <t>stacked:isa</t>
        </is>
      </c>
      <c r="AI701" t="inlineStr">
        <is>
          <t>drawing zone; process page; mapped sheet; excel sheet match</t>
        </is>
      </c>
      <c r="AJ701" t="inlineStr">
        <is>
          <t>native</t>
        </is>
      </c>
      <c r="AK701" t="inlineStr">
        <is>
          <t>native-only</t>
        </is>
      </c>
      <c r="AM701" t="inlineStr">
        <is>
          <t>21</t>
        </is>
      </c>
      <c r="AN701" t="inlineStr">
        <is>
          <t>Yes</t>
        </is>
      </c>
      <c r="AO701" t="inlineStr">
        <is>
          <t>mapped sheet id</t>
        </is>
      </c>
      <c r="AP701" t="inlineStr">
        <is>
          <t>p21:native:136, p21:native:137</t>
        </is>
      </c>
      <c r="AQ701" t="n">
        <v>2</v>
      </c>
    </row>
    <row r="702">
      <c r="A702" s="203">
        <f>ROW()-1</f>
        <v/>
      </c>
      <c r="B702" s="128" t="n"/>
      <c r="C702" s="318" t="inlineStr">
        <is>
          <t>RL7-CNV-404-ZSO-02</t>
        </is>
      </c>
      <c r="D702" s="264" t="n"/>
      <c r="E702" s="133" t="n"/>
      <c r="F702" s="141" t="inlineStr">
        <is>
          <t>CASE PACKER INFEED CONVEYOR 1 REJECT ARM 2 RETRACTED</t>
        </is>
      </c>
      <c r="G702" s="142" t="inlineStr">
        <is>
          <t>DG7040</t>
        </is>
      </c>
      <c r="H702" s="133" t="inlineStr">
        <is>
          <t>INTSL</t>
        </is>
      </c>
      <c r="I702" s="129" t="inlineStr">
        <is>
          <t>RL7-PKOUT-RIO1</t>
        </is>
      </c>
      <c r="J702" s="133" t="n">
        <v>17</v>
      </c>
      <c r="K702" s="129" t="n">
        <v>1</v>
      </c>
      <c r="L702" s="129" t="n">
        <v>6</v>
      </c>
      <c r="M702" s="129" t="inlineStr">
        <is>
          <t>24 VDC DI</t>
        </is>
      </c>
      <c r="N702" s="129" t="inlineStr">
        <is>
          <t>5069-OBV8S</t>
        </is>
      </c>
      <c r="O702" s="139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40" t="n"/>
      <c r="AA702" t="inlineStr">
        <is>
          <t>Matched</t>
        </is>
      </c>
      <c r="AB702" s="315" t="n">
        <v>0.99</v>
      </c>
      <c r="AC702" t="inlineStr">
        <is>
          <t>High</t>
        </is>
      </c>
      <c r="AD702" t="n">
        <v>1</v>
      </c>
      <c r="AE702" t="inlineStr">
        <is>
          <t>DG7040</t>
        </is>
      </c>
      <c r="AF702" t="n">
        <v>21</v>
      </c>
      <c r="AG702" t="inlineStr">
        <is>
          <t>drawing</t>
        </is>
      </c>
      <c r="AH702" t="inlineStr">
        <is>
          <t>stacked:isa</t>
        </is>
      </c>
      <c r="AI702" t="inlineStr">
        <is>
          <t>drawing zone; process page; mapped sheet; excel sheet match</t>
        </is>
      </c>
      <c r="AJ702" t="inlineStr">
        <is>
          <t>native</t>
        </is>
      </c>
      <c r="AK702" t="inlineStr">
        <is>
          <t>native-only</t>
        </is>
      </c>
      <c r="AM702" t="inlineStr">
        <is>
          <t>21</t>
        </is>
      </c>
      <c r="AN702" t="inlineStr">
        <is>
          <t>Yes</t>
        </is>
      </c>
      <c r="AO702" t="inlineStr">
        <is>
          <t>mapped sheet id</t>
        </is>
      </c>
      <c r="AP702" t="inlineStr">
        <is>
          <t>p21:native:130, p21:native:131</t>
        </is>
      </c>
      <c r="AQ702" t="n">
        <v>2</v>
      </c>
    </row>
    <row r="703">
      <c r="A703" s="203">
        <f>ROW()-1</f>
        <v/>
      </c>
      <c r="B703" s="128" t="n"/>
      <c r="C703" s="318" t="inlineStr">
        <is>
          <t>RL7-CNV-404-ZSC-02</t>
        </is>
      </c>
      <c r="D703" s="264" t="n"/>
      <c r="E703" s="133" t="n"/>
      <c r="F703" s="141" t="inlineStr">
        <is>
          <t>CASE PACKER INFEED CONVEYOR 1 REJECT ARM 2 EXTENDED</t>
        </is>
      </c>
      <c r="G703" s="142" t="inlineStr">
        <is>
          <t>DG7040</t>
        </is>
      </c>
      <c r="H703" s="133" t="inlineStr">
        <is>
          <t>INTSL</t>
        </is>
      </c>
      <c r="I703" s="129" t="inlineStr">
        <is>
          <t>RL7-PKOUT-RIO1</t>
        </is>
      </c>
      <c r="J703" s="133" t="n">
        <v>17</v>
      </c>
      <c r="K703" s="129" t="n">
        <v>1</v>
      </c>
      <c r="L703" s="129" t="n">
        <v>7</v>
      </c>
      <c r="M703" s="129" t="inlineStr">
        <is>
          <t>24 VDC DI</t>
        </is>
      </c>
      <c r="N703" s="129" t="inlineStr">
        <is>
          <t>5069-OBV8S</t>
        </is>
      </c>
      <c r="O703" s="139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40" t="n"/>
      <c r="AA703" t="inlineStr">
        <is>
          <t>Matched</t>
        </is>
      </c>
      <c r="AB703" s="315" t="n">
        <v>0.99</v>
      </c>
      <c r="AC703" t="inlineStr">
        <is>
          <t>High</t>
        </is>
      </c>
      <c r="AD703" t="n">
        <v>1</v>
      </c>
      <c r="AE703" t="inlineStr">
        <is>
          <t>DG7040</t>
        </is>
      </c>
      <c r="AF703" t="n">
        <v>21</v>
      </c>
      <c r="AG703" t="inlineStr">
        <is>
          <t>drawing</t>
        </is>
      </c>
      <c r="AH703" t="inlineStr">
        <is>
          <t>stacked:isa</t>
        </is>
      </c>
      <c r="AI703" t="inlineStr">
        <is>
          <t>drawing zone; process page; mapped sheet; excel sheet match</t>
        </is>
      </c>
      <c r="AJ703" t="inlineStr">
        <is>
          <t>native</t>
        </is>
      </c>
      <c r="AK703" t="inlineStr">
        <is>
          <t>native-only</t>
        </is>
      </c>
      <c r="AM703" t="inlineStr">
        <is>
          <t>21</t>
        </is>
      </c>
      <c r="AN703" t="inlineStr">
        <is>
          <t>Yes</t>
        </is>
      </c>
      <c r="AO703" t="inlineStr">
        <is>
          <t>mapped sheet id</t>
        </is>
      </c>
      <c r="AP703" t="inlineStr">
        <is>
          <t>p21:native:132, p21:native:133</t>
        </is>
      </c>
      <c r="AQ703" t="n">
        <v>2</v>
      </c>
    </row>
    <row r="704">
      <c r="A704" s="203">
        <f>ROW()-1</f>
        <v/>
      </c>
      <c r="B704" s="129" t="n"/>
      <c r="C704" s="318" t="inlineStr">
        <is>
          <t>RL7-CNV-404-XY-01</t>
        </is>
      </c>
      <c r="D704" s="264" t="n"/>
      <c r="E704" s="133" t="n"/>
      <c r="F704" s="141" t="inlineStr">
        <is>
          <t>CASE PACKER INFEED CONVEYOR 1 REJECT ARMS 1 &amp; 2 SOLENOID VALVE</t>
        </is>
      </c>
      <c r="G704" s="142" t="inlineStr">
        <is>
          <t>DG7040</t>
        </is>
      </c>
      <c r="H704" s="133" t="inlineStr">
        <is>
          <t>INTSL</t>
        </is>
      </c>
      <c r="I704" s="129" t="inlineStr">
        <is>
          <t>RL7-PKOUT-RIO1</t>
        </is>
      </c>
      <c r="J704" s="133" t="n">
        <v>17</v>
      </c>
      <c r="K704" s="129" t="n">
        <v>3</v>
      </c>
      <c r="L704" s="129" t="n">
        <v>1</v>
      </c>
      <c r="M704" s="129" t="inlineStr">
        <is>
          <t>24 VDC DO</t>
        </is>
      </c>
      <c r="N704" s="129" t="inlineStr">
        <is>
          <t>5069-OBV8S</t>
        </is>
      </c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40" t="n"/>
      <c r="AA704" t="inlineStr">
        <is>
          <t>Matched</t>
        </is>
      </c>
      <c r="AB704" s="315" t="n">
        <v>0.99</v>
      </c>
      <c r="AC704" t="inlineStr">
        <is>
          <t>High</t>
        </is>
      </c>
      <c r="AD704" t="n">
        <v>1</v>
      </c>
      <c r="AE704" t="inlineStr">
        <is>
          <t>DG7040</t>
        </is>
      </c>
      <c r="AF704" t="n">
        <v>21</v>
      </c>
      <c r="AG704" t="inlineStr">
        <is>
          <t>drawing</t>
        </is>
      </c>
      <c r="AH704" t="inlineStr">
        <is>
          <t>stacked:isa</t>
        </is>
      </c>
      <c r="AI704" t="inlineStr">
        <is>
          <t>drawing zone; process page; mapped sheet; excel sheet match</t>
        </is>
      </c>
      <c r="AJ704" t="inlineStr">
        <is>
          <t>native</t>
        </is>
      </c>
      <c r="AK704" t="inlineStr">
        <is>
          <t>native-only</t>
        </is>
      </c>
      <c r="AM704" t="inlineStr">
        <is>
          <t>21</t>
        </is>
      </c>
      <c r="AN704" t="inlineStr">
        <is>
          <t>Yes</t>
        </is>
      </c>
      <c r="AO704" t="inlineStr">
        <is>
          <t>mapped sheet id</t>
        </is>
      </c>
      <c r="AP704" t="inlineStr">
        <is>
          <t>p21:native:139, p21:native:140</t>
        </is>
      </c>
      <c r="AQ704" t="n">
        <v>2</v>
      </c>
    </row>
    <row r="705">
      <c r="A705" s="203">
        <f>ROW()-1</f>
        <v/>
      </c>
      <c r="B705" s="128" t="inlineStr">
        <is>
          <t>RL7-SKD-201-ZSO-14</t>
        </is>
      </c>
      <c r="C705" s="313" t="inlineStr">
        <is>
          <t>RL7-SKD-201-ZSO-14</t>
        </is>
      </c>
      <c r="D705" s="262" t="n"/>
      <c r="E705" s="128" t="n"/>
      <c r="F705" s="138" t="inlineStr">
        <is>
          <t>SERPENTINE CLEAN ASSIST FOAMING HEADER CA SUPPLY OPEN LIMIT SWITCH</t>
        </is>
      </c>
      <c r="G705" s="131" t="inlineStr">
        <is>
          <t>DG7602</t>
        </is>
      </c>
      <c r="H705" s="128" t="inlineStr">
        <is>
          <t>INTSL</t>
        </is>
      </c>
      <c r="I705" s="142" t="inlineStr">
        <is>
          <t>RL7-INTSL-RIO2</t>
        </is>
      </c>
      <c r="J705" s="133" t="n">
        <v>19</v>
      </c>
      <c r="K705" s="129" t="n">
        <v>1</v>
      </c>
      <c r="L705" s="129" t="n">
        <v>0</v>
      </c>
      <c r="M705" s="129" t="inlineStr">
        <is>
          <t>24 VDC DI</t>
        </is>
      </c>
      <c r="N705" s="129" t="inlineStr">
        <is>
          <t>5069-IB16</t>
        </is>
      </c>
      <c r="O705" s="139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40" t="n"/>
      <c r="AA705" t="inlineStr">
        <is>
          <t>Not found in PDF</t>
        </is>
      </c>
      <c r="AC705" t="inlineStr">
        <is>
          <t>Low</t>
        </is>
      </c>
      <c r="AM705" t="inlineStr">
        <is>
          <t>25</t>
        </is>
      </c>
      <c r="AN705" t="inlineStr">
        <is>
          <t>Yes</t>
        </is>
      </c>
      <c r="AO705" t="inlineStr">
        <is>
          <t>mapped sheet id</t>
        </is>
      </c>
    </row>
    <row r="706">
      <c r="A706" s="203">
        <f>ROW()-1</f>
        <v/>
      </c>
      <c r="B706" s="128" t="inlineStr">
        <is>
          <t>RL7-SKD-201-ZSC-14</t>
        </is>
      </c>
      <c r="C706" s="313" t="inlineStr">
        <is>
          <t>RL7-SKD-201-ZSC-14</t>
        </is>
      </c>
      <c r="D706" s="262" t="n"/>
      <c r="E706" s="128" t="n"/>
      <c r="F706" s="138" t="inlineStr">
        <is>
          <t>SERPENTINE CLEAN ASSIST FOAMING HEADER CA SUPPLY CLOSED LIMIT SWITCH</t>
        </is>
      </c>
      <c r="G706" s="131" t="inlineStr">
        <is>
          <t>DG7602</t>
        </is>
      </c>
      <c r="H706" s="128" t="inlineStr">
        <is>
          <t>INTSL</t>
        </is>
      </c>
      <c r="I706" s="142" t="inlineStr">
        <is>
          <t>RL7-INTSL-RIO2</t>
        </is>
      </c>
      <c r="J706" s="133" t="n">
        <v>19</v>
      </c>
      <c r="K706" s="129" t="n">
        <v>1</v>
      </c>
      <c r="L706" s="129" t="n">
        <v>1</v>
      </c>
      <c r="M706" s="129" t="inlineStr">
        <is>
          <t>24 VDC DI</t>
        </is>
      </c>
      <c r="N706" s="129" t="inlineStr">
        <is>
          <t>5069-IB16</t>
        </is>
      </c>
      <c r="O706" s="139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40" t="n"/>
      <c r="AA706" t="inlineStr">
        <is>
          <t>Not found in PDF</t>
        </is>
      </c>
      <c r="AC706" t="inlineStr">
        <is>
          <t>Low</t>
        </is>
      </c>
      <c r="AM706" t="inlineStr">
        <is>
          <t>25</t>
        </is>
      </c>
      <c r="AN706" t="inlineStr">
        <is>
          <t>Yes</t>
        </is>
      </c>
      <c r="AO706" t="inlineStr">
        <is>
          <t>mapped sheet id</t>
        </is>
      </c>
    </row>
    <row r="707">
      <c r="A707" s="203">
        <f>ROW()-1</f>
        <v/>
      </c>
      <c r="B707" s="128" t="inlineStr">
        <is>
          <t>RL7-SKD-201-ZSO-02</t>
        </is>
      </c>
      <c r="C707" s="313" t="inlineStr">
        <is>
          <t>RL7-SKD-201-ZSO-02</t>
        </is>
      </c>
      <c r="D707" s="262" t="n"/>
      <c r="E707" s="128" t="n"/>
      <c r="F707" s="138" t="inlineStr">
        <is>
          <t>SERPENTINE CLEAN ASSIST PHW PAN RINSE ZONE 1A OPEN LIMIT SWITCH</t>
        </is>
      </c>
      <c r="G707" s="131" t="inlineStr">
        <is>
          <t>DG7602</t>
        </is>
      </c>
      <c r="H707" s="128" t="inlineStr">
        <is>
          <t>INTSL</t>
        </is>
      </c>
      <c r="I707" s="142" t="inlineStr">
        <is>
          <t>RL7-INTSL-RIO2</t>
        </is>
      </c>
      <c r="J707" s="133" t="n">
        <v>19</v>
      </c>
      <c r="K707" s="129" t="n">
        <v>1</v>
      </c>
      <c r="L707" s="129" t="n">
        <v>2</v>
      </c>
      <c r="M707" s="129" t="inlineStr">
        <is>
          <t>24 VDC DI</t>
        </is>
      </c>
      <c r="N707" s="129" t="inlineStr">
        <is>
          <t>5069-IB16</t>
        </is>
      </c>
      <c r="O707" s="139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40" t="n"/>
      <c r="AA707" t="inlineStr">
        <is>
          <t>Matched - block fallback</t>
        </is>
      </c>
      <c r="AB707" s="315" t="n">
        <v>0.8100000000000001</v>
      </c>
      <c r="AC707" t="inlineStr">
        <is>
          <t>Medium</t>
        </is>
      </c>
      <c r="AD707" t="n">
        <v>1</v>
      </c>
      <c r="AE707" t="inlineStr">
        <is>
          <t>DG7602</t>
        </is>
      </c>
      <c r="AF707" t="n">
        <v>25</v>
      </c>
      <c r="AG707" t="inlineStr">
        <is>
          <t>drawing</t>
        </is>
      </c>
      <c r="AH707" t="inlineStr">
        <is>
          <t>block:fallback</t>
        </is>
      </c>
      <c r="AI707" t="inlineStr">
        <is>
          <t>block text fallback; parsed Excel tag contained in one PDF text block; excel sheet match</t>
        </is>
      </c>
      <c r="AJ707" t="inlineStr">
        <is>
          <t>native</t>
        </is>
      </c>
      <c r="AK707" t="inlineStr">
        <is>
          <t>native-only</t>
        </is>
      </c>
      <c r="AM707" t="inlineStr">
        <is>
          <t>25</t>
        </is>
      </c>
      <c r="AN707" t="inlineStr">
        <is>
          <t>Yes</t>
        </is>
      </c>
      <c r="AO707" t="inlineStr">
        <is>
          <t>mapped sheet id</t>
        </is>
      </c>
      <c r="AP707" t="inlineStr">
        <is>
          <t>p25:block:12</t>
        </is>
      </c>
      <c r="AQ707" t="n">
        <v>1</v>
      </c>
    </row>
    <row r="708">
      <c r="A708" s="203">
        <f>ROW()-1</f>
        <v/>
      </c>
      <c r="B708" s="128" t="inlineStr">
        <is>
          <t>RL7-SKD-201-ZSC-02</t>
        </is>
      </c>
      <c r="C708" s="313" t="inlineStr">
        <is>
          <t>RL7-SKD-201-ZSC-02</t>
        </is>
      </c>
      <c r="D708" s="262" t="n"/>
      <c r="E708" s="128" t="n"/>
      <c r="F708" s="138" t="inlineStr">
        <is>
          <t>SERPENTINE CLEAN ASSIST PHW PAN RINSE ZONE 1A CLOSED LIMIT SWITCH</t>
        </is>
      </c>
      <c r="G708" s="131" t="inlineStr">
        <is>
          <t>DG7602</t>
        </is>
      </c>
      <c r="H708" s="128" t="inlineStr">
        <is>
          <t>INTSL</t>
        </is>
      </c>
      <c r="I708" s="142" t="inlineStr">
        <is>
          <t>RL7-INTSL-RIO2</t>
        </is>
      </c>
      <c r="J708" s="133" t="n">
        <v>19</v>
      </c>
      <c r="K708" s="129" t="n">
        <v>1</v>
      </c>
      <c r="L708" s="129" t="n">
        <v>3</v>
      </c>
      <c r="M708" s="129" t="inlineStr">
        <is>
          <t>24 VDC DI</t>
        </is>
      </c>
      <c r="N708" s="129" t="inlineStr">
        <is>
          <t>5069-IB16</t>
        </is>
      </c>
      <c r="O708" s="139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40" t="n"/>
      <c r="AA708" t="inlineStr">
        <is>
          <t>Matched - block fallback</t>
        </is>
      </c>
      <c r="AB708" s="315" t="n">
        <v>0.8100000000000001</v>
      </c>
      <c r="AC708" t="inlineStr">
        <is>
          <t>Medium</t>
        </is>
      </c>
      <c r="AD708" t="n">
        <v>1</v>
      </c>
      <c r="AE708" t="inlineStr">
        <is>
          <t>DG7602</t>
        </is>
      </c>
      <c r="AF708" t="n">
        <v>25</v>
      </c>
      <c r="AG708" t="inlineStr">
        <is>
          <t>drawing</t>
        </is>
      </c>
      <c r="AH708" t="inlineStr">
        <is>
          <t>block:fallback</t>
        </is>
      </c>
      <c r="AI708" t="inlineStr">
        <is>
          <t>block text fallback; parsed Excel tag contained in one PDF text block; excel sheet match</t>
        </is>
      </c>
      <c r="AJ708" t="inlineStr">
        <is>
          <t>native</t>
        </is>
      </c>
      <c r="AK708" t="inlineStr">
        <is>
          <t>native-only</t>
        </is>
      </c>
      <c r="AM708" t="inlineStr">
        <is>
          <t>25</t>
        </is>
      </c>
      <c r="AN708" t="inlineStr">
        <is>
          <t>Yes</t>
        </is>
      </c>
      <c r="AO708" t="inlineStr">
        <is>
          <t>mapped sheet id</t>
        </is>
      </c>
      <c r="AP708" t="inlineStr">
        <is>
          <t>p25:block:12</t>
        </is>
      </c>
      <c r="AQ708" t="n">
        <v>1</v>
      </c>
    </row>
    <row r="709">
      <c r="A709" s="203">
        <f>ROW()-1</f>
        <v/>
      </c>
      <c r="B709" s="128" t="inlineStr">
        <is>
          <t>RL7-SKD-201-ZSO-03</t>
        </is>
      </c>
      <c r="C709" s="313" t="inlineStr">
        <is>
          <t>RL7-SKD-201-ZSO-03</t>
        </is>
      </c>
      <c r="D709" s="262" t="n"/>
      <c r="E709" s="128" t="n"/>
      <c r="F709" s="138" t="inlineStr">
        <is>
          <t>SERPENTINE CLEAN ASSIST PHW PAN RINSE ZONE 1B OPEN LIMIT SWITCH</t>
        </is>
      </c>
      <c r="G709" s="131" t="inlineStr">
        <is>
          <t>DG7602</t>
        </is>
      </c>
      <c r="H709" s="128" t="inlineStr">
        <is>
          <t>INTSL</t>
        </is>
      </c>
      <c r="I709" s="142" t="inlineStr">
        <is>
          <t>RL7-INTSL-RIO2</t>
        </is>
      </c>
      <c r="J709" s="133" t="n">
        <v>19</v>
      </c>
      <c r="K709" s="129" t="n">
        <v>1</v>
      </c>
      <c r="L709" s="129" t="n">
        <v>4</v>
      </c>
      <c r="M709" s="129" t="inlineStr">
        <is>
          <t>24 VDC DI</t>
        </is>
      </c>
      <c r="N709" s="129" t="inlineStr">
        <is>
          <t>5069-IB16</t>
        </is>
      </c>
      <c r="O709" s="139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40" t="n"/>
      <c r="AA709" t="inlineStr">
        <is>
          <t>Not found in PDF</t>
        </is>
      </c>
      <c r="AC709" t="inlineStr">
        <is>
          <t>Low</t>
        </is>
      </c>
      <c r="AM709" t="inlineStr">
        <is>
          <t>25</t>
        </is>
      </c>
      <c r="AN709" t="inlineStr">
        <is>
          <t>Yes</t>
        </is>
      </c>
      <c r="AO709" t="inlineStr">
        <is>
          <t>mapped sheet id</t>
        </is>
      </c>
    </row>
    <row r="710">
      <c r="A710" s="203">
        <f>ROW()-1</f>
        <v/>
      </c>
      <c r="B710" s="128" t="inlineStr">
        <is>
          <t>RL7-SKD-201-ZSC-03</t>
        </is>
      </c>
      <c r="C710" s="313" t="inlineStr">
        <is>
          <t>RL7-SKD-201-ZSC-03</t>
        </is>
      </c>
      <c r="D710" s="262" t="n"/>
      <c r="E710" s="161" t="n"/>
      <c r="F710" s="138" t="inlineStr">
        <is>
          <t>SERPENTINE CLEAN ASSIST PHW PAN RINSE ZONE 1B CLOSED LIMIT SWITCH</t>
        </is>
      </c>
      <c r="G710" s="131" t="inlineStr">
        <is>
          <t>DG7602</t>
        </is>
      </c>
      <c r="H710" s="128" t="inlineStr">
        <is>
          <t>INTSL</t>
        </is>
      </c>
      <c r="I710" s="142" t="inlineStr">
        <is>
          <t>RL7-INTSL-RIO2</t>
        </is>
      </c>
      <c r="J710" s="133" t="n">
        <v>19</v>
      </c>
      <c r="K710" s="129" t="n">
        <v>1</v>
      </c>
      <c r="L710" s="129" t="n">
        <v>5</v>
      </c>
      <c r="M710" s="129" t="inlineStr">
        <is>
          <t>24 VDC DI</t>
        </is>
      </c>
      <c r="N710" s="129" t="inlineStr">
        <is>
          <t>5069-IB16</t>
        </is>
      </c>
      <c r="O710" s="162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40" t="n"/>
      <c r="AA710" t="inlineStr">
        <is>
          <t>Not found in PDF</t>
        </is>
      </c>
      <c r="AC710" t="inlineStr">
        <is>
          <t>Low</t>
        </is>
      </c>
      <c r="AM710" t="inlineStr">
        <is>
          <t>25</t>
        </is>
      </c>
      <c r="AN710" t="inlineStr">
        <is>
          <t>Yes</t>
        </is>
      </c>
      <c r="AO710" t="inlineStr">
        <is>
          <t>mapped sheet id</t>
        </is>
      </c>
    </row>
    <row r="711">
      <c r="A711" s="203">
        <f>ROW()-1</f>
        <v/>
      </c>
      <c r="B711" s="128" t="inlineStr">
        <is>
          <t>RL7-SKD-201-ZSO-04</t>
        </is>
      </c>
      <c r="C711" s="313" t="inlineStr">
        <is>
          <t>RL7-SKD-201-ZSO-04</t>
        </is>
      </c>
      <c r="D711" s="262" t="n"/>
      <c r="E711" s="128" t="n"/>
      <c r="F711" s="138" t="inlineStr">
        <is>
          <t>SERPENTINE CLEAN ASSIST PHW PAN RINSE ZONE 2A OPEN LIMIT SWITCH</t>
        </is>
      </c>
      <c r="G711" s="131" t="inlineStr">
        <is>
          <t>DG7602</t>
        </is>
      </c>
      <c r="H711" s="128" t="inlineStr">
        <is>
          <t>INTSL</t>
        </is>
      </c>
      <c r="I711" s="142" t="inlineStr">
        <is>
          <t>RL7-INTSL-RIO2</t>
        </is>
      </c>
      <c r="J711" s="133" t="n">
        <v>19</v>
      </c>
      <c r="K711" s="129" t="n">
        <v>1</v>
      </c>
      <c r="L711" s="129" t="n">
        <v>6</v>
      </c>
      <c r="M711" s="129" t="inlineStr">
        <is>
          <t>24 VDC DI</t>
        </is>
      </c>
      <c r="N711" s="129" t="inlineStr">
        <is>
          <t>5069-IB16</t>
        </is>
      </c>
      <c r="O711" s="139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40" t="n"/>
      <c r="AA711" t="inlineStr">
        <is>
          <t>Not found in PDF</t>
        </is>
      </c>
      <c r="AC711" t="inlineStr">
        <is>
          <t>Low</t>
        </is>
      </c>
      <c r="AM711" t="inlineStr">
        <is>
          <t>25</t>
        </is>
      </c>
      <c r="AN711" t="inlineStr">
        <is>
          <t>Yes</t>
        </is>
      </c>
      <c r="AO711" t="inlineStr">
        <is>
          <t>mapped sheet id</t>
        </is>
      </c>
    </row>
    <row r="712">
      <c r="A712" s="203">
        <f>ROW()-1</f>
        <v/>
      </c>
      <c r="B712" s="128" t="inlineStr">
        <is>
          <t>RL7-SKD-201-ZSC-04</t>
        </is>
      </c>
      <c r="C712" s="313" t="inlineStr">
        <is>
          <t>RL7-SKD-201-ZSC-04</t>
        </is>
      </c>
      <c r="D712" s="262" t="n"/>
      <c r="E712" s="128" t="n"/>
      <c r="F712" s="138" t="inlineStr">
        <is>
          <t>SERPENTINE CLEAN ASSIST PHW PAN RINSE ZONE 2A CLOSED LIMIT SWITCH</t>
        </is>
      </c>
      <c r="G712" s="131" t="inlineStr">
        <is>
          <t>DG7602</t>
        </is>
      </c>
      <c r="H712" s="128" t="inlineStr">
        <is>
          <t>INTSL</t>
        </is>
      </c>
      <c r="I712" s="142" t="inlineStr">
        <is>
          <t>RL7-INTSL-RIO2</t>
        </is>
      </c>
      <c r="J712" s="133" t="n">
        <v>19</v>
      </c>
      <c r="K712" s="129" t="n">
        <v>1</v>
      </c>
      <c r="L712" s="129" t="n">
        <v>7</v>
      </c>
      <c r="M712" s="129" t="inlineStr">
        <is>
          <t>24 VDC DI</t>
        </is>
      </c>
      <c r="N712" s="129" t="inlineStr">
        <is>
          <t>5069-IB16</t>
        </is>
      </c>
      <c r="O712" s="139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40" t="n"/>
      <c r="AA712" t="inlineStr">
        <is>
          <t>Not found in PDF</t>
        </is>
      </c>
      <c r="AC712" t="inlineStr">
        <is>
          <t>Low</t>
        </is>
      </c>
      <c r="AM712" t="inlineStr">
        <is>
          <t>25</t>
        </is>
      </c>
      <c r="AN712" t="inlineStr">
        <is>
          <t>Yes</t>
        </is>
      </c>
      <c r="AO712" t="inlineStr">
        <is>
          <t>mapped sheet id</t>
        </is>
      </c>
    </row>
    <row r="713">
      <c r="A713" s="203">
        <f>ROW()-1</f>
        <v/>
      </c>
      <c r="B713" s="128" t="inlineStr">
        <is>
          <t>RL7-SKD-201-ZSO-05</t>
        </is>
      </c>
      <c r="C713" s="313" t="inlineStr">
        <is>
          <t>RL7-SKD-201-ZSO-05</t>
        </is>
      </c>
      <c r="D713" s="262" t="n"/>
      <c r="E713" s="128" t="n"/>
      <c r="F713" s="138" t="inlineStr">
        <is>
          <t>SERPENTINE CLEAN ASSIST PHW PAN RINSE ZONE 2B OPEN LIMIT SWITCH</t>
        </is>
      </c>
      <c r="G713" s="131" t="inlineStr">
        <is>
          <t>DG7602</t>
        </is>
      </c>
      <c r="H713" s="128" t="inlineStr">
        <is>
          <t>INTSL</t>
        </is>
      </c>
      <c r="I713" s="142" t="inlineStr">
        <is>
          <t>RL7-INTSL-RIO2</t>
        </is>
      </c>
      <c r="J713" s="133" t="n">
        <v>19</v>
      </c>
      <c r="K713" s="129" t="n">
        <v>1</v>
      </c>
      <c r="L713" s="129" t="n">
        <v>8</v>
      </c>
      <c r="M713" s="129" t="inlineStr">
        <is>
          <t>24 VDC DI</t>
        </is>
      </c>
      <c r="N713" s="129" t="inlineStr">
        <is>
          <t>5069-IB16</t>
        </is>
      </c>
      <c r="O713" s="139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40" t="n"/>
      <c r="AA713" t="inlineStr">
        <is>
          <t>Not found in PDF</t>
        </is>
      </c>
      <c r="AC713" t="inlineStr">
        <is>
          <t>Low</t>
        </is>
      </c>
      <c r="AM713" t="inlineStr">
        <is>
          <t>25</t>
        </is>
      </c>
      <c r="AN713" t="inlineStr">
        <is>
          <t>Yes</t>
        </is>
      </c>
      <c r="AO713" t="inlineStr">
        <is>
          <t>mapped sheet id</t>
        </is>
      </c>
    </row>
    <row r="714">
      <c r="A714" s="203">
        <f>ROW()-1</f>
        <v/>
      </c>
      <c r="B714" s="128" t="inlineStr">
        <is>
          <t>RL7-SKD-201-ZSC-05</t>
        </is>
      </c>
      <c r="C714" s="313" t="inlineStr">
        <is>
          <t>RL7-SKD-201-ZSC-05</t>
        </is>
      </c>
      <c r="D714" s="262" t="n"/>
      <c r="E714" s="128" t="n"/>
      <c r="F714" s="138" t="inlineStr">
        <is>
          <t>SERPENTINE CLEAN ASSIST PHW PAN RINSE ZONE 2B CLOSED LIMIT SWITCH</t>
        </is>
      </c>
      <c r="G714" s="131" t="inlineStr">
        <is>
          <t>DG7602</t>
        </is>
      </c>
      <c r="H714" s="128" t="inlineStr">
        <is>
          <t>INTSL</t>
        </is>
      </c>
      <c r="I714" s="142" t="inlineStr">
        <is>
          <t>RL7-INTSL-RIO2</t>
        </is>
      </c>
      <c r="J714" s="133" t="n">
        <v>19</v>
      </c>
      <c r="K714" s="129" t="n">
        <v>1</v>
      </c>
      <c r="L714" s="129" t="n">
        <v>9</v>
      </c>
      <c r="M714" s="129" t="inlineStr">
        <is>
          <t>24 VDC DI</t>
        </is>
      </c>
      <c r="N714" s="129" t="inlineStr">
        <is>
          <t>5069-IB16</t>
        </is>
      </c>
      <c r="O714" s="139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40" t="n"/>
      <c r="AA714" t="inlineStr">
        <is>
          <t>Not found in PDF</t>
        </is>
      </c>
      <c r="AC714" t="inlineStr">
        <is>
          <t>Low</t>
        </is>
      </c>
      <c r="AM714" t="inlineStr">
        <is>
          <t>25</t>
        </is>
      </c>
      <c r="AN714" t="inlineStr">
        <is>
          <t>Yes</t>
        </is>
      </c>
      <c r="AO714" t="inlineStr">
        <is>
          <t>mapped sheet id</t>
        </is>
      </c>
    </row>
    <row r="715">
      <c r="A715" s="203">
        <f>ROW()-1</f>
        <v/>
      </c>
      <c r="B715" s="128" t="inlineStr">
        <is>
          <t>RL7-SKD-201-ZSO-06</t>
        </is>
      </c>
      <c r="C715" s="313" t="inlineStr">
        <is>
          <t>RL7-SKD-201-ZSO-06</t>
        </is>
      </c>
      <c r="D715" s="262" t="n"/>
      <c r="E715" s="128" t="n"/>
      <c r="F715" s="138" t="inlineStr">
        <is>
          <t>SERPENTINE CLEAN ASSIST PHW PAN RINSE ZONE 2C OPEN LIMIT SWITCH</t>
        </is>
      </c>
      <c r="G715" s="131" t="inlineStr">
        <is>
          <t>DG7602</t>
        </is>
      </c>
      <c r="H715" s="128" t="inlineStr">
        <is>
          <t>INTSL</t>
        </is>
      </c>
      <c r="I715" s="142" t="inlineStr">
        <is>
          <t>RL7-INTSL-RIO2</t>
        </is>
      </c>
      <c r="J715" s="133" t="n">
        <v>19</v>
      </c>
      <c r="K715" s="129" t="n">
        <v>1</v>
      </c>
      <c r="L715" s="129" t="n">
        <v>10</v>
      </c>
      <c r="M715" s="129" t="inlineStr">
        <is>
          <t>24 VDC DI</t>
        </is>
      </c>
      <c r="N715" s="129" t="inlineStr">
        <is>
          <t>5069-IB16</t>
        </is>
      </c>
      <c r="O715" s="139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40" t="n"/>
      <c r="AA715" t="inlineStr">
        <is>
          <t>Not found in PDF</t>
        </is>
      </c>
      <c r="AC715" t="inlineStr">
        <is>
          <t>Low</t>
        </is>
      </c>
      <c r="AM715" t="inlineStr">
        <is>
          <t>25</t>
        </is>
      </c>
      <c r="AN715" t="inlineStr">
        <is>
          <t>Yes</t>
        </is>
      </c>
      <c r="AO715" t="inlineStr">
        <is>
          <t>mapped sheet id</t>
        </is>
      </c>
    </row>
    <row r="716">
      <c r="A716" s="203">
        <f>ROW()-1</f>
        <v/>
      </c>
      <c r="B716" s="128" t="inlineStr">
        <is>
          <t>RL7-SKD-201-ZSC-06</t>
        </is>
      </c>
      <c r="C716" s="313" t="inlineStr">
        <is>
          <t>RL7-SKD-201-ZSC-06</t>
        </is>
      </c>
      <c r="D716" s="262" t="n"/>
      <c r="E716" s="128" t="n"/>
      <c r="F716" s="138" t="inlineStr">
        <is>
          <t>SERPENTINE CLEAN ASSIST PHW PAN RINSE ZONE 2C CLOSED LIMIT SWITCH</t>
        </is>
      </c>
      <c r="G716" s="131" t="inlineStr">
        <is>
          <t>DG7602</t>
        </is>
      </c>
      <c r="H716" s="128" t="inlineStr">
        <is>
          <t>INTSL</t>
        </is>
      </c>
      <c r="I716" s="142" t="inlineStr">
        <is>
          <t>RL7-INTSL-RIO2</t>
        </is>
      </c>
      <c r="J716" s="133" t="n">
        <v>19</v>
      </c>
      <c r="K716" s="129" t="n">
        <v>1</v>
      </c>
      <c r="L716" s="129" t="n">
        <v>11</v>
      </c>
      <c r="M716" s="129" t="inlineStr">
        <is>
          <t>24 VDC DI</t>
        </is>
      </c>
      <c r="N716" s="129" t="inlineStr">
        <is>
          <t>5069-IB16</t>
        </is>
      </c>
      <c r="O716" s="139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40" t="n"/>
      <c r="AA716" t="inlineStr">
        <is>
          <t>Not found in PDF</t>
        </is>
      </c>
      <c r="AC716" t="inlineStr">
        <is>
          <t>Low</t>
        </is>
      </c>
      <c r="AM716" t="inlineStr">
        <is>
          <t>25</t>
        </is>
      </c>
      <c r="AN716" t="inlineStr">
        <is>
          <t>Yes</t>
        </is>
      </c>
      <c r="AO716" t="inlineStr">
        <is>
          <t>mapped sheet id</t>
        </is>
      </c>
    </row>
    <row r="717">
      <c r="A717" s="203">
        <f>ROW()-1</f>
        <v/>
      </c>
      <c r="B717" s="128" t="inlineStr">
        <is>
          <t>RL7-SKD-201-ZSO-07</t>
        </is>
      </c>
      <c r="C717" s="313" t="inlineStr">
        <is>
          <t>RL7-SKD-201-ZSO-07</t>
        </is>
      </c>
      <c r="D717" s="262" t="n"/>
      <c r="E717" s="128" t="n"/>
      <c r="F717" s="138" t="inlineStr">
        <is>
          <t>SERPENTINE CLEAN ASSIST PHW PAN RINSE ZONE 2D OPEN LIMIT SWITCH</t>
        </is>
      </c>
      <c r="G717" s="131" t="inlineStr">
        <is>
          <t>DG7602</t>
        </is>
      </c>
      <c r="H717" s="128" t="inlineStr">
        <is>
          <t>INTSL</t>
        </is>
      </c>
      <c r="I717" s="142" t="inlineStr">
        <is>
          <t>RL7-INTSL-RIO2</t>
        </is>
      </c>
      <c r="J717" s="133" t="n">
        <v>19</v>
      </c>
      <c r="K717" s="129" t="n">
        <v>1</v>
      </c>
      <c r="L717" s="129" t="n">
        <v>12</v>
      </c>
      <c r="M717" s="129" t="inlineStr">
        <is>
          <t>24 VDC DI</t>
        </is>
      </c>
      <c r="N717" s="129" t="inlineStr">
        <is>
          <t>5069-IB16</t>
        </is>
      </c>
      <c r="O717" s="139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40" t="n"/>
      <c r="AA717" t="inlineStr">
        <is>
          <t>Not found in PDF</t>
        </is>
      </c>
      <c r="AC717" t="inlineStr">
        <is>
          <t>Low</t>
        </is>
      </c>
      <c r="AM717" t="inlineStr">
        <is>
          <t>25</t>
        </is>
      </c>
      <c r="AN717" t="inlineStr">
        <is>
          <t>Yes</t>
        </is>
      </c>
      <c r="AO717" t="inlineStr">
        <is>
          <t>mapped sheet id</t>
        </is>
      </c>
    </row>
    <row r="718">
      <c r="A718" s="203">
        <f>ROW()-1</f>
        <v/>
      </c>
      <c r="B718" s="128" t="inlineStr">
        <is>
          <t>RL7-SKD-201-ZSC-07</t>
        </is>
      </c>
      <c r="C718" s="313" t="inlineStr">
        <is>
          <t>RL7-SKD-201-ZSC-07</t>
        </is>
      </c>
      <c r="D718" s="262" t="n"/>
      <c r="E718" s="128" t="n"/>
      <c r="F718" s="138" t="inlineStr">
        <is>
          <t>SERPENTINE CLEAN ASSIST PHW PAN RINSE ZONE 2D CLOSED LIMIT SWITCH</t>
        </is>
      </c>
      <c r="G718" s="131" t="inlineStr">
        <is>
          <t>DG7602</t>
        </is>
      </c>
      <c r="H718" s="128" t="inlineStr">
        <is>
          <t>INTSL</t>
        </is>
      </c>
      <c r="I718" s="142" t="inlineStr">
        <is>
          <t>RL7-INTSL-RIO2</t>
        </is>
      </c>
      <c r="J718" s="133" t="n">
        <v>19</v>
      </c>
      <c r="K718" s="129" t="n">
        <v>1</v>
      </c>
      <c r="L718" s="129" t="n">
        <v>13</v>
      </c>
      <c r="M718" s="129" t="inlineStr">
        <is>
          <t>24 VDC DI</t>
        </is>
      </c>
      <c r="N718" s="129" t="inlineStr">
        <is>
          <t>5069-IB16</t>
        </is>
      </c>
      <c r="O718" s="139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40" t="n"/>
      <c r="AA718" t="inlineStr">
        <is>
          <t>Not found in PDF</t>
        </is>
      </c>
      <c r="AC718" t="inlineStr">
        <is>
          <t>Low</t>
        </is>
      </c>
      <c r="AM718" t="inlineStr">
        <is>
          <t>25</t>
        </is>
      </c>
      <c r="AN718" t="inlineStr">
        <is>
          <t>Yes</t>
        </is>
      </c>
      <c r="AO718" t="inlineStr">
        <is>
          <t>mapped sheet id</t>
        </is>
      </c>
    </row>
    <row r="719">
      <c r="A719" s="203">
        <f>ROW()-1</f>
        <v/>
      </c>
      <c r="B719" s="128" t="inlineStr">
        <is>
          <t>RL7-SKD-201-ZSO-08</t>
        </is>
      </c>
      <c r="C719" s="313" t="inlineStr">
        <is>
          <t>RL7-SKD-201-ZSO-08</t>
        </is>
      </c>
      <c r="D719" s="262" t="n"/>
      <c r="E719" s="128" t="n"/>
      <c r="F719" s="138" t="inlineStr">
        <is>
          <t>SERPENTINE CLEAN ASSIST PHW PAN RINSE ZONE 2E OPEN LIMIT SWITCH</t>
        </is>
      </c>
      <c r="G719" s="131" t="inlineStr">
        <is>
          <t>DG7602</t>
        </is>
      </c>
      <c r="H719" s="128" t="inlineStr">
        <is>
          <t>INTSL</t>
        </is>
      </c>
      <c r="I719" s="142" t="inlineStr">
        <is>
          <t>RL7-INTSL-RIO2</t>
        </is>
      </c>
      <c r="J719" s="133" t="n">
        <v>19</v>
      </c>
      <c r="K719" s="129" t="n">
        <v>1</v>
      </c>
      <c r="L719" s="129" t="n">
        <v>14</v>
      </c>
      <c r="M719" s="129" t="inlineStr">
        <is>
          <t>24 VDC DI</t>
        </is>
      </c>
      <c r="N719" s="129" t="inlineStr">
        <is>
          <t>5069-IB16</t>
        </is>
      </c>
      <c r="O719" s="139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40" t="n"/>
      <c r="AA719" t="inlineStr">
        <is>
          <t>Not found in PDF</t>
        </is>
      </c>
      <c r="AC719" t="inlineStr">
        <is>
          <t>Low</t>
        </is>
      </c>
      <c r="AM719" t="inlineStr">
        <is>
          <t>25</t>
        </is>
      </c>
      <c r="AN719" t="inlineStr">
        <is>
          <t>Yes</t>
        </is>
      </c>
      <c r="AO719" t="inlineStr">
        <is>
          <t>mapped sheet id</t>
        </is>
      </c>
    </row>
    <row r="720">
      <c r="A720" s="203">
        <f>ROW()-1</f>
        <v/>
      </c>
      <c r="B720" s="128" t="inlineStr">
        <is>
          <t>RL7-SKD-201-ZSC-08</t>
        </is>
      </c>
      <c r="C720" s="313" t="inlineStr">
        <is>
          <t>RL7-SKD-201-ZSC-08</t>
        </is>
      </c>
      <c r="D720" s="262" t="n"/>
      <c r="E720" s="128" t="n"/>
      <c r="F720" s="138" t="inlineStr">
        <is>
          <t>SERPENTINE CLEAN ASSIST PHW PAN RINSE ZONE 2E CLOSED LIMIT SWITCH</t>
        </is>
      </c>
      <c r="G720" s="131" t="inlineStr">
        <is>
          <t>DG7602</t>
        </is>
      </c>
      <c r="H720" s="128" t="inlineStr">
        <is>
          <t>INTSL</t>
        </is>
      </c>
      <c r="I720" s="142" t="inlineStr">
        <is>
          <t>RL7-INTSL-RIO2</t>
        </is>
      </c>
      <c r="J720" s="133" t="n">
        <v>19</v>
      </c>
      <c r="K720" s="129" t="n">
        <v>1</v>
      </c>
      <c r="L720" s="129" t="n">
        <v>15</v>
      </c>
      <c r="M720" s="129" t="inlineStr">
        <is>
          <t>24 VDC DI</t>
        </is>
      </c>
      <c r="N720" s="129" t="inlineStr">
        <is>
          <t>5069-IB16</t>
        </is>
      </c>
      <c r="O720" s="139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40" t="n"/>
      <c r="AA720" t="inlineStr">
        <is>
          <t>Not found in PDF</t>
        </is>
      </c>
      <c r="AC720" t="inlineStr">
        <is>
          <t>Low</t>
        </is>
      </c>
      <c r="AM720" t="inlineStr">
        <is>
          <t>25</t>
        </is>
      </c>
      <c r="AN720" t="inlineStr">
        <is>
          <t>Yes</t>
        </is>
      </c>
      <c r="AO720" t="inlineStr">
        <is>
          <t>mapped sheet id</t>
        </is>
      </c>
    </row>
    <row r="721">
      <c r="A721" s="203">
        <f>ROW()-1</f>
        <v/>
      </c>
      <c r="B721" s="128" t="inlineStr">
        <is>
          <t>RL7-SKD-201-ZSO-09</t>
        </is>
      </c>
      <c r="C721" s="313" t="inlineStr">
        <is>
          <t>RL7-SKD-201-ZSO-09</t>
        </is>
      </c>
      <c r="D721" s="262" t="n"/>
      <c r="E721" s="128" t="n"/>
      <c r="F721" s="138" t="inlineStr">
        <is>
          <t>SERPENTINE CLEAN ASSIST PHW PAN RINSE ZONE 2F OPEN LIMIT SWITCH</t>
        </is>
      </c>
      <c r="G721" s="131" t="inlineStr">
        <is>
          <t>DG7602</t>
        </is>
      </c>
      <c r="H721" s="128" t="inlineStr">
        <is>
          <t>INTSL</t>
        </is>
      </c>
      <c r="I721" s="142" t="inlineStr">
        <is>
          <t>RL7-INTSL-RIO2</t>
        </is>
      </c>
      <c r="J721" s="133" t="n">
        <v>19</v>
      </c>
      <c r="K721" s="129" t="n">
        <v>2</v>
      </c>
      <c r="L721" s="129" t="n">
        <v>0</v>
      </c>
      <c r="M721" s="129" t="inlineStr">
        <is>
          <t>24 VDC DI</t>
        </is>
      </c>
      <c r="N721" s="129" t="inlineStr">
        <is>
          <t>5069-IB16</t>
        </is>
      </c>
      <c r="O721" s="139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40" t="n"/>
      <c r="AA721" t="inlineStr">
        <is>
          <t>Not found in PDF</t>
        </is>
      </c>
      <c r="AC721" t="inlineStr">
        <is>
          <t>Low</t>
        </is>
      </c>
      <c r="AM721" t="inlineStr">
        <is>
          <t>25</t>
        </is>
      </c>
      <c r="AN721" t="inlineStr">
        <is>
          <t>Yes</t>
        </is>
      </c>
      <c r="AO721" t="inlineStr">
        <is>
          <t>mapped sheet id</t>
        </is>
      </c>
    </row>
    <row r="722">
      <c r="A722" s="203">
        <f>ROW()-1</f>
        <v/>
      </c>
      <c r="B722" s="128" t="inlineStr">
        <is>
          <t>RL7-SKD-201-ZSC-09</t>
        </is>
      </c>
      <c r="C722" s="313" t="inlineStr">
        <is>
          <t>RL7-SKD-201-ZSC-09</t>
        </is>
      </c>
      <c r="D722" s="262" t="n"/>
      <c r="E722" s="128" t="n"/>
      <c r="F722" s="138" t="inlineStr">
        <is>
          <t>SERPENTINE CLEAN ASSIST PHW PAN RINSE ZONE 2F CLOSED LIMIT SWITCH</t>
        </is>
      </c>
      <c r="G722" s="131" t="inlineStr">
        <is>
          <t>DG7602</t>
        </is>
      </c>
      <c r="H722" s="128" t="inlineStr">
        <is>
          <t>INTSL</t>
        </is>
      </c>
      <c r="I722" s="142" t="inlineStr">
        <is>
          <t>RL7-INTSL-RIO2</t>
        </is>
      </c>
      <c r="J722" s="133" t="n">
        <v>19</v>
      </c>
      <c r="K722" s="129" t="n">
        <v>2</v>
      </c>
      <c r="L722" s="129" t="n">
        <v>1</v>
      </c>
      <c r="M722" s="129" t="inlineStr">
        <is>
          <t>24 VDC DI</t>
        </is>
      </c>
      <c r="N722" s="129" t="inlineStr">
        <is>
          <t>5069-IB16</t>
        </is>
      </c>
      <c r="O722" s="139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40" t="n"/>
      <c r="AA722" t="inlineStr">
        <is>
          <t>Not found in PDF</t>
        </is>
      </c>
      <c r="AC722" t="inlineStr">
        <is>
          <t>Low</t>
        </is>
      </c>
      <c r="AM722" t="inlineStr">
        <is>
          <t>25</t>
        </is>
      </c>
      <c r="AN722" t="inlineStr">
        <is>
          <t>Yes</t>
        </is>
      </c>
      <c r="AO722" t="inlineStr">
        <is>
          <t>mapped sheet id</t>
        </is>
      </c>
    </row>
    <row r="723">
      <c r="A723" s="203">
        <f>ROW()-1</f>
        <v/>
      </c>
      <c r="B723" s="128" t="inlineStr">
        <is>
          <t>RL7-SKD-201-ZSO-10</t>
        </is>
      </c>
      <c r="C723" s="313" t="inlineStr">
        <is>
          <t>RL7-SKD-201-ZSO-10</t>
        </is>
      </c>
      <c r="D723" s="262" t="n"/>
      <c r="E723" s="128" t="n"/>
      <c r="F723" s="138" t="inlineStr">
        <is>
          <t>SERPENTINE CLEAN ASSIST PHW END WALLS RINSE OPEN LIMIT SWITCH</t>
        </is>
      </c>
      <c r="G723" s="131" t="inlineStr">
        <is>
          <t>DG7602</t>
        </is>
      </c>
      <c r="H723" s="128" t="inlineStr">
        <is>
          <t>INTSL</t>
        </is>
      </c>
      <c r="I723" s="142" t="inlineStr">
        <is>
          <t>RL7-INTSL-RIO2</t>
        </is>
      </c>
      <c r="J723" s="133" t="n">
        <v>19</v>
      </c>
      <c r="K723" s="129" t="n">
        <v>2</v>
      </c>
      <c r="L723" s="129" t="n">
        <v>2</v>
      </c>
      <c r="M723" s="129" t="inlineStr">
        <is>
          <t>24 VDC DI</t>
        </is>
      </c>
      <c r="N723" s="129" t="inlineStr">
        <is>
          <t>5069-IB16</t>
        </is>
      </c>
      <c r="O723" s="139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40" t="n"/>
      <c r="AA723" t="inlineStr">
        <is>
          <t>Not found in PDF</t>
        </is>
      </c>
      <c r="AC723" t="inlineStr">
        <is>
          <t>Low</t>
        </is>
      </c>
      <c r="AM723" t="inlineStr">
        <is>
          <t>25</t>
        </is>
      </c>
      <c r="AN723" t="inlineStr">
        <is>
          <t>Yes</t>
        </is>
      </c>
      <c r="AO723" t="inlineStr">
        <is>
          <t>mapped sheet id</t>
        </is>
      </c>
    </row>
    <row r="724">
      <c r="A724" s="203">
        <f>ROW()-1</f>
        <v/>
      </c>
      <c r="B724" s="128" t="inlineStr">
        <is>
          <t>RL7-SKD-201-ZSC-10</t>
        </is>
      </c>
      <c r="C724" s="313" t="inlineStr">
        <is>
          <t>RL7-SKD-201-ZSC-10</t>
        </is>
      </c>
      <c r="D724" s="262" t="n"/>
      <c r="E724" s="128" t="n"/>
      <c r="F724" s="138" t="inlineStr">
        <is>
          <t>SERPENTINE CLEAN ASSIST PHW END WALLS RINSE CLOSED LIMIT SWITCH</t>
        </is>
      </c>
      <c r="G724" s="131" t="inlineStr">
        <is>
          <t>DG7602</t>
        </is>
      </c>
      <c r="H724" s="128" t="inlineStr">
        <is>
          <t>INTSL</t>
        </is>
      </c>
      <c r="I724" s="142" t="inlineStr">
        <is>
          <t>RL7-INTSL-RIO2</t>
        </is>
      </c>
      <c r="J724" s="133" t="n">
        <v>19</v>
      </c>
      <c r="K724" s="129" t="n">
        <v>2</v>
      </c>
      <c r="L724" s="129" t="n">
        <v>3</v>
      </c>
      <c r="M724" s="129" t="inlineStr">
        <is>
          <t>24 VDC DI</t>
        </is>
      </c>
      <c r="N724" s="129" t="inlineStr">
        <is>
          <t>5069-IB16</t>
        </is>
      </c>
      <c r="O724" s="139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40" t="n"/>
      <c r="AA724" t="inlineStr">
        <is>
          <t>Not found in PDF</t>
        </is>
      </c>
      <c r="AC724" t="inlineStr">
        <is>
          <t>Low</t>
        </is>
      </c>
      <c r="AM724" t="inlineStr">
        <is>
          <t>25</t>
        </is>
      </c>
      <c r="AN724" t="inlineStr">
        <is>
          <t>Yes</t>
        </is>
      </c>
      <c r="AO724" t="inlineStr">
        <is>
          <t>mapped sheet id</t>
        </is>
      </c>
    </row>
    <row r="725">
      <c r="A725" s="203">
        <f>ROW()-1</f>
        <v/>
      </c>
      <c r="B725" s="128" t="inlineStr">
        <is>
          <t>RL7-SKD-201-ZSO-11</t>
        </is>
      </c>
      <c r="C725" s="313" t="inlineStr">
        <is>
          <t>RL7-SKD-201-ZSO-11</t>
        </is>
      </c>
      <c r="D725" s="262" t="n"/>
      <c r="E725" s="128" t="n"/>
      <c r="F725" s="138" t="inlineStr">
        <is>
          <t>SERPENTINE CLEAN ASSIST PHW CHAIN RINSE OPEN LIMIT SWITCH</t>
        </is>
      </c>
      <c r="G725" s="131" t="inlineStr">
        <is>
          <t>DG7602</t>
        </is>
      </c>
      <c r="H725" s="128" t="inlineStr">
        <is>
          <t>INTSL</t>
        </is>
      </c>
      <c r="I725" s="142" t="inlineStr">
        <is>
          <t>RL7-INTSL-RIO2</t>
        </is>
      </c>
      <c r="J725" s="133" t="n">
        <v>19</v>
      </c>
      <c r="K725" s="129" t="n">
        <v>2</v>
      </c>
      <c r="L725" s="129" t="n">
        <v>4</v>
      </c>
      <c r="M725" s="129" t="inlineStr">
        <is>
          <t>24 VDC DI</t>
        </is>
      </c>
      <c r="N725" s="129" t="inlineStr">
        <is>
          <t>5069-IB16</t>
        </is>
      </c>
      <c r="O725" s="139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40" t="n"/>
      <c r="AA725" t="inlineStr">
        <is>
          <t>Not found in PDF</t>
        </is>
      </c>
      <c r="AC725" t="inlineStr">
        <is>
          <t>Low</t>
        </is>
      </c>
      <c r="AM725" t="inlineStr">
        <is>
          <t>25</t>
        </is>
      </c>
      <c r="AN725" t="inlineStr">
        <is>
          <t>Yes</t>
        </is>
      </c>
      <c r="AO725" t="inlineStr">
        <is>
          <t>mapped sheet id</t>
        </is>
      </c>
    </row>
    <row r="726">
      <c r="A726" s="203">
        <f>ROW()-1</f>
        <v/>
      </c>
      <c r="B726" s="128" t="inlineStr">
        <is>
          <t>RL7-SKD-201-ZSC-11</t>
        </is>
      </c>
      <c r="C726" s="313" t="inlineStr">
        <is>
          <t>RL7-SKD-201-ZSC-11</t>
        </is>
      </c>
      <c r="D726" s="262" t="n"/>
      <c r="E726" s="128" t="n"/>
      <c r="F726" s="138" t="inlineStr">
        <is>
          <t>SERPENTINE CLEAN ASSIST PHW CHAIN RINSE CLOSED LIMIT SWITCH</t>
        </is>
      </c>
      <c r="G726" s="131" t="inlineStr">
        <is>
          <t>DG7602</t>
        </is>
      </c>
      <c r="H726" s="128" t="inlineStr">
        <is>
          <t>INTSL</t>
        </is>
      </c>
      <c r="I726" s="142" t="inlineStr">
        <is>
          <t>RL7-INTSL-RIO2</t>
        </is>
      </c>
      <c r="J726" s="133" t="n">
        <v>19</v>
      </c>
      <c r="K726" s="129" t="n">
        <v>2</v>
      </c>
      <c r="L726" s="129" t="n">
        <v>5</v>
      </c>
      <c r="M726" s="129" t="inlineStr">
        <is>
          <t>24 VDC DI</t>
        </is>
      </c>
      <c r="N726" s="129" t="inlineStr">
        <is>
          <t>5069-IB16</t>
        </is>
      </c>
      <c r="O726" s="139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40" t="n"/>
      <c r="AA726" t="inlineStr">
        <is>
          <t>Not found in PDF</t>
        </is>
      </c>
      <c r="AC726" t="inlineStr">
        <is>
          <t>Low</t>
        </is>
      </c>
      <c r="AM726" t="inlineStr">
        <is>
          <t>25</t>
        </is>
      </c>
      <c r="AN726" t="inlineStr">
        <is>
          <t>Yes</t>
        </is>
      </c>
      <c r="AO726" t="inlineStr">
        <is>
          <t>mapped sheet id</t>
        </is>
      </c>
    </row>
    <row r="727">
      <c r="A727" s="203">
        <f>ROW()-1</f>
        <v/>
      </c>
      <c r="B727" s="128" t="inlineStr">
        <is>
          <t>RL7-SKD-201-ZSO-12</t>
        </is>
      </c>
      <c r="C727" s="313" t="inlineStr">
        <is>
          <t>RL7-SKD-201-ZSO-12</t>
        </is>
      </c>
      <c r="D727" s="262" t="n"/>
      <c r="E727" s="128" t="n"/>
      <c r="F727" s="138" t="inlineStr">
        <is>
          <t>SERPENTINE CLEAN ASSIST FOAMING HEADER PCW SUPPLY OPEN LIMIT SWITCH</t>
        </is>
      </c>
      <c r="G727" s="131" t="inlineStr">
        <is>
          <t>DG7602</t>
        </is>
      </c>
      <c r="H727" s="128" t="inlineStr">
        <is>
          <t>INTSL</t>
        </is>
      </c>
      <c r="I727" s="142" t="inlineStr">
        <is>
          <t>RL7-INTSL-RIO2</t>
        </is>
      </c>
      <c r="J727" s="133" t="n">
        <v>19</v>
      </c>
      <c r="K727" s="129" t="n">
        <v>2</v>
      </c>
      <c r="L727" s="129" t="n">
        <v>6</v>
      </c>
      <c r="M727" s="129" t="inlineStr">
        <is>
          <t>24 VDC DI</t>
        </is>
      </c>
      <c r="N727" s="129" t="inlineStr">
        <is>
          <t>5069-IB16</t>
        </is>
      </c>
      <c r="O727" s="139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40" t="n"/>
      <c r="AA727" t="inlineStr">
        <is>
          <t>Not found in PDF</t>
        </is>
      </c>
      <c r="AC727" t="inlineStr">
        <is>
          <t>Low</t>
        </is>
      </c>
      <c r="AM727" t="inlineStr">
        <is>
          <t>25</t>
        </is>
      </c>
      <c r="AN727" t="inlineStr">
        <is>
          <t>Yes</t>
        </is>
      </c>
      <c r="AO727" t="inlineStr">
        <is>
          <t>mapped sheet id</t>
        </is>
      </c>
    </row>
    <row r="728">
      <c r="A728" s="203">
        <f>ROW()-1</f>
        <v/>
      </c>
      <c r="B728" s="128" t="inlineStr">
        <is>
          <t>RL7-SKD-201-ZSC-12</t>
        </is>
      </c>
      <c r="C728" s="313" t="inlineStr">
        <is>
          <t>RL7-SKD-201-ZSC-12</t>
        </is>
      </c>
      <c r="D728" s="262" t="n"/>
      <c r="E728" s="128" t="n"/>
      <c r="F728" s="138" t="inlineStr">
        <is>
          <t>SERPENTINE CLEAN ASSIST FOAMING HEADER PCW SUPPLY CLOSED LIMIT SWITCH</t>
        </is>
      </c>
      <c r="G728" s="131" t="inlineStr">
        <is>
          <t>DG7602</t>
        </is>
      </c>
      <c r="H728" s="128" t="inlineStr">
        <is>
          <t>INTSL</t>
        </is>
      </c>
      <c r="I728" s="142" t="inlineStr">
        <is>
          <t>RL7-INTSL-RIO2</t>
        </is>
      </c>
      <c r="J728" s="133" t="n">
        <v>19</v>
      </c>
      <c r="K728" s="129" t="n">
        <v>2</v>
      </c>
      <c r="L728" s="129" t="n">
        <v>7</v>
      </c>
      <c r="M728" s="129" t="inlineStr">
        <is>
          <t>24 VDC DI</t>
        </is>
      </c>
      <c r="N728" s="129" t="inlineStr">
        <is>
          <t>5069-IB16</t>
        </is>
      </c>
      <c r="O728" s="139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40" t="n"/>
      <c r="AA728" t="inlineStr">
        <is>
          <t>Not found in PDF</t>
        </is>
      </c>
      <c r="AC728" t="inlineStr">
        <is>
          <t>Low</t>
        </is>
      </c>
      <c r="AM728" t="inlineStr">
        <is>
          <t>25</t>
        </is>
      </c>
      <c r="AN728" t="inlineStr">
        <is>
          <t>Yes</t>
        </is>
      </c>
      <c r="AO728" t="inlineStr">
        <is>
          <t>mapped sheet id</t>
        </is>
      </c>
    </row>
    <row r="729">
      <c r="A729" s="203">
        <f>ROW()-1</f>
        <v/>
      </c>
      <c r="B729" s="128" t="inlineStr">
        <is>
          <t>RL7-SKD-201-ZSO-13</t>
        </is>
      </c>
      <c r="C729" s="313" t="inlineStr">
        <is>
          <t>RL7-SKD-201-ZSO-13</t>
        </is>
      </c>
      <c r="D729" s="262" t="n"/>
      <c r="E729" s="128" t="n"/>
      <c r="F729" s="138" t="inlineStr">
        <is>
          <t>SERPENTINE CLEAN ASSIST FOAMING HEADER FOAM SUPPLY OPEN LIMIT SWITCH</t>
        </is>
      </c>
      <c r="G729" s="131" t="inlineStr">
        <is>
          <t>DG7602</t>
        </is>
      </c>
      <c r="H729" s="128" t="inlineStr">
        <is>
          <t>INTSL</t>
        </is>
      </c>
      <c r="I729" s="142" t="inlineStr">
        <is>
          <t>RL7-INTSL-RIO2</t>
        </is>
      </c>
      <c r="J729" s="133" t="n">
        <v>19</v>
      </c>
      <c r="K729" s="129" t="n">
        <v>2</v>
      </c>
      <c r="L729" s="129" t="n">
        <v>8</v>
      </c>
      <c r="M729" s="129" t="inlineStr">
        <is>
          <t>24 VDC DI</t>
        </is>
      </c>
      <c r="N729" s="129" t="inlineStr">
        <is>
          <t>5069-IB16</t>
        </is>
      </c>
      <c r="O729" s="139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40" t="n"/>
      <c r="AA729" t="inlineStr">
        <is>
          <t>Not found in PDF</t>
        </is>
      </c>
      <c r="AC729" t="inlineStr">
        <is>
          <t>Low</t>
        </is>
      </c>
      <c r="AM729" t="inlineStr">
        <is>
          <t>25</t>
        </is>
      </c>
      <c r="AN729" t="inlineStr">
        <is>
          <t>Yes</t>
        </is>
      </c>
      <c r="AO729" t="inlineStr">
        <is>
          <t>mapped sheet id</t>
        </is>
      </c>
    </row>
    <row r="730">
      <c r="A730" s="203">
        <f>ROW()-1</f>
        <v/>
      </c>
      <c r="B730" s="128" t="inlineStr">
        <is>
          <t>RL7-SKD-201-ZSC-13</t>
        </is>
      </c>
      <c r="C730" s="313" t="inlineStr">
        <is>
          <t>RL7-SKD-201-ZSC-13</t>
        </is>
      </c>
      <c r="D730" s="262" t="n"/>
      <c r="E730" s="128" t="n"/>
      <c r="F730" s="138" t="inlineStr">
        <is>
          <t>SERPENTINE CLEAN ASSIST FOAMING HEADER FOAM SUPPLY CLOSED LIMIT SWITCH</t>
        </is>
      </c>
      <c r="G730" s="131" t="inlineStr">
        <is>
          <t>DG7602</t>
        </is>
      </c>
      <c r="H730" s="128" t="inlineStr">
        <is>
          <t>INTSL</t>
        </is>
      </c>
      <c r="I730" s="142" t="inlineStr">
        <is>
          <t>RL7-INTSL-RIO2</t>
        </is>
      </c>
      <c r="J730" s="133" t="n">
        <v>19</v>
      </c>
      <c r="K730" s="129" t="n">
        <v>2</v>
      </c>
      <c r="L730" s="129" t="n">
        <v>9</v>
      </c>
      <c r="M730" s="129" t="inlineStr">
        <is>
          <t>24 VDC DI</t>
        </is>
      </c>
      <c r="N730" s="129" t="inlineStr">
        <is>
          <t>5069-IB16</t>
        </is>
      </c>
      <c r="O730" s="139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40" t="n"/>
      <c r="AA730" t="inlineStr">
        <is>
          <t>Not found in PDF</t>
        </is>
      </c>
      <c r="AC730" t="inlineStr">
        <is>
          <t>Low</t>
        </is>
      </c>
      <c r="AM730" t="inlineStr">
        <is>
          <t>25</t>
        </is>
      </c>
      <c r="AN730" t="inlineStr">
        <is>
          <t>Yes</t>
        </is>
      </c>
      <c r="AO730" t="inlineStr">
        <is>
          <t>mapped sheet id</t>
        </is>
      </c>
    </row>
    <row r="731">
      <c r="A731" s="203">
        <f>ROW()-1</f>
        <v/>
      </c>
      <c r="B731" s="128" t="inlineStr">
        <is>
          <t>RL7-SKD-201-ZSO-15</t>
        </is>
      </c>
      <c r="C731" s="313" t="inlineStr">
        <is>
          <t>RL7-SKD-201-ZSO-15</t>
        </is>
      </c>
      <c r="D731" s="262" t="n"/>
      <c r="E731" s="128" t="n"/>
      <c r="F731" s="138" t="inlineStr">
        <is>
          <t>SERPENTINE CLEAN ASSIST PCW BASIN RINSE VALVE OPEN LIMIT SWITCH</t>
        </is>
      </c>
      <c r="G731" s="131" t="inlineStr">
        <is>
          <t>DG7602</t>
        </is>
      </c>
      <c r="H731" s="128" t="inlineStr">
        <is>
          <t>INTSL</t>
        </is>
      </c>
      <c r="I731" s="142" t="inlineStr">
        <is>
          <t>RL7-INTSL-RIO2</t>
        </is>
      </c>
      <c r="J731" s="133" t="n">
        <v>19</v>
      </c>
      <c r="K731" s="129" t="n">
        <v>2</v>
      </c>
      <c r="L731" s="129" t="n">
        <v>10</v>
      </c>
      <c r="M731" s="129" t="inlineStr">
        <is>
          <t>24 VDC DI</t>
        </is>
      </c>
      <c r="N731" s="129" t="inlineStr">
        <is>
          <t>5069-IB16</t>
        </is>
      </c>
      <c r="O731" s="139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40" t="n"/>
      <c r="AA731" t="inlineStr">
        <is>
          <t>Not found in PDF</t>
        </is>
      </c>
      <c r="AC731" t="inlineStr">
        <is>
          <t>Low</t>
        </is>
      </c>
      <c r="AM731" t="inlineStr">
        <is>
          <t>25</t>
        </is>
      </c>
      <c r="AN731" t="inlineStr">
        <is>
          <t>Yes</t>
        </is>
      </c>
      <c r="AO731" t="inlineStr">
        <is>
          <t>mapped sheet id</t>
        </is>
      </c>
    </row>
    <row r="732">
      <c r="A732" s="203">
        <f>ROW()-1</f>
        <v/>
      </c>
      <c r="B732" s="128" t="inlineStr">
        <is>
          <t>RL7-SKD-201-ZSC-15</t>
        </is>
      </c>
      <c r="C732" s="313" t="inlineStr">
        <is>
          <t>RL7-SKD-201-ZSC-15</t>
        </is>
      </c>
      <c r="D732" s="262" t="n"/>
      <c r="E732" s="128" t="n"/>
      <c r="F732" s="138" t="inlineStr">
        <is>
          <t>SERPENTINE CLEAN ASSIST PCW BASIN RINSE VALVE CLOSED LIMIT SWITCH</t>
        </is>
      </c>
      <c r="G732" s="131" t="inlineStr">
        <is>
          <t>DG7602</t>
        </is>
      </c>
      <c r="H732" s="128" t="inlineStr">
        <is>
          <t>INTSL</t>
        </is>
      </c>
      <c r="I732" s="142" t="inlineStr">
        <is>
          <t>RL7-INTSL-RIO2</t>
        </is>
      </c>
      <c r="J732" s="133" t="n">
        <v>19</v>
      </c>
      <c r="K732" s="129" t="n">
        <v>2</v>
      </c>
      <c r="L732" s="129" t="n">
        <v>11</v>
      </c>
      <c r="M732" s="129" t="inlineStr">
        <is>
          <t>24 VDC DI</t>
        </is>
      </c>
      <c r="N732" s="129" t="inlineStr">
        <is>
          <t>5069-IB16</t>
        </is>
      </c>
      <c r="O732" s="139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40" t="n"/>
      <c r="AA732" t="inlineStr">
        <is>
          <t>Not found in PDF</t>
        </is>
      </c>
      <c r="AC732" t="inlineStr">
        <is>
          <t>Low</t>
        </is>
      </c>
      <c r="AM732" t="inlineStr">
        <is>
          <t>25</t>
        </is>
      </c>
      <c r="AN732" t="inlineStr">
        <is>
          <t>Yes</t>
        </is>
      </c>
      <c r="AO732" t="inlineStr">
        <is>
          <t>mapped sheet id</t>
        </is>
      </c>
    </row>
    <row r="733">
      <c r="A733" s="203">
        <f>ROW()-1</f>
        <v/>
      </c>
      <c r="B733" s="128" t="inlineStr">
        <is>
          <t>RL7-SKD-201-XY-05</t>
        </is>
      </c>
      <c r="C733" s="313" t="inlineStr">
        <is>
          <t>RL7-SKD-201-XY-05</t>
        </is>
      </c>
      <c r="D733" s="262" t="n"/>
      <c r="E733" s="128" t="n"/>
      <c r="F733" s="138" t="inlineStr">
        <is>
          <t>SERPENTINE CLEAN ASSIST PHW PAN RINSE ZONE 2B VALVE OPEN SOLENOID</t>
        </is>
      </c>
      <c r="G733" s="131" t="inlineStr">
        <is>
          <t>DG7602</t>
        </is>
      </c>
      <c r="H733" s="128" t="inlineStr">
        <is>
          <t>INTSL</t>
        </is>
      </c>
      <c r="I733" s="142" t="inlineStr">
        <is>
          <t>RL7-INTSL-RIO2</t>
        </is>
      </c>
      <c r="J733" s="133" t="n">
        <v>19</v>
      </c>
      <c r="K733" s="129" t="n">
        <v>5</v>
      </c>
      <c r="L733" s="129" t="n">
        <v>0</v>
      </c>
      <c r="M733" s="129" t="inlineStr">
        <is>
          <t>24 VDC DO</t>
        </is>
      </c>
      <c r="N733" s="129" t="inlineStr">
        <is>
          <t>5069-OB16</t>
        </is>
      </c>
      <c r="O733" s="139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40" t="n"/>
      <c r="AA733" t="inlineStr">
        <is>
          <t>Not found in PDF</t>
        </is>
      </c>
      <c r="AC733" t="inlineStr">
        <is>
          <t>Low</t>
        </is>
      </c>
      <c r="AM733" t="inlineStr">
        <is>
          <t>25</t>
        </is>
      </c>
      <c r="AN733" t="inlineStr">
        <is>
          <t>Yes</t>
        </is>
      </c>
      <c r="AO733" t="inlineStr">
        <is>
          <t>mapped sheet id</t>
        </is>
      </c>
    </row>
    <row r="734">
      <c r="A734" s="203">
        <f>ROW()-1</f>
        <v/>
      </c>
      <c r="B734" s="128" t="inlineStr">
        <is>
          <t>RL7-SKD-201-XY-06</t>
        </is>
      </c>
      <c r="C734" s="313" t="inlineStr">
        <is>
          <t>RL7-SKD-201-XY-06</t>
        </is>
      </c>
      <c r="D734" s="262" t="n"/>
      <c r="E734" s="128" t="n"/>
      <c r="F734" s="138" t="inlineStr">
        <is>
          <t>SERPENTINE CLEAN ASSIST PHW PAN RINSE ZONE 2C VALVE OPEN SOLENOID</t>
        </is>
      </c>
      <c r="G734" s="131" t="inlineStr">
        <is>
          <t>DG7602</t>
        </is>
      </c>
      <c r="H734" s="128" t="inlineStr">
        <is>
          <t>INTSL</t>
        </is>
      </c>
      <c r="I734" s="142" t="inlineStr">
        <is>
          <t>RL7-INTSL-RIO2</t>
        </is>
      </c>
      <c r="J734" s="133" t="n">
        <v>19</v>
      </c>
      <c r="K734" s="129" t="n">
        <v>5</v>
      </c>
      <c r="L734" s="129" t="n">
        <v>1</v>
      </c>
      <c r="M734" s="129" t="inlineStr">
        <is>
          <t>24 VDC DO</t>
        </is>
      </c>
      <c r="N734" s="129" t="inlineStr">
        <is>
          <t>5069-OB16</t>
        </is>
      </c>
      <c r="O734" s="139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40" t="n"/>
      <c r="AA734" t="inlineStr">
        <is>
          <t>Not found in PDF</t>
        </is>
      </c>
      <c r="AC734" t="inlineStr">
        <is>
          <t>Low</t>
        </is>
      </c>
      <c r="AM734" t="inlineStr">
        <is>
          <t>25</t>
        </is>
      </c>
      <c r="AN734" t="inlineStr">
        <is>
          <t>Yes</t>
        </is>
      </c>
      <c r="AO734" t="inlineStr">
        <is>
          <t>mapped sheet id</t>
        </is>
      </c>
    </row>
    <row r="735">
      <c r="A735" s="203">
        <f>ROW()-1</f>
        <v/>
      </c>
      <c r="B735" s="128" t="inlineStr">
        <is>
          <t>RL7-SKD-201-XY-07</t>
        </is>
      </c>
      <c r="C735" s="313" t="inlineStr">
        <is>
          <t>RL7-SKD-201-XY-07</t>
        </is>
      </c>
      <c r="D735" s="262" t="n"/>
      <c r="E735" s="128" t="n"/>
      <c r="F735" s="138" t="inlineStr">
        <is>
          <t>SERPENTINE CLEAN ASSIST PHW PAN RINSE ZONE 2D VALVE OPEN SOLENOID</t>
        </is>
      </c>
      <c r="G735" s="131" t="inlineStr">
        <is>
          <t>DG7602</t>
        </is>
      </c>
      <c r="H735" s="128" t="inlineStr">
        <is>
          <t>INTSL</t>
        </is>
      </c>
      <c r="I735" s="142" t="inlineStr">
        <is>
          <t>RL7-INTSL-RIO2</t>
        </is>
      </c>
      <c r="J735" s="133" t="n">
        <v>19</v>
      </c>
      <c r="K735" s="129" t="n">
        <v>5</v>
      </c>
      <c r="L735" s="129" t="n">
        <v>2</v>
      </c>
      <c r="M735" s="129" t="inlineStr">
        <is>
          <t>24 VDC DO</t>
        </is>
      </c>
      <c r="N735" s="129" t="inlineStr">
        <is>
          <t>5069-OB16</t>
        </is>
      </c>
      <c r="O735" s="139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40" t="n"/>
      <c r="AA735" t="inlineStr">
        <is>
          <t>Not found in PDF</t>
        </is>
      </c>
      <c r="AC735" t="inlineStr">
        <is>
          <t>Low</t>
        </is>
      </c>
      <c r="AM735" t="inlineStr">
        <is>
          <t>25</t>
        </is>
      </c>
      <c r="AN735" t="inlineStr">
        <is>
          <t>Yes</t>
        </is>
      </c>
      <c r="AO735" t="inlineStr">
        <is>
          <t>mapped sheet id</t>
        </is>
      </c>
    </row>
    <row r="736">
      <c r="A736" s="203">
        <f>ROW()-1</f>
        <v/>
      </c>
      <c r="B736" s="128" t="inlineStr">
        <is>
          <t>RL7-SKD-201-XY-08</t>
        </is>
      </c>
      <c r="C736" s="313" t="inlineStr">
        <is>
          <t>RL7-SKD-201-XY-08</t>
        </is>
      </c>
      <c r="D736" s="262" t="n"/>
      <c r="E736" s="128" t="n"/>
      <c r="F736" s="138" t="inlineStr">
        <is>
          <t>SERPENTINE CLEAN ASSIST PHW PAN RINSE ZONE 2E VALVE OPEN SOLENOID</t>
        </is>
      </c>
      <c r="G736" s="131" t="inlineStr">
        <is>
          <t>DG7602</t>
        </is>
      </c>
      <c r="H736" s="128" t="inlineStr">
        <is>
          <t>INTSL</t>
        </is>
      </c>
      <c r="I736" s="142" t="inlineStr">
        <is>
          <t>RL7-INTSL-RIO2</t>
        </is>
      </c>
      <c r="J736" s="133" t="n">
        <v>19</v>
      </c>
      <c r="K736" s="129" t="n">
        <v>5</v>
      </c>
      <c r="L736" s="129" t="n">
        <v>3</v>
      </c>
      <c r="M736" s="129" t="inlineStr">
        <is>
          <t>24 VDC DO</t>
        </is>
      </c>
      <c r="N736" s="129" t="inlineStr">
        <is>
          <t>5069-OB16</t>
        </is>
      </c>
      <c r="O736" s="139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40" t="n"/>
      <c r="AA736" t="inlineStr">
        <is>
          <t>Not found in PDF</t>
        </is>
      </c>
      <c r="AC736" t="inlineStr">
        <is>
          <t>Low</t>
        </is>
      </c>
      <c r="AM736" t="inlineStr">
        <is>
          <t>25</t>
        </is>
      </c>
      <c r="AN736" t="inlineStr">
        <is>
          <t>Yes</t>
        </is>
      </c>
      <c r="AO736" t="inlineStr">
        <is>
          <t>mapped sheet id</t>
        </is>
      </c>
    </row>
    <row r="737">
      <c r="A737" s="203">
        <f>ROW()-1</f>
        <v/>
      </c>
      <c r="B737" s="128" t="inlineStr">
        <is>
          <t>RL7-SKD-201-XY-09</t>
        </is>
      </c>
      <c r="C737" s="313" t="inlineStr">
        <is>
          <t>RL7-SKD-201-XY-09</t>
        </is>
      </c>
      <c r="D737" s="262" t="n"/>
      <c r="E737" s="128" t="n"/>
      <c r="F737" s="138" t="inlineStr">
        <is>
          <t>SERPENTINE CLEAN ASSIST PHW PAN RINSE ZONE 2F VALVE OPEN SOLENOID</t>
        </is>
      </c>
      <c r="G737" s="131" t="inlineStr">
        <is>
          <t>DG7602</t>
        </is>
      </c>
      <c r="H737" s="128" t="inlineStr">
        <is>
          <t>INTSL</t>
        </is>
      </c>
      <c r="I737" s="142" t="inlineStr">
        <is>
          <t>RL7-INTSL-RIO2</t>
        </is>
      </c>
      <c r="J737" s="133" t="n">
        <v>19</v>
      </c>
      <c r="K737" s="129" t="n">
        <v>5</v>
      </c>
      <c r="L737" s="129" t="n">
        <v>4</v>
      </c>
      <c r="M737" s="129" t="inlineStr">
        <is>
          <t>24 VDC DO</t>
        </is>
      </c>
      <c r="N737" s="129" t="inlineStr">
        <is>
          <t>5069-OB16</t>
        </is>
      </c>
      <c r="O737" s="139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40" t="n"/>
      <c r="AA737" t="inlineStr">
        <is>
          <t>Not found in PDF</t>
        </is>
      </c>
      <c r="AC737" t="inlineStr">
        <is>
          <t>Low</t>
        </is>
      </c>
      <c r="AM737" t="inlineStr">
        <is>
          <t>25</t>
        </is>
      </c>
      <c r="AN737" t="inlineStr">
        <is>
          <t>Yes</t>
        </is>
      </c>
      <c r="AO737" t="inlineStr">
        <is>
          <t>mapped sheet id</t>
        </is>
      </c>
    </row>
    <row r="738">
      <c r="A738" s="203">
        <f>ROW()-1</f>
        <v/>
      </c>
      <c r="B738" s="128" t="inlineStr">
        <is>
          <t>RL7-SKD-201-XY-10</t>
        </is>
      </c>
      <c r="C738" s="313" t="inlineStr">
        <is>
          <t>RL7-SKD-201-XY-10</t>
        </is>
      </c>
      <c r="D738" s="262" t="n"/>
      <c r="E738" s="128" t="n"/>
      <c r="F738" s="138" t="inlineStr">
        <is>
          <t>SERPENTINE CLEAN ASSIST PHW END WALLS RINSE VALVE OPEN SOLENOID</t>
        </is>
      </c>
      <c r="G738" s="131" t="inlineStr">
        <is>
          <t>DG7602</t>
        </is>
      </c>
      <c r="H738" s="128" t="inlineStr">
        <is>
          <t>INTSL</t>
        </is>
      </c>
      <c r="I738" s="142" t="inlineStr">
        <is>
          <t>RL7-INTSL-RIO2</t>
        </is>
      </c>
      <c r="J738" s="133" t="n">
        <v>19</v>
      </c>
      <c r="K738" s="129" t="n">
        <v>5</v>
      </c>
      <c r="L738" s="129" t="n">
        <v>5</v>
      </c>
      <c r="M738" s="129" t="inlineStr">
        <is>
          <t>24 VDC DO</t>
        </is>
      </c>
      <c r="N738" s="129" t="inlineStr">
        <is>
          <t>5069-OB16</t>
        </is>
      </c>
      <c r="O738" s="139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40" t="n"/>
      <c r="AA738" t="inlineStr">
        <is>
          <t>Not found in PDF</t>
        </is>
      </c>
      <c r="AC738" t="inlineStr">
        <is>
          <t>Low</t>
        </is>
      </c>
      <c r="AM738" t="inlineStr">
        <is>
          <t>25</t>
        </is>
      </c>
      <c r="AN738" t="inlineStr">
        <is>
          <t>Yes</t>
        </is>
      </c>
      <c r="AO738" t="inlineStr">
        <is>
          <t>mapped sheet id</t>
        </is>
      </c>
    </row>
    <row r="739">
      <c r="A739" s="203">
        <f>ROW()-1</f>
        <v/>
      </c>
      <c r="B739" s="128" t="inlineStr">
        <is>
          <t>RL7-SKD-201-XY-11</t>
        </is>
      </c>
      <c r="C739" s="313" t="inlineStr">
        <is>
          <t>RL7-SKD-201-XY-11</t>
        </is>
      </c>
      <c r="D739" s="262" t="n"/>
      <c r="E739" s="128" t="n"/>
      <c r="F739" s="138" t="inlineStr">
        <is>
          <t>SERPENTINE CLEAN ASSIST PHW CHAIN RINSE VALVE OPEN SOLENOID</t>
        </is>
      </c>
      <c r="G739" s="131" t="inlineStr">
        <is>
          <t>DG7602</t>
        </is>
      </c>
      <c r="H739" s="128" t="inlineStr">
        <is>
          <t>INTSL</t>
        </is>
      </c>
      <c r="I739" s="142" t="inlineStr">
        <is>
          <t>RL7-INTSL-RIO2</t>
        </is>
      </c>
      <c r="J739" s="133" t="n">
        <v>19</v>
      </c>
      <c r="K739" s="129" t="n">
        <v>5</v>
      </c>
      <c r="L739" s="129" t="n">
        <v>6</v>
      </c>
      <c r="M739" s="129" t="inlineStr">
        <is>
          <t>24 VDC DO</t>
        </is>
      </c>
      <c r="N739" s="129" t="inlineStr">
        <is>
          <t>5069-OB16</t>
        </is>
      </c>
      <c r="O739" s="139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40" t="n"/>
      <c r="AA739" t="inlineStr">
        <is>
          <t>Not found in PDF</t>
        </is>
      </c>
      <c r="AC739" t="inlineStr">
        <is>
          <t>Low</t>
        </is>
      </c>
      <c r="AM739" t="inlineStr">
        <is>
          <t>25</t>
        </is>
      </c>
      <c r="AN739" t="inlineStr">
        <is>
          <t>Yes</t>
        </is>
      </c>
      <c r="AO739" t="inlineStr">
        <is>
          <t>mapped sheet id</t>
        </is>
      </c>
    </row>
    <row r="740">
      <c r="A740" s="203">
        <f>ROW()-1</f>
        <v/>
      </c>
      <c r="B740" s="128" t="inlineStr">
        <is>
          <t>RL7-SKD-201-XV-02</t>
        </is>
      </c>
      <c r="C740" s="314" t="inlineStr">
        <is>
          <t>RL7-SKD-201-XV-02</t>
        </is>
      </c>
      <c r="D740" s="262" t="n"/>
      <c r="E740" s="128" t="n"/>
      <c r="F740" s="138" t="inlineStr">
        <is>
          <t>SERPENTINE CLEAN ASSIST PHW PAN RINSE ZONE 1A VALVE OPEN SOLENOID</t>
        </is>
      </c>
      <c r="G740" s="131" t="inlineStr">
        <is>
          <t>DG7602</t>
        </is>
      </c>
      <c r="H740" s="128" t="inlineStr">
        <is>
          <t>INTSL</t>
        </is>
      </c>
      <c r="I740" s="142" t="inlineStr">
        <is>
          <t>RL7-INTSL-RIO2</t>
        </is>
      </c>
      <c r="J740" s="133" t="n">
        <v>19</v>
      </c>
      <c r="K740" s="129" t="n">
        <v>5</v>
      </c>
      <c r="L740" s="129" t="n">
        <v>7</v>
      </c>
      <c r="M740" s="129" t="inlineStr">
        <is>
          <t>24 VDC DO</t>
        </is>
      </c>
      <c r="N740" s="129" t="inlineStr">
        <is>
          <t>5069-OB16</t>
        </is>
      </c>
      <c r="O740" s="139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40" t="n"/>
      <c r="AA740" t="inlineStr">
        <is>
          <t>Matched</t>
        </is>
      </c>
      <c r="AB740" s="315" t="n">
        <v>0.99</v>
      </c>
      <c r="AC740" t="inlineStr">
        <is>
          <t>High</t>
        </is>
      </c>
      <c r="AD740" t="n">
        <v>1</v>
      </c>
      <c r="AE740" t="inlineStr">
        <is>
          <t>DG7602</t>
        </is>
      </c>
      <c r="AF740" t="n">
        <v>25</v>
      </c>
      <c r="AG740" t="inlineStr">
        <is>
          <t>drawing</t>
        </is>
      </c>
      <c r="AH740" t="inlineStr">
        <is>
          <t>stacked:isa</t>
        </is>
      </c>
      <c r="AI740" t="inlineStr">
        <is>
          <t>drawing zone; process page; mapped sheet; excel sheet match</t>
        </is>
      </c>
      <c r="AJ740" t="inlineStr">
        <is>
          <t>native</t>
        </is>
      </c>
      <c r="AK740" t="inlineStr">
        <is>
          <t>native-only</t>
        </is>
      </c>
      <c r="AM740" t="inlineStr">
        <is>
          <t>25</t>
        </is>
      </c>
      <c r="AN740" t="inlineStr">
        <is>
          <t>Yes</t>
        </is>
      </c>
      <c r="AO740" t="inlineStr">
        <is>
          <t>mapped sheet id</t>
        </is>
      </c>
      <c r="AP740" t="inlineStr">
        <is>
          <t>p25:native:12, p25:native:13</t>
        </is>
      </c>
      <c r="AQ740" t="n">
        <v>2</v>
      </c>
    </row>
    <row r="741">
      <c r="A741" s="203">
        <f>ROW()-1</f>
        <v/>
      </c>
      <c r="B741" s="128" t="inlineStr">
        <is>
          <t>RL7-SKD-201-XY-03</t>
        </is>
      </c>
      <c r="C741" s="313" t="inlineStr">
        <is>
          <t>RL7-SKD-201-XY-03</t>
        </is>
      </c>
      <c r="D741" s="262" t="n"/>
      <c r="E741" s="128" t="n"/>
      <c r="F741" s="138" t="inlineStr">
        <is>
          <t>SERPENTINE CLEAN ASSIST PHW PAN RINSE ZONE 1B VALVE OPEN SOLENOID</t>
        </is>
      </c>
      <c r="G741" s="131" t="inlineStr">
        <is>
          <t>DG7602</t>
        </is>
      </c>
      <c r="H741" s="128" t="inlineStr">
        <is>
          <t>INTSL</t>
        </is>
      </c>
      <c r="I741" s="142" t="inlineStr">
        <is>
          <t>RL7-INTSL-RIO2</t>
        </is>
      </c>
      <c r="J741" s="133" t="n">
        <v>19</v>
      </c>
      <c r="K741" s="129" t="n">
        <v>5</v>
      </c>
      <c r="L741" s="129" t="n">
        <v>8</v>
      </c>
      <c r="M741" s="129" t="inlineStr">
        <is>
          <t>24 VDC DO</t>
        </is>
      </c>
      <c r="N741" s="129" t="inlineStr">
        <is>
          <t>5069-OB16</t>
        </is>
      </c>
      <c r="O741" s="139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40" t="n"/>
      <c r="AA741" t="inlineStr">
        <is>
          <t>Not found in PDF</t>
        </is>
      </c>
      <c r="AC741" t="inlineStr">
        <is>
          <t>Low</t>
        </is>
      </c>
      <c r="AM741" t="inlineStr">
        <is>
          <t>25</t>
        </is>
      </c>
      <c r="AN741" t="inlineStr">
        <is>
          <t>Yes</t>
        </is>
      </c>
      <c r="AO741" t="inlineStr">
        <is>
          <t>mapped sheet id</t>
        </is>
      </c>
    </row>
    <row r="742">
      <c r="A742" s="203">
        <f>ROW()-1</f>
        <v/>
      </c>
      <c r="B742" s="128" t="inlineStr">
        <is>
          <t>RL7-SKD-201-XY-04</t>
        </is>
      </c>
      <c r="C742" s="313" t="inlineStr">
        <is>
          <t>RL7-SKD-201-XY-04</t>
        </is>
      </c>
      <c r="D742" s="262" t="n"/>
      <c r="E742" s="128" t="n"/>
      <c r="F742" s="138" t="inlineStr">
        <is>
          <t>SERPENTINE CLEAN ASSIST PHW PAN RINSE ZONE 2A VALVE OPEN SOLENOID</t>
        </is>
      </c>
      <c r="G742" s="131" t="inlineStr">
        <is>
          <t>DG7602</t>
        </is>
      </c>
      <c r="H742" s="128" t="inlineStr">
        <is>
          <t>INTSL</t>
        </is>
      </c>
      <c r="I742" s="142" t="inlineStr">
        <is>
          <t>RL7-INTSL-RIO2</t>
        </is>
      </c>
      <c r="J742" s="133" t="n">
        <v>19</v>
      </c>
      <c r="K742" s="129" t="n">
        <v>5</v>
      </c>
      <c r="L742" s="129" t="n">
        <v>9</v>
      </c>
      <c r="M742" s="129" t="inlineStr">
        <is>
          <t>24 VDC DO</t>
        </is>
      </c>
      <c r="N742" s="129" t="inlineStr">
        <is>
          <t>5069-OB16</t>
        </is>
      </c>
      <c r="O742" s="139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40" t="n"/>
      <c r="AA742" t="inlineStr">
        <is>
          <t>Not found in PDF</t>
        </is>
      </c>
      <c r="AC742" t="inlineStr">
        <is>
          <t>Low</t>
        </is>
      </c>
      <c r="AM742" t="inlineStr">
        <is>
          <t>25</t>
        </is>
      </c>
      <c r="AN742" t="inlineStr">
        <is>
          <t>Yes</t>
        </is>
      </c>
      <c r="AO742" t="inlineStr">
        <is>
          <t>mapped sheet id</t>
        </is>
      </c>
    </row>
    <row r="743">
      <c r="A743" s="203">
        <f>ROW()-1</f>
        <v/>
      </c>
      <c r="B743" s="128" t="inlineStr">
        <is>
          <t>RL7-SKD-201-XV-12</t>
        </is>
      </c>
      <c r="C743" s="314" t="inlineStr">
        <is>
          <t>RL7-SKD-201-XV-12</t>
        </is>
      </c>
      <c r="D743" s="262" t="n"/>
      <c r="E743" s="128" t="n"/>
      <c r="F743" s="138" t="inlineStr">
        <is>
          <t>SERPENTINE CLEAN ASSIST FOAMING HEADER PCW SUPPLY VALVE OPEN SOLENOID</t>
        </is>
      </c>
      <c r="G743" s="131" t="inlineStr">
        <is>
          <t>DG7602</t>
        </is>
      </c>
      <c r="H743" s="128" t="inlineStr">
        <is>
          <t>INTSL</t>
        </is>
      </c>
      <c r="I743" s="142" t="inlineStr">
        <is>
          <t>RL7-INTSL-RIO2</t>
        </is>
      </c>
      <c r="J743" s="133" t="n">
        <v>19</v>
      </c>
      <c r="K743" s="129" t="n">
        <v>5</v>
      </c>
      <c r="L743" s="129" t="n">
        <v>10</v>
      </c>
      <c r="M743" s="129" t="inlineStr">
        <is>
          <t>24 VDC DO</t>
        </is>
      </c>
      <c r="N743" s="129" t="inlineStr">
        <is>
          <t>5069-OB16</t>
        </is>
      </c>
      <c r="O743" s="139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40" t="n"/>
      <c r="AA743" t="inlineStr">
        <is>
          <t>Matched</t>
        </is>
      </c>
      <c r="AB743" s="315" t="n">
        <v>0.99</v>
      </c>
      <c r="AC743" t="inlineStr">
        <is>
          <t>High</t>
        </is>
      </c>
      <c r="AD743" t="n">
        <v>1</v>
      </c>
      <c r="AE743" t="inlineStr">
        <is>
          <t>DG7602</t>
        </is>
      </c>
      <c r="AF743" t="n">
        <v>25</v>
      </c>
      <c r="AG743" t="inlineStr">
        <is>
          <t>drawing</t>
        </is>
      </c>
      <c r="AH743" t="inlineStr">
        <is>
          <t>stacked:isa</t>
        </is>
      </c>
      <c r="AI743" t="inlineStr">
        <is>
          <t>drawing zone; process page; mapped sheet; excel sheet match</t>
        </is>
      </c>
      <c r="AJ743" t="inlineStr">
        <is>
          <t>native</t>
        </is>
      </c>
      <c r="AK743" t="inlineStr">
        <is>
          <t>native-only</t>
        </is>
      </c>
      <c r="AM743" t="inlineStr">
        <is>
          <t>25</t>
        </is>
      </c>
      <c r="AN743" t="inlineStr">
        <is>
          <t>Yes</t>
        </is>
      </c>
      <c r="AO743" t="inlineStr">
        <is>
          <t>mapped sheet id</t>
        </is>
      </c>
      <c r="AP743" t="inlineStr">
        <is>
          <t>p25:native:95, p25:native:96</t>
        </is>
      </c>
      <c r="AQ743" t="n">
        <v>2</v>
      </c>
    </row>
    <row r="744">
      <c r="A744" s="203">
        <f>ROW()-1</f>
        <v/>
      </c>
      <c r="B744" s="128" t="inlineStr">
        <is>
          <t>RL7-SKD-201-XV-13</t>
        </is>
      </c>
      <c r="C744" s="314" t="inlineStr">
        <is>
          <t>RL7-SKD-201-XV-13</t>
        </is>
      </c>
      <c r="D744" s="262" t="n"/>
      <c r="E744" s="128" t="n"/>
      <c r="F744" s="138" t="inlineStr">
        <is>
          <t>SERPENTINE CLEAN ASSIST FOAMING HEADER FOAM SUPPLY VALVE OPEN SOLENOID</t>
        </is>
      </c>
      <c r="G744" s="131" t="inlineStr">
        <is>
          <t>DG7602</t>
        </is>
      </c>
      <c r="H744" s="128" t="inlineStr">
        <is>
          <t>INTSL</t>
        </is>
      </c>
      <c r="I744" s="142" t="inlineStr">
        <is>
          <t>RL7-INTSL-RIO2</t>
        </is>
      </c>
      <c r="J744" s="133" t="n">
        <v>19</v>
      </c>
      <c r="K744" s="129" t="n">
        <v>5</v>
      </c>
      <c r="L744" s="129" t="n">
        <v>11</v>
      </c>
      <c r="M744" s="129" t="inlineStr">
        <is>
          <t>24 VDC DO</t>
        </is>
      </c>
      <c r="N744" s="129" t="inlineStr">
        <is>
          <t>5069-OB16</t>
        </is>
      </c>
      <c r="O744" s="139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40" t="n"/>
      <c r="AA744" t="inlineStr">
        <is>
          <t>Matched</t>
        </is>
      </c>
      <c r="AB744" s="315" t="n">
        <v>0.99</v>
      </c>
      <c r="AC744" t="inlineStr">
        <is>
          <t>High</t>
        </is>
      </c>
      <c r="AD744" t="n">
        <v>1</v>
      </c>
      <c r="AE744" t="inlineStr">
        <is>
          <t>DG7602</t>
        </is>
      </c>
      <c r="AF744" t="n">
        <v>25</v>
      </c>
      <c r="AG744" t="inlineStr">
        <is>
          <t>drawing</t>
        </is>
      </c>
      <c r="AH744" t="inlineStr">
        <is>
          <t>stacked:isa</t>
        </is>
      </c>
      <c r="AI744" t="inlineStr">
        <is>
          <t>drawing zone; process page; mapped sheet; excel sheet match</t>
        </is>
      </c>
      <c r="AJ744" t="inlineStr">
        <is>
          <t>native</t>
        </is>
      </c>
      <c r="AK744" t="inlineStr">
        <is>
          <t>native-only</t>
        </is>
      </c>
      <c r="AM744" t="inlineStr">
        <is>
          <t>25</t>
        </is>
      </c>
      <c r="AN744" t="inlineStr">
        <is>
          <t>Yes</t>
        </is>
      </c>
      <c r="AO744" t="inlineStr">
        <is>
          <t>mapped sheet id</t>
        </is>
      </c>
      <c r="AP744" t="inlineStr">
        <is>
          <t>p25:native:93, p25:native:94</t>
        </is>
      </c>
      <c r="AQ744" t="n">
        <v>2</v>
      </c>
    </row>
    <row r="745">
      <c r="A745" s="203">
        <f>ROW()-1</f>
        <v/>
      </c>
      <c r="B745" s="128" t="inlineStr">
        <is>
          <t>RL7-SKD-201-XV-14</t>
        </is>
      </c>
      <c r="C745" s="314" t="inlineStr">
        <is>
          <t>RL7-SKD-201-XV-14</t>
        </is>
      </c>
      <c r="D745" s="262" t="n"/>
      <c r="E745" s="128" t="n"/>
      <c r="F745" s="138" t="inlineStr">
        <is>
          <t>SERPENTINE CLEAN ASSIST FOAMING HEADER CA SUPPLY VALVE OPEN SOLENOID</t>
        </is>
      </c>
      <c r="G745" s="131" t="inlineStr">
        <is>
          <t>DG7602</t>
        </is>
      </c>
      <c r="H745" s="128" t="inlineStr">
        <is>
          <t>INTSL</t>
        </is>
      </c>
      <c r="I745" s="142" t="inlineStr">
        <is>
          <t>RL7-INTSL-RIO2</t>
        </is>
      </c>
      <c r="J745" s="133" t="n">
        <v>19</v>
      </c>
      <c r="K745" s="129" t="n">
        <v>5</v>
      </c>
      <c r="L745" s="129" t="n">
        <v>12</v>
      </c>
      <c r="M745" s="129" t="inlineStr">
        <is>
          <t>24 VDC DO</t>
        </is>
      </c>
      <c r="N745" s="129" t="inlineStr">
        <is>
          <t>5069-OB16</t>
        </is>
      </c>
      <c r="O745" s="139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40" t="n"/>
      <c r="AA745" t="inlineStr">
        <is>
          <t>Matched</t>
        </is>
      </c>
      <c r="AB745" s="315" t="n">
        <v>0.99</v>
      </c>
      <c r="AC745" t="inlineStr">
        <is>
          <t>High</t>
        </is>
      </c>
      <c r="AD745" t="n">
        <v>1</v>
      </c>
      <c r="AE745" t="inlineStr">
        <is>
          <t>DG7602</t>
        </is>
      </c>
      <c r="AF745" t="n">
        <v>25</v>
      </c>
      <c r="AG745" t="inlineStr">
        <is>
          <t>drawing</t>
        </is>
      </c>
      <c r="AH745" t="inlineStr">
        <is>
          <t>stacked:isa</t>
        </is>
      </c>
      <c r="AI745" t="inlineStr">
        <is>
          <t>drawing zone; process page; mapped sheet; excel sheet match</t>
        </is>
      </c>
      <c r="AJ745" t="inlineStr">
        <is>
          <t>native</t>
        </is>
      </c>
      <c r="AK745" t="inlineStr">
        <is>
          <t>native-only</t>
        </is>
      </c>
      <c r="AM745" t="inlineStr">
        <is>
          <t>25</t>
        </is>
      </c>
      <c r="AN745" t="inlineStr">
        <is>
          <t>Yes</t>
        </is>
      </c>
      <c r="AO745" t="inlineStr">
        <is>
          <t>mapped sheet id</t>
        </is>
      </c>
      <c r="AP745" t="inlineStr">
        <is>
          <t>p25:native:109, p25:native:110</t>
        </is>
      </c>
      <c r="AQ745" t="n">
        <v>2</v>
      </c>
    </row>
    <row r="746">
      <c r="A746" s="203">
        <f>ROW()-1</f>
        <v/>
      </c>
      <c r="B746" s="128" t="inlineStr">
        <is>
          <t>RL7-SKD-201-XV-15</t>
        </is>
      </c>
      <c r="C746" s="313" t="inlineStr">
        <is>
          <t>RL7-SKD-201-XV-15</t>
        </is>
      </c>
      <c r="D746" s="262" t="n"/>
      <c r="E746" s="128" t="n"/>
      <c r="F746" s="138" t="inlineStr">
        <is>
          <t>SERPENTINE CLEAN ASSIST PCW BASIN RINSE VALVE OPEN SOLENOID</t>
        </is>
      </c>
      <c r="G746" s="131" t="inlineStr">
        <is>
          <t>DG7602</t>
        </is>
      </c>
      <c r="H746" s="128" t="inlineStr">
        <is>
          <t>INTSL</t>
        </is>
      </c>
      <c r="I746" s="142" t="inlineStr">
        <is>
          <t>RL7-INTSL-RIO2</t>
        </is>
      </c>
      <c r="J746" s="133" t="n">
        <v>19</v>
      </c>
      <c r="K746" s="129" t="n">
        <v>5</v>
      </c>
      <c r="L746" s="129" t="n">
        <v>13</v>
      </c>
      <c r="M746" s="129" t="inlineStr">
        <is>
          <t>24 VDC DO</t>
        </is>
      </c>
      <c r="N746" s="129" t="inlineStr">
        <is>
          <t>5069-OB16</t>
        </is>
      </c>
      <c r="O746" s="139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40" t="n"/>
      <c r="AA746" t="inlineStr">
        <is>
          <t>Matched - same-page inference</t>
        </is>
      </c>
      <c r="AB746" s="315" t="n">
        <v>0.7100000000000001</v>
      </c>
      <c r="AC746" t="inlineStr">
        <is>
          <t>Medium</t>
        </is>
      </c>
      <c r="AD746" t="n">
        <v>1</v>
      </c>
      <c r="AE746" t="inlineStr">
        <is>
          <t>DG7602</t>
        </is>
      </c>
      <c r="AF746" t="n">
        <v>25</v>
      </c>
      <c r="AG746" t="inlineStr">
        <is>
          <t>drawing</t>
        </is>
      </c>
      <c r="AH746" t="inlineStr">
        <is>
          <t>samepage:root+comp</t>
        </is>
      </c>
      <c r="AI746" t="inlineStr">
        <is>
          <t>same-page inference: root and component detected separately on the same PDF page; pairing synthesized.; excel sheet match</t>
        </is>
      </c>
      <c r="AJ746" t="inlineStr">
        <is>
          <t>native</t>
        </is>
      </c>
      <c r="AK746" t="inlineStr">
        <is>
          <t>native-only</t>
        </is>
      </c>
      <c r="AM746" t="inlineStr">
        <is>
          <t>25</t>
        </is>
      </c>
      <c r="AN746" t="inlineStr">
        <is>
          <t>Yes</t>
        </is>
      </c>
      <c r="AO746" t="inlineStr">
        <is>
          <t>mapped sheet id</t>
        </is>
      </c>
      <c r="AP746" t="inlineStr">
        <is>
          <t>p25:native:122</t>
        </is>
      </c>
      <c r="AQ746" t="n">
        <v>1</v>
      </c>
    </row>
    <row r="747">
      <c r="A747" s="203">
        <f>ROW()-1</f>
        <v/>
      </c>
      <c r="B747" s="128" t="inlineStr">
        <is>
          <t>RL7-SKD-102-PIT-02</t>
        </is>
      </c>
      <c r="C747" s="314" t="inlineStr">
        <is>
          <t>RL7-SKD-102-PIT-02</t>
        </is>
      </c>
      <c r="D747" s="262" t="n"/>
      <c r="E747" s="128" t="n"/>
      <c r="F747" s="138" t="inlineStr">
        <is>
          <t>LACTIC ACID SKID PUMP DISCHARGE PRESSURE</t>
        </is>
      </c>
      <c r="G747" s="131" t="inlineStr">
        <is>
          <t>DG7604</t>
        </is>
      </c>
      <c r="H747" s="128" t="inlineStr">
        <is>
          <t>HX / LA</t>
        </is>
      </c>
      <c r="I747" s="142" t="inlineStr">
        <is>
          <t>RL7-INTSL-RIO2</t>
        </is>
      </c>
      <c r="J747" s="133" t="n">
        <v>19</v>
      </c>
      <c r="K747" s="129" t="n">
        <v>10</v>
      </c>
      <c r="L747" s="129" t="n">
        <v>2</v>
      </c>
      <c r="M747" s="129" t="inlineStr">
        <is>
          <t>4-20 mA AI</t>
        </is>
      </c>
      <c r="N747" s="129" t="inlineStr">
        <is>
          <t>5069-IF8</t>
        </is>
      </c>
      <c r="O747" s="134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40" t="n"/>
      <c r="AA747" t="inlineStr">
        <is>
          <t>Matched</t>
        </is>
      </c>
      <c r="AB747" s="315" t="n">
        <v>0.99</v>
      </c>
      <c r="AC747" t="inlineStr">
        <is>
          <t>High</t>
        </is>
      </c>
      <c r="AD747" t="n">
        <v>1</v>
      </c>
      <c r="AE747" t="inlineStr">
        <is>
          <t>DG7604</t>
        </is>
      </c>
      <c r="AF747" t="n">
        <v>26</v>
      </c>
      <c r="AG747" t="inlineStr">
        <is>
          <t>drawing</t>
        </is>
      </c>
      <c r="AH747" t="inlineStr">
        <is>
          <t>stacked:isa</t>
        </is>
      </c>
      <c r="AI747" t="inlineStr">
        <is>
          <t>drawing zone; process page; mapped sheet; excel sheet match</t>
        </is>
      </c>
      <c r="AJ747" t="inlineStr">
        <is>
          <t>native</t>
        </is>
      </c>
      <c r="AK747" t="inlineStr">
        <is>
          <t>native-only</t>
        </is>
      </c>
      <c r="AM747" t="inlineStr">
        <is>
          <t>26</t>
        </is>
      </c>
      <c r="AN747" t="inlineStr">
        <is>
          <t>Yes</t>
        </is>
      </c>
      <c r="AO747" t="inlineStr">
        <is>
          <t>mapped sheet id</t>
        </is>
      </c>
      <c r="AP747" t="inlineStr">
        <is>
          <t>p26:native:11, p26:native:12</t>
        </is>
      </c>
      <c r="AQ747" t="n">
        <v>2</v>
      </c>
    </row>
    <row r="748">
      <c r="A748" s="203">
        <f>ROW()-1</f>
        <v/>
      </c>
      <c r="B748" s="128" t="inlineStr">
        <is>
          <t>RL7-CKR-101-ZSO-27</t>
        </is>
      </c>
      <c r="C748" s="313" t="inlineStr">
        <is>
          <t>RL7-CKR-101-ZSO-27</t>
        </is>
      </c>
      <c r="D748" s="262" t="n"/>
      <c r="E748" s="128" t="n"/>
      <c r="F748" s="138" t="inlineStr">
        <is>
          <t>COOKER 1 JHWS BLOCK VALVE OPEN LIMIT SWITCH</t>
        </is>
      </c>
      <c r="G748" s="142" t="inlineStr">
        <is>
          <t>DG7606</t>
        </is>
      </c>
      <c r="H748" s="128" t="inlineStr">
        <is>
          <t>INTSL</t>
        </is>
      </c>
      <c r="I748" s="131" t="inlineStr">
        <is>
          <t>RL7-INTSL-RIO1</t>
        </is>
      </c>
      <c r="J748" s="133" t="n">
        <v>18</v>
      </c>
      <c r="K748" s="129" t="n">
        <v>1</v>
      </c>
      <c r="L748" s="129" t="n">
        <v>2</v>
      </c>
      <c r="M748" s="129" t="inlineStr">
        <is>
          <t>24 VDC DI</t>
        </is>
      </c>
      <c r="N748" s="129" t="inlineStr">
        <is>
          <t>5069-IB16</t>
        </is>
      </c>
      <c r="O748" s="139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40" t="n"/>
      <c r="AA748" t="inlineStr">
        <is>
          <t>Not found in PDF</t>
        </is>
      </c>
      <c r="AC748" t="inlineStr">
        <is>
          <t>Low</t>
        </is>
      </c>
      <c r="AM748" t="inlineStr">
        <is>
          <t>27</t>
        </is>
      </c>
      <c r="AN748" t="inlineStr">
        <is>
          <t>Yes</t>
        </is>
      </c>
      <c r="AO748" t="inlineStr">
        <is>
          <t>mapped sheet id</t>
        </is>
      </c>
    </row>
    <row r="749">
      <c r="A749" s="203">
        <f>ROW()-1</f>
        <v/>
      </c>
      <c r="B749" s="128" t="inlineStr">
        <is>
          <t>RL7-CKR-101-ZSC-27</t>
        </is>
      </c>
      <c r="C749" s="313" t="inlineStr">
        <is>
          <t>RL7-CKR-101-ZSC-27</t>
        </is>
      </c>
      <c r="D749" s="262" t="n"/>
      <c r="E749" s="128" t="n"/>
      <c r="F749" s="138" t="inlineStr">
        <is>
          <t>COOKER 1 JHWS BLOCK VALVE CLOSED LIMIT SWITCH</t>
        </is>
      </c>
      <c r="G749" s="142" t="inlineStr">
        <is>
          <t>DG7606</t>
        </is>
      </c>
      <c r="H749" s="128" t="inlineStr">
        <is>
          <t>INTSL</t>
        </is>
      </c>
      <c r="I749" s="131" t="inlineStr">
        <is>
          <t>RL7-INTSL-RIO1</t>
        </is>
      </c>
      <c r="J749" s="133" t="n">
        <v>18</v>
      </c>
      <c r="K749" s="129" t="n">
        <v>1</v>
      </c>
      <c r="L749" s="129" t="n">
        <v>3</v>
      </c>
      <c r="M749" s="129" t="inlineStr">
        <is>
          <t>24 VDC DI</t>
        </is>
      </c>
      <c r="N749" s="129" t="inlineStr">
        <is>
          <t>5069-IB16</t>
        </is>
      </c>
      <c r="O749" s="139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40" t="n"/>
      <c r="AA749" t="inlineStr">
        <is>
          <t>Not found in PDF</t>
        </is>
      </c>
      <c r="AC749" t="inlineStr">
        <is>
          <t>Low</t>
        </is>
      </c>
      <c r="AM749" t="inlineStr">
        <is>
          <t>27</t>
        </is>
      </c>
      <c r="AN749" t="inlineStr">
        <is>
          <t>Yes</t>
        </is>
      </c>
      <c r="AO749" t="inlineStr">
        <is>
          <t>mapped sheet id</t>
        </is>
      </c>
    </row>
    <row r="750">
      <c r="A750" s="203">
        <f>ROW()-1</f>
        <v/>
      </c>
      <c r="B750" s="128" t="inlineStr">
        <is>
          <t>RL7-CKR-102-ZSO-27</t>
        </is>
      </c>
      <c r="C750" s="313" t="inlineStr">
        <is>
          <t>RL7-CKR-102-ZSO-27</t>
        </is>
      </c>
      <c r="D750" s="262" t="n"/>
      <c r="E750" s="128" t="n"/>
      <c r="F750" s="138" t="inlineStr">
        <is>
          <t>COOKER 2 JHWS BLOCK VALVE OPEN LIMIT SWITCH</t>
        </is>
      </c>
      <c r="G750" s="142" t="inlineStr">
        <is>
          <t>DG7606</t>
        </is>
      </c>
      <c r="H750" s="128" t="inlineStr">
        <is>
          <t>INTSL</t>
        </is>
      </c>
      <c r="I750" s="131" t="inlineStr">
        <is>
          <t>RL7-INTSL-RIO1</t>
        </is>
      </c>
      <c r="J750" s="133" t="n">
        <v>18</v>
      </c>
      <c r="K750" s="129" t="n">
        <v>2</v>
      </c>
      <c r="L750" s="129" t="n">
        <v>2</v>
      </c>
      <c r="M750" s="129" t="inlineStr">
        <is>
          <t>24 VDC DI</t>
        </is>
      </c>
      <c r="N750" s="129" t="inlineStr">
        <is>
          <t>5069-IB16</t>
        </is>
      </c>
      <c r="O750" s="139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40" t="n"/>
      <c r="AA750" t="inlineStr">
        <is>
          <t>Not found in PDF</t>
        </is>
      </c>
      <c r="AC750" t="inlineStr">
        <is>
          <t>Low</t>
        </is>
      </c>
      <c r="AM750" t="inlineStr">
        <is>
          <t>27</t>
        </is>
      </c>
      <c r="AN750" t="inlineStr">
        <is>
          <t>Yes</t>
        </is>
      </c>
      <c r="AO750" t="inlineStr">
        <is>
          <t>mapped sheet id</t>
        </is>
      </c>
    </row>
    <row r="751">
      <c r="A751" s="203">
        <f>ROW()-1</f>
        <v/>
      </c>
      <c r="B751" s="128" t="inlineStr">
        <is>
          <t>RL7-CKR-102-ZSC-27</t>
        </is>
      </c>
      <c r="C751" s="313" t="inlineStr">
        <is>
          <t>RL7-CKR-102-ZSC-27</t>
        </is>
      </c>
      <c r="D751" s="262" t="n"/>
      <c r="E751" s="128" t="n"/>
      <c r="F751" s="138" t="inlineStr">
        <is>
          <t>COOKER 2 JHWS BLOCK VALVE CLOSED LIMIT SWITCH</t>
        </is>
      </c>
      <c r="G751" s="142" t="inlineStr">
        <is>
          <t>DG7606</t>
        </is>
      </c>
      <c r="H751" s="128" t="inlineStr">
        <is>
          <t>INTSL</t>
        </is>
      </c>
      <c r="I751" s="131" t="inlineStr">
        <is>
          <t>RL7-INTSL-RIO1</t>
        </is>
      </c>
      <c r="J751" s="133" t="n">
        <v>18</v>
      </c>
      <c r="K751" s="129" t="n">
        <v>2</v>
      </c>
      <c r="L751" s="129" t="n">
        <v>3</v>
      </c>
      <c r="M751" s="129" t="inlineStr">
        <is>
          <t>24 VDC DI</t>
        </is>
      </c>
      <c r="N751" s="129" t="inlineStr">
        <is>
          <t>5069-IB16</t>
        </is>
      </c>
      <c r="O751" s="139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40" t="n"/>
      <c r="AA751" t="inlineStr">
        <is>
          <t>Not found in PDF</t>
        </is>
      </c>
      <c r="AC751" t="inlineStr">
        <is>
          <t>Low</t>
        </is>
      </c>
      <c r="AM751" t="inlineStr">
        <is>
          <t>27</t>
        </is>
      </c>
      <c r="AN751" t="inlineStr">
        <is>
          <t>Yes</t>
        </is>
      </c>
      <c r="AO751" t="inlineStr">
        <is>
          <t>mapped sheet id</t>
        </is>
      </c>
    </row>
    <row r="752">
      <c r="A752" s="203">
        <f>ROW()-1</f>
        <v/>
      </c>
      <c r="B752" s="128" t="inlineStr">
        <is>
          <t>RL7-AGC-201-ZSO-27</t>
        </is>
      </c>
      <c r="C752" s="313" t="inlineStr">
        <is>
          <t>RL7-AGC-201-ZSO-27</t>
        </is>
      </c>
      <c r="D752" s="262" t="n"/>
      <c r="E752" s="128" t="n"/>
      <c r="F752" s="138" t="inlineStr">
        <is>
          <t>DISCHARGE AUGER CART JHWS BLOCK VALVE OPEN LIMIT SWITCH</t>
        </is>
      </c>
      <c r="G752" s="142" t="inlineStr">
        <is>
          <t>DG7606</t>
        </is>
      </c>
      <c r="H752" s="128" t="inlineStr">
        <is>
          <t>INTSL</t>
        </is>
      </c>
      <c r="I752" s="131" t="inlineStr">
        <is>
          <t>RL7-INTSL-RIO1</t>
        </is>
      </c>
      <c r="J752" s="133" t="n">
        <v>18</v>
      </c>
      <c r="K752" s="129" t="n">
        <v>2</v>
      </c>
      <c r="L752" s="129" t="n">
        <v>8</v>
      </c>
      <c r="M752" s="129" t="inlineStr">
        <is>
          <t>24 VDC DI</t>
        </is>
      </c>
      <c r="N752" s="129" t="inlineStr">
        <is>
          <t>5069-IB16</t>
        </is>
      </c>
      <c r="O752" s="139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59" t="n"/>
      <c r="AA752" t="inlineStr">
        <is>
          <t>Not found in PDF</t>
        </is>
      </c>
      <c r="AC752" t="inlineStr">
        <is>
          <t>Low</t>
        </is>
      </c>
      <c r="AM752" t="inlineStr">
        <is>
          <t>27</t>
        </is>
      </c>
      <c r="AN752" t="inlineStr">
        <is>
          <t>Yes</t>
        </is>
      </c>
      <c r="AO752" t="inlineStr">
        <is>
          <t>mapped sheet id</t>
        </is>
      </c>
    </row>
    <row r="753">
      <c r="A753" s="203">
        <f>ROW()-1</f>
        <v/>
      </c>
      <c r="B753" s="128" t="inlineStr">
        <is>
          <t>RL7-AGC-201-ZSC-27</t>
        </is>
      </c>
      <c r="C753" s="313" t="inlineStr">
        <is>
          <t>RL7-AGC-201-ZSC-27</t>
        </is>
      </c>
      <c r="D753" s="262" t="n"/>
      <c r="E753" s="128" t="n"/>
      <c r="F753" s="138" t="inlineStr">
        <is>
          <t>DISCHARGE AUGER CART JHWS BLOCK VALVE CLOSED LIMIT SWITCH</t>
        </is>
      </c>
      <c r="G753" s="142" t="inlineStr">
        <is>
          <t>DG7606</t>
        </is>
      </c>
      <c r="H753" s="128" t="inlineStr">
        <is>
          <t>INTSL</t>
        </is>
      </c>
      <c r="I753" s="131" t="inlineStr">
        <is>
          <t>RL7-INTSL-RIO1</t>
        </is>
      </c>
      <c r="J753" s="133" t="n">
        <v>18</v>
      </c>
      <c r="K753" s="129" t="n">
        <v>2</v>
      </c>
      <c r="L753" s="129" t="n">
        <v>9</v>
      </c>
      <c r="M753" s="129" t="inlineStr">
        <is>
          <t>24 VDC DI</t>
        </is>
      </c>
      <c r="N753" s="129" t="inlineStr">
        <is>
          <t>5069-IB16</t>
        </is>
      </c>
      <c r="O753" s="139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59" t="n"/>
      <c r="AA753" t="inlineStr">
        <is>
          <t>Not found in PDF</t>
        </is>
      </c>
      <c r="AC753" t="inlineStr">
        <is>
          <t>Low</t>
        </is>
      </c>
      <c r="AM753" t="inlineStr">
        <is>
          <t>27</t>
        </is>
      </c>
      <c r="AN753" t="inlineStr">
        <is>
          <t>Yes</t>
        </is>
      </c>
      <c r="AO753" t="inlineStr">
        <is>
          <t>mapped sheet id</t>
        </is>
      </c>
    </row>
    <row r="754">
      <c r="A754" s="203">
        <f>ROW()-1</f>
        <v/>
      </c>
      <c r="B754" s="129" t="inlineStr">
        <is>
          <t>RL7-CKR-102-XV-27</t>
        </is>
      </c>
      <c r="C754" s="314" t="inlineStr">
        <is>
          <t>RL7-CKR-102-XV-27</t>
        </is>
      </c>
      <c r="D754" s="262" t="n"/>
      <c r="E754" s="128" t="n"/>
      <c r="F754" s="138" t="inlineStr">
        <is>
          <t>COOKER 2 JHWS BLOCK VALVE OPEN SOLENOID</t>
        </is>
      </c>
      <c r="G754" s="142" t="inlineStr">
        <is>
          <t>DG7606</t>
        </is>
      </c>
      <c r="H754" s="128" t="inlineStr">
        <is>
          <t>INTSL</t>
        </is>
      </c>
      <c r="I754" s="131" t="inlineStr">
        <is>
          <t>RL7-INTSL-RIO1</t>
        </is>
      </c>
      <c r="J754" s="133" t="n">
        <v>18</v>
      </c>
      <c r="K754" s="129" t="n">
        <v>4</v>
      </c>
      <c r="L754" s="129" t="n">
        <v>0</v>
      </c>
      <c r="M754" s="129" t="inlineStr">
        <is>
          <t>24 VDC DO</t>
        </is>
      </c>
      <c r="N754" s="129" t="inlineStr">
        <is>
          <t>5069-OB16</t>
        </is>
      </c>
      <c r="O754" s="139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40" t="n"/>
      <c r="AA754" t="inlineStr">
        <is>
          <t>Matched</t>
        </is>
      </c>
      <c r="AB754" s="315" t="n">
        <v>0.99</v>
      </c>
      <c r="AC754" t="inlineStr">
        <is>
          <t>High</t>
        </is>
      </c>
      <c r="AD754" t="n">
        <v>1</v>
      </c>
      <c r="AE754" t="inlineStr">
        <is>
          <t>DG7606</t>
        </is>
      </c>
      <c r="AF754" t="n">
        <v>27</v>
      </c>
      <c r="AG754" t="inlineStr">
        <is>
          <t>drawing</t>
        </is>
      </c>
      <c r="AH754" t="inlineStr">
        <is>
          <t>stacked:isa</t>
        </is>
      </c>
      <c r="AI754" t="inlineStr">
        <is>
          <t>drawing zone; process page; mapped sheet; excel sheet match</t>
        </is>
      </c>
      <c r="AJ754" t="inlineStr">
        <is>
          <t>native</t>
        </is>
      </c>
      <c r="AK754" t="inlineStr">
        <is>
          <t>native-only</t>
        </is>
      </c>
      <c r="AM754" t="inlineStr">
        <is>
          <t>27</t>
        </is>
      </c>
      <c r="AN754" t="inlineStr">
        <is>
          <t>Yes</t>
        </is>
      </c>
      <c r="AO754" t="inlineStr">
        <is>
          <t>mapped sheet id</t>
        </is>
      </c>
      <c r="AP754" t="inlineStr">
        <is>
          <t>p27:native:398, p27:native:399</t>
        </is>
      </c>
      <c r="AQ754" t="n">
        <v>2</v>
      </c>
    </row>
    <row r="755">
      <c r="A755" s="203">
        <f>ROW()-1</f>
        <v/>
      </c>
      <c r="B755" s="129" t="inlineStr">
        <is>
          <t>RL7-AGC-101-XV-27</t>
        </is>
      </c>
      <c r="C755" s="314" t="inlineStr">
        <is>
          <t>RL7-AGC-201-XV-27</t>
        </is>
      </c>
      <c r="D755" s="262" t="n"/>
      <c r="E755" s="128" t="n"/>
      <c r="F755" s="138" t="inlineStr">
        <is>
          <t>DISCHARGE AUGER CART JHWS BLOCK VALVE OPEN SOLENOID</t>
        </is>
      </c>
      <c r="G755" s="142" t="inlineStr">
        <is>
          <t>DG7606</t>
        </is>
      </c>
      <c r="H755" s="128" t="inlineStr">
        <is>
          <t>INTSL</t>
        </is>
      </c>
      <c r="I755" s="131" t="inlineStr">
        <is>
          <t>RL7-INTSL-RIO1</t>
        </is>
      </c>
      <c r="J755" s="133" t="n">
        <v>18</v>
      </c>
      <c r="K755" s="129" t="n">
        <v>4</v>
      </c>
      <c r="L755" s="129" t="n">
        <v>4</v>
      </c>
      <c r="M755" s="129" t="inlineStr">
        <is>
          <t>24 VDC DO</t>
        </is>
      </c>
      <c r="N755" s="129" t="inlineStr">
        <is>
          <t>5069-OB16</t>
        </is>
      </c>
      <c r="O755" s="139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40" t="n"/>
      <c r="AA755" t="inlineStr">
        <is>
          <t>Matched</t>
        </is>
      </c>
      <c r="AB755" s="315" t="n">
        <v>0.99</v>
      </c>
      <c r="AC755" t="inlineStr">
        <is>
          <t>High</t>
        </is>
      </c>
      <c r="AD755" t="n">
        <v>1</v>
      </c>
      <c r="AE755" t="inlineStr">
        <is>
          <t>DG7606</t>
        </is>
      </c>
      <c r="AF755" t="n">
        <v>27</v>
      </c>
      <c r="AG755" t="inlineStr">
        <is>
          <t>drawing</t>
        </is>
      </c>
      <c r="AH755" t="inlineStr">
        <is>
          <t>stacked:isa</t>
        </is>
      </c>
      <c r="AI755" t="inlineStr">
        <is>
          <t>drawing zone; process page; mapped sheet; excel sheet match</t>
        </is>
      </c>
      <c r="AJ755" t="inlineStr">
        <is>
          <t>native</t>
        </is>
      </c>
      <c r="AK755" t="inlineStr">
        <is>
          <t>native-only</t>
        </is>
      </c>
      <c r="AM755" t="inlineStr">
        <is>
          <t>27</t>
        </is>
      </c>
      <c r="AN755" t="inlineStr">
        <is>
          <t>Yes</t>
        </is>
      </c>
      <c r="AO755" t="inlineStr">
        <is>
          <t>mapped sheet id</t>
        </is>
      </c>
      <c r="AP755" t="inlineStr">
        <is>
          <t>p27:native:417, p27:native:418</t>
        </is>
      </c>
      <c r="AQ755" t="n">
        <v>2</v>
      </c>
    </row>
    <row r="756">
      <c r="A756" s="203">
        <f>ROW()-1</f>
        <v/>
      </c>
      <c r="B756" s="128" t="inlineStr">
        <is>
          <t>RL7-CKR-101-TIT-03</t>
        </is>
      </c>
      <c r="C756" s="314" t="inlineStr">
        <is>
          <t>RL7-CKR-101-TIT-03</t>
        </is>
      </c>
      <c r="D756" s="262" t="n"/>
      <c r="E756" s="128" t="n"/>
      <c r="F756" s="138" t="inlineStr">
        <is>
          <t>COOKER 1 JHWR TEMPERATURE</t>
        </is>
      </c>
      <c r="G756" s="142" t="inlineStr">
        <is>
          <t>DG7606</t>
        </is>
      </c>
      <c r="H756" s="128" t="inlineStr">
        <is>
          <t>INTSL</t>
        </is>
      </c>
      <c r="I756" s="131" t="inlineStr">
        <is>
          <t>RL7-INTSL-RIO1</t>
        </is>
      </c>
      <c r="J756" s="133" t="n">
        <v>18</v>
      </c>
      <c r="K756" s="129" t="n">
        <v>6</v>
      </c>
      <c r="L756" s="129" t="n">
        <v>5</v>
      </c>
      <c r="M756" s="129" t="inlineStr">
        <is>
          <t>4-20 mA AI</t>
        </is>
      </c>
      <c r="N756" s="129" t="inlineStr">
        <is>
          <t>5069-IF8</t>
        </is>
      </c>
      <c r="O756" s="134" t="inlineStr">
        <is>
          <t>0 - 130 LB/MIN</t>
        </is>
      </c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40" t="n"/>
      <c r="AA756" t="inlineStr">
        <is>
          <t>Matched</t>
        </is>
      </c>
      <c r="AB756" s="315" t="n">
        <v>0.99</v>
      </c>
      <c r="AC756" t="inlineStr">
        <is>
          <t>High</t>
        </is>
      </c>
      <c r="AD756" t="n">
        <v>1</v>
      </c>
      <c r="AE756" t="inlineStr">
        <is>
          <t>DG7606</t>
        </is>
      </c>
      <c r="AF756" t="n">
        <v>27</v>
      </c>
      <c r="AG756" t="inlineStr">
        <is>
          <t>drawing</t>
        </is>
      </c>
      <c r="AH756" t="inlineStr">
        <is>
          <t>stacked:isa</t>
        </is>
      </c>
      <c r="AI756" t="inlineStr">
        <is>
          <t>drawing zone; process page; mapped sheet; excel sheet match</t>
        </is>
      </c>
      <c r="AJ756" t="inlineStr">
        <is>
          <t>native</t>
        </is>
      </c>
      <c r="AK756" t="inlineStr">
        <is>
          <t>native-only</t>
        </is>
      </c>
      <c r="AM756" t="inlineStr">
        <is>
          <t>27</t>
        </is>
      </c>
      <c r="AN756" t="inlineStr">
        <is>
          <t>Yes</t>
        </is>
      </c>
      <c r="AO756" t="inlineStr">
        <is>
          <t>mapped sheet id</t>
        </is>
      </c>
      <c r="AP756" t="inlineStr">
        <is>
          <t>p27:native:373, p27:native:374</t>
        </is>
      </c>
      <c r="AQ756" t="n">
        <v>2</v>
      </c>
    </row>
    <row r="757">
      <c r="A757" s="203">
        <f>ROW()-1</f>
        <v/>
      </c>
      <c r="B757" s="128" t="inlineStr">
        <is>
          <t>RL7-CKR-102-TIT-03</t>
        </is>
      </c>
      <c r="C757" s="314" t="inlineStr">
        <is>
          <t>RL7-CKR-102-TIT-03</t>
        </is>
      </c>
      <c r="D757" s="262" t="n"/>
      <c r="E757" s="2" t="n"/>
      <c r="F757" s="138" t="inlineStr">
        <is>
          <t>COOKER 2 JHWR TEMPERATURE</t>
        </is>
      </c>
      <c r="G757" s="142" t="inlineStr">
        <is>
          <t>DG7606</t>
        </is>
      </c>
      <c r="H757" s="128" t="inlineStr">
        <is>
          <t>INTSL</t>
        </is>
      </c>
      <c r="I757" s="131" t="inlineStr">
        <is>
          <t>RL7-INTSL-RIO1</t>
        </is>
      </c>
      <c r="J757" s="133" t="n">
        <v>18</v>
      </c>
      <c r="K757" s="129" t="n">
        <v>7</v>
      </c>
      <c r="L757" s="129" t="n">
        <v>5</v>
      </c>
      <c r="M757" s="129" t="inlineStr">
        <is>
          <t>4-20 mA AI</t>
        </is>
      </c>
      <c r="N757" s="129" t="inlineStr">
        <is>
          <t>5069-IF8</t>
        </is>
      </c>
      <c r="O757" s="134" t="inlineStr">
        <is>
          <t>0 - 300 F</t>
        </is>
      </c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40" t="n"/>
      <c r="AA757" t="inlineStr">
        <is>
          <t>Matched</t>
        </is>
      </c>
      <c r="AB757" s="315" t="n">
        <v>0.99</v>
      </c>
      <c r="AC757" t="inlineStr">
        <is>
          <t>High</t>
        </is>
      </c>
      <c r="AD757" t="n">
        <v>1</v>
      </c>
      <c r="AE757" t="inlineStr">
        <is>
          <t>DG7606</t>
        </is>
      </c>
      <c r="AF757" t="n">
        <v>27</v>
      </c>
      <c r="AG757" t="inlineStr">
        <is>
          <t>drawing</t>
        </is>
      </c>
      <c r="AH757" t="inlineStr">
        <is>
          <t>stacked:isa</t>
        </is>
      </c>
      <c r="AI757" t="inlineStr">
        <is>
          <t>drawing zone; process page; mapped sheet; excel sheet match</t>
        </is>
      </c>
      <c r="AJ757" t="inlineStr">
        <is>
          <t>native</t>
        </is>
      </c>
      <c r="AK757" t="inlineStr">
        <is>
          <t>native-only</t>
        </is>
      </c>
      <c r="AM757" t="inlineStr">
        <is>
          <t>27</t>
        </is>
      </c>
      <c r="AN757" t="inlineStr">
        <is>
          <t>Yes</t>
        </is>
      </c>
      <c r="AO757" t="inlineStr">
        <is>
          <t>mapped sheet id</t>
        </is>
      </c>
      <c r="AP757" t="inlineStr">
        <is>
          <t>p27:native:478, p27:native:479</t>
        </is>
      </c>
      <c r="AQ757" t="n">
        <v>2</v>
      </c>
    </row>
    <row r="758">
      <c r="A758" s="203">
        <f>ROW()-1</f>
        <v/>
      </c>
      <c r="B758" s="128" t="inlineStr">
        <is>
          <t>RL7-AGC-201-TIT-03</t>
        </is>
      </c>
      <c r="C758" s="314" t="inlineStr">
        <is>
          <t>RL7-AGC-201-TIT-03</t>
        </is>
      </c>
      <c r="D758" s="262" t="n"/>
      <c r="E758" s="128" t="n"/>
      <c r="F758" s="138" t="inlineStr">
        <is>
          <t>DISCHARGE AUGER CART JHWR TEMPERATURE</t>
        </is>
      </c>
      <c r="G758" s="142" t="inlineStr">
        <is>
          <t>DG7606</t>
        </is>
      </c>
      <c r="H758" s="128" t="inlineStr">
        <is>
          <t>INTSL</t>
        </is>
      </c>
      <c r="I758" s="131" t="inlineStr">
        <is>
          <t>RL7-INTSL-RIO1</t>
        </is>
      </c>
      <c r="J758" s="133" t="n">
        <v>18</v>
      </c>
      <c r="K758" s="129" t="n">
        <v>8</v>
      </c>
      <c r="L758" s="129" t="n">
        <v>1</v>
      </c>
      <c r="M758" s="129" t="inlineStr">
        <is>
          <t>4-20 mA AI</t>
        </is>
      </c>
      <c r="N758" s="129" t="inlineStr">
        <is>
          <t>5069-IF8</t>
        </is>
      </c>
      <c r="O758" s="134" t="inlineStr">
        <is>
          <t>0 - 150 PSI</t>
        </is>
      </c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40" t="n"/>
      <c r="AA758" t="inlineStr">
        <is>
          <t>Matched</t>
        </is>
      </c>
      <c r="AB758" s="315" t="n">
        <v>0.99</v>
      </c>
      <c r="AC758" t="inlineStr">
        <is>
          <t>High</t>
        </is>
      </c>
      <c r="AD758" t="n">
        <v>1</v>
      </c>
      <c r="AE758" t="inlineStr">
        <is>
          <t>DG7606</t>
        </is>
      </c>
      <c r="AF758" t="n">
        <v>27</v>
      </c>
      <c r="AG758" t="inlineStr">
        <is>
          <t>drawing</t>
        </is>
      </c>
      <c r="AH758" t="inlineStr">
        <is>
          <t>stacked:isa</t>
        </is>
      </c>
      <c r="AI758" t="inlineStr">
        <is>
          <t>drawing zone; process page; mapped sheet; excel sheet match</t>
        </is>
      </c>
      <c r="AJ758" t="inlineStr">
        <is>
          <t>native</t>
        </is>
      </c>
      <c r="AK758" t="inlineStr">
        <is>
          <t>native-only</t>
        </is>
      </c>
      <c r="AM758" t="inlineStr">
        <is>
          <t>27</t>
        </is>
      </c>
      <c r="AN758" t="inlineStr">
        <is>
          <t>Yes</t>
        </is>
      </c>
      <c r="AO758" t="inlineStr">
        <is>
          <t>mapped sheet id</t>
        </is>
      </c>
      <c r="AP758" t="inlineStr">
        <is>
          <t>p27:native:493, p27:native:494</t>
        </is>
      </c>
      <c r="AQ758" t="n">
        <v>2</v>
      </c>
    </row>
    <row r="759">
      <c r="A759" s="203">
        <f>ROW()-1</f>
        <v/>
      </c>
      <c r="B759" s="128" t="inlineStr">
        <is>
          <t>RL7-CKR-101-FIT-01</t>
        </is>
      </c>
      <c r="C759" s="314" t="inlineStr">
        <is>
          <t>RL7-CKR-101-FIT-01</t>
        </is>
      </c>
      <c r="D759" s="262" t="n"/>
      <c r="E759" s="128" t="n"/>
      <c r="F759" s="138" t="inlineStr">
        <is>
          <t>COOKER 1 JHWS FLOW</t>
        </is>
      </c>
      <c r="G759" s="142" t="inlineStr">
        <is>
          <t>DG7606</t>
        </is>
      </c>
      <c r="H759" s="128" t="inlineStr">
        <is>
          <t>INTSL</t>
        </is>
      </c>
      <c r="I759" s="131" t="inlineStr">
        <is>
          <t>RL7-INTSL-RIO1</t>
        </is>
      </c>
      <c r="J759" s="133" t="n">
        <v>18</v>
      </c>
      <c r="K759" s="129" t="n">
        <v>9</v>
      </c>
      <c r="L759" s="129" t="n">
        <v>0</v>
      </c>
      <c r="M759" s="129" t="inlineStr">
        <is>
          <t>4-20 mA AI</t>
        </is>
      </c>
      <c r="N759" s="129" t="inlineStr">
        <is>
          <t>5069-IF8</t>
        </is>
      </c>
      <c r="O759" s="134" t="inlineStr">
        <is>
          <t>0 - 100%</t>
        </is>
      </c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40" t="n"/>
      <c r="AA759" t="inlineStr">
        <is>
          <t>Matched</t>
        </is>
      </c>
      <c r="AB759" s="315" t="n">
        <v>0.99</v>
      </c>
      <c r="AC759" t="inlineStr">
        <is>
          <t>High</t>
        </is>
      </c>
      <c r="AD759" t="n">
        <v>1</v>
      </c>
      <c r="AE759" t="inlineStr">
        <is>
          <t>DG7606</t>
        </is>
      </c>
      <c r="AF759" t="n">
        <v>27</v>
      </c>
      <c r="AG759" t="inlineStr">
        <is>
          <t>drawing</t>
        </is>
      </c>
      <c r="AH759" t="inlineStr">
        <is>
          <t>stacked:isa</t>
        </is>
      </c>
      <c r="AI759" t="inlineStr">
        <is>
          <t>drawing zone; process page; mapped sheet; excel sheet match</t>
        </is>
      </c>
      <c r="AJ759" t="inlineStr">
        <is>
          <t>native</t>
        </is>
      </c>
      <c r="AK759" t="inlineStr">
        <is>
          <t>native-only</t>
        </is>
      </c>
      <c r="AM759" t="inlineStr">
        <is>
          <t>27</t>
        </is>
      </c>
      <c r="AN759" t="inlineStr">
        <is>
          <t>Yes</t>
        </is>
      </c>
      <c r="AO759" t="inlineStr">
        <is>
          <t>mapped sheet id</t>
        </is>
      </c>
      <c r="AP759" t="inlineStr">
        <is>
          <t>p27:native:359, p27:native:360</t>
        </is>
      </c>
      <c r="AQ759" t="n">
        <v>2</v>
      </c>
    </row>
    <row r="760">
      <c r="A760" s="203">
        <f>ROW()-1</f>
        <v/>
      </c>
      <c r="B760" s="128" t="inlineStr">
        <is>
          <t>RL7-CKR-101-TVI-01</t>
        </is>
      </c>
      <c r="C760" s="314" t="inlineStr">
        <is>
          <t>RL7-CKR-101-TVI-01</t>
        </is>
      </c>
      <c r="D760" s="262" t="n"/>
      <c r="E760" s="128" t="n"/>
      <c r="F760" s="138" t="inlineStr">
        <is>
          <t>COOKER 1 JHWR CONTROL VALVE POSITION FEEDBACK</t>
        </is>
      </c>
      <c r="G760" s="142" t="inlineStr">
        <is>
          <t>DG7606</t>
        </is>
      </c>
      <c r="H760" s="128" t="inlineStr">
        <is>
          <t>INTSL</t>
        </is>
      </c>
      <c r="I760" s="131" t="inlineStr">
        <is>
          <t>RL7-INTSL-RIO1</t>
        </is>
      </c>
      <c r="J760" s="133" t="n">
        <v>18</v>
      </c>
      <c r="K760" s="129" t="n">
        <v>9</v>
      </c>
      <c r="L760" s="129" t="n">
        <v>1</v>
      </c>
      <c r="M760" s="129" t="inlineStr">
        <is>
          <t>4-20 mA AI</t>
        </is>
      </c>
      <c r="N760" s="129" t="inlineStr">
        <is>
          <t>5069-IF8</t>
        </is>
      </c>
      <c r="O760" s="134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40" t="n"/>
      <c r="AA760" t="inlineStr">
        <is>
          <t>Matched</t>
        </is>
      </c>
      <c r="AB760" s="315" t="n">
        <v>0.99</v>
      </c>
      <c r="AC760" t="inlineStr">
        <is>
          <t>High</t>
        </is>
      </c>
      <c r="AD760" t="n">
        <v>1</v>
      </c>
      <c r="AE760" t="inlineStr">
        <is>
          <t>DG7606</t>
        </is>
      </c>
      <c r="AF760" t="n">
        <v>27</v>
      </c>
      <c r="AG760" t="inlineStr">
        <is>
          <t>drawing</t>
        </is>
      </c>
      <c r="AH760" t="inlineStr">
        <is>
          <t>stacked:isa</t>
        </is>
      </c>
      <c r="AI760" t="inlineStr">
        <is>
          <t>drawing zone; process page; mapped sheet; excel sheet match</t>
        </is>
      </c>
      <c r="AJ760" t="inlineStr">
        <is>
          <t>native</t>
        </is>
      </c>
      <c r="AK760" t="inlineStr">
        <is>
          <t>native-only</t>
        </is>
      </c>
      <c r="AM760" t="inlineStr">
        <is>
          <t>27</t>
        </is>
      </c>
      <c r="AN760" t="inlineStr">
        <is>
          <t>Yes</t>
        </is>
      </c>
      <c r="AO760" t="inlineStr">
        <is>
          <t>mapped sheet id</t>
        </is>
      </c>
      <c r="AP760" t="inlineStr">
        <is>
          <t>p27:native:395, p27:native:396</t>
        </is>
      </c>
      <c r="AQ760" t="n">
        <v>2</v>
      </c>
    </row>
    <row r="761">
      <c r="A761" s="203">
        <f>ROW()-1</f>
        <v/>
      </c>
      <c r="B761" s="128" t="inlineStr">
        <is>
          <t>RL7-CKR-102-FIT-01</t>
        </is>
      </c>
      <c r="C761" s="314" t="inlineStr">
        <is>
          <t>RL7-CKR-102-FIT-01</t>
        </is>
      </c>
      <c r="D761" s="262" t="n"/>
      <c r="E761" s="128" t="n"/>
      <c r="F761" s="138" t="inlineStr">
        <is>
          <t>COOKER 2 JHWS FLOW</t>
        </is>
      </c>
      <c r="G761" s="142" t="inlineStr">
        <is>
          <t>DG7606</t>
        </is>
      </c>
      <c r="H761" s="128" t="inlineStr">
        <is>
          <t>INTSL</t>
        </is>
      </c>
      <c r="I761" s="131" t="inlineStr">
        <is>
          <t>RL7-INTSL-RIO1</t>
        </is>
      </c>
      <c r="J761" s="133" t="n">
        <v>18</v>
      </c>
      <c r="K761" s="129" t="n">
        <v>10</v>
      </c>
      <c r="L761" s="129" t="n">
        <v>0</v>
      </c>
      <c r="M761" s="129" t="inlineStr">
        <is>
          <t>4-20 mA AI</t>
        </is>
      </c>
      <c r="N761" s="129" t="inlineStr">
        <is>
          <t>5069-IF8</t>
        </is>
      </c>
      <c r="O761" s="134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40" t="n"/>
      <c r="AA761" t="inlineStr">
        <is>
          <t>Matched</t>
        </is>
      </c>
      <c r="AB761" s="315" t="n">
        <v>0.99</v>
      </c>
      <c r="AC761" t="inlineStr">
        <is>
          <t>High</t>
        </is>
      </c>
      <c r="AD761" t="n">
        <v>1</v>
      </c>
      <c r="AE761" t="inlineStr">
        <is>
          <t>DG7606</t>
        </is>
      </c>
      <c r="AF761" t="n">
        <v>27</v>
      </c>
      <c r="AG761" t="inlineStr">
        <is>
          <t>drawing</t>
        </is>
      </c>
      <c r="AH761" t="inlineStr">
        <is>
          <t>stacked:isa</t>
        </is>
      </c>
      <c r="AI761" t="inlineStr">
        <is>
          <t>drawing zone; process page; mapped sheet; excel sheet match</t>
        </is>
      </c>
      <c r="AJ761" t="inlineStr">
        <is>
          <t>native</t>
        </is>
      </c>
      <c r="AK761" t="inlineStr">
        <is>
          <t>native-only</t>
        </is>
      </c>
      <c r="AM761" t="inlineStr">
        <is>
          <t>27</t>
        </is>
      </c>
      <c r="AN761" t="inlineStr">
        <is>
          <t>Yes</t>
        </is>
      </c>
      <c r="AO761" t="inlineStr">
        <is>
          <t>mapped sheet id</t>
        </is>
      </c>
      <c r="AP761" t="inlineStr">
        <is>
          <t>p27:native:402, p27:native:403</t>
        </is>
      </c>
      <c r="AQ761" t="n">
        <v>2</v>
      </c>
    </row>
    <row r="762">
      <c r="A762" s="203">
        <f>ROW()-1</f>
        <v/>
      </c>
      <c r="B762" s="128" t="inlineStr">
        <is>
          <t>RL7-CKR-102-TVI-01</t>
        </is>
      </c>
      <c r="C762" s="314" t="inlineStr">
        <is>
          <t>RL7-CKR-102-TVI-01</t>
        </is>
      </c>
      <c r="D762" s="262" t="n"/>
      <c r="E762" s="128" t="n"/>
      <c r="F762" s="138" t="inlineStr">
        <is>
          <t>COOKER 2 JHWR CONTROL VALVE POSITION FEEDBACK</t>
        </is>
      </c>
      <c r="G762" s="142" t="inlineStr">
        <is>
          <t>DG7606</t>
        </is>
      </c>
      <c r="H762" s="128" t="inlineStr">
        <is>
          <t>INTSL</t>
        </is>
      </c>
      <c r="I762" s="131" t="inlineStr">
        <is>
          <t>RL7-INTSL-RIO1</t>
        </is>
      </c>
      <c r="J762" s="133" t="n">
        <v>18</v>
      </c>
      <c r="K762" s="129" t="n">
        <v>10</v>
      </c>
      <c r="L762" s="129" t="n">
        <v>1</v>
      </c>
      <c r="M762" s="129" t="inlineStr">
        <is>
          <t>4-20 mA AI</t>
        </is>
      </c>
      <c r="N762" s="129" t="inlineStr">
        <is>
          <t>5069-IF8</t>
        </is>
      </c>
      <c r="O762" s="134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40" t="n"/>
      <c r="AA762" t="inlineStr">
        <is>
          <t>Matched</t>
        </is>
      </c>
      <c r="AB762" s="315" t="n">
        <v>0.99</v>
      </c>
      <c r="AC762" t="inlineStr">
        <is>
          <t>High</t>
        </is>
      </c>
      <c r="AD762" t="n">
        <v>1</v>
      </c>
      <c r="AE762" t="inlineStr">
        <is>
          <t>DG7606</t>
        </is>
      </c>
      <c r="AF762" t="n">
        <v>27</v>
      </c>
      <c r="AG762" t="inlineStr">
        <is>
          <t>drawing</t>
        </is>
      </c>
      <c r="AH762" t="inlineStr">
        <is>
          <t>stacked:isa</t>
        </is>
      </c>
      <c r="AI762" t="inlineStr">
        <is>
          <t>drawing zone; process page; mapped sheet; excel sheet match</t>
        </is>
      </c>
      <c r="AJ762" t="inlineStr">
        <is>
          <t>native</t>
        </is>
      </c>
      <c r="AK762" t="inlineStr">
        <is>
          <t>native-only</t>
        </is>
      </c>
      <c r="AM762" t="inlineStr">
        <is>
          <t>27</t>
        </is>
      </c>
      <c r="AN762" t="inlineStr">
        <is>
          <t>Yes</t>
        </is>
      </c>
      <c r="AO762" t="inlineStr">
        <is>
          <t>mapped sheet id</t>
        </is>
      </c>
      <c r="AP762" t="inlineStr">
        <is>
          <t>p27:native:487, p27:native:488</t>
        </is>
      </c>
      <c r="AQ762" t="n">
        <v>2</v>
      </c>
    </row>
    <row r="763">
      <c r="A763" s="203">
        <f>ROW()-1</f>
        <v/>
      </c>
      <c r="B763" s="128" t="inlineStr">
        <is>
          <t>RL7-AGC-201-FIT-01</t>
        </is>
      </c>
      <c r="C763" s="314" t="inlineStr">
        <is>
          <t>RL7-AGC-201-FIT-01</t>
        </is>
      </c>
      <c r="D763" s="262" t="n"/>
      <c r="E763" s="128" t="n"/>
      <c r="F763" s="138" t="inlineStr">
        <is>
          <t>DISCHARGE AUGER CART JHWS FLOW</t>
        </is>
      </c>
      <c r="G763" s="142" t="inlineStr">
        <is>
          <t>DG7606</t>
        </is>
      </c>
      <c r="H763" s="128" t="inlineStr">
        <is>
          <t>INTSL</t>
        </is>
      </c>
      <c r="I763" s="131" t="inlineStr">
        <is>
          <t>RL7-INTSL-RIO1</t>
        </is>
      </c>
      <c r="J763" s="133" t="n">
        <v>18</v>
      </c>
      <c r="K763" s="129" t="n">
        <v>10</v>
      </c>
      <c r="L763" s="129" t="n">
        <v>3</v>
      </c>
      <c r="M763" s="129" t="inlineStr">
        <is>
          <t>4-20 mA AI</t>
        </is>
      </c>
      <c r="N763" s="129" t="inlineStr">
        <is>
          <t>5069-IF8</t>
        </is>
      </c>
      <c r="O763" s="134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40" t="n"/>
      <c r="AA763" t="inlineStr">
        <is>
          <t>Matched</t>
        </is>
      </c>
      <c r="AB763" s="315" t="n">
        <v>0.99</v>
      </c>
      <c r="AC763" t="inlineStr">
        <is>
          <t>High</t>
        </is>
      </c>
      <c r="AD763" t="n">
        <v>1</v>
      </c>
      <c r="AE763" t="inlineStr">
        <is>
          <t>DG7606</t>
        </is>
      </c>
      <c r="AF763" t="n">
        <v>27</v>
      </c>
      <c r="AG763" t="inlineStr">
        <is>
          <t>drawing</t>
        </is>
      </c>
      <c r="AH763" t="inlineStr">
        <is>
          <t>stacked:isa</t>
        </is>
      </c>
      <c r="AI763" t="inlineStr">
        <is>
          <t>drawing zone; process page; mapped sheet; excel sheet match</t>
        </is>
      </c>
      <c r="AJ763" t="inlineStr">
        <is>
          <t>native</t>
        </is>
      </c>
      <c r="AK763" t="inlineStr">
        <is>
          <t>native-only</t>
        </is>
      </c>
      <c r="AM763" t="inlineStr">
        <is>
          <t>27</t>
        </is>
      </c>
      <c r="AN763" t="inlineStr">
        <is>
          <t>Yes</t>
        </is>
      </c>
      <c r="AO763" t="inlineStr">
        <is>
          <t>mapped sheet id</t>
        </is>
      </c>
      <c r="AP763" t="inlineStr">
        <is>
          <t>p27:native:421, p27:native:422</t>
        </is>
      </c>
      <c r="AQ763" t="n">
        <v>2</v>
      </c>
    </row>
    <row r="764">
      <c r="A764" s="203">
        <f>ROW()-1</f>
        <v/>
      </c>
      <c r="B764" s="128" t="inlineStr">
        <is>
          <t>RL7-AGC-201-TVI-01</t>
        </is>
      </c>
      <c r="C764" s="314" t="inlineStr">
        <is>
          <t>RL7-AGC-201-TVI-01</t>
        </is>
      </c>
      <c r="D764" s="262" t="n"/>
      <c r="E764" s="128" t="n"/>
      <c r="F764" s="138" t="inlineStr">
        <is>
          <t>DISCHARGE AUGER CART JHWR CONTROL VALVE POSITION FEEBACK</t>
        </is>
      </c>
      <c r="G764" s="142" t="inlineStr">
        <is>
          <t>DG7606</t>
        </is>
      </c>
      <c r="H764" s="128" t="inlineStr">
        <is>
          <t>INTSL</t>
        </is>
      </c>
      <c r="I764" s="131" t="inlineStr">
        <is>
          <t>RL7-INTSL-RIO1</t>
        </is>
      </c>
      <c r="J764" s="133" t="n">
        <v>18</v>
      </c>
      <c r="K764" s="129" t="n">
        <v>10</v>
      </c>
      <c r="L764" s="129" t="n">
        <v>4</v>
      </c>
      <c r="M764" s="129" t="inlineStr">
        <is>
          <t>4-20 mA AI</t>
        </is>
      </c>
      <c r="N764" s="129" t="inlineStr">
        <is>
          <t>5069-IF8</t>
        </is>
      </c>
      <c r="O764" s="134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40" t="n"/>
      <c r="AA764" t="inlineStr">
        <is>
          <t>Matched</t>
        </is>
      </c>
      <c r="AB764" s="315" t="n">
        <v>0.99</v>
      </c>
      <c r="AC764" t="inlineStr">
        <is>
          <t>High</t>
        </is>
      </c>
      <c r="AD764" t="n">
        <v>1</v>
      </c>
      <c r="AE764" t="inlineStr">
        <is>
          <t>DG7606</t>
        </is>
      </c>
      <c r="AF764" t="n">
        <v>27</v>
      </c>
      <c r="AG764" t="inlineStr">
        <is>
          <t>drawing</t>
        </is>
      </c>
      <c r="AH764" t="inlineStr">
        <is>
          <t>stacked:isa</t>
        </is>
      </c>
      <c r="AI764" t="inlineStr">
        <is>
          <t>drawing zone; process page; mapped sheet; excel sheet match</t>
        </is>
      </c>
      <c r="AJ764" t="inlineStr">
        <is>
          <t>native</t>
        </is>
      </c>
      <c r="AK764" t="inlineStr">
        <is>
          <t>native-only</t>
        </is>
      </c>
      <c r="AM764" t="inlineStr">
        <is>
          <t>27</t>
        </is>
      </c>
      <c r="AN764" t="inlineStr">
        <is>
          <t>Yes</t>
        </is>
      </c>
      <c r="AO764" t="inlineStr">
        <is>
          <t>mapped sheet id</t>
        </is>
      </c>
      <c r="AP764" t="inlineStr">
        <is>
          <t>p27:native:502, p27:native:503</t>
        </is>
      </c>
      <c r="AQ764" t="n">
        <v>2</v>
      </c>
    </row>
    <row r="765">
      <c r="A765" s="203">
        <f>ROW()-1</f>
        <v/>
      </c>
      <c r="B765" s="128" t="inlineStr">
        <is>
          <t>RL7-CKR-101-TCV-01</t>
        </is>
      </c>
      <c r="C765" s="314" t="inlineStr">
        <is>
          <t>RL7-CKR-101-TCV-01</t>
        </is>
      </c>
      <c r="D765" s="262" t="n"/>
      <c r="E765" s="128" t="n"/>
      <c r="F765" s="138" t="inlineStr">
        <is>
          <t>COOKER 1 JHWR CONTROL VALVE</t>
        </is>
      </c>
      <c r="G765" s="142" t="inlineStr">
        <is>
          <t>DG7606</t>
        </is>
      </c>
      <c r="H765" s="128" t="inlineStr">
        <is>
          <t>INTSL</t>
        </is>
      </c>
      <c r="I765" s="131" t="inlineStr">
        <is>
          <t>RL7-INTSL-RIO1</t>
        </is>
      </c>
      <c r="J765" s="133" t="n">
        <v>18</v>
      </c>
      <c r="K765" s="129" t="n">
        <v>12</v>
      </c>
      <c r="L765" s="129" t="n">
        <v>1</v>
      </c>
      <c r="M765" s="129" t="inlineStr">
        <is>
          <t>4-20 mA AO</t>
        </is>
      </c>
      <c r="N765" s="129" t="inlineStr">
        <is>
          <t>5069-OF8</t>
        </is>
      </c>
      <c r="O765" s="134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40" t="n"/>
      <c r="AA765" t="inlineStr">
        <is>
          <t>Matched</t>
        </is>
      </c>
      <c r="AB765" s="315" t="n">
        <v>0.99</v>
      </c>
      <c r="AC765" t="inlineStr">
        <is>
          <t>High</t>
        </is>
      </c>
      <c r="AD765" t="n">
        <v>1</v>
      </c>
      <c r="AE765" t="inlineStr">
        <is>
          <t>DG7606</t>
        </is>
      </c>
      <c r="AF765" t="n">
        <v>27</v>
      </c>
      <c r="AG765" t="inlineStr">
        <is>
          <t>drawing</t>
        </is>
      </c>
      <c r="AH765" t="inlineStr">
        <is>
          <t>stacked:isa</t>
        </is>
      </c>
      <c r="AI765" t="inlineStr">
        <is>
          <t>drawing zone; process page; mapped sheet; excel sheet match</t>
        </is>
      </c>
      <c r="AJ765" t="inlineStr">
        <is>
          <t>native</t>
        </is>
      </c>
      <c r="AK765" t="inlineStr">
        <is>
          <t>native-only</t>
        </is>
      </c>
      <c r="AM765" t="inlineStr">
        <is>
          <t>27</t>
        </is>
      </c>
      <c r="AN765" t="inlineStr">
        <is>
          <t>Yes</t>
        </is>
      </c>
      <c r="AO765" t="inlineStr">
        <is>
          <t>mapped sheet id</t>
        </is>
      </c>
      <c r="AP765" t="inlineStr">
        <is>
          <t>p27:native:369, p27:native:370</t>
        </is>
      </c>
      <c r="AQ765" t="n">
        <v>2</v>
      </c>
    </row>
    <row r="766">
      <c r="A766" s="203">
        <f>ROW()-1</f>
        <v/>
      </c>
      <c r="B766" s="128" t="inlineStr">
        <is>
          <t>RL7-CKR-102-TCV-101</t>
        </is>
      </c>
      <c r="C766" s="313" t="inlineStr">
        <is>
          <t>RL7-CKR-102-TCV-101</t>
        </is>
      </c>
      <c r="D766" s="262" t="n"/>
      <c r="E766" s="128" t="n"/>
      <c r="F766" s="138" t="inlineStr">
        <is>
          <t>COOKER 2 HPS CONTROL VALVE</t>
        </is>
      </c>
      <c r="G766" s="142" t="inlineStr">
        <is>
          <t>DG7606</t>
        </is>
      </c>
      <c r="H766" s="128" t="inlineStr">
        <is>
          <t>INTSL</t>
        </is>
      </c>
      <c r="I766" s="131" t="inlineStr">
        <is>
          <t>RL7-INTSL-RIO1</t>
        </is>
      </c>
      <c r="J766" s="133" t="n">
        <v>18</v>
      </c>
      <c r="K766" s="129" t="n">
        <v>13</v>
      </c>
      <c r="L766" s="129" t="n">
        <v>0</v>
      </c>
      <c r="M766" s="129" t="inlineStr">
        <is>
          <t>4-20 mA AO</t>
        </is>
      </c>
      <c r="N766" s="129" t="inlineStr">
        <is>
          <t>5069-OF8</t>
        </is>
      </c>
      <c r="O766" s="134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40" t="n"/>
      <c r="AA766" t="inlineStr">
        <is>
          <t>Not found in PDF</t>
        </is>
      </c>
      <c r="AC766" t="inlineStr">
        <is>
          <t>Low</t>
        </is>
      </c>
      <c r="AM766" t="inlineStr">
        <is>
          <t>27</t>
        </is>
      </c>
      <c r="AN766" t="inlineStr">
        <is>
          <t>Yes</t>
        </is>
      </c>
      <c r="AO766" t="inlineStr">
        <is>
          <t>mapped sheet id</t>
        </is>
      </c>
    </row>
    <row r="767">
      <c r="A767" s="203">
        <f>ROW()-1</f>
        <v/>
      </c>
      <c r="B767" s="128" t="inlineStr">
        <is>
          <t>RL7-AGC-201-TCV-01</t>
        </is>
      </c>
      <c r="C767" s="314" t="inlineStr">
        <is>
          <t>RL7-AGC-201-TCV-01</t>
        </is>
      </c>
      <c r="D767" s="262" t="n"/>
      <c r="E767" s="128" t="n"/>
      <c r="F767" s="138" t="inlineStr">
        <is>
          <t>DISCHARGE AUGER CART JHWR CONTROL VALVE</t>
        </is>
      </c>
      <c r="G767" s="142" t="inlineStr">
        <is>
          <t>DG7606</t>
        </is>
      </c>
      <c r="H767" s="128" t="inlineStr">
        <is>
          <t>INTSL</t>
        </is>
      </c>
      <c r="I767" s="131" t="inlineStr">
        <is>
          <t>RL7-INTSL-RIO1</t>
        </is>
      </c>
      <c r="J767" s="133" t="n">
        <v>18</v>
      </c>
      <c r="K767" s="129" t="n">
        <v>13</v>
      </c>
      <c r="L767" s="129" t="n">
        <v>3</v>
      </c>
      <c r="M767" s="129" t="inlineStr">
        <is>
          <t>4-20 mA AO</t>
        </is>
      </c>
      <c r="N767" s="129" t="inlineStr">
        <is>
          <t>5069-OF8</t>
        </is>
      </c>
      <c r="O767" s="134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40" t="n"/>
      <c r="AA767" t="inlineStr">
        <is>
          <t>Matched</t>
        </is>
      </c>
      <c r="AB767" s="315" t="n">
        <v>0.99</v>
      </c>
      <c r="AC767" t="inlineStr">
        <is>
          <t>High</t>
        </is>
      </c>
      <c r="AD767" t="n">
        <v>1</v>
      </c>
      <c r="AE767" t="inlineStr">
        <is>
          <t>DG7606</t>
        </is>
      </c>
      <c r="AF767" t="n">
        <v>27</v>
      </c>
      <c r="AG767" t="inlineStr">
        <is>
          <t>drawing</t>
        </is>
      </c>
      <c r="AH767" t="inlineStr">
        <is>
          <t>stacked:isa</t>
        </is>
      </c>
      <c r="AI767" t="inlineStr">
        <is>
          <t>drawing zone; process page; mapped sheet; excel sheet match</t>
        </is>
      </c>
      <c r="AJ767" t="inlineStr">
        <is>
          <t>native</t>
        </is>
      </c>
      <c r="AK767" t="inlineStr">
        <is>
          <t>native-only</t>
        </is>
      </c>
      <c r="AM767" t="inlineStr">
        <is>
          <t>27</t>
        </is>
      </c>
      <c r="AN767" t="inlineStr">
        <is>
          <t>Yes</t>
        </is>
      </c>
      <c r="AO767" t="inlineStr">
        <is>
          <t>mapped sheet id</t>
        </is>
      </c>
      <c r="AP767" t="inlineStr">
        <is>
          <t>p27:native:489, p27:native:490</t>
        </is>
      </c>
      <c r="AQ767" t="n">
        <v>2</v>
      </c>
    </row>
    <row r="768">
      <c r="A768" s="203">
        <f>ROW()-1</f>
        <v/>
      </c>
      <c r="B768" s="128" t="inlineStr">
        <is>
          <t>RL7-TNK-102-XV-01-ZSO</t>
        </is>
      </c>
      <c r="C768" s="313" t="inlineStr">
        <is>
          <t>RL7-TNK-102-ZSO-01</t>
        </is>
      </c>
      <c r="D768" s="262" t="n"/>
      <c r="E768" s="128" t="n"/>
      <c r="F768" s="138" t="inlineStr">
        <is>
          <t>DXP WATER INLET VALVE OPEN LIMIT SWITCH</t>
        </is>
      </c>
      <c r="G768" s="131" t="inlineStr">
        <is>
          <t>DG7606</t>
        </is>
      </c>
      <c r="H768" s="128" t="inlineStr">
        <is>
          <t>HX / LA</t>
        </is>
      </c>
      <c r="I768" s="132" t="inlineStr">
        <is>
          <t>RL7-DXPHX-RIO1</t>
        </is>
      </c>
      <c r="J768" s="133" t="n">
        <v>20</v>
      </c>
      <c r="K768" s="129" t="n">
        <v>0</v>
      </c>
      <c r="L768" s="129" t="n">
        <v>0</v>
      </c>
      <c r="M768" s="129" t="inlineStr">
        <is>
          <t>24 VDC DI</t>
        </is>
      </c>
      <c r="N768" s="129" t="inlineStr">
        <is>
          <t>5069-IB16</t>
        </is>
      </c>
      <c r="O768" s="139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40" t="inlineStr">
        <is>
          <t>OEM PANEL</t>
        </is>
      </c>
      <c r="AA768" t="inlineStr">
        <is>
          <t>Not found in PDF</t>
        </is>
      </c>
      <c r="AC768" t="inlineStr">
        <is>
          <t>Low</t>
        </is>
      </c>
      <c r="AM768" t="inlineStr">
        <is>
          <t>27</t>
        </is>
      </c>
      <c r="AN768" t="inlineStr">
        <is>
          <t>Yes</t>
        </is>
      </c>
      <c r="AO768" t="inlineStr">
        <is>
          <t>mapped sheet id</t>
        </is>
      </c>
    </row>
    <row r="769">
      <c r="A769" s="203">
        <f>ROW()-1</f>
        <v/>
      </c>
      <c r="B769" s="128" t="inlineStr">
        <is>
          <t>RL7-TNK-102-XV-01-ZSC</t>
        </is>
      </c>
      <c r="C769" s="313" t="inlineStr">
        <is>
          <t>RL7-TNK-102-ZSC-01</t>
        </is>
      </c>
      <c r="D769" s="262" t="n"/>
      <c r="E769" s="128" t="n"/>
      <c r="F769" s="138" t="inlineStr">
        <is>
          <t>DXP WATER INLET VALVE CLOSED LIMIT SWITCH</t>
        </is>
      </c>
      <c r="G769" s="131" t="inlineStr">
        <is>
          <t>DG7606</t>
        </is>
      </c>
      <c r="H769" s="128" t="inlineStr">
        <is>
          <t>HX / LA</t>
        </is>
      </c>
      <c r="I769" s="132" t="inlineStr">
        <is>
          <t>RL7-DXPHX-RIO1</t>
        </is>
      </c>
      <c r="J769" s="133" t="n">
        <v>20</v>
      </c>
      <c r="K769" s="129" t="n">
        <v>0</v>
      </c>
      <c r="L769" s="129" t="n">
        <v>1</v>
      </c>
      <c r="M769" s="129" t="inlineStr">
        <is>
          <t>24 VDC DI</t>
        </is>
      </c>
      <c r="N769" s="129" t="inlineStr">
        <is>
          <t>5069-IB16</t>
        </is>
      </c>
      <c r="O769" s="139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40" t="inlineStr">
        <is>
          <t>OEM PANEL</t>
        </is>
      </c>
      <c r="AA769" t="inlineStr">
        <is>
          <t>Not found in PDF</t>
        </is>
      </c>
      <c r="AC769" t="inlineStr">
        <is>
          <t>Low</t>
        </is>
      </c>
      <c r="AM769" t="inlineStr">
        <is>
          <t>27</t>
        </is>
      </c>
      <c r="AN769" t="inlineStr">
        <is>
          <t>Yes</t>
        </is>
      </c>
      <c r="AO769" t="inlineStr">
        <is>
          <t>mapped sheet id</t>
        </is>
      </c>
    </row>
    <row r="770">
      <c r="A770" s="203">
        <f>ROW()-1</f>
        <v/>
      </c>
      <c r="B770" s="128" t="inlineStr">
        <is>
          <t>RL7-TNK-102-ZSO-02</t>
        </is>
      </c>
      <c r="C770" s="313" t="inlineStr">
        <is>
          <t>RL7-TNK-102-ZSO-02</t>
        </is>
      </c>
      <c r="D770" s="262" t="n"/>
      <c r="E770" s="128" t="n"/>
      <c r="F770" s="138" t="inlineStr">
        <is>
          <t>DXP SYSTEM BYPASS VALVE OPEN LIMIT SWITCH</t>
        </is>
      </c>
      <c r="G770" s="131" t="inlineStr">
        <is>
          <t>DG7606</t>
        </is>
      </c>
      <c r="H770" s="128" t="inlineStr">
        <is>
          <t>HX / LA</t>
        </is>
      </c>
      <c r="I770" s="132" t="inlineStr">
        <is>
          <t>RL7-DXPHX-RIO1</t>
        </is>
      </c>
      <c r="J770" s="133" t="n">
        <v>20</v>
      </c>
      <c r="K770" s="129" t="n">
        <v>0</v>
      </c>
      <c r="L770" s="129" t="n">
        <v>2</v>
      </c>
      <c r="M770" s="129" t="inlineStr">
        <is>
          <t>24 VDC DI</t>
        </is>
      </c>
      <c r="N770" s="129" t="inlineStr">
        <is>
          <t>5069-IB16</t>
        </is>
      </c>
      <c r="O770" s="139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59" t="inlineStr">
        <is>
          <t>OEM PANEL</t>
        </is>
      </c>
      <c r="AA770" t="inlineStr">
        <is>
          <t>Not found in PDF</t>
        </is>
      </c>
      <c r="AC770" t="inlineStr">
        <is>
          <t>Low</t>
        </is>
      </c>
      <c r="AM770" t="inlineStr">
        <is>
          <t>27</t>
        </is>
      </c>
      <c r="AN770" t="inlineStr">
        <is>
          <t>Yes</t>
        </is>
      </c>
      <c r="AO770" t="inlineStr">
        <is>
          <t>mapped sheet id</t>
        </is>
      </c>
    </row>
    <row r="771">
      <c r="A771" s="203">
        <f>ROW()-1</f>
        <v/>
      </c>
      <c r="B771" s="128" t="inlineStr">
        <is>
          <t>RL7-TNK-102-ZSC-02</t>
        </is>
      </c>
      <c r="C771" s="313" t="inlineStr">
        <is>
          <t>RL7-TNK-102-ZSC-02</t>
        </is>
      </c>
      <c r="D771" s="262" t="n"/>
      <c r="E771" s="128" t="n"/>
      <c r="F771" s="138" t="inlineStr">
        <is>
          <t>DXP SYSTEM BYPASS VALVE CLOSED LIMIT SWITCH</t>
        </is>
      </c>
      <c r="G771" s="131" t="inlineStr">
        <is>
          <t>DG7606</t>
        </is>
      </c>
      <c r="H771" s="128" t="inlineStr">
        <is>
          <t>HX / LA</t>
        </is>
      </c>
      <c r="I771" s="132" t="inlineStr">
        <is>
          <t>RL7-DXPHX-RIO1</t>
        </is>
      </c>
      <c r="J771" s="133" t="n">
        <v>20</v>
      </c>
      <c r="K771" s="129" t="n">
        <v>0</v>
      </c>
      <c r="L771" s="129" t="n">
        <v>3</v>
      </c>
      <c r="M771" s="129" t="inlineStr">
        <is>
          <t>24 VDC DI</t>
        </is>
      </c>
      <c r="N771" s="129" t="inlineStr">
        <is>
          <t>5069-IB16</t>
        </is>
      </c>
      <c r="O771" s="139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40" t="inlineStr">
        <is>
          <t>OEM PANEL</t>
        </is>
      </c>
      <c r="AA771" t="inlineStr">
        <is>
          <t>Not found in PDF</t>
        </is>
      </c>
      <c r="AC771" t="inlineStr">
        <is>
          <t>Low</t>
        </is>
      </c>
      <c r="AM771" t="inlineStr">
        <is>
          <t>27</t>
        </is>
      </c>
      <c r="AN771" t="inlineStr">
        <is>
          <t>Yes</t>
        </is>
      </c>
      <c r="AO771" t="inlineStr">
        <is>
          <t>mapped sheet id</t>
        </is>
      </c>
    </row>
    <row r="772">
      <c r="A772" s="203">
        <f>ROW()-1</f>
        <v/>
      </c>
      <c r="B772" s="128" t="inlineStr">
        <is>
          <t>RL7-HTX-101-XV-01-ZSO</t>
        </is>
      </c>
      <c r="C772" s="313" t="inlineStr">
        <is>
          <t>RL7-HTX-101-XV-01-ZSO</t>
        </is>
      </c>
      <c r="D772" s="262" t="n"/>
      <c r="E772" s="128" t="n"/>
      <c r="F772" s="138" t="inlineStr">
        <is>
          <t>DXP HEX IN VALVE OPEN LIMIT SWITCH</t>
        </is>
      </c>
      <c r="G772" s="131" t="inlineStr">
        <is>
          <t>DG7606</t>
        </is>
      </c>
      <c r="H772" s="128" t="inlineStr">
        <is>
          <t>HX / LA</t>
        </is>
      </c>
      <c r="I772" s="132" t="inlineStr">
        <is>
          <t>RL7-DXPHX-RIO1</t>
        </is>
      </c>
      <c r="J772" s="133" t="n">
        <v>20</v>
      </c>
      <c r="K772" s="129" t="n">
        <v>0</v>
      </c>
      <c r="L772" s="129" t="n">
        <v>4</v>
      </c>
      <c r="M772" s="129" t="inlineStr">
        <is>
          <t>24 VDC DI</t>
        </is>
      </c>
      <c r="N772" s="129" t="inlineStr">
        <is>
          <t>5069-IB16</t>
        </is>
      </c>
      <c r="O772" s="139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40" t="inlineStr">
        <is>
          <t>OEM PANEL</t>
        </is>
      </c>
      <c r="AA772" t="inlineStr">
        <is>
          <t>Skipped - unrecognized tag</t>
        </is>
      </c>
      <c r="AC772" t="inlineStr">
        <is>
          <t>Low</t>
        </is>
      </c>
      <c r="AM772" t="inlineStr">
        <is>
          <t>27</t>
        </is>
      </c>
      <c r="AN772" t="inlineStr">
        <is>
          <t>Yes</t>
        </is>
      </c>
      <c r="AO772" t="inlineStr">
        <is>
          <t>unrecognized tag</t>
        </is>
      </c>
    </row>
    <row r="773">
      <c r="A773" s="203">
        <f>ROW()-1</f>
        <v/>
      </c>
      <c r="B773" s="128" t="inlineStr">
        <is>
          <t>RL7-HTX-101-XV-01-ZSC</t>
        </is>
      </c>
      <c r="C773" s="313" t="inlineStr">
        <is>
          <t>RL7-HTX-101-XV-01-ZSC</t>
        </is>
      </c>
      <c r="D773" s="262" t="n"/>
      <c r="E773" s="128" t="n"/>
      <c r="F773" s="138" t="inlineStr">
        <is>
          <t>DXP HEX IN VALVE CLOSED LIMIT SWITCH</t>
        </is>
      </c>
      <c r="G773" s="131" t="inlineStr">
        <is>
          <t>DG7606</t>
        </is>
      </c>
      <c r="H773" s="128" t="inlineStr">
        <is>
          <t>HX / LA</t>
        </is>
      </c>
      <c r="I773" s="132" t="inlineStr">
        <is>
          <t>RL7-DXPHX-RIO1</t>
        </is>
      </c>
      <c r="J773" s="133" t="n">
        <v>20</v>
      </c>
      <c r="K773" s="129" t="n">
        <v>0</v>
      </c>
      <c r="L773" s="129" t="n">
        <v>5</v>
      </c>
      <c r="M773" s="129" t="inlineStr">
        <is>
          <t>24 VDC DI</t>
        </is>
      </c>
      <c r="N773" s="129" t="inlineStr">
        <is>
          <t>5069-IB16</t>
        </is>
      </c>
      <c r="O773" s="139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40" t="inlineStr">
        <is>
          <t>OEM PANEL</t>
        </is>
      </c>
      <c r="AA773" t="inlineStr">
        <is>
          <t>Skipped - unrecognized tag</t>
        </is>
      </c>
      <c r="AC773" t="inlineStr">
        <is>
          <t>Low</t>
        </is>
      </c>
      <c r="AM773" t="inlineStr">
        <is>
          <t>27</t>
        </is>
      </c>
      <c r="AN773" t="inlineStr">
        <is>
          <t>Yes</t>
        </is>
      </c>
      <c r="AO773" t="inlineStr">
        <is>
          <t>unrecognized tag</t>
        </is>
      </c>
    </row>
    <row r="774">
      <c r="A774" s="203">
        <f>ROW()-1</f>
        <v/>
      </c>
      <c r="B774" s="128" t="inlineStr">
        <is>
          <t>RL7-TNK-102-XV-01</t>
        </is>
      </c>
      <c r="C774" s="314" t="inlineStr">
        <is>
          <t>RL7-TNK-102-XV-01</t>
        </is>
      </c>
      <c r="D774" s="262" t="n"/>
      <c r="E774" s="128" t="n"/>
      <c r="F774" s="138" t="inlineStr">
        <is>
          <t>DXP WATER INLET VALVE OPEN SOLENOID</t>
        </is>
      </c>
      <c r="G774" s="131" t="inlineStr">
        <is>
          <t>DG7606</t>
        </is>
      </c>
      <c r="H774" s="128" t="inlineStr">
        <is>
          <t>HX / LA</t>
        </is>
      </c>
      <c r="I774" s="132" t="inlineStr">
        <is>
          <t>RL7-DXPHX-RIO1</t>
        </is>
      </c>
      <c r="J774" s="133" t="n">
        <v>20</v>
      </c>
      <c r="K774" s="129" t="n">
        <v>1</v>
      </c>
      <c r="L774" s="129" t="n">
        <v>0</v>
      </c>
      <c r="M774" s="129" t="inlineStr">
        <is>
          <t>24 VDC DO</t>
        </is>
      </c>
      <c r="N774" s="129" t="inlineStr">
        <is>
          <t>5069-OB16</t>
        </is>
      </c>
      <c r="O774" s="139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40" t="inlineStr">
        <is>
          <t>OEM PANEL</t>
        </is>
      </c>
      <c r="AA774" t="inlineStr">
        <is>
          <t>Matched</t>
        </is>
      </c>
      <c r="AB774" s="315" t="n">
        <v>0.99</v>
      </c>
      <c r="AC774" t="inlineStr">
        <is>
          <t>High</t>
        </is>
      </c>
      <c r="AD774" t="n">
        <v>1</v>
      </c>
      <c r="AE774" t="inlineStr">
        <is>
          <t>DG7606</t>
        </is>
      </c>
      <c r="AF774" t="n">
        <v>27</v>
      </c>
      <c r="AG774" t="inlineStr">
        <is>
          <t>drawing</t>
        </is>
      </c>
      <c r="AH774" t="inlineStr">
        <is>
          <t>stacked:isa</t>
        </is>
      </c>
      <c r="AI774" t="inlineStr">
        <is>
          <t>drawing zone; process page; mapped sheet; excel sheet match</t>
        </is>
      </c>
      <c r="AJ774" t="inlineStr">
        <is>
          <t>native</t>
        </is>
      </c>
      <c r="AK774" t="inlineStr">
        <is>
          <t>native-only</t>
        </is>
      </c>
      <c r="AM774" t="inlineStr">
        <is>
          <t>27</t>
        </is>
      </c>
      <c r="AN774" t="inlineStr">
        <is>
          <t>Yes</t>
        </is>
      </c>
      <c r="AO774" t="inlineStr">
        <is>
          <t>mapped sheet id</t>
        </is>
      </c>
      <c r="AP774" t="inlineStr">
        <is>
          <t>p27:native:11, p27:native:12</t>
        </is>
      </c>
      <c r="AQ774" t="n">
        <v>2</v>
      </c>
    </row>
    <row r="775">
      <c r="A775" s="203">
        <f>ROW()-1</f>
        <v/>
      </c>
      <c r="B775" s="128" t="inlineStr">
        <is>
          <t>RL7-TNK-102-XV-02</t>
        </is>
      </c>
      <c r="C775" s="314" t="inlineStr">
        <is>
          <t>RL7-TNK-102-XV-02</t>
        </is>
      </c>
      <c r="D775" s="262" t="n"/>
      <c r="E775" s="128" t="n"/>
      <c r="F775" s="138" t="inlineStr">
        <is>
          <t>DXP SYSTEM BYPASSS VALVE OPEN SOLENOID</t>
        </is>
      </c>
      <c r="G775" s="131" t="inlineStr">
        <is>
          <t>DG7606</t>
        </is>
      </c>
      <c r="H775" s="128" t="inlineStr">
        <is>
          <t>HX / LA</t>
        </is>
      </c>
      <c r="I775" s="132" t="inlineStr">
        <is>
          <t>RL7-DXPHX-RIO1</t>
        </is>
      </c>
      <c r="J775" s="133" t="n">
        <v>20</v>
      </c>
      <c r="K775" s="129" t="n">
        <v>1</v>
      </c>
      <c r="L775" s="129" t="n">
        <v>1</v>
      </c>
      <c r="M775" s="129" t="inlineStr">
        <is>
          <t>24 VDC DO</t>
        </is>
      </c>
      <c r="N775" s="129" t="inlineStr">
        <is>
          <t>5069-OB16</t>
        </is>
      </c>
      <c r="O775" s="139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40" t="inlineStr">
        <is>
          <t>OEM PANEL</t>
        </is>
      </c>
      <c r="AA775" t="inlineStr">
        <is>
          <t>Matched</t>
        </is>
      </c>
      <c r="AB775" s="315" t="n">
        <v>0.99</v>
      </c>
      <c r="AC775" t="inlineStr">
        <is>
          <t>High</t>
        </is>
      </c>
      <c r="AD775" t="n">
        <v>1</v>
      </c>
      <c r="AE775" t="inlineStr">
        <is>
          <t>DG7606</t>
        </is>
      </c>
      <c r="AF775" t="n">
        <v>27</v>
      </c>
      <c r="AG775" t="inlineStr">
        <is>
          <t>drawing</t>
        </is>
      </c>
      <c r="AH775" t="inlineStr">
        <is>
          <t>stacked:isa</t>
        </is>
      </c>
      <c r="AI775" t="inlineStr">
        <is>
          <t>drawing zone; process page; mapped sheet; excel sheet match</t>
        </is>
      </c>
      <c r="AJ775" t="inlineStr">
        <is>
          <t>native</t>
        </is>
      </c>
      <c r="AK775" t="inlineStr">
        <is>
          <t>native-only</t>
        </is>
      </c>
      <c r="AM775" t="inlineStr">
        <is>
          <t>27</t>
        </is>
      </c>
      <c r="AN775" t="inlineStr">
        <is>
          <t>Yes</t>
        </is>
      </c>
      <c r="AO775" t="inlineStr">
        <is>
          <t>mapped sheet id</t>
        </is>
      </c>
      <c r="AP775" t="inlineStr">
        <is>
          <t>p27:native:27, p27:native:28</t>
        </is>
      </c>
      <c r="AQ775" t="n">
        <v>2</v>
      </c>
    </row>
    <row r="776">
      <c r="A776" s="203">
        <f>ROW()-1</f>
        <v/>
      </c>
      <c r="B776" s="128" t="inlineStr">
        <is>
          <t>RL7-HTX-101-XV-01</t>
        </is>
      </c>
      <c r="C776" s="314" t="inlineStr">
        <is>
          <t>RL7-HTX-101-XV-01</t>
        </is>
      </c>
      <c r="D776" s="262" t="n"/>
      <c r="E776" s="128" t="n"/>
      <c r="F776" s="138" t="inlineStr">
        <is>
          <t>DXP HEX IN VALVE OPEN SOLENOID</t>
        </is>
      </c>
      <c r="G776" s="131" t="inlineStr">
        <is>
          <t>DG7606</t>
        </is>
      </c>
      <c r="H776" s="128" t="inlineStr">
        <is>
          <t>HX / LA</t>
        </is>
      </c>
      <c r="I776" s="132" t="inlineStr">
        <is>
          <t>RL7-DXPHX-RIO1</t>
        </is>
      </c>
      <c r="J776" s="133" t="n">
        <v>20</v>
      </c>
      <c r="K776" s="129" t="n">
        <v>1</v>
      </c>
      <c r="L776" s="129" t="n">
        <v>2</v>
      </c>
      <c r="M776" s="129" t="inlineStr">
        <is>
          <t>24 VDC DO</t>
        </is>
      </c>
      <c r="N776" s="129" t="inlineStr">
        <is>
          <t>5069-OB16</t>
        </is>
      </c>
      <c r="O776" s="139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40" t="inlineStr">
        <is>
          <t>OEM PANEL</t>
        </is>
      </c>
      <c r="AA776" t="inlineStr">
        <is>
          <t>Matched</t>
        </is>
      </c>
      <c r="AB776" s="315" t="n">
        <v>0.99</v>
      </c>
      <c r="AC776" t="inlineStr">
        <is>
          <t>High</t>
        </is>
      </c>
      <c r="AD776" t="n">
        <v>1</v>
      </c>
      <c r="AE776" t="inlineStr">
        <is>
          <t>DG7606</t>
        </is>
      </c>
      <c r="AF776" t="n">
        <v>27</v>
      </c>
      <c r="AG776" t="inlineStr">
        <is>
          <t>drawing</t>
        </is>
      </c>
      <c r="AH776" t="inlineStr">
        <is>
          <t>stacked:isa</t>
        </is>
      </c>
      <c r="AI776" t="inlineStr">
        <is>
          <t>drawing zone; process page; mapped sheet; excel sheet match</t>
        </is>
      </c>
      <c r="AJ776" t="inlineStr">
        <is>
          <t>native</t>
        </is>
      </c>
      <c r="AK776" t="inlineStr">
        <is>
          <t>native-only</t>
        </is>
      </c>
      <c r="AM776" t="inlineStr">
        <is>
          <t>27</t>
        </is>
      </c>
      <c r="AN776" t="inlineStr">
        <is>
          <t>Yes</t>
        </is>
      </c>
      <c r="AO776" t="inlineStr">
        <is>
          <t>mapped sheet id</t>
        </is>
      </c>
      <c r="AP776" t="inlineStr">
        <is>
          <t>p27:native:210, p27:native:211</t>
        </is>
      </c>
      <c r="AQ776" t="n">
        <v>2</v>
      </c>
    </row>
    <row r="777">
      <c r="A777" s="203">
        <f>ROW()-1</f>
        <v/>
      </c>
      <c r="B777" s="128" t="inlineStr">
        <is>
          <t>RL7-TNK-102-FIT-01</t>
        </is>
      </c>
      <c r="C777" s="314" t="inlineStr">
        <is>
          <t>RL7-TNK-102-FIT-01</t>
        </is>
      </c>
      <c r="D777" s="262" t="n"/>
      <c r="E777" s="128" t="n"/>
      <c r="F777" s="138" t="inlineStr">
        <is>
          <t>DXP WATER INLET FLOW TRANSMITTER</t>
        </is>
      </c>
      <c r="G777" s="131" t="inlineStr">
        <is>
          <t>DG7606</t>
        </is>
      </c>
      <c r="H777" s="128" t="inlineStr">
        <is>
          <t>HX / LA</t>
        </is>
      </c>
      <c r="I777" s="132" t="inlineStr">
        <is>
          <t>RL7-DXPHX-RIO1</t>
        </is>
      </c>
      <c r="J777" s="133" t="n">
        <v>20</v>
      </c>
      <c r="K777" s="129" t="n">
        <v>2</v>
      </c>
      <c r="L777" s="129" t="n">
        <v>0</v>
      </c>
      <c r="M777" s="129" t="inlineStr">
        <is>
          <t>4-20 mA AI</t>
        </is>
      </c>
      <c r="N777" s="129" t="inlineStr">
        <is>
          <t>5069-IF8</t>
        </is>
      </c>
      <c r="O777" s="139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40" t="inlineStr">
        <is>
          <t>OEM PANEL</t>
        </is>
      </c>
      <c r="AA777" t="inlineStr">
        <is>
          <t>Matched</t>
        </is>
      </c>
      <c r="AB777" s="315" t="n">
        <v>0.99</v>
      </c>
      <c r="AC777" t="inlineStr">
        <is>
          <t>High</t>
        </is>
      </c>
      <c r="AD777" t="n">
        <v>1</v>
      </c>
      <c r="AE777" t="inlineStr">
        <is>
          <t>DG7606</t>
        </is>
      </c>
      <c r="AF777" t="n">
        <v>27</v>
      </c>
      <c r="AG777" t="inlineStr">
        <is>
          <t>drawing</t>
        </is>
      </c>
      <c r="AH777" t="inlineStr">
        <is>
          <t>stacked:isa</t>
        </is>
      </c>
      <c r="AI777" t="inlineStr">
        <is>
          <t>drawing zone; process page; mapped sheet; excel sheet match</t>
        </is>
      </c>
      <c r="AJ777" t="inlineStr">
        <is>
          <t>native</t>
        </is>
      </c>
      <c r="AK777" t="inlineStr">
        <is>
          <t>native-only</t>
        </is>
      </c>
      <c r="AM777" t="inlineStr">
        <is>
          <t>27</t>
        </is>
      </c>
      <c r="AN777" t="inlineStr">
        <is>
          <t>Yes</t>
        </is>
      </c>
      <c r="AO777" t="inlineStr">
        <is>
          <t>mapped sheet id</t>
        </is>
      </c>
      <c r="AP777" t="inlineStr">
        <is>
          <t>p27:native:8, p27:native:9</t>
        </is>
      </c>
      <c r="AQ777" t="n">
        <v>2</v>
      </c>
    </row>
    <row r="778">
      <c r="A778" s="203">
        <f>ROW()-1</f>
        <v/>
      </c>
      <c r="B778" s="128" t="inlineStr">
        <is>
          <t>RL7-HTX-101-FIT-01</t>
        </is>
      </c>
      <c r="C778" s="314" t="inlineStr">
        <is>
          <t>RL7-HTX-101-FIT-01</t>
        </is>
      </c>
      <c r="D778" s="262" t="n"/>
      <c r="E778" s="128" t="n"/>
      <c r="F778" s="138" t="inlineStr">
        <is>
          <t>DXP HEX FLOW IN TRANSMITTER</t>
        </is>
      </c>
      <c r="G778" s="131" t="inlineStr">
        <is>
          <t>DG7606</t>
        </is>
      </c>
      <c r="H778" s="128" t="inlineStr">
        <is>
          <t>HX / LA</t>
        </is>
      </c>
      <c r="I778" s="132" t="inlineStr">
        <is>
          <t>RL7-DXPHX-RIO1</t>
        </is>
      </c>
      <c r="J778" s="133" t="n">
        <v>20</v>
      </c>
      <c r="K778" s="129" t="n">
        <v>2</v>
      </c>
      <c r="L778" s="129" t="n">
        <v>1</v>
      </c>
      <c r="M778" s="129" t="inlineStr">
        <is>
          <t>4-20 mA AI</t>
        </is>
      </c>
      <c r="N778" s="129" t="inlineStr">
        <is>
          <t>5069-IF8</t>
        </is>
      </c>
      <c r="O778" s="139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40" t="inlineStr">
        <is>
          <t>OEM PANEL</t>
        </is>
      </c>
      <c r="AA778" t="inlineStr">
        <is>
          <t>Matched</t>
        </is>
      </c>
      <c r="AB778" s="315" t="n">
        <v>0.99</v>
      </c>
      <c r="AC778" t="inlineStr">
        <is>
          <t>High</t>
        </is>
      </c>
      <c r="AD778" t="n">
        <v>1</v>
      </c>
      <c r="AE778" t="inlineStr">
        <is>
          <t>DG7606</t>
        </is>
      </c>
      <c r="AF778" t="n">
        <v>27</v>
      </c>
      <c r="AG778" t="inlineStr">
        <is>
          <t>drawing</t>
        </is>
      </c>
      <c r="AH778" t="inlineStr">
        <is>
          <t>stacked:isa</t>
        </is>
      </c>
      <c r="AI778" t="inlineStr">
        <is>
          <t>drawing zone; process page; mapped sheet; excel sheet match</t>
        </is>
      </c>
      <c r="AJ778" t="inlineStr">
        <is>
          <t>native</t>
        </is>
      </c>
      <c r="AK778" t="inlineStr">
        <is>
          <t>native-only</t>
        </is>
      </c>
      <c r="AM778" t="inlineStr">
        <is>
          <t>27</t>
        </is>
      </c>
      <c r="AN778" t="inlineStr">
        <is>
          <t>Yes</t>
        </is>
      </c>
      <c r="AO778" t="inlineStr">
        <is>
          <t>mapped sheet id</t>
        </is>
      </c>
      <c r="AP778" t="inlineStr">
        <is>
          <t>p27:native:205, p27:native:206</t>
        </is>
      </c>
      <c r="AQ778" t="n">
        <v>2</v>
      </c>
    </row>
    <row r="779">
      <c r="A779" s="203">
        <f>ROW()-1</f>
        <v/>
      </c>
      <c r="B779" s="128" t="inlineStr">
        <is>
          <t>RL7-TNK-102-LIT-01</t>
        </is>
      </c>
      <c r="C779" s="314" t="inlineStr">
        <is>
          <t>RL7-TNK-102-LIT-01</t>
        </is>
      </c>
      <c r="D779" s="262" t="n"/>
      <c r="E779" s="128" t="n"/>
      <c r="F779" s="138" t="inlineStr">
        <is>
          <t>DXP TANK LEVEL TRANSMITTER</t>
        </is>
      </c>
      <c r="G779" s="131" t="inlineStr">
        <is>
          <t>DG7606</t>
        </is>
      </c>
      <c r="H779" s="128" t="inlineStr">
        <is>
          <t>HX / LA</t>
        </is>
      </c>
      <c r="I779" s="132" t="inlineStr">
        <is>
          <t>RL7-DXPHX-RIO1</t>
        </is>
      </c>
      <c r="J779" s="133" t="n">
        <v>20</v>
      </c>
      <c r="K779" s="129" t="n">
        <v>2</v>
      </c>
      <c r="L779" s="129" t="n">
        <v>2</v>
      </c>
      <c r="M779" s="129" t="inlineStr">
        <is>
          <t>4-20 mA AI</t>
        </is>
      </c>
      <c r="N779" s="129" t="inlineStr">
        <is>
          <t>5069-IF8</t>
        </is>
      </c>
      <c r="O779" s="139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40" t="inlineStr">
        <is>
          <t>OEM PANEL</t>
        </is>
      </c>
      <c r="AA779" t="inlineStr">
        <is>
          <t>Matched</t>
        </is>
      </c>
      <c r="AB779" s="315" t="n">
        <v>0.99</v>
      </c>
      <c r="AC779" t="inlineStr">
        <is>
          <t>High</t>
        </is>
      </c>
      <c r="AD779" t="n">
        <v>1</v>
      </c>
      <c r="AE779" t="inlineStr">
        <is>
          <t>DG7606</t>
        </is>
      </c>
      <c r="AF779" t="n">
        <v>27</v>
      </c>
      <c r="AG779" t="inlineStr">
        <is>
          <t>drawing</t>
        </is>
      </c>
      <c r="AH779" t="inlineStr">
        <is>
          <t>stacked:isa</t>
        </is>
      </c>
      <c r="AI779" t="inlineStr">
        <is>
          <t>drawing zone; process page; mapped sheet; excel sheet match</t>
        </is>
      </c>
      <c r="AJ779" t="inlineStr">
        <is>
          <t>native</t>
        </is>
      </c>
      <c r="AK779" t="inlineStr">
        <is>
          <t>native-only</t>
        </is>
      </c>
      <c r="AM779" t="inlineStr">
        <is>
          <t>27</t>
        </is>
      </c>
      <c r="AN779" t="inlineStr">
        <is>
          <t>Yes</t>
        </is>
      </c>
      <c r="AO779" t="inlineStr">
        <is>
          <t>mapped sheet id</t>
        </is>
      </c>
      <c r="AP779" t="inlineStr">
        <is>
          <t>p27:native:60, p27:native:61</t>
        </is>
      </c>
      <c r="AQ779" t="n">
        <v>2</v>
      </c>
    </row>
    <row r="780">
      <c r="A780" s="203">
        <f>ROW()-1</f>
        <v/>
      </c>
      <c r="B780" s="128" t="inlineStr">
        <is>
          <t>RL7-PMP-108-PIT-01</t>
        </is>
      </c>
      <c r="C780" s="314" t="inlineStr">
        <is>
          <t>RL7-PMP-108-PIT-01</t>
        </is>
      </c>
      <c r="D780" s="262" t="n"/>
      <c r="E780" s="128" t="n"/>
      <c r="F780" s="138" t="inlineStr">
        <is>
          <t xml:space="preserve">DXP SYSTEM PRESSURE IN TRANSMITTER </t>
        </is>
      </c>
      <c r="G780" s="131" t="inlineStr">
        <is>
          <t>DG7606</t>
        </is>
      </c>
      <c r="H780" s="128" t="inlineStr">
        <is>
          <t>HX / LA</t>
        </is>
      </c>
      <c r="I780" s="132" t="inlineStr">
        <is>
          <t>RL7-DXPHX-RIO1</t>
        </is>
      </c>
      <c r="J780" s="133" t="n">
        <v>20</v>
      </c>
      <c r="K780" s="129" t="n">
        <v>2</v>
      </c>
      <c r="L780" s="129" t="n">
        <v>3</v>
      </c>
      <c r="M780" s="129" t="inlineStr">
        <is>
          <t>4-20 mA AI</t>
        </is>
      </c>
      <c r="N780" s="129" t="inlineStr">
        <is>
          <t>5069-IF8</t>
        </is>
      </c>
      <c r="O780" s="139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40" t="inlineStr">
        <is>
          <t>OEM PANEL</t>
        </is>
      </c>
      <c r="AA780" t="inlineStr">
        <is>
          <t>Matched</t>
        </is>
      </c>
      <c r="AB780" s="315" t="n">
        <v>0.99</v>
      </c>
      <c r="AC780" t="inlineStr">
        <is>
          <t>High</t>
        </is>
      </c>
      <c r="AD780" t="n">
        <v>1</v>
      </c>
      <c r="AE780" t="inlineStr">
        <is>
          <t>DG7606</t>
        </is>
      </c>
      <c r="AF780" t="n">
        <v>27</v>
      </c>
      <c r="AG780" t="inlineStr">
        <is>
          <t>drawing</t>
        </is>
      </c>
      <c r="AH780" t="inlineStr">
        <is>
          <t>stacked:isa</t>
        </is>
      </c>
      <c r="AI780" t="inlineStr">
        <is>
          <t>drawing zone; process page; mapped sheet; excel sheet match</t>
        </is>
      </c>
      <c r="AJ780" t="inlineStr">
        <is>
          <t>native</t>
        </is>
      </c>
      <c r="AK780" t="inlineStr">
        <is>
          <t>native-only</t>
        </is>
      </c>
      <c r="AM780" t="inlineStr">
        <is>
          <t>27</t>
        </is>
      </c>
      <c r="AN780" t="inlineStr">
        <is>
          <t>Yes</t>
        </is>
      </c>
      <c r="AO780" t="inlineStr">
        <is>
          <t>mapped sheet id</t>
        </is>
      </c>
      <c r="AP780" t="inlineStr">
        <is>
          <t>p27:native:280, p27:native:281</t>
        </is>
      </c>
      <c r="AQ780" t="n">
        <v>2</v>
      </c>
    </row>
    <row r="781">
      <c r="A781" s="203">
        <f>ROW()-1</f>
        <v/>
      </c>
      <c r="B781" s="128" t="inlineStr">
        <is>
          <t>RL7-TNK-102-PIT-01</t>
        </is>
      </c>
      <c r="C781" s="314" t="inlineStr">
        <is>
          <t>RL7-TNK-102-PIT-01</t>
        </is>
      </c>
      <c r="D781" s="262" t="n"/>
      <c r="E781" s="128" t="n"/>
      <c r="F781" s="138" t="inlineStr">
        <is>
          <t>DXP WATER INLET PRESSURE TRANSMITTER</t>
        </is>
      </c>
      <c r="G781" s="131" t="inlineStr">
        <is>
          <t>DG7606</t>
        </is>
      </c>
      <c r="H781" s="128" t="inlineStr">
        <is>
          <t>HX / LA</t>
        </is>
      </c>
      <c r="I781" s="132" t="inlineStr">
        <is>
          <t>RL7-DXPHX-RIO1</t>
        </is>
      </c>
      <c r="J781" s="133" t="n">
        <v>20</v>
      </c>
      <c r="K781" s="129" t="n">
        <v>2</v>
      </c>
      <c r="L781" s="129" t="n">
        <v>4</v>
      </c>
      <c r="M781" s="129" t="inlineStr">
        <is>
          <t>4-20 mA AI</t>
        </is>
      </c>
      <c r="N781" s="129" t="inlineStr">
        <is>
          <t>5069-IF8</t>
        </is>
      </c>
      <c r="O781" s="139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40" t="inlineStr">
        <is>
          <t>OEM PANEL</t>
        </is>
      </c>
      <c r="AA781" t="inlineStr">
        <is>
          <t>Matched</t>
        </is>
      </c>
      <c r="AB781" s="315" t="n">
        <v>0.99</v>
      </c>
      <c r="AC781" t="inlineStr">
        <is>
          <t>High</t>
        </is>
      </c>
      <c r="AD781" t="n">
        <v>1</v>
      </c>
      <c r="AE781" t="inlineStr">
        <is>
          <t>DG7606</t>
        </is>
      </c>
      <c r="AF781" t="n">
        <v>27</v>
      </c>
      <c r="AG781" t="inlineStr">
        <is>
          <t>drawing</t>
        </is>
      </c>
      <c r="AH781" t="inlineStr">
        <is>
          <t>stacked:isa</t>
        </is>
      </c>
      <c r="AI781" t="inlineStr">
        <is>
          <t>drawing zone; process page; mapped sheet; excel sheet match</t>
        </is>
      </c>
      <c r="AJ781" t="inlineStr">
        <is>
          <t>native</t>
        </is>
      </c>
      <c r="AK781" t="inlineStr">
        <is>
          <t>native-only</t>
        </is>
      </c>
      <c r="AM781" t="inlineStr">
        <is>
          <t>27</t>
        </is>
      </c>
      <c r="AN781" t="inlineStr">
        <is>
          <t>Yes</t>
        </is>
      </c>
      <c r="AO781" t="inlineStr">
        <is>
          <t>mapped sheet id</t>
        </is>
      </c>
      <c r="AP781" t="inlineStr">
        <is>
          <t>p27:native:25, p27:native:26</t>
        </is>
      </c>
      <c r="AQ781" t="n">
        <v>2</v>
      </c>
    </row>
    <row r="782">
      <c r="A782" s="203">
        <f>ROW()-1</f>
        <v/>
      </c>
      <c r="B782" s="128" t="inlineStr">
        <is>
          <t>RL7-HTX-101-PIT-01</t>
        </is>
      </c>
      <c r="C782" s="314" t="inlineStr">
        <is>
          <t>RL7-HTX-101-PIT-01</t>
        </is>
      </c>
      <c r="D782" s="262" t="n"/>
      <c r="E782" s="128" t="n"/>
      <c r="F782" s="138" t="inlineStr">
        <is>
          <t>DXP HEX PRESSURE IN TRANSMITTER</t>
        </is>
      </c>
      <c r="G782" s="131" t="inlineStr">
        <is>
          <t>DG7606</t>
        </is>
      </c>
      <c r="H782" s="128" t="inlineStr">
        <is>
          <t>HX / LA</t>
        </is>
      </c>
      <c r="I782" s="132" t="inlineStr">
        <is>
          <t>RL7-DXPHX-RIO1</t>
        </is>
      </c>
      <c r="J782" s="133" t="n">
        <v>20</v>
      </c>
      <c r="K782" s="129" t="n">
        <v>2</v>
      </c>
      <c r="L782" s="129" t="n">
        <v>5</v>
      </c>
      <c r="M782" s="129" t="inlineStr">
        <is>
          <t>4-20 mA AI</t>
        </is>
      </c>
      <c r="N782" s="129" t="inlineStr">
        <is>
          <t>5069-IF8</t>
        </is>
      </c>
      <c r="O782" s="139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40" t="inlineStr">
        <is>
          <t>OEM PANEL</t>
        </is>
      </c>
      <c r="AA782" t="inlineStr">
        <is>
          <t>Matched</t>
        </is>
      </c>
      <c r="AB782" s="315" t="n">
        <v>0.99</v>
      </c>
      <c r="AC782" t="inlineStr">
        <is>
          <t>High</t>
        </is>
      </c>
      <c r="AD782" t="n">
        <v>1</v>
      </c>
      <c r="AE782" t="inlineStr">
        <is>
          <t>DG7606</t>
        </is>
      </c>
      <c r="AF782" t="n">
        <v>27</v>
      </c>
      <c r="AG782" t="inlineStr">
        <is>
          <t>drawing</t>
        </is>
      </c>
      <c r="AH782" t="inlineStr">
        <is>
          <t>stacked:isa</t>
        </is>
      </c>
      <c r="AI782" t="inlineStr">
        <is>
          <t>drawing zone; process page; mapped sheet; excel sheet match</t>
        </is>
      </c>
      <c r="AJ782" t="inlineStr">
        <is>
          <t>native</t>
        </is>
      </c>
      <c r="AK782" t="inlineStr">
        <is>
          <t>native-only</t>
        </is>
      </c>
      <c r="AM782" t="inlineStr">
        <is>
          <t>27</t>
        </is>
      </c>
      <c r="AN782" t="inlineStr">
        <is>
          <t>Yes</t>
        </is>
      </c>
      <c r="AO782" t="inlineStr">
        <is>
          <t>mapped sheet id</t>
        </is>
      </c>
      <c r="AP782" t="inlineStr">
        <is>
          <t>p27:native:195, p27:native:196</t>
        </is>
      </c>
      <c r="AQ782" t="n">
        <v>2</v>
      </c>
    </row>
    <row r="783">
      <c r="A783" s="203">
        <f>ROW()-1</f>
        <v/>
      </c>
      <c r="B783" s="128" t="inlineStr">
        <is>
          <t>RL7-HTX-101-TVI-01</t>
        </is>
      </c>
      <c r="C783" s="314" t="inlineStr">
        <is>
          <t>RL7-HTX-101-TVI-01</t>
        </is>
      </c>
      <c r="D783" s="262" t="n"/>
      <c r="E783" s="128" t="n"/>
      <c r="F783" s="138" t="inlineStr">
        <is>
          <t>DXP TEMPERATURE CONTROL VALVE POSITION FEEDBACK</t>
        </is>
      </c>
      <c r="G783" s="131" t="inlineStr">
        <is>
          <t>DG7606</t>
        </is>
      </c>
      <c r="H783" s="128" t="inlineStr">
        <is>
          <t>HX / LA</t>
        </is>
      </c>
      <c r="I783" s="132" t="inlineStr">
        <is>
          <t>RL7-DXPHX-RIO1</t>
        </is>
      </c>
      <c r="J783" s="133" t="n">
        <v>20</v>
      </c>
      <c r="K783" s="129" t="n">
        <v>2</v>
      </c>
      <c r="L783" s="129" t="n">
        <v>6</v>
      </c>
      <c r="M783" s="129" t="inlineStr">
        <is>
          <t>4-20 mA AI</t>
        </is>
      </c>
      <c r="N783" s="129" t="inlineStr">
        <is>
          <t>5069-IF8</t>
        </is>
      </c>
      <c r="O783" s="139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40" t="inlineStr">
        <is>
          <t>OEM PANEL</t>
        </is>
      </c>
      <c r="AA783" t="inlineStr">
        <is>
          <t>Matched</t>
        </is>
      </c>
      <c r="AB783" s="315" t="n">
        <v>0.99</v>
      </c>
      <c r="AC783" t="inlineStr">
        <is>
          <t>High</t>
        </is>
      </c>
      <c r="AD783" t="n">
        <v>1</v>
      </c>
      <c r="AE783" t="inlineStr">
        <is>
          <t>DG7606</t>
        </is>
      </c>
      <c r="AF783" t="n">
        <v>27</v>
      </c>
      <c r="AG783" t="inlineStr">
        <is>
          <t>drawing</t>
        </is>
      </c>
      <c r="AH783" t="inlineStr">
        <is>
          <t>stacked:isa</t>
        </is>
      </c>
      <c r="AI783" t="inlineStr">
        <is>
          <t>drawing zone; process page; mapped sheet; excel sheet match</t>
        </is>
      </c>
      <c r="AJ783" t="inlineStr">
        <is>
          <t>native</t>
        </is>
      </c>
      <c r="AK783" t="inlineStr">
        <is>
          <t>native-only</t>
        </is>
      </c>
      <c r="AM783" t="inlineStr">
        <is>
          <t>27</t>
        </is>
      </c>
      <c r="AN783" t="inlineStr">
        <is>
          <t>Yes</t>
        </is>
      </c>
      <c r="AO783" t="inlineStr">
        <is>
          <t>mapped sheet id</t>
        </is>
      </c>
      <c r="AP783" t="inlineStr">
        <is>
          <t>p27:native:347, p27:native:348</t>
        </is>
      </c>
      <c r="AQ783" t="n">
        <v>2</v>
      </c>
    </row>
    <row r="784">
      <c r="A784" s="203">
        <f>ROW()-1</f>
        <v/>
      </c>
      <c r="B784" s="128" t="inlineStr">
        <is>
          <t>RL7-TNK-102-TT-01</t>
        </is>
      </c>
      <c r="C784" s="314" t="inlineStr">
        <is>
          <t>RL7-TNK-102-TT-01</t>
        </is>
      </c>
      <c r="D784" s="262" t="n"/>
      <c r="E784" s="128" t="n"/>
      <c r="F784" s="138" t="inlineStr">
        <is>
          <t xml:space="preserve">DXP TANK TEMPERATURE TRANSMITTER </t>
        </is>
      </c>
      <c r="G784" s="131" t="inlineStr">
        <is>
          <t>DG7606</t>
        </is>
      </c>
      <c r="H784" s="128" t="inlineStr">
        <is>
          <t>HX / LA</t>
        </is>
      </c>
      <c r="I784" s="132" t="inlineStr">
        <is>
          <t>RL7-DXPHX-RIO1</t>
        </is>
      </c>
      <c r="J784" s="133" t="n">
        <v>20</v>
      </c>
      <c r="K784" s="129" t="n">
        <v>2</v>
      </c>
      <c r="L784" s="129" t="n">
        <v>7</v>
      </c>
      <c r="M784" s="129" t="inlineStr">
        <is>
          <t>4-20 mA AI</t>
        </is>
      </c>
      <c r="N784" s="129" t="inlineStr">
        <is>
          <t>5069-IF8</t>
        </is>
      </c>
      <c r="O784" s="139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40" t="inlineStr">
        <is>
          <t>OEM PANEL</t>
        </is>
      </c>
      <c r="AA784" t="inlineStr">
        <is>
          <t>Matched</t>
        </is>
      </c>
      <c r="AB784" s="315" t="n">
        <v>0.99</v>
      </c>
      <c r="AC784" t="inlineStr">
        <is>
          <t>High</t>
        </is>
      </c>
      <c r="AD784" t="n">
        <v>1</v>
      </c>
      <c r="AE784" t="inlineStr">
        <is>
          <t>DG7606</t>
        </is>
      </c>
      <c r="AF784" t="n">
        <v>27</v>
      </c>
      <c r="AG784" t="inlineStr">
        <is>
          <t>drawing</t>
        </is>
      </c>
      <c r="AH784" t="inlineStr">
        <is>
          <t>stacked:isa</t>
        </is>
      </c>
      <c r="AI784" t="inlineStr">
        <is>
          <t>drawing zone; process page; mapped sheet; excel sheet match</t>
        </is>
      </c>
      <c r="AJ784" t="inlineStr">
        <is>
          <t>native</t>
        </is>
      </c>
      <c r="AK784" t="inlineStr">
        <is>
          <t>native-only</t>
        </is>
      </c>
      <c r="AM784" t="inlineStr">
        <is>
          <t>27</t>
        </is>
      </c>
      <c r="AN784" t="inlineStr">
        <is>
          <t>Yes</t>
        </is>
      </c>
      <c r="AO784" t="inlineStr">
        <is>
          <t>mapped sheet id</t>
        </is>
      </c>
      <c r="AP784" t="inlineStr">
        <is>
          <t>p27:native:55, p27:native:56</t>
        </is>
      </c>
      <c r="AQ784" t="n">
        <v>2</v>
      </c>
    </row>
    <row r="785">
      <c r="A785" s="203">
        <f>ROW()-1</f>
        <v/>
      </c>
      <c r="B785" s="128" t="inlineStr">
        <is>
          <t>RL7-HTX-101-TT-01</t>
        </is>
      </c>
      <c r="C785" s="314" t="inlineStr">
        <is>
          <t>RL7-HTX-101-TT-01</t>
        </is>
      </c>
      <c r="D785" s="262" t="n"/>
      <c r="E785" s="128" t="n"/>
      <c r="F785" s="138" t="inlineStr">
        <is>
          <t>DXP SUPPLY TEMPERATURE</t>
        </is>
      </c>
      <c r="G785" s="131" t="inlineStr">
        <is>
          <t>DG7606</t>
        </is>
      </c>
      <c r="H785" s="128" t="inlineStr">
        <is>
          <t>HX / LA</t>
        </is>
      </c>
      <c r="I785" s="132" t="inlineStr">
        <is>
          <t>RL7-DXPHX-RIO1</t>
        </is>
      </c>
      <c r="J785" s="133" t="n">
        <v>20</v>
      </c>
      <c r="K785" s="129" t="n">
        <v>3</v>
      </c>
      <c r="L785" s="129" t="n">
        <v>0</v>
      </c>
      <c r="M785" s="129" t="inlineStr">
        <is>
          <t>4-20 mA AI</t>
        </is>
      </c>
      <c r="N785" s="129" t="inlineStr">
        <is>
          <t>5069-IF8</t>
        </is>
      </c>
      <c r="O785" s="139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40" t="inlineStr">
        <is>
          <t>OEM PANEL</t>
        </is>
      </c>
      <c r="AA785" t="inlineStr">
        <is>
          <t>Matched</t>
        </is>
      </c>
      <c r="AB785" s="315" t="n">
        <v>0.99</v>
      </c>
      <c r="AC785" t="inlineStr">
        <is>
          <t>High</t>
        </is>
      </c>
      <c r="AD785" t="n">
        <v>1</v>
      </c>
      <c r="AE785" t="inlineStr">
        <is>
          <t>DG7606</t>
        </is>
      </c>
      <c r="AF785" t="n">
        <v>27</v>
      </c>
      <c r="AG785" t="inlineStr">
        <is>
          <t>drawing</t>
        </is>
      </c>
      <c r="AH785" t="inlineStr">
        <is>
          <t>stacked:isa</t>
        </is>
      </c>
      <c r="AI785" t="inlineStr">
        <is>
          <t>drawing zone; process page; mapped sheet; excel sheet match</t>
        </is>
      </c>
      <c r="AJ785" t="inlineStr">
        <is>
          <t>native</t>
        </is>
      </c>
      <c r="AK785" t="inlineStr">
        <is>
          <t>native-only</t>
        </is>
      </c>
      <c r="AM785" t="inlineStr">
        <is>
          <t>27</t>
        </is>
      </c>
      <c r="AN785" t="inlineStr">
        <is>
          <t>Yes</t>
        </is>
      </c>
      <c r="AO785" t="inlineStr">
        <is>
          <t>mapped sheet id</t>
        </is>
      </c>
      <c r="AP785" t="inlineStr">
        <is>
          <t>p27:native:162, p27:native:163</t>
        </is>
      </c>
      <c r="AQ785" t="n">
        <v>2</v>
      </c>
    </row>
    <row r="786">
      <c r="A786" s="203">
        <f>ROW()-1</f>
        <v/>
      </c>
      <c r="B786" s="128" t="inlineStr">
        <is>
          <t>RL7-HTX-101-TCV-01</t>
        </is>
      </c>
      <c r="C786" s="314" t="inlineStr">
        <is>
          <t>RL7-HTX-101-TCV-01</t>
        </is>
      </c>
      <c r="D786" s="262" t="n"/>
      <c r="E786" s="128" t="n"/>
      <c r="F786" s="138" t="inlineStr">
        <is>
          <t>DXP HOT WATER TCV</t>
        </is>
      </c>
      <c r="G786" s="131" t="inlineStr">
        <is>
          <t>DG7606</t>
        </is>
      </c>
      <c r="H786" s="128" t="inlineStr">
        <is>
          <t>HX / LA</t>
        </is>
      </c>
      <c r="I786" s="132" t="inlineStr">
        <is>
          <t>RL7-DXPHX-RIO1</t>
        </is>
      </c>
      <c r="J786" s="133" t="n">
        <v>20</v>
      </c>
      <c r="K786" s="129" t="n">
        <v>4</v>
      </c>
      <c r="L786" s="129" t="n">
        <v>0</v>
      </c>
      <c r="M786" s="129" t="inlineStr">
        <is>
          <t>4-20 mA AO</t>
        </is>
      </c>
      <c r="N786" s="129" t="inlineStr">
        <is>
          <t>5069-OF8</t>
        </is>
      </c>
      <c r="O786" s="139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40" t="inlineStr">
        <is>
          <t>OEM PANEL</t>
        </is>
      </c>
      <c r="AA786" t="inlineStr">
        <is>
          <t>Matched</t>
        </is>
      </c>
      <c r="AB786" s="315" t="n">
        <v>0.99</v>
      </c>
      <c r="AC786" t="inlineStr">
        <is>
          <t>High</t>
        </is>
      </c>
      <c r="AD786" t="n">
        <v>1</v>
      </c>
      <c r="AE786" t="inlineStr">
        <is>
          <t>DG7606</t>
        </is>
      </c>
      <c r="AF786" t="n">
        <v>27</v>
      </c>
      <c r="AG786" t="inlineStr">
        <is>
          <t>drawing</t>
        </is>
      </c>
      <c r="AH786" t="inlineStr">
        <is>
          <t>stacked:isa</t>
        </is>
      </c>
      <c r="AI786" t="inlineStr">
        <is>
          <t>drawing zone; process page; mapped sheet; excel sheet match</t>
        </is>
      </c>
      <c r="AJ786" t="inlineStr">
        <is>
          <t>native</t>
        </is>
      </c>
      <c r="AK786" t="inlineStr">
        <is>
          <t>native-only</t>
        </is>
      </c>
      <c r="AM786" t="inlineStr">
        <is>
          <t>27</t>
        </is>
      </c>
      <c r="AN786" t="inlineStr">
        <is>
          <t>Yes</t>
        </is>
      </c>
      <c r="AO786" t="inlineStr">
        <is>
          <t>mapped sheet id</t>
        </is>
      </c>
      <c r="AP786" t="inlineStr">
        <is>
          <t>p27:native:208, p27:native:209</t>
        </is>
      </c>
      <c r="AQ786" t="n">
        <v>2</v>
      </c>
    </row>
    <row r="787">
      <c r="A787" s="203">
        <f>ROW()-1</f>
        <v/>
      </c>
      <c r="B787" s="128" t="inlineStr">
        <is>
          <t>RL7-CKR-101-ZSO-101</t>
        </is>
      </c>
      <c r="C787" s="314" t="inlineStr">
        <is>
          <t>RL7-CKR-101-ZSO-101</t>
        </is>
      </c>
      <c r="D787" s="262" t="n"/>
      <c r="E787" s="128" t="n"/>
      <c r="F787" s="138" t="inlineStr">
        <is>
          <t>COOKER 1 HPS BLOCK VALVE OPEN LIMIT SWITCH</t>
        </is>
      </c>
      <c r="G787" s="131" t="inlineStr">
        <is>
          <t>DG7700</t>
        </is>
      </c>
      <c r="H787" s="128" t="inlineStr">
        <is>
          <t>INTSL</t>
        </is>
      </c>
      <c r="I787" s="131" t="inlineStr">
        <is>
          <t>RL7-INTSL-RIO1</t>
        </is>
      </c>
      <c r="J787" s="133" t="n">
        <v>18</v>
      </c>
      <c r="K787" s="129" t="n">
        <v>1</v>
      </c>
      <c r="L787" s="129" t="n">
        <v>4</v>
      </c>
      <c r="M787" s="129" t="inlineStr">
        <is>
          <t>24 VDC DI</t>
        </is>
      </c>
      <c r="N787" s="129" t="inlineStr">
        <is>
          <t>5069-IB16</t>
        </is>
      </c>
      <c r="O787" s="139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40" t="n"/>
      <c r="AA787" t="inlineStr">
        <is>
          <t>Matched</t>
        </is>
      </c>
      <c r="AB787" s="315" t="n">
        <v>0.99</v>
      </c>
      <c r="AC787" t="inlineStr">
        <is>
          <t>High</t>
        </is>
      </c>
      <c r="AD787" t="n">
        <v>1</v>
      </c>
      <c r="AE787" t="inlineStr">
        <is>
          <t>DG7700</t>
        </is>
      </c>
      <c r="AF787" t="n">
        <v>28</v>
      </c>
      <c r="AG787" t="inlineStr">
        <is>
          <t>drawing</t>
        </is>
      </c>
      <c r="AH787" t="inlineStr">
        <is>
          <t>stacked:isa</t>
        </is>
      </c>
      <c r="AI787" t="inlineStr">
        <is>
          <t>drawing zone; process page; mapped sheet; excel sheet match</t>
        </is>
      </c>
      <c r="AJ787" t="inlineStr">
        <is>
          <t>native</t>
        </is>
      </c>
      <c r="AK787" t="inlineStr">
        <is>
          <t>native-only</t>
        </is>
      </c>
      <c r="AM787" t="inlineStr">
        <is>
          <t>28</t>
        </is>
      </c>
      <c r="AN787" t="inlineStr">
        <is>
          <t>Yes</t>
        </is>
      </c>
      <c r="AO787" t="inlineStr">
        <is>
          <t>mapped sheet id</t>
        </is>
      </c>
      <c r="AP787" t="inlineStr">
        <is>
          <t>p28:native:141, p28:native:142</t>
        </is>
      </c>
      <c r="AQ787" t="n">
        <v>2</v>
      </c>
    </row>
    <row r="788">
      <c r="A788" s="203">
        <f>ROW()-1</f>
        <v/>
      </c>
      <c r="B788" s="128" t="inlineStr">
        <is>
          <t>RL7-CKR-101-ZSC-101</t>
        </is>
      </c>
      <c r="C788" s="314" t="inlineStr">
        <is>
          <t>RL7-CKR-101-ZSC-101</t>
        </is>
      </c>
      <c r="D788" s="262" t="n"/>
      <c r="E788" s="128" t="n"/>
      <c r="F788" s="138" t="inlineStr">
        <is>
          <t>COOKER 1 HPS BLOCK VALVE CLOSED LIMIT SWITCH</t>
        </is>
      </c>
      <c r="G788" s="131" t="inlineStr">
        <is>
          <t>DG7700</t>
        </is>
      </c>
      <c r="H788" s="128" t="inlineStr">
        <is>
          <t>INTSL</t>
        </is>
      </c>
      <c r="I788" s="131" t="inlineStr">
        <is>
          <t>RL7-INTSL-RIO1</t>
        </is>
      </c>
      <c r="J788" s="133" t="n">
        <v>18</v>
      </c>
      <c r="K788" s="129" t="n">
        <v>1</v>
      </c>
      <c r="L788" s="129" t="n">
        <v>5</v>
      </c>
      <c r="M788" s="129" t="inlineStr">
        <is>
          <t>24 VDC DI</t>
        </is>
      </c>
      <c r="N788" s="129" t="inlineStr">
        <is>
          <t>5069-IB16</t>
        </is>
      </c>
      <c r="O788" s="139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40" t="n"/>
      <c r="AA788" t="inlineStr">
        <is>
          <t>Matched</t>
        </is>
      </c>
      <c r="AB788" s="315" t="n">
        <v>0.99</v>
      </c>
      <c r="AC788" t="inlineStr">
        <is>
          <t>High</t>
        </is>
      </c>
      <c r="AD788" t="n">
        <v>1</v>
      </c>
      <c r="AE788" t="inlineStr">
        <is>
          <t>DG7700</t>
        </is>
      </c>
      <c r="AF788" t="n">
        <v>28</v>
      </c>
      <c r="AG788" t="inlineStr">
        <is>
          <t>drawing</t>
        </is>
      </c>
      <c r="AH788" t="inlineStr">
        <is>
          <t>stacked:isa</t>
        </is>
      </c>
      <c r="AI788" t="inlineStr">
        <is>
          <t>drawing zone; process page; mapped sheet; excel sheet match</t>
        </is>
      </c>
      <c r="AJ788" t="inlineStr">
        <is>
          <t>native</t>
        </is>
      </c>
      <c r="AK788" t="inlineStr">
        <is>
          <t>native-only</t>
        </is>
      </c>
      <c r="AM788" t="inlineStr">
        <is>
          <t>28</t>
        </is>
      </c>
      <c r="AN788" t="inlineStr">
        <is>
          <t>Yes</t>
        </is>
      </c>
      <c r="AO788" t="inlineStr">
        <is>
          <t>mapped sheet id</t>
        </is>
      </c>
      <c r="AP788" t="inlineStr">
        <is>
          <t>p28:native:143, p28:native:144</t>
        </is>
      </c>
      <c r="AQ788" t="n">
        <v>2</v>
      </c>
    </row>
    <row r="789">
      <c r="A789" s="203">
        <f>ROW()-1</f>
        <v/>
      </c>
      <c r="B789" s="128" t="inlineStr">
        <is>
          <t>RL7-CKR-102-ZSO-101</t>
        </is>
      </c>
      <c r="C789" s="314" t="inlineStr">
        <is>
          <t>RL7-CKR-102-ZSO-101</t>
        </is>
      </c>
      <c r="D789" s="262" t="n"/>
      <c r="E789" s="128" t="n"/>
      <c r="F789" s="138" t="inlineStr">
        <is>
          <t>COOKER 2 HPS BLOCK VALVE OPEN LIMIT SWITCH</t>
        </is>
      </c>
      <c r="G789" s="131" t="inlineStr">
        <is>
          <t>DG7700</t>
        </is>
      </c>
      <c r="H789" s="128" t="inlineStr">
        <is>
          <t>INTSL</t>
        </is>
      </c>
      <c r="I789" s="131" t="inlineStr">
        <is>
          <t>RL7-INTSL-RIO1</t>
        </is>
      </c>
      <c r="J789" s="133" t="n">
        <v>18</v>
      </c>
      <c r="K789" s="129" t="n">
        <v>2</v>
      </c>
      <c r="L789" s="129" t="n">
        <v>4</v>
      </c>
      <c r="M789" s="129" t="inlineStr">
        <is>
          <t>24 VDC DI</t>
        </is>
      </c>
      <c r="N789" s="129" t="inlineStr">
        <is>
          <t>5069-IB16</t>
        </is>
      </c>
      <c r="O789" s="139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40" t="n"/>
      <c r="AA789" t="inlineStr">
        <is>
          <t>Matched</t>
        </is>
      </c>
      <c r="AB789" s="315" t="n">
        <v>0.99</v>
      </c>
      <c r="AC789" t="inlineStr">
        <is>
          <t>High</t>
        </is>
      </c>
      <c r="AD789" t="n">
        <v>1</v>
      </c>
      <c r="AE789" t="inlineStr">
        <is>
          <t>DG7700</t>
        </is>
      </c>
      <c r="AF789" t="n">
        <v>28</v>
      </c>
      <c r="AG789" t="inlineStr">
        <is>
          <t>drawing</t>
        </is>
      </c>
      <c r="AH789" t="inlineStr">
        <is>
          <t>stacked:isa</t>
        </is>
      </c>
      <c r="AI789" t="inlineStr">
        <is>
          <t>drawing zone; process page; mapped sheet; excel sheet match</t>
        </is>
      </c>
      <c r="AJ789" t="inlineStr">
        <is>
          <t>native</t>
        </is>
      </c>
      <c r="AK789" t="inlineStr">
        <is>
          <t>native-only</t>
        </is>
      </c>
      <c r="AM789" t="inlineStr">
        <is>
          <t>28</t>
        </is>
      </c>
      <c r="AN789" t="inlineStr">
        <is>
          <t>Yes</t>
        </is>
      </c>
      <c r="AO789" t="inlineStr">
        <is>
          <t>mapped sheet id</t>
        </is>
      </c>
      <c r="AP789" t="inlineStr">
        <is>
          <t>p28:native:194, p28:native:195</t>
        </is>
      </c>
      <c r="AQ789" t="n">
        <v>2</v>
      </c>
    </row>
    <row r="790">
      <c r="A790" s="203">
        <f>ROW()-1</f>
        <v/>
      </c>
      <c r="B790" s="128" t="inlineStr">
        <is>
          <t>RL7-CKR-102-ZSC-101</t>
        </is>
      </c>
      <c r="C790" s="314" t="inlineStr">
        <is>
          <t>RL7-CKR-102-ZSC-101</t>
        </is>
      </c>
      <c r="D790" s="262" t="n"/>
      <c r="E790" s="128" t="n"/>
      <c r="F790" s="138" t="inlineStr">
        <is>
          <t>COOKER 2 HPS BLOCK VALVE CLOSED LIMIT SWITCH</t>
        </is>
      </c>
      <c r="G790" s="131" t="inlineStr">
        <is>
          <t>DG7700</t>
        </is>
      </c>
      <c r="H790" s="128" t="inlineStr">
        <is>
          <t>INTSL</t>
        </is>
      </c>
      <c r="I790" s="131" t="inlineStr">
        <is>
          <t>RL7-INTSL-RIO1</t>
        </is>
      </c>
      <c r="J790" s="133" t="n">
        <v>18</v>
      </c>
      <c r="K790" s="129" t="n">
        <v>2</v>
      </c>
      <c r="L790" s="129" t="n">
        <v>5</v>
      </c>
      <c r="M790" s="129" t="inlineStr">
        <is>
          <t>24 VDC DI</t>
        </is>
      </c>
      <c r="N790" s="129" t="inlineStr">
        <is>
          <t>5069-IB16</t>
        </is>
      </c>
      <c r="O790" s="139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40" t="n"/>
      <c r="AA790" t="inlineStr">
        <is>
          <t>Matched</t>
        </is>
      </c>
      <c r="AB790" s="315" t="n">
        <v>0.99</v>
      </c>
      <c r="AC790" t="inlineStr">
        <is>
          <t>High</t>
        </is>
      </c>
      <c r="AD790" t="n">
        <v>1</v>
      </c>
      <c r="AE790" t="inlineStr">
        <is>
          <t>DG7700</t>
        </is>
      </c>
      <c r="AF790" t="n">
        <v>28</v>
      </c>
      <c r="AG790" t="inlineStr">
        <is>
          <t>drawing</t>
        </is>
      </c>
      <c r="AH790" t="inlineStr">
        <is>
          <t>stacked:isa</t>
        </is>
      </c>
      <c r="AI790" t="inlineStr">
        <is>
          <t>drawing zone; process page; mapped sheet; excel sheet match</t>
        </is>
      </c>
      <c r="AJ790" t="inlineStr">
        <is>
          <t>native</t>
        </is>
      </c>
      <c r="AK790" t="inlineStr">
        <is>
          <t>native-only</t>
        </is>
      </c>
      <c r="AM790" t="inlineStr">
        <is>
          <t>28</t>
        </is>
      </c>
      <c r="AN790" t="inlineStr">
        <is>
          <t>Yes</t>
        </is>
      </c>
      <c r="AO790" t="inlineStr">
        <is>
          <t>mapped sheet id</t>
        </is>
      </c>
      <c r="AP790" t="inlineStr">
        <is>
          <t>p28:native:196, p28:native:197</t>
        </is>
      </c>
      <c r="AQ790" t="n">
        <v>2</v>
      </c>
    </row>
    <row r="791">
      <c r="A791" s="203">
        <f>ROW()-1</f>
        <v/>
      </c>
      <c r="B791" s="128" t="inlineStr">
        <is>
          <t>RL7-CKR-101-XV-101</t>
        </is>
      </c>
      <c r="C791" s="314" t="inlineStr">
        <is>
          <t>RL7-CKR-101-XV-101</t>
        </is>
      </c>
      <c r="D791" s="262" t="n"/>
      <c r="E791" s="128" t="n"/>
      <c r="F791" s="138" t="inlineStr">
        <is>
          <t>COOKER 1 HPS BLOCK VALVE OPEN SOLENOID</t>
        </is>
      </c>
      <c r="G791" s="131" t="inlineStr">
        <is>
          <t>DG7700</t>
        </is>
      </c>
      <c r="H791" s="128" t="inlineStr">
        <is>
          <t>INTSL</t>
        </is>
      </c>
      <c r="I791" s="131" t="inlineStr">
        <is>
          <t>RL7-INTSL-RIO1</t>
        </is>
      </c>
      <c r="J791" s="133" t="n">
        <v>18</v>
      </c>
      <c r="K791" s="129" t="n">
        <v>3</v>
      </c>
      <c r="L791" s="129" t="n">
        <v>1</v>
      </c>
      <c r="M791" s="129" t="inlineStr">
        <is>
          <t>24 VDC DO</t>
        </is>
      </c>
      <c r="N791" s="129" t="inlineStr">
        <is>
          <t>5069-OB16</t>
        </is>
      </c>
      <c r="O791" s="139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40" t="n"/>
      <c r="AA791" t="inlineStr">
        <is>
          <t>Matched</t>
        </is>
      </c>
      <c r="AB791" s="315" t="n">
        <v>0.99</v>
      </c>
      <c r="AC791" t="inlineStr">
        <is>
          <t>High</t>
        </is>
      </c>
      <c r="AD791" t="n">
        <v>1</v>
      </c>
      <c r="AE791" t="inlineStr">
        <is>
          <t>DG7700</t>
        </is>
      </c>
      <c r="AF791" t="n">
        <v>28</v>
      </c>
      <c r="AG791" t="inlineStr">
        <is>
          <t>drawing</t>
        </is>
      </c>
      <c r="AH791" t="inlineStr">
        <is>
          <t>stacked:isa</t>
        </is>
      </c>
      <c r="AI791" t="inlineStr">
        <is>
          <t>drawing zone; process page; mapped sheet; excel sheet match</t>
        </is>
      </c>
      <c r="AJ791" t="inlineStr">
        <is>
          <t>native</t>
        </is>
      </c>
      <c r="AK791" t="inlineStr">
        <is>
          <t>native-only</t>
        </is>
      </c>
      <c r="AM791" t="inlineStr">
        <is>
          <t>28</t>
        </is>
      </c>
      <c r="AN791" t="inlineStr">
        <is>
          <t>Yes</t>
        </is>
      </c>
      <c r="AO791" t="inlineStr">
        <is>
          <t>mapped sheet id</t>
        </is>
      </c>
      <c r="AP791" t="inlineStr">
        <is>
          <t>p28:native:103, p28:native:104</t>
        </is>
      </c>
      <c r="AQ791" t="n">
        <v>2</v>
      </c>
    </row>
    <row r="792">
      <c r="A792" s="203">
        <f>ROW()-1</f>
        <v/>
      </c>
      <c r="B792" s="128" t="inlineStr">
        <is>
          <t>RL7-CKR-102-XV-101</t>
        </is>
      </c>
      <c r="C792" s="314" t="inlineStr">
        <is>
          <t>RL7-CKR-102-XV-101</t>
        </is>
      </c>
      <c r="D792" s="262" t="n"/>
      <c r="E792" s="128" t="n"/>
      <c r="F792" s="138" t="inlineStr">
        <is>
          <t>COOKER 2 HPS BLOCK VALVE OPEN SOLENOID</t>
        </is>
      </c>
      <c r="G792" s="131" t="inlineStr">
        <is>
          <t>DG7700</t>
        </is>
      </c>
      <c r="H792" s="128" t="inlineStr">
        <is>
          <t>INTSL</t>
        </is>
      </c>
      <c r="I792" s="131" t="inlineStr">
        <is>
          <t>RL7-INTSL-RIO1</t>
        </is>
      </c>
      <c r="J792" s="133" t="n">
        <v>18</v>
      </c>
      <c r="K792" s="129" t="n">
        <v>4</v>
      </c>
      <c r="L792" s="129" t="n">
        <v>1</v>
      </c>
      <c r="M792" s="129" t="inlineStr">
        <is>
          <t>24 VDC DO</t>
        </is>
      </c>
      <c r="N792" s="129" t="inlineStr">
        <is>
          <t>5069-OB16</t>
        </is>
      </c>
      <c r="O792" s="139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40" t="n"/>
      <c r="AA792" t="inlineStr">
        <is>
          <t>Matched</t>
        </is>
      </c>
      <c r="AB792" s="315" t="n">
        <v>0.99</v>
      </c>
      <c r="AC792" t="inlineStr">
        <is>
          <t>High</t>
        </is>
      </c>
      <c r="AD792" t="n">
        <v>1</v>
      </c>
      <c r="AE792" t="inlineStr">
        <is>
          <t>DG7700</t>
        </is>
      </c>
      <c r="AF792" t="n">
        <v>28</v>
      </c>
      <c r="AG792" t="inlineStr">
        <is>
          <t>drawing</t>
        </is>
      </c>
      <c r="AH792" t="inlineStr">
        <is>
          <t>stacked:isa</t>
        </is>
      </c>
      <c r="AI792" t="inlineStr">
        <is>
          <t>drawing zone; process page; mapped sheet; excel sheet match</t>
        </is>
      </c>
      <c r="AJ792" t="inlineStr">
        <is>
          <t>native</t>
        </is>
      </c>
      <c r="AK792" t="inlineStr">
        <is>
          <t>native-only</t>
        </is>
      </c>
      <c r="AM792" t="inlineStr">
        <is>
          <t>28</t>
        </is>
      </c>
      <c r="AN792" t="inlineStr">
        <is>
          <t>Yes</t>
        </is>
      </c>
      <c r="AO792" t="inlineStr">
        <is>
          <t>mapped sheet id</t>
        </is>
      </c>
      <c r="AP792" t="inlineStr">
        <is>
          <t>p28:native:156, p28:native:157</t>
        </is>
      </c>
      <c r="AQ792" t="n">
        <v>2</v>
      </c>
    </row>
    <row r="793">
      <c r="A793" s="203">
        <f>ROW()-1</f>
        <v/>
      </c>
      <c r="B793" s="128" t="inlineStr">
        <is>
          <t>RL7-CKR-101-FIT-101</t>
        </is>
      </c>
      <c r="C793" s="314" t="inlineStr">
        <is>
          <t>RL7-CKR-101-FIT-101</t>
        </is>
      </c>
      <c r="D793" s="262" t="n"/>
      <c r="E793" s="128" t="n"/>
      <c r="F793" s="138" t="inlineStr">
        <is>
          <t>COOKER 1 HPS FLOW</t>
        </is>
      </c>
      <c r="G793" s="131" t="inlineStr">
        <is>
          <t>DG7700</t>
        </is>
      </c>
      <c r="H793" s="128" t="inlineStr">
        <is>
          <t>INTSL</t>
        </is>
      </c>
      <c r="I793" s="131" t="inlineStr">
        <is>
          <t>RL7-INTSL-RIO1</t>
        </is>
      </c>
      <c r="J793" s="133" t="n">
        <v>18</v>
      </c>
      <c r="K793" s="129" t="n">
        <v>6</v>
      </c>
      <c r="L793" s="129" t="n">
        <v>0</v>
      </c>
      <c r="M793" s="129" t="inlineStr">
        <is>
          <t>4-20 mA AI</t>
        </is>
      </c>
      <c r="N793" s="129" t="inlineStr">
        <is>
          <t>5069-IF8</t>
        </is>
      </c>
      <c r="O793" s="134" t="inlineStr">
        <is>
          <t>0 - 7000 LB/HR</t>
        </is>
      </c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40" t="n"/>
      <c r="AA793" t="inlineStr">
        <is>
          <t>Matched</t>
        </is>
      </c>
      <c r="AB793" s="315" t="n">
        <v>0.99</v>
      </c>
      <c r="AC793" t="inlineStr">
        <is>
          <t>High</t>
        </is>
      </c>
      <c r="AD793" t="n">
        <v>1</v>
      </c>
      <c r="AE793" t="inlineStr">
        <is>
          <t>DG7700</t>
        </is>
      </c>
      <c r="AF793" t="n">
        <v>28</v>
      </c>
      <c r="AG793" t="inlineStr">
        <is>
          <t>drawing</t>
        </is>
      </c>
      <c r="AH793" t="inlineStr">
        <is>
          <t>stacked:isa</t>
        </is>
      </c>
      <c r="AI793" t="inlineStr">
        <is>
          <t>drawing zone; process page; mapped sheet; excel sheet match</t>
        </is>
      </c>
      <c r="AJ793" t="inlineStr">
        <is>
          <t>native</t>
        </is>
      </c>
      <c r="AK793" t="inlineStr">
        <is>
          <t>native-only</t>
        </is>
      </c>
      <c r="AM793" t="inlineStr">
        <is>
          <t>28</t>
        </is>
      </c>
      <c r="AN793" t="inlineStr">
        <is>
          <t>Yes</t>
        </is>
      </c>
      <c r="AO793" t="inlineStr">
        <is>
          <t>mapped sheet id</t>
        </is>
      </c>
      <c r="AP793" t="inlineStr">
        <is>
          <t>p28:native:107, p28:native:108</t>
        </is>
      </c>
      <c r="AQ793" t="n">
        <v>2</v>
      </c>
    </row>
    <row r="794">
      <c r="A794" s="203">
        <f>ROW()-1</f>
        <v/>
      </c>
      <c r="B794" s="128" t="inlineStr">
        <is>
          <t>RL7-CKR-101-PIT-101</t>
        </is>
      </c>
      <c r="C794" s="314" t="inlineStr">
        <is>
          <t>RL7-CKR-101-PIT-101</t>
        </is>
      </c>
      <c r="D794" s="262" t="n"/>
      <c r="E794" s="128" t="n"/>
      <c r="F794" s="138" t="inlineStr">
        <is>
          <t>COOKER 1 HPS BYPASS PRESSURE</t>
        </is>
      </c>
      <c r="G794" s="131" t="inlineStr">
        <is>
          <t>DG7700</t>
        </is>
      </c>
      <c r="H794" s="128" t="inlineStr">
        <is>
          <t>INTSL</t>
        </is>
      </c>
      <c r="I794" s="131" t="inlineStr">
        <is>
          <t>RL7-INTSL-RIO1</t>
        </is>
      </c>
      <c r="J794" s="133" t="n">
        <v>18</v>
      </c>
      <c r="K794" s="129" t="n">
        <v>6</v>
      </c>
      <c r="L794" s="129" t="n">
        <v>1</v>
      </c>
      <c r="M794" s="129" t="inlineStr">
        <is>
          <t>4-20 mA AI</t>
        </is>
      </c>
      <c r="N794" s="129" t="inlineStr">
        <is>
          <t>5069-IF8</t>
        </is>
      </c>
      <c r="O794" s="134" t="inlineStr">
        <is>
          <t>0 - 10 BAR</t>
        </is>
      </c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40" t="n"/>
      <c r="AA794" t="inlineStr">
        <is>
          <t>Matched</t>
        </is>
      </c>
      <c r="AB794" s="315" t="n">
        <v>0.99</v>
      </c>
      <c r="AC794" t="inlineStr">
        <is>
          <t>High</t>
        </is>
      </c>
      <c r="AD794" t="n">
        <v>1</v>
      </c>
      <c r="AE794" t="inlineStr">
        <is>
          <t>DG7700</t>
        </is>
      </c>
      <c r="AF794" t="n">
        <v>28</v>
      </c>
      <c r="AG794" t="inlineStr">
        <is>
          <t>drawing</t>
        </is>
      </c>
      <c r="AH794" t="inlineStr">
        <is>
          <t>stacked:isa</t>
        </is>
      </c>
      <c r="AI794" t="inlineStr">
        <is>
          <t>drawing zone; process page; mapped sheet; excel sheet match</t>
        </is>
      </c>
      <c r="AJ794" t="inlineStr">
        <is>
          <t>native</t>
        </is>
      </c>
      <c r="AK794" t="inlineStr">
        <is>
          <t>native-only</t>
        </is>
      </c>
      <c r="AM794" t="inlineStr">
        <is>
          <t>28</t>
        </is>
      </c>
      <c r="AN794" t="inlineStr">
        <is>
          <t>Yes</t>
        </is>
      </c>
      <c r="AO794" t="inlineStr">
        <is>
          <t>mapped sheet id</t>
        </is>
      </c>
      <c r="AP794" t="inlineStr">
        <is>
          <t>p28:native:129, p28:native:130</t>
        </is>
      </c>
      <c r="AQ794" t="n">
        <v>2</v>
      </c>
    </row>
    <row r="795">
      <c r="A795" s="203">
        <f>ROW()-1</f>
        <v/>
      </c>
      <c r="B795" s="128" t="inlineStr">
        <is>
          <t>RL7-CKR-101-PIT-102</t>
        </is>
      </c>
      <c r="C795" s="314" t="inlineStr">
        <is>
          <t>RL7-CKR-101-PIT-102</t>
        </is>
      </c>
      <c r="D795" s="262" t="n"/>
      <c r="E795" s="128" t="n"/>
      <c r="F795" s="138" t="inlineStr">
        <is>
          <t>COOKER 1 HPS PRESSURE</t>
        </is>
      </c>
      <c r="G795" s="131" t="inlineStr">
        <is>
          <t>DG7700</t>
        </is>
      </c>
      <c r="H795" s="128" t="inlineStr">
        <is>
          <t>INTSL</t>
        </is>
      </c>
      <c r="I795" s="131" t="inlineStr">
        <is>
          <t>RL7-INTSL-RIO1</t>
        </is>
      </c>
      <c r="J795" s="133" t="n">
        <v>18</v>
      </c>
      <c r="K795" s="129" t="n">
        <v>6</v>
      </c>
      <c r="L795" s="129" t="n">
        <v>2</v>
      </c>
      <c r="M795" s="129" t="inlineStr">
        <is>
          <t>4-20 mA AI</t>
        </is>
      </c>
      <c r="N795" s="129" t="inlineStr">
        <is>
          <t>5069-IF8</t>
        </is>
      </c>
      <c r="O795" s="134" t="inlineStr">
        <is>
          <t>0 - 10 BAR</t>
        </is>
      </c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40" t="n"/>
      <c r="AA795" t="inlineStr">
        <is>
          <t>Matched</t>
        </is>
      </c>
      <c r="AB795" s="315" t="n">
        <v>0.99</v>
      </c>
      <c r="AC795" t="inlineStr">
        <is>
          <t>High</t>
        </is>
      </c>
      <c r="AD795" t="n">
        <v>1</v>
      </c>
      <c r="AE795" t="inlineStr">
        <is>
          <t>DG7700</t>
        </is>
      </c>
      <c r="AF795" t="n">
        <v>28</v>
      </c>
      <c r="AG795" t="inlineStr">
        <is>
          <t>drawing</t>
        </is>
      </c>
      <c r="AH795" t="inlineStr">
        <is>
          <t>stacked:isa</t>
        </is>
      </c>
      <c r="AI795" t="inlineStr">
        <is>
          <t>drawing zone; process page; mapped sheet; excel sheet match</t>
        </is>
      </c>
      <c r="AJ795" t="inlineStr">
        <is>
          <t>native</t>
        </is>
      </c>
      <c r="AK795" t="inlineStr">
        <is>
          <t>native-only</t>
        </is>
      </c>
      <c r="AM795" t="inlineStr">
        <is>
          <t>28</t>
        </is>
      </c>
      <c r="AN795" t="inlineStr">
        <is>
          <t>Yes</t>
        </is>
      </c>
      <c r="AO795" t="inlineStr">
        <is>
          <t>mapped sheet id</t>
        </is>
      </c>
      <c r="AP795" t="inlineStr">
        <is>
          <t>p28:native:131, p28:native:132</t>
        </is>
      </c>
      <c r="AQ795" t="n">
        <v>2</v>
      </c>
    </row>
    <row r="796">
      <c r="A796" s="203">
        <f>ROW()-1</f>
        <v/>
      </c>
      <c r="B796" s="128" t="inlineStr">
        <is>
          <t>RL7-CKR-101-TVI-101</t>
        </is>
      </c>
      <c r="C796" s="314" t="inlineStr">
        <is>
          <t>RL7-CKR-101-TVI-101</t>
        </is>
      </c>
      <c r="D796" s="262" t="n"/>
      <c r="E796" s="128" t="n"/>
      <c r="F796" s="138" t="inlineStr">
        <is>
          <t>COOKER 1 HPS CONTROL VALVE POSITION FEEDBACK</t>
        </is>
      </c>
      <c r="G796" s="131" t="inlineStr">
        <is>
          <t>DG7700</t>
        </is>
      </c>
      <c r="H796" s="128" t="inlineStr">
        <is>
          <t>INTSL</t>
        </is>
      </c>
      <c r="I796" s="131" t="inlineStr">
        <is>
          <t>RL7-INTSL-RIO1</t>
        </is>
      </c>
      <c r="J796" s="133" t="n">
        <v>18</v>
      </c>
      <c r="K796" s="129" t="n">
        <v>6</v>
      </c>
      <c r="L796" s="129" t="n">
        <v>3</v>
      </c>
      <c r="M796" s="129" t="inlineStr">
        <is>
          <t>4-20 mA AI</t>
        </is>
      </c>
      <c r="N796" s="129" t="inlineStr">
        <is>
          <t>5069-IF8</t>
        </is>
      </c>
      <c r="O796" s="134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33" t="inlineStr">
        <is>
          <t>RL7-HTX-101A-TT-02</t>
        </is>
      </c>
      <c r="AA796" t="inlineStr">
        <is>
          <t>Matched</t>
        </is>
      </c>
      <c r="AB796" s="315" t="n">
        <v>0.99</v>
      </c>
      <c r="AC796" t="inlineStr">
        <is>
          <t>High</t>
        </is>
      </c>
      <c r="AD796" t="n">
        <v>1</v>
      </c>
      <c r="AE796" t="inlineStr">
        <is>
          <t>DG7700</t>
        </is>
      </c>
      <c r="AF796" t="n">
        <v>28</v>
      </c>
      <c r="AG796" t="inlineStr">
        <is>
          <t>drawing</t>
        </is>
      </c>
      <c r="AH796" t="inlineStr">
        <is>
          <t>stacked:isa</t>
        </is>
      </c>
      <c r="AI796" t="inlineStr">
        <is>
          <t>drawing zone; process page; mapped sheet; excel sheet match</t>
        </is>
      </c>
      <c r="AJ796" t="inlineStr">
        <is>
          <t>native</t>
        </is>
      </c>
      <c r="AK796" t="inlineStr">
        <is>
          <t>native-only</t>
        </is>
      </c>
      <c r="AM796" t="inlineStr">
        <is>
          <t>28</t>
        </is>
      </c>
      <c r="AN796" t="inlineStr">
        <is>
          <t>Yes</t>
        </is>
      </c>
      <c r="AO796" t="inlineStr">
        <is>
          <t>mapped sheet id</t>
        </is>
      </c>
      <c r="AP796" t="inlineStr">
        <is>
          <t>p28:native:111, p28:native:112</t>
        </is>
      </c>
      <c r="AQ796" t="n">
        <v>2</v>
      </c>
    </row>
    <row r="797">
      <c r="A797" s="203">
        <f>ROW()-1</f>
        <v/>
      </c>
      <c r="B797" s="128" t="inlineStr">
        <is>
          <t>RL7-CKR-102-FIT-101</t>
        </is>
      </c>
      <c r="C797" s="314" t="inlineStr">
        <is>
          <t>RL7-CKR-102-FIT-101</t>
        </is>
      </c>
      <c r="D797" s="262" t="n"/>
      <c r="E797" s="128" t="n"/>
      <c r="F797" s="138" t="inlineStr">
        <is>
          <t>COOKER 2 HPS FLOW</t>
        </is>
      </c>
      <c r="G797" s="131" t="inlineStr">
        <is>
          <t>DG7700</t>
        </is>
      </c>
      <c r="H797" s="128" t="inlineStr">
        <is>
          <t>INTSL</t>
        </is>
      </c>
      <c r="I797" s="131" t="inlineStr">
        <is>
          <t>RL7-INTSL-RIO1</t>
        </is>
      </c>
      <c r="J797" s="133" t="n">
        <v>18</v>
      </c>
      <c r="K797" s="129" t="n">
        <v>7</v>
      </c>
      <c r="L797" s="129" t="n">
        <v>0</v>
      </c>
      <c r="M797" s="129" t="inlineStr">
        <is>
          <t>4-20 mA AI</t>
        </is>
      </c>
      <c r="N797" s="129" t="inlineStr">
        <is>
          <t>5069-IF8</t>
        </is>
      </c>
      <c r="O797" s="134" t="inlineStr">
        <is>
          <t>0 - 7000 LB/HR</t>
        </is>
      </c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40" t="n"/>
      <c r="AA797" t="inlineStr">
        <is>
          <t>Matched</t>
        </is>
      </c>
      <c r="AB797" s="315" t="n">
        <v>0.99</v>
      </c>
      <c r="AC797" t="inlineStr">
        <is>
          <t>High</t>
        </is>
      </c>
      <c r="AD797" t="n">
        <v>1</v>
      </c>
      <c r="AE797" t="inlineStr">
        <is>
          <t>DG7700</t>
        </is>
      </c>
      <c r="AF797" t="n">
        <v>28</v>
      </c>
      <c r="AG797" t="inlineStr">
        <is>
          <t>drawing</t>
        </is>
      </c>
      <c r="AH797" t="inlineStr">
        <is>
          <t>stacked:isa</t>
        </is>
      </c>
      <c r="AI797" t="inlineStr">
        <is>
          <t>drawing zone; process page; mapped sheet; excel sheet match</t>
        </is>
      </c>
      <c r="AJ797" t="inlineStr">
        <is>
          <t>native</t>
        </is>
      </c>
      <c r="AK797" t="inlineStr">
        <is>
          <t>native-only</t>
        </is>
      </c>
      <c r="AM797" t="inlineStr">
        <is>
          <t>28</t>
        </is>
      </c>
      <c r="AN797" t="inlineStr">
        <is>
          <t>Yes</t>
        </is>
      </c>
      <c r="AO797" t="inlineStr">
        <is>
          <t>mapped sheet id</t>
        </is>
      </c>
      <c r="AP797" t="inlineStr">
        <is>
          <t>p28:native:160, p28:native:161</t>
        </is>
      </c>
      <c r="AQ797" t="n">
        <v>2</v>
      </c>
    </row>
    <row r="798">
      <c r="A798" s="203">
        <f>ROW()-1</f>
        <v/>
      </c>
      <c r="B798" s="128" t="inlineStr">
        <is>
          <t>RL7-CKR-102-PIT-101</t>
        </is>
      </c>
      <c r="C798" s="314" t="inlineStr">
        <is>
          <t>RL7-CKR-102-PIT-101</t>
        </is>
      </c>
      <c r="D798" s="262" t="n"/>
      <c r="E798" s="128" t="n"/>
      <c r="F798" s="138" t="inlineStr">
        <is>
          <t>COOKER 2 HPS BYPASS PRESSURE</t>
        </is>
      </c>
      <c r="G798" s="131" t="inlineStr">
        <is>
          <t>DG7700</t>
        </is>
      </c>
      <c r="H798" s="128" t="inlineStr">
        <is>
          <t>INTSL</t>
        </is>
      </c>
      <c r="I798" s="131" t="inlineStr">
        <is>
          <t>RL7-INTSL-RIO1</t>
        </is>
      </c>
      <c r="J798" s="133" t="n">
        <v>18</v>
      </c>
      <c r="K798" s="129" t="n">
        <v>7</v>
      </c>
      <c r="L798" s="129" t="n">
        <v>1</v>
      </c>
      <c r="M798" s="129" t="inlineStr">
        <is>
          <t>4-20 mA AI</t>
        </is>
      </c>
      <c r="N798" s="129" t="inlineStr">
        <is>
          <t>5069-IF8</t>
        </is>
      </c>
      <c r="O798" s="134" t="inlineStr">
        <is>
          <t>0 - 10 BAR</t>
        </is>
      </c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40" t="n"/>
      <c r="AA798" t="inlineStr">
        <is>
          <t>Matched</t>
        </is>
      </c>
      <c r="AB798" s="315" t="n">
        <v>0.99</v>
      </c>
      <c r="AC798" t="inlineStr">
        <is>
          <t>High</t>
        </is>
      </c>
      <c r="AD798" t="n">
        <v>1</v>
      </c>
      <c r="AE798" t="inlineStr">
        <is>
          <t>DG7700</t>
        </is>
      </c>
      <c r="AF798" t="n">
        <v>28</v>
      </c>
      <c r="AG798" t="inlineStr">
        <is>
          <t>drawing</t>
        </is>
      </c>
      <c r="AH798" t="inlineStr">
        <is>
          <t>stacked:isa</t>
        </is>
      </c>
      <c r="AI798" t="inlineStr">
        <is>
          <t>drawing zone; process page; mapped sheet; excel sheet match</t>
        </is>
      </c>
      <c r="AJ798" t="inlineStr">
        <is>
          <t>native</t>
        </is>
      </c>
      <c r="AK798" t="inlineStr">
        <is>
          <t>native-only</t>
        </is>
      </c>
      <c r="AM798" t="inlineStr">
        <is>
          <t>28</t>
        </is>
      </c>
      <c r="AN798" t="inlineStr">
        <is>
          <t>Yes</t>
        </is>
      </c>
      <c r="AO798" t="inlineStr">
        <is>
          <t>mapped sheet id</t>
        </is>
      </c>
      <c r="AP798" t="inlineStr">
        <is>
          <t>p28:native:182, p28:native:183</t>
        </is>
      </c>
      <c r="AQ798" t="n">
        <v>2</v>
      </c>
    </row>
    <row r="799">
      <c r="A799" s="203">
        <f>ROW()-1</f>
        <v/>
      </c>
      <c r="B799" s="128" t="inlineStr">
        <is>
          <t>RL7-CKR-102-PIT-102</t>
        </is>
      </c>
      <c r="C799" s="314" t="inlineStr">
        <is>
          <t>RL7-CKR-102-PIT-102</t>
        </is>
      </c>
      <c r="D799" s="262" t="n"/>
      <c r="E799" s="128" t="n"/>
      <c r="F799" s="138" t="inlineStr">
        <is>
          <t>COOKER 2 HPS PRESSURE</t>
        </is>
      </c>
      <c r="G799" s="131" t="inlineStr">
        <is>
          <t>DG7700</t>
        </is>
      </c>
      <c r="H799" s="128" t="inlineStr">
        <is>
          <t>INTSL</t>
        </is>
      </c>
      <c r="I799" s="131" t="inlineStr">
        <is>
          <t>RL7-INTSL-RIO1</t>
        </is>
      </c>
      <c r="J799" s="133" t="n">
        <v>18</v>
      </c>
      <c r="K799" s="129" t="n">
        <v>7</v>
      </c>
      <c r="L799" s="129" t="n">
        <v>2</v>
      </c>
      <c r="M799" s="129" t="inlineStr">
        <is>
          <t>4-20 mA AI</t>
        </is>
      </c>
      <c r="N799" s="129" t="inlineStr">
        <is>
          <t>5069-IF8</t>
        </is>
      </c>
      <c r="O799" s="134" t="inlineStr">
        <is>
          <t>0 - 10 BAR</t>
        </is>
      </c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40" t="n"/>
      <c r="AA799" t="inlineStr">
        <is>
          <t>Matched</t>
        </is>
      </c>
      <c r="AB799" s="315" t="n">
        <v>0.99</v>
      </c>
      <c r="AC799" t="inlineStr">
        <is>
          <t>High</t>
        </is>
      </c>
      <c r="AD799" t="n">
        <v>1</v>
      </c>
      <c r="AE799" t="inlineStr">
        <is>
          <t>DG7700</t>
        </is>
      </c>
      <c r="AF799" t="n">
        <v>28</v>
      </c>
      <c r="AG799" t="inlineStr">
        <is>
          <t>drawing</t>
        </is>
      </c>
      <c r="AH799" t="inlineStr">
        <is>
          <t>stacked:isa</t>
        </is>
      </c>
      <c r="AI799" t="inlineStr">
        <is>
          <t>drawing zone; process page; mapped sheet; excel sheet match</t>
        </is>
      </c>
      <c r="AJ799" t="inlineStr">
        <is>
          <t>native</t>
        </is>
      </c>
      <c r="AK799" t="inlineStr">
        <is>
          <t>native-only</t>
        </is>
      </c>
      <c r="AM799" t="inlineStr">
        <is>
          <t>28</t>
        </is>
      </c>
      <c r="AN799" t="inlineStr">
        <is>
          <t>Yes</t>
        </is>
      </c>
      <c r="AO799" t="inlineStr">
        <is>
          <t>mapped sheet id</t>
        </is>
      </c>
      <c r="AP799" t="inlineStr">
        <is>
          <t>p28:native:184, p28:native:185</t>
        </is>
      </c>
      <c r="AQ799" t="n">
        <v>2</v>
      </c>
    </row>
    <row r="800">
      <c r="A800" s="203">
        <f>ROW()-1</f>
        <v/>
      </c>
      <c r="B800" s="128" t="inlineStr">
        <is>
          <t>RL7-CKR-102-TVI-101</t>
        </is>
      </c>
      <c r="C800" s="314" t="inlineStr">
        <is>
          <t>RL7-CKR-102-TVI-101</t>
        </is>
      </c>
      <c r="D800" s="262" t="n"/>
      <c r="E800" s="128" t="n"/>
      <c r="F800" s="138" t="inlineStr">
        <is>
          <t>COOKER 2 HPS CONTROL VALVE POSITION FEEDBACK</t>
        </is>
      </c>
      <c r="G800" s="131" t="inlineStr">
        <is>
          <t>DG7700</t>
        </is>
      </c>
      <c r="H800" s="128" t="inlineStr">
        <is>
          <t>INTSL</t>
        </is>
      </c>
      <c r="I800" s="131" t="inlineStr">
        <is>
          <t>RL7-INTSL-RIO1</t>
        </is>
      </c>
      <c r="J800" s="133" t="n">
        <v>18</v>
      </c>
      <c r="K800" s="129" t="n">
        <v>7</v>
      </c>
      <c r="L800" s="129" t="n">
        <v>3</v>
      </c>
      <c r="M800" s="129" t="inlineStr">
        <is>
          <t>4-20 mA AI</t>
        </is>
      </c>
      <c r="N800" s="129" t="inlineStr">
        <is>
          <t>5069-IF8</t>
        </is>
      </c>
      <c r="O800" s="134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33" t="inlineStr">
        <is>
          <t>RL7-HTX-101B-TT-02</t>
        </is>
      </c>
      <c r="AA800" t="inlineStr">
        <is>
          <t>Matched</t>
        </is>
      </c>
      <c r="AB800" s="315" t="n">
        <v>0.99</v>
      </c>
      <c r="AC800" t="inlineStr">
        <is>
          <t>High</t>
        </is>
      </c>
      <c r="AD800" t="n">
        <v>1</v>
      </c>
      <c r="AE800" t="inlineStr">
        <is>
          <t>DG7700</t>
        </is>
      </c>
      <c r="AF800" t="n">
        <v>28</v>
      </c>
      <c r="AG800" t="inlineStr">
        <is>
          <t>drawing</t>
        </is>
      </c>
      <c r="AH800" t="inlineStr">
        <is>
          <t>stacked:isa</t>
        </is>
      </c>
      <c r="AI800" t="inlineStr">
        <is>
          <t>drawing zone; process page; mapped sheet; excel sheet match</t>
        </is>
      </c>
      <c r="AJ800" t="inlineStr">
        <is>
          <t>native</t>
        </is>
      </c>
      <c r="AK800" t="inlineStr">
        <is>
          <t>native-only</t>
        </is>
      </c>
      <c r="AM800" t="inlineStr">
        <is>
          <t>28</t>
        </is>
      </c>
      <c r="AN800" t="inlineStr">
        <is>
          <t>Yes</t>
        </is>
      </c>
      <c r="AO800" t="inlineStr">
        <is>
          <t>mapped sheet id</t>
        </is>
      </c>
      <c r="AP800" t="inlineStr">
        <is>
          <t>p28:native:164, p28:native:165</t>
        </is>
      </c>
      <c r="AQ800" t="n">
        <v>2</v>
      </c>
    </row>
    <row r="801">
      <c r="A801" s="203">
        <f>ROW()-1</f>
        <v/>
      </c>
      <c r="B801" s="133" t="n"/>
      <c r="C801" s="316" t="inlineStr">
        <is>
          <t>RL7-CKR-200-PIT-101</t>
        </is>
      </c>
      <c r="D801" s="264" t="n"/>
      <c r="E801" s="133" t="n"/>
      <c r="F801" s="141" t="inlineStr">
        <is>
          <t>PHASE 2A COOKERS HPS HEADER PRESSURE</t>
        </is>
      </c>
      <c r="G801" s="142" t="inlineStr">
        <is>
          <t>DG7700</t>
        </is>
      </c>
      <c r="H801" s="133" t="inlineStr">
        <is>
          <t>INTSL</t>
        </is>
      </c>
      <c r="I801" s="131" t="inlineStr">
        <is>
          <t>RL7-INTSL-RIO1</t>
        </is>
      </c>
      <c r="J801" s="133" t="n">
        <v>18</v>
      </c>
      <c r="K801" s="129" t="n">
        <v>8</v>
      </c>
      <c r="L801" s="129" t="n">
        <v>3</v>
      </c>
      <c r="M801" s="129" t="inlineStr">
        <is>
          <t>4-20 mA AI</t>
        </is>
      </c>
      <c r="N801" s="129" t="inlineStr">
        <is>
          <t>5069-IF8</t>
        </is>
      </c>
      <c r="O801" s="160" t="n"/>
      <c r="P801" s="146" t="n"/>
      <c r="Q801" s="146" t="n"/>
      <c r="R801" s="146" t="n"/>
      <c r="S801" s="146" t="n"/>
      <c r="T801" s="146" t="n"/>
      <c r="U801" s="146" t="n"/>
      <c r="V801" s="146" t="n"/>
      <c r="W801" s="146" t="n"/>
      <c r="X801" s="146" t="n"/>
      <c r="Y801" s="146" t="n"/>
      <c r="Z801" s="143" t="n"/>
      <c r="AA801" t="inlineStr">
        <is>
          <t>Matched</t>
        </is>
      </c>
      <c r="AB801" s="315" t="n">
        <v>0.99</v>
      </c>
      <c r="AC801" t="inlineStr">
        <is>
          <t>High</t>
        </is>
      </c>
      <c r="AD801" t="n">
        <v>1</v>
      </c>
      <c r="AE801" t="inlineStr">
        <is>
          <t>DG7700</t>
        </is>
      </c>
      <c r="AF801" t="n">
        <v>28</v>
      </c>
      <c r="AG801" t="inlineStr">
        <is>
          <t>drawing</t>
        </is>
      </c>
      <c r="AH801" t="inlineStr">
        <is>
          <t>stacked:isa</t>
        </is>
      </c>
      <c r="AI801" t="inlineStr">
        <is>
          <t>drawing zone; process page; mapped sheet; excel sheet match</t>
        </is>
      </c>
      <c r="AJ801" t="inlineStr">
        <is>
          <t>native</t>
        </is>
      </c>
      <c r="AK801" t="inlineStr">
        <is>
          <t>native-only</t>
        </is>
      </c>
      <c r="AM801" t="inlineStr">
        <is>
          <t>28</t>
        </is>
      </c>
      <c r="AN801" t="inlineStr">
        <is>
          <t>Yes</t>
        </is>
      </c>
      <c r="AO801" t="inlineStr">
        <is>
          <t>mapped sheet id</t>
        </is>
      </c>
      <c r="AP801" t="inlineStr">
        <is>
          <t>p28:native:464, p28:native:465</t>
        </is>
      </c>
      <c r="AQ801" t="n">
        <v>2</v>
      </c>
    </row>
    <row r="802">
      <c r="A802" s="203">
        <f>ROW()-1</f>
        <v/>
      </c>
      <c r="B802" s="128" t="inlineStr">
        <is>
          <t>RL7-CKR-101-TCV-101</t>
        </is>
      </c>
      <c r="C802" s="314" t="inlineStr">
        <is>
          <t>RL7-CKR-101-TCV-101</t>
        </is>
      </c>
      <c r="D802" s="262" t="n"/>
      <c r="E802" s="128" t="n"/>
      <c r="F802" s="138" t="inlineStr">
        <is>
          <t>COOKER 1 HPS CONTROL VALVE</t>
        </is>
      </c>
      <c r="G802" s="131" t="inlineStr">
        <is>
          <t>DG7700</t>
        </is>
      </c>
      <c r="H802" s="128" t="inlineStr">
        <is>
          <t>INTSL</t>
        </is>
      </c>
      <c r="I802" s="131" t="inlineStr">
        <is>
          <t>RL7-INTSL-RIO1</t>
        </is>
      </c>
      <c r="J802" s="133" t="n">
        <v>18</v>
      </c>
      <c r="K802" s="129" t="n">
        <v>12</v>
      </c>
      <c r="L802" s="129" t="n">
        <v>0</v>
      </c>
      <c r="M802" s="129" t="inlineStr">
        <is>
          <t>4-20 mA AO</t>
        </is>
      </c>
      <c r="N802" s="129" t="inlineStr">
        <is>
          <t>5069-OF8</t>
        </is>
      </c>
      <c r="O802" s="134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40" t="n"/>
      <c r="AA802" t="inlineStr">
        <is>
          <t>Matched</t>
        </is>
      </c>
      <c r="AB802" s="315" t="n">
        <v>0.99</v>
      </c>
      <c r="AC802" t="inlineStr">
        <is>
          <t>High</t>
        </is>
      </c>
      <c r="AD802" t="n">
        <v>1</v>
      </c>
      <c r="AE802" t="inlineStr">
        <is>
          <t>DG7700</t>
        </is>
      </c>
      <c r="AF802" t="n">
        <v>28</v>
      </c>
      <c r="AG802" t="inlineStr">
        <is>
          <t>drawing</t>
        </is>
      </c>
      <c r="AH802" t="inlineStr">
        <is>
          <t>stacked:isa</t>
        </is>
      </c>
      <c r="AI802" t="inlineStr">
        <is>
          <t>drawing zone; process page; mapped sheet; excel sheet match</t>
        </is>
      </c>
      <c r="AJ802" t="inlineStr">
        <is>
          <t>native</t>
        </is>
      </c>
      <c r="AK802" t="inlineStr">
        <is>
          <t>native-only</t>
        </is>
      </c>
      <c r="AM802" t="inlineStr">
        <is>
          <t>28</t>
        </is>
      </c>
      <c r="AN802" t="inlineStr">
        <is>
          <t>Yes</t>
        </is>
      </c>
      <c r="AO802" t="inlineStr">
        <is>
          <t>mapped sheet id</t>
        </is>
      </c>
      <c r="AP802" t="inlineStr">
        <is>
          <t>p28:native:109, p28:native:110</t>
        </is>
      </c>
      <c r="AQ802" t="n">
        <v>2</v>
      </c>
    </row>
    <row r="803">
      <c r="A803" s="203">
        <f>ROW()-1</f>
        <v/>
      </c>
      <c r="B803" s="128" t="inlineStr">
        <is>
          <t>RL7-CKR-103-PIT-101</t>
        </is>
      </c>
      <c r="C803" s="314" t="inlineStr">
        <is>
          <t>RL7-CKR-103-PIT-101</t>
        </is>
      </c>
      <c r="D803" s="262" t="n"/>
      <c r="E803" s="128" t="n"/>
      <c r="F803" s="138" t="inlineStr">
        <is>
          <t>HOT WATER JACKET SYSTEM HPS PRESSURE</t>
        </is>
      </c>
      <c r="G803" s="131" t="inlineStr">
        <is>
          <t>DG7701</t>
        </is>
      </c>
      <c r="H803" s="128" t="inlineStr">
        <is>
          <t>INTSL</t>
        </is>
      </c>
      <c r="I803" s="131" t="inlineStr">
        <is>
          <t>RL7-INTSL-RIO1</t>
        </is>
      </c>
      <c r="J803" s="133" t="n">
        <v>18</v>
      </c>
      <c r="K803" s="129" t="n">
        <v>8</v>
      </c>
      <c r="L803" s="129" t="n">
        <v>0</v>
      </c>
      <c r="M803" s="129" t="inlineStr">
        <is>
          <t>4-20 mA AI</t>
        </is>
      </c>
      <c r="N803" s="129" t="inlineStr">
        <is>
          <t>5069-IF8</t>
        </is>
      </c>
      <c r="O803" s="134" t="inlineStr">
        <is>
          <t>0 - 10 BAR</t>
        </is>
      </c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8" t="inlineStr">
        <is>
          <t>RL7-HTX-101A-LT-01</t>
        </is>
      </c>
      <c r="AA803" t="inlineStr">
        <is>
          <t>Matched</t>
        </is>
      </c>
      <c r="AB803" s="315" t="n">
        <v>0.99</v>
      </c>
      <c r="AC803" t="inlineStr">
        <is>
          <t>High</t>
        </is>
      </c>
      <c r="AD803" t="n">
        <v>1</v>
      </c>
      <c r="AE803" t="inlineStr">
        <is>
          <t>DG7701</t>
        </is>
      </c>
      <c r="AF803" t="n">
        <v>29</v>
      </c>
      <c r="AG803" t="inlineStr">
        <is>
          <t>drawing</t>
        </is>
      </c>
      <c r="AH803" t="inlineStr">
        <is>
          <t>stacked:isa</t>
        </is>
      </c>
      <c r="AI803" t="inlineStr">
        <is>
          <t>drawing zone; process page; mapped sheet; excel sheet match</t>
        </is>
      </c>
      <c r="AJ803" t="inlineStr">
        <is>
          <t>native</t>
        </is>
      </c>
      <c r="AK803" t="inlineStr">
        <is>
          <t>native-only</t>
        </is>
      </c>
      <c r="AM803" t="inlineStr">
        <is>
          <t>29</t>
        </is>
      </c>
      <c r="AN803" t="inlineStr">
        <is>
          <t>Yes</t>
        </is>
      </c>
      <c r="AO803" t="inlineStr">
        <is>
          <t>mapped sheet id</t>
        </is>
      </c>
      <c r="AP803" t="inlineStr">
        <is>
          <t>p29:native:106, p29:native:107</t>
        </is>
      </c>
      <c r="AQ803" t="n">
        <v>2</v>
      </c>
    </row>
    <row r="804">
      <c r="A804" s="203">
        <f>ROW()-1</f>
        <v/>
      </c>
      <c r="B804" s="129" t="inlineStr">
        <is>
          <t>RL7-CKR-101-XV-27</t>
        </is>
      </c>
      <c r="C804" s="313" t="inlineStr">
        <is>
          <t>RL7-CKR-101-XV-27</t>
        </is>
      </c>
      <c r="D804" s="262" t="n"/>
      <c r="E804" s="128" t="n"/>
      <c r="F804" s="138" t="inlineStr">
        <is>
          <t>COOKER 1 JHWS BLOCK VALVE OPEN SOLENOID</t>
        </is>
      </c>
      <c r="G804" s="131" t="inlineStr">
        <is>
          <t>DG7702</t>
        </is>
      </c>
      <c r="H804" s="128" t="inlineStr">
        <is>
          <t>INTSL</t>
        </is>
      </c>
      <c r="I804" s="131" t="inlineStr">
        <is>
          <t>RL7-INTSL-RIO1</t>
        </is>
      </c>
      <c r="J804" s="133" t="n">
        <v>18</v>
      </c>
      <c r="K804" s="129" t="n">
        <v>3</v>
      </c>
      <c r="L804" s="129" t="n">
        <v>0</v>
      </c>
      <c r="M804" s="129" t="inlineStr">
        <is>
          <t>24 VDC DO</t>
        </is>
      </c>
      <c r="N804" s="129" t="inlineStr">
        <is>
          <t>5069-OB16</t>
        </is>
      </c>
      <c r="O804" s="139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40" t="n"/>
      <c r="AA804" t="inlineStr">
        <is>
          <t>No mapped PDF sheet</t>
        </is>
      </c>
      <c r="AC804" t="inlineStr">
        <is>
          <t>Low</t>
        </is>
      </c>
      <c r="AN804" t="inlineStr">
        <is>
          <t>Yes</t>
        </is>
      </c>
      <c r="AO804" t="inlineStr">
        <is>
          <t>sheet value not mapped to PDF</t>
        </is>
      </c>
    </row>
    <row r="805">
      <c r="A805" s="203">
        <f>ROW()-1</f>
        <v/>
      </c>
      <c r="B805" s="128" t="inlineStr">
        <is>
          <t>RL7-CKR-102-TCV-01</t>
        </is>
      </c>
      <c r="C805" s="313" t="inlineStr">
        <is>
          <t>RL7-CKR-102-TCV-01</t>
        </is>
      </c>
      <c r="D805" s="262" t="n"/>
      <c r="E805" s="128" t="n"/>
      <c r="F805" s="138" t="inlineStr">
        <is>
          <t>COOKER 2 JHWR CONTROL VALVE</t>
        </is>
      </c>
      <c r="G805" s="131" t="inlineStr">
        <is>
          <t>DG7702</t>
        </is>
      </c>
      <c r="H805" s="128" t="inlineStr">
        <is>
          <t>INTSL</t>
        </is>
      </c>
      <c r="I805" s="131" t="inlineStr">
        <is>
          <t>RL7-INTSL-RIO1</t>
        </is>
      </c>
      <c r="J805" s="133" t="n">
        <v>18</v>
      </c>
      <c r="K805" s="129" t="n">
        <v>13</v>
      </c>
      <c r="L805" s="129" t="n">
        <v>1</v>
      </c>
      <c r="M805" s="129" t="inlineStr">
        <is>
          <t>4-20 mA AO</t>
        </is>
      </c>
      <c r="N805" s="129" t="inlineStr">
        <is>
          <t>5069-OF8</t>
        </is>
      </c>
      <c r="O805" s="134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40" t="n"/>
      <c r="AA805" t="inlineStr">
        <is>
          <t>No mapped PDF sheet</t>
        </is>
      </c>
      <c r="AC805" t="inlineStr">
        <is>
          <t>Low</t>
        </is>
      </c>
      <c r="AN805" t="inlineStr">
        <is>
          <t>Yes</t>
        </is>
      </c>
      <c r="AO805" t="inlineStr">
        <is>
          <t>sheet value not mapped to PDF</t>
        </is>
      </c>
    </row>
    <row r="806">
      <c r="A806" s="203">
        <f>ROW()-1</f>
        <v/>
      </c>
      <c r="B806" s="128" t="inlineStr">
        <is>
          <t>RL7-HTX-ABC-YS-01</t>
        </is>
      </c>
      <c r="C806" s="313" t="inlineStr">
        <is>
          <t>RL7-HTX-ABC-YS-01</t>
        </is>
      </c>
      <c r="D806" s="262" t="n"/>
      <c r="E806" s="128" t="n"/>
      <c r="F806" s="163" t="inlineStr">
        <is>
          <t>CHILLERS A,B, &amp; C VALVE CONTROL POWER STATUS OK</t>
        </is>
      </c>
      <c r="G806" s="131" t="inlineStr">
        <is>
          <t>N/A</t>
        </is>
      </c>
      <c r="H806" s="128" t="inlineStr">
        <is>
          <t>INTSL</t>
        </is>
      </c>
      <c r="I806" s="142" t="inlineStr">
        <is>
          <t>RL7-INTSL-RIO2</t>
        </is>
      </c>
      <c r="J806" s="133" t="n">
        <v>19</v>
      </c>
      <c r="K806" s="129" t="n">
        <v>3</v>
      </c>
      <c r="L806" s="129" t="n">
        <v>9</v>
      </c>
      <c r="M806" s="129" t="inlineStr">
        <is>
          <t>24 VDC DI</t>
        </is>
      </c>
      <c r="N806" s="129" t="inlineStr">
        <is>
          <t>5069-IB16</t>
        </is>
      </c>
      <c r="O806" s="139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40" t="n"/>
      <c r="AA806" t="inlineStr">
        <is>
          <t>No mapped PDF sheet</t>
        </is>
      </c>
      <c r="AC806" t="inlineStr">
        <is>
          <t>Low</t>
        </is>
      </c>
      <c r="AN806" t="inlineStr">
        <is>
          <t>Yes</t>
        </is>
      </c>
      <c r="AO806" t="inlineStr">
        <is>
          <t>sheet value not mapped to PDF</t>
        </is>
      </c>
    </row>
    <row r="807">
      <c r="A807" s="203">
        <f>ROW()-1</f>
        <v/>
      </c>
      <c r="B807" s="128" t="inlineStr">
        <is>
          <t>RL7-HTX-201A-LS-01</t>
        </is>
      </c>
      <c r="C807" s="313" t="inlineStr">
        <is>
          <t>RL7-HTX-201A-LS-01</t>
        </is>
      </c>
      <c r="D807" s="262" t="n"/>
      <c r="E807" s="128" t="n"/>
      <c r="F807" s="138" t="inlineStr">
        <is>
          <t>SHELL &amp; TUBE CHILLER A NH3 LOW LEVEL SWITCH</t>
        </is>
      </c>
      <c r="G807" s="131" t="inlineStr">
        <is>
          <t>R7011</t>
        </is>
      </c>
      <c r="H807" s="128" t="inlineStr">
        <is>
          <t>INTSL</t>
        </is>
      </c>
      <c r="I807" s="142" t="inlineStr">
        <is>
          <t>RL7-INTSL-RIO2</t>
        </is>
      </c>
      <c r="J807" s="133" t="n">
        <v>19</v>
      </c>
      <c r="K807" s="129" t="n">
        <v>3</v>
      </c>
      <c r="L807" s="129" t="n">
        <v>8</v>
      </c>
      <c r="M807" s="129" t="inlineStr">
        <is>
          <t>24 VDC DI</t>
        </is>
      </c>
      <c r="N807" s="129" t="inlineStr">
        <is>
          <t>5069-IB16</t>
        </is>
      </c>
      <c r="O807" s="139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40" t="n"/>
      <c r="AA807" t="inlineStr">
        <is>
          <t>No mapped PDF sheet</t>
        </is>
      </c>
      <c r="AC807" t="inlineStr">
        <is>
          <t>Low</t>
        </is>
      </c>
      <c r="AN807" t="inlineStr">
        <is>
          <t>Yes</t>
        </is>
      </c>
      <c r="AO807" t="inlineStr">
        <is>
          <t>sheet value not mapped to PDF</t>
        </is>
      </c>
    </row>
    <row r="808">
      <c r="A808" s="203">
        <f>ROW()-1</f>
        <v/>
      </c>
      <c r="B808" s="128" t="inlineStr">
        <is>
          <t>RL7-HTX-201A-LS-02</t>
        </is>
      </c>
      <c r="C808" s="313" t="inlineStr">
        <is>
          <t>RL7-HTX-201A-LS-02</t>
        </is>
      </c>
      <c r="D808" s="262" t="n"/>
      <c r="E808" s="128" t="n"/>
      <c r="F808" s="138" t="inlineStr">
        <is>
          <t>SHELL &amp; TUBE CHILLER A BACKUP OPERATING NH3 LEVEL SWITCH</t>
        </is>
      </c>
      <c r="G808" s="131" t="inlineStr">
        <is>
          <t>R7011</t>
        </is>
      </c>
      <c r="H808" s="128" t="inlineStr">
        <is>
          <t>INTSL</t>
        </is>
      </c>
      <c r="I808" s="142" t="inlineStr">
        <is>
          <t>RL7-INTSL-RIO2</t>
        </is>
      </c>
      <c r="J808" s="133" t="n">
        <v>19</v>
      </c>
      <c r="K808" s="129" t="n">
        <v>3</v>
      </c>
      <c r="L808" s="129" t="n">
        <v>10</v>
      </c>
      <c r="M808" s="129" t="inlineStr">
        <is>
          <t>24 VDC DI</t>
        </is>
      </c>
      <c r="N808" s="129" t="inlineStr">
        <is>
          <t>5069-IB16</t>
        </is>
      </c>
      <c r="O808" s="139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40" t="n"/>
      <c r="AA808" t="inlineStr">
        <is>
          <t>No mapped PDF sheet</t>
        </is>
      </c>
      <c r="AC808" t="inlineStr">
        <is>
          <t>Low</t>
        </is>
      </c>
      <c r="AN808" t="inlineStr">
        <is>
          <t>Yes</t>
        </is>
      </c>
      <c r="AO808" t="inlineStr">
        <is>
          <t>sheet value not mapped to PDF</t>
        </is>
      </c>
    </row>
    <row r="809">
      <c r="A809" s="203">
        <f>ROW()-1</f>
        <v/>
      </c>
      <c r="B809" s="128" t="inlineStr">
        <is>
          <t>RL7-HTX-101A-YS-01</t>
        </is>
      </c>
      <c r="C809" s="313" t="inlineStr">
        <is>
          <t>RL7-HTX-101A-YS-01</t>
        </is>
      </c>
      <c r="D809" s="262" t="n"/>
      <c r="E809" s="128" t="n"/>
      <c r="F809" s="138" t="inlineStr">
        <is>
          <t>SHELL &amp; TUBE CHILLER A COOLANT SUPPLY VALVE OPEN SOLENOID</t>
        </is>
      </c>
      <c r="G809" s="131" t="inlineStr">
        <is>
          <t>R7011</t>
        </is>
      </c>
      <c r="H809" s="128" t="inlineStr">
        <is>
          <t>INTSL</t>
        </is>
      </c>
      <c r="I809" s="142" t="inlineStr">
        <is>
          <t>RL7-INTSL-RIO2</t>
        </is>
      </c>
      <c r="J809" s="133" t="n">
        <v>19</v>
      </c>
      <c r="K809" s="129" t="n">
        <v>6</v>
      </c>
      <c r="L809" s="129" t="n">
        <v>0</v>
      </c>
      <c r="M809" s="129" t="inlineStr">
        <is>
          <t>24 VDC DO</t>
        </is>
      </c>
      <c r="N809" s="129" t="inlineStr">
        <is>
          <t>5069-OB16</t>
        </is>
      </c>
      <c r="O809" s="139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40" t="n"/>
      <c r="AA809" t="inlineStr">
        <is>
          <t>No mapped PDF sheet</t>
        </is>
      </c>
      <c r="AC809" t="inlineStr">
        <is>
          <t>Low</t>
        </is>
      </c>
      <c r="AN809" t="inlineStr">
        <is>
          <t>Yes</t>
        </is>
      </c>
      <c r="AO809" t="inlineStr">
        <is>
          <t>sheet value not mapped to PDF</t>
        </is>
      </c>
    </row>
    <row r="810">
      <c r="A810" s="203">
        <f>ROW()-1</f>
        <v/>
      </c>
      <c r="B810" s="128" t="inlineStr">
        <is>
          <t>RL7-HTX-101A-YS-02</t>
        </is>
      </c>
      <c r="C810" s="313" t="inlineStr">
        <is>
          <t>RL7-HTX-101A-YS-02</t>
        </is>
      </c>
      <c r="D810" s="262" t="n"/>
      <c r="E810" s="128" t="n"/>
      <c r="F810" s="138" t="inlineStr">
        <is>
          <t>SHELL &amp; TUBE CHILLER A COOLANT RETURN VALVE OPEN SOLENOID</t>
        </is>
      </c>
      <c r="G810" s="131" t="inlineStr">
        <is>
          <t>R7011</t>
        </is>
      </c>
      <c r="H810" s="128" t="inlineStr">
        <is>
          <t>INTSL</t>
        </is>
      </c>
      <c r="I810" s="142" t="inlineStr">
        <is>
          <t>RL7-INTSL-RIO2</t>
        </is>
      </c>
      <c r="J810" s="133" t="n">
        <v>19</v>
      </c>
      <c r="K810" s="129" t="n">
        <v>6</v>
      </c>
      <c r="L810" s="129" t="n">
        <v>1</v>
      </c>
      <c r="M810" s="129" t="inlineStr">
        <is>
          <t>24 VDC DO</t>
        </is>
      </c>
      <c r="N810" s="129" t="inlineStr">
        <is>
          <t>5069-OB16</t>
        </is>
      </c>
      <c r="O810" s="139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40" t="n"/>
      <c r="AA810" t="inlineStr">
        <is>
          <t>No mapped PDF sheet</t>
        </is>
      </c>
      <c r="AC810" t="inlineStr">
        <is>
          <t>Low</t>
        </is>
      </c>
      <c r="AN810" t="inlineStr">
        <is>
          <t>Yes</t>
        </is>
      </c>
      <c r="AO810" t="inlineStr">
        <is>
          <t>sheet value not mapped to PDF</t>
        </is>
      </c>
    </row>
    <row r="811">
      <c r="A811" s="203">
        <f>ROW()-1</f>
        <v/>
      </c>
      <c r="B811" s="128" t="inlineStr">
        <is>
          <t>RL7-HTX-101A-YS-03</t>
        </is>
      </c>
      <c r="C811" s="313" t="inlineStr">
        <is>
          <t>RL7-HTX-101A-YS-03</t>
        </is>
      </c>
      <c r="D811" s="262" t="n"/>
      <c r="E811" s="128" t="n"/>
      <c r="F811" s="138" t="inlineStr">
        <is>
          <t>SHELL &amp; TUBE CHILLER A HOT GAS SUPPLY VALVE OPEN SOLENOID</t>
        </is>
      </c>
      <c r="G811" s="131" t="inlineStr">
        <is>
          <t>R7011</t>
        </is>
      </c>
      <c r="H811" s="128" t="inlineStr">
        <is>
          <t>INTSL</t>
        </is>
      </c>
      <c r="I811" s="142" t="inlineStr">
        <is>
          <t>RL7-INTSL-RIO2</t>
        </is>
      </c>
      <c r="J811" s="133" t="n">
        <v>19</v>
      </c>
      <c r="K811" s="129" t="n">
        <v>6</v>
      </c>
      <c r="L811" s="129" t="n">
        <v>2</v>
      </c>
      <c r="M811" s="129" t="inlineStr">
        <is>
          <t>24 VDC DO</t>
        </is>
      </c>
      <c r="N811" s="129" t="inlineStr">
        <is>
          <t>5069-OB16</t>
        </is>
      </c>
      <c r="O811" s="139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40" t="n"/>
      <c r="AA811" t="inlineStr">
        <is>
          <t>No mapped PDF sheet</t>
        </is>
      </c>
      <c r="AC811" t="inlineStr">
        <is>
          <t>Low</t>
        </is>
      </c>
      <c r="AN811" t="inlineStr">
        <is>
          <t>Yes</t>
        </is>
      </c>
      <c r="AO811" t="inlineStr">
        <is>
          <t>sheet value not mapped to PDF</t>
        </is>
      </c>
    </row>
    <row r="812">
      <c r="A812" s="203">
        <f>ROW()-1</f>
        <v/>
      </c>
      <c r="B812" s="128" t="inlineStr">
        <is>
          <t>RL7-HTX-101A-YS-04</t>
        </is>
      </c>
      <c r="C812" s="313" t="inlineStr">
        <is>
          <t>RL7-HTX-101A-YS-04</t>
        </is>
      </c>
      <c r="D812" s="262" t="n"/>
      <c r="E812" s="128" t="n"/>
      <c r="F812" s="138" t="inlineStr">
        <is>
          <t>SHELL &amp; TUBE CHILLER A PUMP OUT SUPPLY VALVE OPEN SOLENOID</t>
        </is>
      </c>
      <c r="G812" s="131" t="inlineStr">
        <is>
          <t>R7011</t>
        </is>
      </c>
      <c r="H812" s="128" t="inlineStr">
        <is>
          <t>INTSL</t>
        </is>
      </c>
      <c r="I812" s="142" t="inlineStr">
        <is>
          <t>RL7-INTSL-RIO2</t>
        </is>
      </c>
      <c r="J812" s="133" t="n">
        <v>19</v>
      </c>
      <c r="K812" s="129" t="n">
        <v>6</v>
      </c>
      <c r="L812" s="129" t="n">
        <v>3</v>
      </c>
      <c r="M812" s="129" t="inlineStr">
        <is>
          <t>24 VDC DO</t>
        </is>
      </c>
      <c r="N812" s="129" t="inlineStr">
        <is>
          <t>5069-OB16</t>
        </is>
      </c>
      <c r="O812" s="139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40" t="n"/>
      <c r="AA812" t="inlineStr">
        <is>
          <t>No mapped PDF sheet</t>
        </is>
      </c>
      <c r="AC812" t="inlineStr">
        <is>
          <t>Low</t>
        </is>
      </c>
      <c r="AN812" t="inlineStr">
        <is>
          <t>Yes</t>
        </is>
      </c>
      <c r="AO812" t="inlineStr">
        <is>
          <t>sheet value not mapped to PDF</t>
        </is>
      </c>
    </row>
    <row r="813">
      <c r="A813" s="203">
        <f>ROW()-1</f>
        <v/>
      </c>
      <c r="B813" s="128" t="inlineStr">
        <is>
          <t>RL7-HTX-101B-YS-01</t>
        </is>
      </c>
      <c r="C813" s="313" t="inlineStr">
        <is>
          <t>RL7-HTX-101B-YS-01</t>
        </is>
      </c>
      <c r="D813" s="262" t="n"/>
      <c r="E813" s="128" t="n"/>
      <c r="F813" s="138" t="inlineStr">
        <is>
          <t>FALLING FILM CHILLER B COOLANT SUPPLY VALVE OPEN SOLENOID</t>
        </is>
      </c>
      <c r="G813" s="131" t="inlineStr">
        <is>
          <t>R7011</t>
        </is>
      </c>
      <c r="H813" s="128" t="inlineStr">
        <is>
          <t>INTSL</t>
        </is>
      </c>
      <c r="I813" s="142" t="inlineStr">
        <is>
          <t>RL7-INTSL-RIO2</t>
        </is>
      </c>
      <c r="J813" s="133" t="n">
        <v>19</v>
      </c>
      <c r="K813" s="129" t="n">
        <v>6</v>
      </c>
      <c r="L813" s="129" t="n">
        <v>4</v>
      </c>
      <c r="M813" s="129" t="inlineStr">
        <is>
          <t>24 VDC DO</t>
        </is>
      </c>
      <c r="N813" s="129" t="inlineStr">
        <is>
          <t>5069-OB16</t>
        </is>
      </c>
      <c r="O813" s="139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40" t="n"/>
      <c r="AA813" t="inlineStr">
        <is>
          <t>No mapped PDF sheet</t>
        </is>
      </c>
      <c r="AC813" t="inlineStr">
        <is>
          <t>Low</t>
        </is>
      </c>
      <c r="AN813" t="inlineStr">
        <is>
          <t>Yes</t>
        </is>
      </c>
      <c r="AO813" t="inlineStr">
        <is>
          <t>sheet value not mapped to PDF</t>
        </is>
      </c>
    </row>
    <row r="814">
      <c r="A814" s="203">
        <f>ROW()-1</f>
        <v/>
      </c>
      <c r="B814" s="128" t="inlineStr">
        <is>
          <t>RL7-HTX-101B-YS-02</t>
        </is>
      </c>
      <c r="C814" s="313" t="inlineStr">
        <is>
          <t>RL7-HTX-101B-YS-02</t>
        </is>
      </c>
      <c r="D814" s="262" t="n"/>
      <c r="E814" s="128" t="n"/>
      <c r="F814" s="138" t="inlineStr">
        <is>
          <t>FALLING FILM CHILLER B COOLANT RETURN VALVE OPEN SOLENOID</t>
        </is>
      </c>
      <c r="G814" s="131" t="inlineStr">
        <is>
          <t>R7011</t>
        </is>
      </c>
      <c r="H814" s="128" t="inlineStr">
        <is>
          <t>INTSL</t>
        </is>
      </c>
      <c r="I814" s="142" t="inlineStr">
        <is>
          <t>RL7-INTSL-RIO2</t>
        </is>
      </c>
      <c r="J814" s="133" t="n">
        <v>19</v>
      </c>
      <c r="K814" s="129" t="n">
        <v>6</v>
      </c>
      <c r="L814" s="129" t="n">
        <v>5</v>
      </c>
      <c r="M814" s="129" t="inlineStr">
        <is>
          <t>24 VDC DO</t>
        </is>
      </c>
      <c r="N814" s="129" t="inlineStr">
        <is>
          <t>5069-OB16</t>
        </is>
      </c>
      <c r="O814" s="139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40" t="n"/>
      <c r="AA814" t="inlineStr">
        <is>
          <t>No mapped PDF sheet</t>
        </is>
      </c>
      <c r="AC814" t="inlineStr">
        <is>
          <t>Low</t>
        </is>
      </c>
      <c r="AN814" t="inlineStr">
        <is>
          <t>Yes</t>
        </is>
      </c>
      <c r="AO814" t="inlineStr">
        <is>
          <t>sheet value not mapped to PDF</t>
        </is>
      </c>
    </row>
    <row r="815">
      <c r="A815" s="203">
        <f>ROW()-1</f>
        <v/>
      </c>
      <c r="B815" s="128" t="inlineStr">
        <is>
          <t>RL7-HTX-101C-YS-01</t>
        </is>
      </c>
      <c r="C815" s="313" t="inlineStr">
        <is>
          <t>RL7-HTX-101C-YS-01</t>
        </is>
      </c>
      <c r="D815" s="262" t="n"/>
      <c r="E815" s="128" t="n"/>
      <c r="F815" s="138" t="inlineStr">
        <is>
          <t>FALLING FILM CHILLER C COOLANT SUPPLY VALVE OPEN SOLENOID</t>
        </is>
      </c>
      <c r="G815" s="131" t="inlineStr">
        <is>
          <t>R7011</t>
        </is>
      </c>
      <c r="H815" s="128" t="inlineStr">
        <is>
          <t>INTSL</t>
        </is>
      </c>
      <c r="I815" s="142" t="inlineStr">
        <is>
          <t>RL7-INTSL-RIO2</t>
        </is>
      </c>
      <c r="J815" s="133" t="n">
        <v>19</v>
      </c>
      <c r="K815" s="129" t="n">
        <v>6</v>
      </c>
      <c r="L815" s="129" t="n">
        <v>6</v>
      </c>
      <c r="M815" s="129" t="inlineStr">
        <is>
          <t>24 VDC DO</t>
        </is>
      </c>
      <c r="N815" s="129" t="inlineStr">
        <is>
          <t>5069-OB16</t>
        </is>
      </c>
      <c r="O815" s="139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40" t="n"/>
      <c r="AA815" t="inlineStr">
        <is>
          <t>No mapped PDF sheet</t>
        </is>
      </c>
      <c r="AC815" t="inlineStr">
        <is>
          <t>Low</t>
        </is>
      </c>
      <c r="AN815" t="inlineStr">
        <is>
          <t>Yes</t>
        </is>
      </c>
      <c r="AO815" t="inlineStr">
        <is>
          <t>sheet value not mapped to PDF</t>
        </is>
      </c>
    </row>
    <row r="816">
      <c r="A816" s="203">
        <f>ROW()-1</f>
        <v/>
      </c>
      <c r="B816" s="128" t="inlineStr">
        <is>
          <t>RL7-HTX-101C-YS-02</t>
        </is>
      </c>
      <c r="C816" s="313" t="inlineStr">
        <is>
          <t>RL7-HTX-101C-YS-02</t>
        </is>
      </c>
      <c r="D816" s="262" t="n"/>
      <c r="E816" s="128" t="n"/>
      <c r="F816" s="138" t="inlineStr">
        <is>
          <t>FALLING FILM CHILLER C COOLANT RETURN VALVE OPEN SOLENOID</t>
        </is>
      </c>
      <c r="G816" s="131" t="inlineStr">
        <is>
          <t>R7011</t>
        </is>
      </c>
      <c r="H816" s="128" t="inlineStr">
        <is>
          <t>INTSL</t>
        </is>
      </c>
      <c r="I816" s="142" t="inlineStr">
        <is>
          <t>RL7-INTSL-RIO2</t>
        </is>
      </c>
      <c r="J816" s="133" t="n">
        <v>19</v>
      </c>
      <c r="K816" s="129" t="n">
        <v>6</v>
      </c>
      <c r="L816" s="129" t="n">
        <v>7</v>
      </c>
      <c r="M816" s="129" t="inlineStr">
        <is>
          <t>24 VDC DO</t>
        </is>
      </c>
      <c r="N816" s="129" t="inlineStr">
        <is>
          <t>5069-OB16</t>
        </is>
      </c>
      <c r="O816" s="139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40" t="n"/>
      <c r="AA816" t="inlineStr">
        <is>
          <t>No mapped PDF sheet</t>
        </is>
      </c>
      <c r="AC816" t="inlineStr">
        <is>
          <t>Low</t>
        </is>
      </c>
      <c r="AN816" t="inlineStr">
        <is>
          <t>Yes</t>
        </is>
      </c>
      <c r="AO816" t="inlineStr">
        <is>
          <t>sheet value not mapped to PDF</t>
        </is>
      </c>
    </row>
    <row r="817">
      <c r="A817" s="203">
        <f>ROW()-1</f>
        <v/>
      </c>
      <c r="B817" s="128" t="inlineStr">
        <is>
          <t>RL7-HTX-101A-LT-01</t>
        </is>
      </c>
      <c r="C817" s="313" t="inlineStr">
        <is>
          <t>RL7-HTX-101A-LT-01</t>
        </is>
      </c>
      <c r="D817" s="262" t="n"/>
      <c r="E817" s="128" t="n"/>
      <c r="F817" s="138" t="inlineStr">
        <is>
          <t>SHELL &amp; TUBE CHILLER A NH3 LEVEL</t>
        </is>
      </c>
      <c r="G817" s="131" t="inlineStr">
        <is>
          <t>R7011</t>
        </is>
      </c>
      <c r="H817" s="128" t="inlineStr">
        <is>
          <t>INTSL</t>
        </is>
      </c>
      <c r="I817" s="142" t="inlineStr">
        <is>
          <t>RL7-INTSL-RIO2</t>
        </is>
      </c>
      <c r="J817" s="133" t="n">
        <v>19</v>
      </c>
      <c r="K817" s="129" t="n">
        <v>9</v>
      </c>
      <c r="L817" s="129" t="n">
        <v>0</v>
      </c>
      <c r="M817" s="129" t="inlineStr">
        <is>
          <t>4-20 mA AI</t>
        </is>
      </c>
      <c r="N817" s="129" t="inlineStr">
        <is>
          <t>5069-IF8</t>
        </is>
      </c>
      <c r="O817" s="134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8" t="inlineStr">
        <is>
          <t>RL7-HTX-101A-LT-01</t>
        </is>
      </c>
      <c r="AA817" t="inlineStr">
        <is>
          <t>No mapped PDF sheet</t>
        </is>
      </c>
      <c r="AC817" t="inlineStr">
        <is>
          <t>Low</t>
        </is>
      </c>
      <c r="AN817" t="inlineStr">
        <is>
          <t>Yes</t>
        </is>
      </c>
      <c r="AO817" t="inlineStr">
        <is>
          <t>sheet value not mapped to PDF</t>
        </is>
      </c>
    </row>
    <row r="818">
      <c r="A818" s="203">
        <f>ROW()-1</f>
        <v/>
      </c>
      <c r="B818" s="128" t="inlineStr">
        <is>
          <t>RL7-HTX-101A-TIT-02</t>
        </is>
      </c>
      <c r="C818" s="313" t="inlineStr">
        <is>
          <t>RL7-HTX-101A-TIT-02</t>
        </is>
      </c>
      <c r="D818" s="262" t="n"/>
      <c r="E818" s="128" t="n"/>
      <c r="F818" s="138" t="inlineStr">
        <is>
          <t>SHELL &amp; TUBE CHILLER A OUTLET TEMPERATURE</t>
        </is>
      </c>
      <c r="G818" s="131" t="inlineStr">
        <is>
          <t>R7011</t>
        </is>
      </c>
      <c r="H818" s="128" t="inlineStr">
        <is>
          <t>INTSL</t>
        </is>
      </c>
      <c r="I818" s="142" t="inlineStr">
        <is>
          <t>RL7-INTSL-RIO2</t>
        </is>
      </c>
      <c r="J818" s="133" t="n">
        <v>19</v>
      </c>
      <c r="K818" s="129" t="n">
        <v>9</v>
      </c>
      <c r="L818" s="129" t="n">
        <v>1</v>
      </c>
      <c r="M818" s="129" t="inlineStr">
        <is>
          <t>4-20 mA AI</t>
        </is>
      </c>
      <c r="N818" s="129" t="inlineStr">
        <is>
          <t>5069-IF8</t>
        </is>
      </c>
      <c r="O818" s="134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33" t="inlineStr">
        <is>
          <t>RL7-HTX-101A-TT-02</t>
        </is>
      </c>
      <c r="AA818" t="inlineStr">
        <is>
          <t>No mapped PDF sheet</t>
        </is>
      </c>
      <c r="AC818" t="inlineStr">
        <is>
          <t>Low</t>
        </is>
      </c>
      <c r="AN818" t="inlineStr">
        <is>
          <t>Yes</t>
        </is>
      </c>
      <c r="AO818" t="inlineStr">
        <is>
          <t>sheet value not mapped to PDF</t>
        </is>
      </c>
    </row>
    <row r="819">
      <c r="A819" s="203">
        <f>ROW()-1</f>
        <v/>
      </c>
      <c r="B819" s="128" t="inlineStr">
        <is>
          <t>RL7-HTX-101B-TIT-02</t>
        </is>
      </c>
      <c r="C819" s="313" t="inlineStr">
        <is>
          <t>RL7-HTX-101B-TIT-02</t>
        </is>
      </c>
      <c r="D819" s="262" t="n"/>
      <c r="E819" s="128" t="n"/>
      <c r="F819" s="138" t="inlineStr">
        <is>
          <t>FALLING FILM CHILLER B OUTLET TEMPERATURE</t>
        </is>
      </c>
      <c r="G819" s="131" t="inlineStr">
        <is>
          <t>R7011</t>
        </is>
      </c>
      <c r="H819" s="128" t="inlineStr">
        <is>
          <t>INTSL</t>
        </is>
      </c>
      <c r="I819" s="142" t="inlineStr">
        <is>
          <t>RL7-INTSL-RIO2</t>
        </is>
      </c>
      <c r="J819" s="133" t="n">
        <v>19</v>
      </c>
      <c r="K819" s="129" t="n">
        <v>9</v>
      </c>
      <c r="L819" s="129" t="n">
        <v>2</v>
      </c>
      <c r="M819" s="129" t="inlineStr">
        <is>
          <t>4-20 mA AI</t>
        </is>
      </c>
      <c r="N819" s="129" t="inlineStr">
        <is>
          <t>5069-IF8</t>
        </is>
      </c>
      <c r="O819" s="134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33" t="inlineStr">
        <is>
          <t>RL7-HTX-101B-TT-02</t>
        </is>
      </c>
      <c r="AA819" t="inlineStr">
        <is>
          <t>No mapped PDF sheet</t>
        </is>
      </c>
      <c r="AC819" t="inlineStr">
        <is>
          <t>Low</t>
        </is>
      </c>
      <c r="AN819" t="inlineStr">
        <is>
          <t>Yes</t>
        </is>
      </c>
      <c r="AO819" t="inlineStr">
        <is>
          <t>sheet value not mapped to PDF</t>
        </is>
      </c>
    </row>
    <row r="820">
      <c r="A820" s="203">
        <f>ROW()-1</f>
        <v/>
      </c>
      <c r="B820" s="128" t="inlineStr">
        <is>
          <t>RL7-HTX-101C-TIT-02</t>
        </is>
      </c>
      <c r="C820" s="313" t="inlineStr">
        <is>
          <t>RL7-HTX-101C-TIT-02</t>
        </is>
      </c>
      <c r="D820" s="262" t="n"/>
      <c r="E820" s="128" t="n"/>
      <c r="F820" s="138" t="inlineStr">
        <is>
          <t>FALLING FILM CHILLER C OUTLET TEMPERATURE</t>
        </is>
      </c>
      <c r="G820" s="131" t="inlineStr">
        <is>
          <t>R7011</t>
        </is>
      </c>
      <c r="H820" s="128" t="inlineStr">
        <is>
          <t>INTSL</t>
        </is>
      </c>
      <c r="I820" s="142" t="inlineStr">
        <is>
          <t>RL7-INTSL-RIO2</t>
        </is>
      </c>
      <c r="J820" s="133" t="n">
        <v>19</v>
      </c>
      <c r="K820" s="129" t="n">
        <v>9</v>
      </c>
      <c r="L820" s="129" t="n">
        <v>3</v>
      </c>
      <c r="M820" s="129" t="inlineStr">
        <is>
          <t>4-20 mA AI</t>
        </is>
      </c>
      <c r="N820" s="129" t="inlineStr">
        <is>
          <t>5069-IF8</t>
        </is>
      </c>
      <c r="O820" s="134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33" t="inlineStr">
        <is>
          <t>RL7-HTX-101C-TT-02</t>
        </is>
      </c>
      <c r="AA820" t="inlineStr">
        <is>
          <t>No mapped PDF sheet</t>
        </is>
      </c>
      <c r="AC820" t="inlineStr">
        <is>
          <t>Low</t>
        </is>
      </c>
      <c r="AN820" t="inlineStr">
        <is>
          <t>Yes</t>
        </is>
      </c>
      <c r="AO820" t="inlineStr">
        <is>
          <t>sheet value not mapped to PDF</t>
        </is>
      </c>
    </row>
    <row r="821">
      <c r="A821" s="203">
        <f>ROW()-1</f>
        <v/>
      </c>
      <c r="B821" s="128" t="inlineStr">
        <is>
          <t>RL7-HTX-101A-TIT-01</t>
        </is>
      </c>
      <c r="C821" s="313" t="inlineStr">
        <is>
          <t>RL7-HTX-101A-TIT-01</t>
        </is>
      </c>
      <c r="D821" s="262" t="n"/>
      <c r="E821" s="128" t="n"/>
      <c r="F821" s="138" t="inlineStr">
        <is>
          <t>SHELL &amp; TUBE CHILLER A INLET TEMPERATURE</t>
        </is>
      </c>
      <c r="G821" s="131" t="inlineStr">
        <is>
          <t>R7011</t>
        </is>
      </c>
      <c r="H821" s="128" t="inlineStr">
        <is>
          <t>INTSL</t>
        </is>
      </c>
      <c r="I821" s="142" t="inlineStr">
        <is>
          <t>RL7-INTSL-RIO2</t>
        </is>
      </c>
      <c r="J821" s="133" t="n">
        <v>19</v>
      </c>
      <c r="K821" s="129" t="n">
        <v>9</v>
      </c>
      <c r="L821" s="129" t="n">
        <v>4</v>
      </c>
      <c r="M821" s="129" t="inlineStr">
        <is>
          <t>4-20 mA AI</t>
        </is>
      </c>
      <c r="N821" s="129" t="inlineStr">
        <is>
          <t>5069-IF8</t>
        </is>
      </c>
      <c r="O821" s="134" t="inlineStr">
        <is>
          <t xml:space="preserve"> (-50 to 150 C)</t>
        </is>
      </c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33" t="inlineStr">
        <is>
          <t>RL7-HTX-101A-TT-01</t>
        </is>
      </c>
      <c r="AA821" t="inlineStr">
        <is>
          <t>No mapped PDF sheet</t>
        </is>
      </c>
      <c r="AC821" t="inlineStr">
        <is>
          <t>Low</t>
        </is>
      </c>
      <c r="AN821" t="inlineStr">
        <is>
          <t>Yes</t>
        </is>
      </c>
      <c r="AO821" t="inlineStr">
        <is>
          <t>sheet value not mapped to PDF</t>
        </is>
      </c>
    </row>
    <row r="822">
      <c r="A822" s="203">
        <f>ROW()-1</f>
        <v/>
      </c>
      <c r="B822" s="128" t="inlineStr">
        <is>
          <t>RL7-HTX-101B-TIT-01</t>
        </is>
      </c>
      <c r="C822" s="313" t="inlineStr">
        <is>
          <t>RL7-HTX-101B-TIT-01</t>
        </is>
      </c>
      <c r="D822" s="262" t="n"/>
      <c r="E822" s="128" t="n"/>
      <c r="F822" s="138" t="inlineStr">
        <is>
          <t>FALLING FILM CHILLER B INLET TEMPERATURE</t>
        </is>
      </c>
      <c r="G822" s="131" t="inlineStr">
        <is>
          <t>R7011</t>
        </is>
      </c>
      <c r="H822" s="128" t="inlineStr">
        <is>
          <t>INTSL</t>
        </is>
      </c>
      <c r="I822" s="142" t="inlineStr">
        <is>
          <t>RL7-INTSL-RIO2</t>
        </is>
      </c>
      <c r="J822" s="133" t="n">
        <v>19</v>
      </c>
      <c r="K822" s="129" t="n">
        <v>9</v>
      </c>
      <c r="L822" s="129" t="n">
        <v>5</v>
      </c>
      <c r="M822" s="129" t="inlineStr">
        <is>
          <t>4-20 mA AI</t>
        </is>
      </c>
      <c r="N822" s="129" t="inlineStr">
        <is>
          <t>5069-IF8</t>
        </is>
      </c>
      <c r="O822" s="134" t="inlineStr">
        <is>
          <t xml:space="preserve"> (-50 to 150 C)</t>
        </is>
      </c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33" t="inlineStr">
        <is>
          <t>RL7-HTX-101B-TT-01</t>
        </is>
      </c>
      <c r="AA822" t="inlineStr">
        <is>
          <t>No mapped PDF sheet</t>
        </is>
      </c>
      <c r="AC822" t="inlineStr">
        <is>
          <t>Low</t>
        </is>
      </c>
      <c r="AN822" t="inlineStr">
        <is>
          <t>Yes</t>
        </is>
      </c>
      <c r="AO822" t="inlineStr">
        <is>
          <t>sheet value not mapped to PDF</t>
        </is>
      </c>
    </row>
    <row r="823">
      <c r="A823" s="203">
        <f>ROW()-1</f>
        <v/>
      </c>
      <c r="B823" s="128" t="inlineStr">
        <is>
          <t>RL7-HTX-101C-TIT-01</t>
        </is>
      </c>
      <c r="C823" s="313" t="inlineStr">
        <is>
          <t>RL7-HTX-101C-TIT-01</t>
        </is>
      </c>
      <c r="D823" s="262" t="n"/>
      <c r="E823" s="128" t="n"/>
      <c r="F823" s="138" t="inlineStr">
        <is>
          <t>FALLING FILM CHILLER C INLET TEMPERATURE</t>
        </is>
      </c>
      <c r="G823" s="131" t="inlineStr">
        <is>
          <t>R7011</t>
        </is>
      </c>
      <c r="H823" s="128" t="inlineStr">
        <is>
          <t>INTSL</t>
        </is>
      </c>
      <c r="I823" s="142" t="inlineStr">
        <is>
          <t>RL7-INTSL-RIO2</t>
        </is>
      </c>
      <c r="J823" s="133" t="n">
        <v>19</v>
      </c>
      <c r="K823" s="129" t="n">
        <v>9</v>
      </c>
      <c r="L823" s="129" t="n">
        <v>6</v>
      </c>
      <c r="M823" s="129" t="inlineStr">
        <is>
          <t>4-20 mA AI</t>
        </is>
      </c>
      <c r="N823" s="129" t="inlineStr">
        <is>
          <t>5069-IF8</t>
        </is>
      </c>
      <c r="O823" s="134" t="inlineStr">
        <is>
          <t xml:space="preserve"> (-50 to 150 C)</t>
        </is>
      </c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33" t="inlineStr">
        <is>
          <t>RL7-HTX-101C-TT-02</t>
        </is>
      </c>
      <c r="AA823" t="inlineStr">
        <is>
          <t>No mapped PDF sheet</t>
        </is>
      </c>
      <c r="AC823" t="inlineStr">
        <is>
          <t>Low</t>
        </is>
      </c>
      <c r="AN823" t="inlineStr">
        <is>
          <t>Yes</t>
        </is>
      </c>
      <c r="AO823" t="inlineStr">
        <is>
          <t>sheet value not mapped to PDF</t>
        </is>
      </c>
    </row>
    <row r="824">
      <c r="A824" s="203">
        <f>ROW()-1</f>
        <v/>
      </c>
      <c r="B824" s="128" t="inlineStr">
        <is>
          <t>RL7-HTX-101A-CV-01E</t>
        </is>
      </c>
      <c r="C824" s="313" t="inlineStr">
        <is>
          <t>RL7-HTX-101A-CV-01E</t>
        </is>
      </c>
      <c r="D824" s="278" t="n"/>
      <c r="E824" s="128" t="n"/>
      <c r="F824" s="138" t="inlineStr">
        <is>
          <t>SHELL &amp; TUBE CHILLER A COOLANT SUPPLY MOTOR OPERATED VALVE</t>
        </is>
      </c>
      <c r="G824" s="131" t="inlineStr">
        <is>
          <t>R7011</t>
        </is>
      </c>
      <c r="H824" s="128" t="inlineStr">
        <is>
          <t>INTSL</t>
        </is>
      </c>
      <c r="I824" s="142" t="inlineStr">
        <is>
          <t>RL7-INTSL-RIO2</t>
        </is>
      </c>
      <c r="J824" s="133" t="n">
        <v>19</v>
      </c>
      <c r="K824" s="129" t="n">
        <v>13</v>
      </c>
      <c r="L824" s="129" t="n">
        <v>2</v>
      </c>
      <c r="M824" s="129" t="inlineStr">
        <is>
          <t>4-20 mA AO</t>
        </is>
      </c>
      <c r="N824" s="129" t="inlineStr">
        <is>
          <t>5069-OF8</t>
        </is>
      </c>
      <c r="O824" s="134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40" t="n"/>
      <c r="AA824" t="inlineStr">
        <is>
          <t>No mapped PDF sheet</t>
        </is>
      </c>
      <c r="AC824" t="inlineStr">
        <is>
          <t>Low</t>
        </is>
      </c>
      <c r="AN824" t="inlineStr">
        <is>
          <t>Yes</t>
        </is>
      </c>
      <c r="AO824" t="inlineStr">
        <is>
          <t>sheet value not mapped to PDF</t>
        </is>
      </c>
    </row>
    <row r="825">
      <c r="A825" s="203">
        <f>ROW()-1</f>
        <v/>
      </c>
      <c r="B825" s="128" t="inlineStr">
        <is>
          <t>RL7-HTX-201A-CVI-01E</t>
        </is>
      </c>
      <c r="C825" s="313" t="inlineStr">
        <is>
          <t>RL7-HTX-201A-CVI-01E</t>
        </is>
      </c>
      <c r="D825" s="262" t="n"/>
      <c r="E825" s="128" t="n"/>
      <c r="F825" s="138" t="inlineStr">
        <is>
          <t>SHELL &amp; TUBE CHILLER A COOLANT SUPPLY MOV POSITION FEEDBACK</t>
        </is>
      </c>
      <c r="G825" s="131" t="inlineStr">
        <is>
          <t>R7011</t>
        </is>
      </c>
      <c r="H825" s="128" t="inlineStr">
        <is>
          <t>INTSL</t>
        </is>
      </c>
      <c r="I825" s="142" t="inlineStr">
        <is>
          <t>RL7-INTSL-RIO2</t>
        </is>
      </c>
      <c r="J825" s="133" t="n">
        <v>19</v>
      </c>
      <c r="K825" s="129" t="n">
        <v>14</v>
      </c>
      <c r="L825" s="129" t="n">
        <v>0</v>
      </c>
      <c r="M825" s="129" t="inlineStr">
        <is>
          <t>I/V/T AI</t>
        </is>
      </c>
      <c r="N825" s="129" t="inlineStr">
        <is>
          <t>5069-IY4</t>
        </is>
      </c>
      <c r="O825" s="134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40" t="n"/>
      <c r="AA825" t="inlineStr">
        <is>
          <t>No mapped PDF sheet</t>
        </is>
      </c>
      <c r="AC825" t="inlineStr">
        <is>
          <t>Low</t>
        </is>
      </c>
      <c r="AN825" t="inlineStr">
        <is>
          <t>Yes</t>
        </is>
      </c>
      <c r="AO825" t="inlineStr">
        <is>
          <t>sheet value not mapped to PDF</t>
        </is>
      </c>
    </row>
    <row r="826">
      <c r="A826" s="202" t="n"/>
      <c r="B826" s="119" t="n"/>
      <c r="C826" s="265" t="n"/>
      <c r="D826" s="279" t="n"/>
      <c r="E826" s="119" t="n"/>
      <c r="F826" s="119" t="n"/>
      <c r="G826" s="118" t="n"/>
      <c r="H826" s="123" t="n"/>
      <c r="I826" s="119" t="n"/>
      <c r="J826" s="124" t="n">
        <v>0</v>
      </c>
      <c r="K826" s="124" t="n">
        <v>0</v>
      </c>
      <c r="L826" s="124" t="n">
        <v>0</v>
      </c>
      <c r="M826" s="120" t="n"/>
      <c r="N826" s="120" t="n"/>
      <c r="O826" s="125" t="n"/>
      <c r="P826" s="120" t="n"/>
      <c r="Q826" s="120" t="n"/>
      <c r="R826" s="121" t="n"/>
      <c r="S826" s="120" t="n"/>
      <c r="T826" s="120" t="n"/>
      <c r="U826" s="120" t="n"/>
      <c r="V826" s="120" t="n"/>
      <c r="W826" s="120" t="n"/>
      <c r="X826" s="121" t="n"/>
      <c r="Y826" s="121" t="n"/>
      <c r="Z826" s="126" t="n"/>
    </row>
    <row r="827">
      <c r="A827" s="203">
        <f>ROW()-2</f>
        <v/>
      </c>
      <c r="B827" s="128" t="inlineStr">
        <is>
          <t>RL7-CNV-109-ZSS-10</t>
        </is>
      </c>
      <c r="C827" s="263" t="n"/>
      <c r="D827" s="262" t="n"/>
      <c r="E827" s="128" t="n"/>
      <c r="F827" s="130" t="inlineStr">
        <is>
          <t>SPARE</t>
        </is>
      </c>
      <c r="G827" s="131" t="n"/>
      <c r="H827" s="128" t="n"/>
      <c r="I827" s="132" t="inlineStr">
        <is>
          <t>RL7-PBK-RIO1</t>
        </is>
      </c>
      <c r="J827" s="133" t="n">
        <v>1</v>
      </c>
      <c r="K827" s="128" t="n">
        <v>4</v>
      </c>
      <c r="L827" s="128" t="n">
        <v>2</v>
      </c>
      <c r="M827" s="132" t="inlineStr">
        <is>
          <t>24 VDC SI</t>
        </is>
      </c>
      <c r="N827" s="132" t="inlineStr">
        <is>
          <t>5069-IB8S</t>
        </is>
      </c>
      <c r="O827" s="134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35" t="n"/>
    </row>
    <row r="828">
      <c r="A828" s="203">
        <f>ROW()-2</f>
        <v/>
      </c>
      <c r="B828" s="128" t="inlineStr">
        <is>
          <t>RL7-CNV-109-ZSS-10</t>
        </is>
      </c>
      <c r="C828" s="263" t="n"/>
      <c r="D828" s="262" t="n"/>
      <c r="E828" s="128" t="n"/>
      <c r="F828" s="130" t="inlineStr">
        <is>
          <t>SPARE</t>
        </is>
      </c>
      <c r="G828" s="131" t="n"/>
      <c r="H828" s="128" t="n"/>
      <c r="I828" s="132" t="inlineStr">
        <is>
          <t>RL7-PBK-RIO1</t>
        </is>
      </c>
      <c r="J828" s="133" t="n">
        <v>1</v>
      </c>
      <c r="K828" s="128" t="n">
        <v>4</v>
      </c>
      <c r="L828" s="128" t="n">
        <v>3</v>
      </c>
      <c r="M828" s="132" t="inlineStr">
        <is>
          <t>24 VDC SI</t>
        </is>
      </c>
      <c r="N828" s="132" t="inlineStr">
        <is>
          <t>5069-IB8S</t>
        </is>
      </c>
      <c r="O828" s="134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35" t="n"/>
    </row>
    <row r="829">
      <c r="A829" s="203">
        <f>ROW()-2</f>
        <v/>
      </c>
      <c r="B829" s="128" t="inlineStr">
        <is>
          <t>RL7-CNV-109-PB-01</t>
        </is>
      </c>
      <c r="C829" s="263" t="n"/>
      <c r="D829" s="262" t="n"/>
      <c r="E829" s="128" t="n"/>
      <c r="F829" s="130" t="inlineStr">
        <is>
          <t>SPARE</t>
        </is>
      </c>
      <c r="G829" s="131" t="n"/>
      <c r="H829" s="128" t="n"/>
      <c r="I829" s="132" t="inlineStr">
        <is>
          <t>RL7-PBK-RIO1</t>
        </is>
      </c>
      <c r="J829" s="133" t="n">
        <v>1</v>
      </c>
      <c r="K829" s="128" t="n">
        <v>4</v>
      </c>
      <c r="L829" s="128" t="n">
        <v>4</v>
      </c>
      <c r="M829" s="132" t="inlineStr">
        <is>
          <t>24 VDC SI</t>
        </is>
      </c>
      <c r="N829" s="132" t="inlineStr">
        <is>
          <t>5069-IB8S</t>
        </is>
      </c>
      <c r="O829" s="134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35" t="n"/>
    </row>
    <row r="830">
      <c r="A830" s="203">
        <f>ROW()-2</f>
        <v/>
      </c>
      <c r="B830" s="128" t="inlineStr">
        <is>
          <t>RL7-CNV-109-PB-01</t>
        </is>
      </c>
      <c r="C830" s="263" t="n"/>
      <c r="D830" s="262" t="n"/>
      <c r="E830" s="128" t="n"/>
      <c r="F830" s="130" t="inlineStr">
        <is>
          <t>SPARE</t>
        </is>
      </c>
      <c r="G830" s="131" t="n"/>
      <c r="H830" s="128" t="n"/>
      <c r="I830" s="132" t="inlineStr">
        <is>
          <t>RL7-PBK-RIO1</t>
        </is>
      </c>
      <c r="J830" s="133" t="n">
        <v>1</v>
      </c>
      <c r="K830" s="128" t="n">
        <v>4</v>
      </c>
      <c r="L830" s="128" t="n">
        <v>5</v>
      </c>
      <c r="M830" s="132" t="inlineStr">
        <is>
          <t>24 VDC SI</t>
        </is>
      </c>
      <c r="N830" s="132" t="inlineStr">
        <is>
          <t>5069-IB8S</t>
        </is>
      </c>
      <c r="O830" s="134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35" t="n"/>
    </row>
    <row r="831">
      <c r="A831" s="203">
        <f>ROW()-2</f>
        <v/>
      </c>
      <c r="B831" s="128" t="inlineStr">
        <is>
          <t>RL7-GRR-103-ZSS-05</t>
        </is>
      </c>
      <c r="C831" s="263" t="n"/>
      <c r="D831" s="262" t="n"/>
      <c r="E831" s="128" t="n"/>
      <c r="F831" s="137" t="inlineStr">
        <is>
          <t>SPARE</t>
        </is>
      </c>
      <c r="G831" s="131" t="n"/>
      <c r="H831" s="128" t="n"/>
      <c r="I831" s="132" t="inlineStr">
        <is>
          <t>RL7-PBK-RIO1</t>
        </is>
      </c>
      <c r="J831" s="133" t="n">
        <v>1</v>
      </c>
      <c r="K831" s="129" t="n">
        <v>5</v>
      </c>
      <c r="L831" s="129" t="n">
        <v>0</v>
      </c>
      <c r="M831" s="131" t="inlineStr">
        <is>
          <t>24 VDC SI</t>
        </is>
      </c>
      <c r="N831" s="131" t="inlineStr">
        <is>
          <t>5069-IB8S</t>
        </is>
      </c>
      <c r="O831" s="134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35" t="n"/>
    </row>
    <row r="832">
      <c r="A832" s="203">
        <f>ROW()-2</f>
        <v/>
      </c>
      <c r="B832" s="128" t="inlineStr">
        <is>
          <t>RL7-GRR-103-ZSS-05</t>
        </is>
      </c>
      <c r="C832" s="263" t="n"/>
      <c r="D832" s="262" t="n"/>
      <c r="E832" s="128" t="n"/>
      <c r="F832" s="137" t="inlineStr">
        <is>
          <t>SPARE</t>
        </is>
      </c>
      <c r="G832" s="131" t="n"/>
      <c r="H832" s="128" t="n"/>
      <c r="I832" s="132" t="inlineStr">
        <is>
          <t>RL7-PBK-RIO1</t>
        </is>
      </c>
      <c r="J832" s="133" t="n">
        <v>1</v>
      </c>
      <c r="K832" s="129" t="n">
        <v>5</v>
      </c>
      <c r="L832" s="129" t="n">
        <v>1</v>
      </c>
      <c r="M832" s="131" t="inlineStr">
        <is>
          <t>24 VDC SI</t>
        </is>
      </c>
      <c r="N832" s="131" t="inlineStr">
        <is>
          <t>5069-IB8S</t>
        </is>
      </c>
      <c r="O832" s="134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35" t="n"/>
    </row>
    <row r="833">
      <c r="A833" s="203">
        <f>ROW()-2</f>
        <v/>
      </c>
      <c r="B833" s="128" t="n"/>
      <c r="C833" s="263" t="n"/>
      <c r="D833" s="262" t="n"/>
      <c r="E833" s="128" t="n"/>
      <c r="F833" s="130" t="inlineStr">
        <is>
          <t>SPARE</t>
        </is>
      </c>
      <c r="G833" s="131" t="n"/>
      <c r="H833" s="128" t="n"/>
      <c r="I833" s="132" t="inlineStr">
        <is>
          <t>RL7-PBK-RIO1</t>
        </is>
      </c>
      <c r="J833" s="133" t="n">
        <v>1</v>
      </c>
      <c r="K833" s="129" t="n">
        <v>5</v>
      </c>
      <c r="L833" s="129" t="n">
        <v>2</v>
      </c>
      <c r="M833" s="131" t="inlineStr">
        <is>
          <t>24 VDC SI</t>
        </is>
      </c>
      <c r="N833" s="131" t="inlineStr">
        <is>
          <t>5069-IB8S</t>
        </is>
      </c>
      <c r="O833" s="134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35" t="n"/>
    </row>
    <row r="834">
      <c r="A834" s="203">
        <f>ROW()-2</f>
        <v/>
      </c>
      <c r="B834" s="128" t="n"/>
      <c r="C834" s="263" t="n"/>
      <c r="D834" s="262" t="n"/>
      <c r="E834" s="128" t="n"/>
      <c r="F834" s="130" t="inlineStr">
        <is>
          <t>SPARE</t>
        </is>
      </c>
      <c r="G834" s="131" t="n"/>
      <c r="H834" s="128" t="n"/>
      <c r="I834" s="132" t="inlineStr">
        <is>
          <t>RL7-PBK-RIO1</t>
        </is>
      </c>
      <c r="J834" s="133" t="n">
        <v>1</v>
      </c>
      <c r="K834" s="129" t="n">
        <v>5</v>
      </c>
      <c r="L834" s="129" t="n">
        <v>3</v>
      </c>
      <c r="M834" s="131" t="inlineStr">
        <is>
          <t>24 VDC SI</t>
        </is>
      </c>
      <c r="N834" s="131" t="inlineStr">
        <is>
          <t>5069-IB8S</t>
        </is>
      </c>
      <c r="O834" s="134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35" t="n"/>
    </row>
    <row r="835">
      <c r="A835" s="203">
        <f>ROW()-2</f>
        <v/>
      </c>
      <c r="B835" s="128" t="n"/>
      <c r="C835" s="263" t="n"/>
      <c r="D835" s="262" t="n"/>
      <c r="E835" s="128" t="n"/>
      <c r="F835" s="130" t="inlineStr">
        <is>
          <t>SPARE</t>
        </is>
      </c>
      <c r="G835" s="131" t="n"/>
      <c r="H835" s="128" t="n"/>
      <c r="I835" s="132" t="inlineStr">
        <is>
          <t>RL7-PBK-RIO1</t>
        </is>
      </c>
      <c r="J835" s="133" t="n">
        <v>1</v>
      </c>
      <c r="K835" s="129" t="n">
        <v>5</v>
      </c>
      <c r="L835" s="129" t="n">
        <v>4</v>
      </c>
      <c r="M835" s="131" t="inlineStr">
        <is>
          <t>24 VDC SI</t>
        </is>
      </c>
      <c r="N835" s="131" t="inlineStr">
        <is>
          <t>5069-IB8S</t>
        </is>
      </c>
      <c r="O835" s="134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35" t="n"/>
    </row>
    <row r="836">
      <c r="A836" s="203">
        <f>ROW()-2</f>
        <v/>
      </c>
      <c r="B836" s="128" t="n"/>
      <c r="C836" s="263" t="n"/>
      <c r="D836" s="262" t="n"/>
      <c r="E836" s="128" t="n"/>
      <c r="F836" s="130" t="inlineStr">
        <is>
          <t>SPARE</t>
        </is>
      </c>
      <c r="G836" s="131" t="n"/>
      <c r="H836" s="128" t="n"/>
      <c r="I836" s="132" t="inlineStr">
        <is>
          <t>RL7-PBK-RIO1</t>
        </is>
      </c>
      <c r="J836" s="133" t="n">
        <v>1</v>
      </c>
      <c r="K836" s="129" t="n">
        <v>5</v>
      </c>
      <c r="L836" s="129" t="n">
        <v>5</v>
      </c>
      <c r="M836" s="131" t="inlineStr">
        <is>
          <t>24 VDC SI</t>
        </is>
      </c>
      <c r="N836" s="131" t="inlineStr">
        <is>
          <t>5069-IB8S</t>
        </is>
      </c>
      <c r="O836" s="134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35" t="n"/>
    </row>
    <row r="837">
      <c r="A837" s="203">
        <f>ROW()-2</f>
        <v/>
      </c>
      <c r="B837" s="128" t="n"/>
      <c r="C837" s="263" t="n"/>
      <c r="D837" s="262" t="n"/>
      <c r="E837" s="128" t="n"/>
      <c r="F837" s="130" t="inlineStr">
        <is>
          <t>SPARE</t>
        </is>
      </c>
      <c r="G837" s="131" t="n"/>
      <c r="H837" s="128" t="n"/>
      <c r="I837" s="132" t="inlineStr">
        <is>
          <t>RL7-PBK-RIO1</t>
        </is>
      </c>
      <c r="J837" s="133" t="n">
        <v>1</v>
      </c>
      <c r="K837" s="129" t="n">
        <v>5</v>
      </c>
      <c r="L837" s="129" t="n">
        <v>6</v>
      </c>
      <c r="M837" s="131" t="inlineStr">
        <is>
          <t>24 VDC SI</t>
        </is>
      </c>
      <c r="N837" s="131" t="inlineStr">
        <is>
          <t>5069-IB8S</t>
        </is>
      </c>
      <c r="O837" s="134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35" t="n"/>
    </row>
    <row r="838">
      <c r="A838" s="203">
        <f>ROW()-2</f>
        <v/>
      </c>
      <c r="B838" s="128" t="n"/>
      <c r="C838" s="263" t="n"/>
      <c r="D838" s="262" t="n"/>
      <c r="E838" s="128" t="n"/>
      <c r="F838" s="130" t="inlineStr">
        <is>
          <t>SPARE</t>
        </is>
      </c>
      <c r="G838" s="131" t="n"/>
      <c r="H838" s="128" t="n"/>
      <c r="I838" s="132" t="inlineStr">
        <is>
          <t>RL7-PBK-RIO1</t>
        </is>
      </c>
      <c r="J838" s="133" t="n">
        <v>1</v>
      </c>
      <c r="K838" s="129" t="n">
        <v>5</v>
      </c>
      <c r="L838" s="129" t="n">
        <v>7</v>
      </c>
      <c r="M838" s="131" t="inlineStr">
        <is>
          <t>24 VDC SI</t>
        </is>
      </c>
      <c r="N838" s="131" t="inlineStr">
        <is>
          <t>5069-IB8S</t>
        </is>
      </c>
      <c r="O838" s="134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35" t="n"/>
    </row>
    <row r="839">
      <c r="A839" s="203">
        <f>ROW()-2</f>
        <v/>
      </c>
      <c r="B839" s="128" t="n"/>
      <c r="C839" s="263" t="n"/>
      <c r="D839" s="262" t="n"/>
      <c r="E839" s="128" t="n"/>
      <c r="F839" s="138" t="inlineStr">
        <is>
          <t>SPARE</t>
        </is>
      </c>
      <c r="G839" s="131" t="n"/>
      <c r="H839" s="128" t="n"/>
      <c r="I839" s="132" t="inlineStr">
        <is>
          <t>RL7-PBK-RIO1</t>
        </is>
      </c>
      <c r="J839" s="133" t="n">
        <v>1</v>
      </c>
      <c r="K839" s="129" t="n">
        <v>6</v>
      </c>
      <c r="L839" s="129" t="n">
        <v>1</v>
      </c>
      <c r="M839" s="131" t="inlineStr">
        <is>
          <t>24 VDC DI</t>
        </is>
      </c>
      <c r="N839" s="129" t="inlineStr">
        <is>
          <t>5069-IB16</t>
        </is>
      </c>
      <c r="O839" s="139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40" t="n"/>
    </row>
    <row r="840">
      <c r="A840" s="203">
        <f>ROW()-2</f>
        <v/>
      </c>
      <c r="B840" s="128" t="inlineStr">
        <is>
          <t>RL7-GRR-103-PSL-01</t>
        </is>
      </c>
      <c r="C840" s="263" t="n"/>
      <c r="D840" s="262" t="n"/>
      <c r="E840" s="133" t="n"/>
      <c r="F840" s="138" t="inlineStr">
        <is>
          <t>SPARE</t>
        </is>
      </c>
      <c r="G840" s="131" t="n"/>
      <c r="H840" s="128" t="n"/>
      <c r="I840" s="132" t="inlineStr">
        <is>
          <t>RL7-PBK-RIO1</t>
        </is>
      </c>
      <c r="J840" s="133" t="n">
        <v>1</v>
      </c>
      <c r="K840" s="128" t="n">
        <v>6</v>
      </c>
      <c r="L840" s="128" t="n">
        <v>2</v>
      </c>
      <c r="M840" s="132" t="inlineStr">
        <is>
          <t>24 VDC DI</t>
        </is>
      </c>
      <c r="N840" s="128" t="inlineStr">
        <is>
          <t>5069-IB16</t>
        </is>
      </c>
      <c r="O840" s="139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40" t="n"/>
    </row>
    <row r="841">
      <c r="A841" s="203">
        <f>ROW()-2</f>
        <v/>
      </c>
      <c r="B841" s="128" t="n"/>
      <c r="C841" s="263" t="n"/>
      <c r="D841" s="262" t="n"/>
      <c r="E841" s="128" t="n"/>
      <c r="F841" s="138" t="inlineStr">
        <is>
          <t>SPARE</t>
        </is>
      </c>
      <c r="G841" s="129" t="n"/>
      <c r="H841" s="128" t="n"/>
      <c r="I841" s="132" t="inlineStr">
        <is>
          <t>RL7-PBK-RIO1</t>
        </is>
      </c>
      <c r="J841" s="133" t="n">
        <v>1</v>
      </c>
      <c r="K841" s="129" t="n">
        <v>6</v>
      </c>
      <c r="L841" s="129" t="n">
        <v>3</v>
      </c>
      <c r="M841" s="131" t="inlineStr">
        <is>
          <t>24 VDC DI</t>
        </is>
      </c>
      <c r="N841" s="129" t="inlineStr">
        <is>
          <t>5069-IB16</t>
        </is>
      </c>
      <c r="O841" s="139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40" t="n"/>
    </row>
    <row r="842">
      <c r="A842" s="203">
        <f>ROW()-2</f>
        <v/>
      </c>
      <c r="B842" s="128" t="n"/>
      <c r="C842" s="263" t="n"/>
      <c r="D842" s="262" t="n"/>
      <c r="E842" s="128" t="n"/>
      <c r="F842" s="138" t="inlineStr">
        <is>
          <t>SPARE</t>
        </is>
      </c>
      <c r="G842" s="131" t="n"/>
      <c r="H842" s="128" t="n"/>
      <c r="I842" s="132" t="inlineStr">
        <is>
          <t>RL7-PBK-RIO1</t>
        </is>
      </c>
      <c r="J842" s="133" t="n">
        <v>1</v>
      </c>
      <c r="K842" s="129" t="n">
        <v>6</v>
      </c>
      <c r="L842" s="129" t="n">
        <v>4</v>
      </c>
      <c r="M842" s="131" t="inlineStr">
        <is>
          <t>24 VDC DI</t>
        </is>
      </c>
      <c r="N842" s="129" t="inlineStr">
        <is>
          <t>5069-IB16</t>
        </is>
      </c>
      <c r="O842" s="139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40" t="n"/>
    </row>
    <row r="843">
      <c r="A843" s="203">
        <f>ROW()-2</f>
        <v/>
      </c>
      <c r="B843" s="128" t="n"/>
      <c r="C843" s="263" t="n"/>
      <c r="D843" s="262" t="n"/>
      <c r="E843" s="128" t="n"/>
      <c r="F843" s="138" t="inlineStr">
        <is>
          <t>SPARE</t>
        </is>
      </c>
      <c r="G843" s="131" t="n"/>
      <c r="H843" s="128" t="n"/>
      <c r="I843" s="132" t="inlineStr">
        <is>
          <t>RL7-PBK-RIO1</t>
        </is>
      </c>
      <c r="J843" s="133" t="n">
        <v>1</v>
      </c>
      <c r="K843" s="129" t="n">
        <v>6</v>
      </c>
      <c r="L843" s="129" t="n">
        <v>5</v>
      </c>
      <c r="M843" s="131" t="inlineStr">
        <is>
          <t>24 VDC DI</t>
        </is>
      </c>
      <c r="N843" s="129" t="inlineStr">
        <is>
          <t>5069-IB16</t>
        </is>
      </c>
      <c r="O843" s="139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40" t="n"/>
    </row>
    <row r="844">
      <c r="A844" s="203">
        <f>ROW()-2</f>
        <v/>
      </c>
      <c r="B844" s="128" t="n"/>
      <c r="C844" s="263" t="n"/>
      <c r="D844" s="262" t="n"/>
      <c r="E844" s="128" t="n"/>
      <c r="F844" s="138" t="inlineStr">
        <is>
          <t>SPARE</t>
        </is>
      </c>
      <c r="G844" s="131" t="n"/>
      <c r="H844" s="128" t="n"/>
      <c r="I844" s="132" t="inlineStr">
        <is>
          <t>RL7-PBK-RIO1</t>
        </is>
      </c>
      <c r="J844" s="133" t="n">
        <v>1</v>
      </c>
      <c r="K844" s="129" t="n">
        <v>6</v>
      </c>
      <c r="L844" s="129" t="n">
        <v>6</v>
      </c>
      <c r="M844" s="131" t="inlineStr">
        <is>
          <t>24 VDC DI</t>
        </is>
      </c>
      <c r="N844" s="129" t="inlineStr">
        <is>
          <t>5069-IB16</t>
        </is>
      </c>
      <c r="O844" s="139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40" t="n"/>
    </row>
    <row r="845">
      <c r="A845" s="203">
        <f>ROW()-2</f>
        <v/>
      </c>
      <c r="B845" s="128" t="n"/>
      <c r="C845" s="263" t="n"/>
      <c r="D845" s="262" t="n"/>
      <c r="E845" s="128" t="n"/>
      <c r="F845" s="138" t="inlineStr">
        <is>
          <t>SPARE</t>
        </is>
      </c>
      <c r="G845" s="131" t="n"/>
      <c r="H845" s="128" t="n"/>
      <c r="I845" s="132" t="inlineStr">
        <is>
          <t>RL7-PBK-RIO1</t>
        </is>
      </c>
      <c r="J845" s="133" t="n">
        <v>1</v>
      </c>
      <c r="K845" s="129" t="n">
        <v>6</v>
      </c>
      <c r="L845" s="129" t="n">
        <v>7</v>
      </c>
      <c r="M845" s="131" t="inlineStr">
        <is>
          <t>24 VDC DI</t>
        </is>
      </c>
      <c r="N845" s="129" t="inlineStr">
        <is>
          <t>5069-IB16</t>
        </is>
      </c>
      <c r="O845" s="139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40" t="n"/>
    </row>
    <row r="846">
      <c r="A846" s="203">
        <f>ROW()-2</f>
        <v/>
      </c>
      <c r="B846" s="128" t="n"/>
      <c r="C846" s="263" t="n"/>
      <c r="D846" s="262" t="n"/>
      <c r="E846" s="128" t="n"/>
      <c r="F846" s="138" t="inlineStr">
        <is>
          <t>SPARE</t>
        </is>
      </c>
      <c r="G846" s="131" t="n"/>
      <c r="H846" s="128" t="n"/>
      <c r="I846" s="132" t="inlineStr">
        <is>
          <t>RL7-PBK-RIO1</t>
        </is>
      </c>
      <c r="J846" s="133" t="n">
        <v>1</v>
      </c>
      <c r="K846" s="129" t="n">
        <v>6</v>
      </c>
      <c r="L846" s="129" t="n">
        <v>8</v>
      </c>
      <c r="M846" s="131" t="inlineStr">
        <is>
          <t>24 VDC DI</t>
        </is>
      </c>
      <c r="N846" s="129" t="inlineStr">
        <is>
          <t>5069-IB16</t>
        </is>
      </c>
      <c r="O846" s="139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40" t="n"/>
    </row>
    <row r="847">
      <c r="A847" s="203">
        <f>ROW()-2</f>
        <v/>
      </c>
      <c r="B847" s="128" t="n"/>
      <c r="C847" s="263" t="n"/>
      <c r="D847" s="262" t="n"/>
      <c r="E847" s="128" t="n"/>
      <c r="F847" s="138" t="inlineStr">
        <is>
          <t>SPARE</t>
        </is>
      </c>
      <c r="G847" s="131" t="n"/>
      <c r="H847" s="128" t="n"/>
      <c r="I847" s="132" t="inlineStr">
        <is>
          <t>RL7-PBK-RIO1</t>
        </is>
      </c>
      <c r="J847" s="133" t="n">
        <v>1</v>
      </c>
      <c r="K847" s="129" t="n">
        <v>6</v>
      </c>
      <c r="L847" s="129" t="n">
        <v>9</v>
      </c>
      <c r="M847" s="131" t="inlineStr">
        <is>
          <t>24 VDC DI</t>
        </is>
      </c>
      <c r="N847" s="129" t="inlineStr">
        <is>
          <t>5069-IB16</t>
        </is>
      </c>
      <c r="O847" s="139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40" t="n"/>
    </row>
    <row r="848">
      <c r="A848" s="203">
        <f>ROW()-2</f>
        <v/>
      </c>
      <c r="B848" s="128" t="n"/>
      <c r="C848" s="263" t="n"/>
      <c r="D848" s="262" t="n"/>
      <c r="E848" s="128" t="n"/>
      <c r="F848" s="138" t="inlineStr">
        <is>
          <t>SPARE</t>
        </is>
      </c>
      <c r="G848" s="131" t="n"/>
      <c r="H848" s="128" t="n"/>
      <c r="I848" s="132" t="inlineStr">
        <is>
          <t>RL7-PBK-RIO1</t>
        </is>
      </c>
      <c r="J848" s="133" t="n">
        <v>1</v>
      </c>
      <c r="K848" s="129" t="n">
        <v>6</v>
      </c>
      <c r="L848" s="129" t="n">
        <v>10</v>
      </c>
      <c r="M848" s="131" t="inlineStr">
        <is>
          <t>24 VDC DI</t>
        </is>
      </c>
      <c r="N848" s="129" t="inlineStr">
        <is>
          <t>5069-IB16</t>
        </is>
      </c>
      <c r="O848" s="139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40" t="n"/>
    </row>
    <row r="849">
      <c r="A849" s="203">
        <f>ROW()-2</f>
        <v/>
      </c>
      <c r="B849" s="128" t="n"/>
      <c r="C849" s="263" t="n"/>
      <c r="D849" s="262" t="n"/>
      <c r="E849" s="128" t="n"/>
      <c r="F849" s="138" t="inlineStr">
        <is>
          <t>SPARE</t>
        </is>
      </c>
      <c r="G849" s="131" t="n"/>
      <c r="H849" s="128" t="n"/>
      <c r="I849" s="132" t="inlineStr">
        <is>
          <t>RL7-PBK-RIO1</t>
        </is>
      </c>
      <c r="J849" s="133" t="n">
        <v>1</v>
      </c>
      <c r="K849" s="129" t="n">
        <v>6</v>
      </c>
      <c r="L849" s="129" t="n">
        <v>11</v>
      </c>
      <c r="M849" s="131" t="inlineStr">
        <is>
          <t>24 VDC DI</t>
        </is>
      </c>
      <c r="N849" s="129" t="inlineStr">
        <is>
          <t>5069-IB16</t>
        </is>
      </c>
      <c r="O849" s="139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40" t="n"/>
    </row>
    <row r="850">
      <c r="A850" s="203">
        <f>ROW()-2</f>
        <v/>
      </c>
      <c r="B850" s="128" t="n"/>
      <c r="C850" s="263" t="n"/>
      <c r="D850" s="262" t="n"/>
      <c r="E850" s="128" t="n"/>
      <c r="F850" s="138" t="inlineStr">
        <is>
          <t>SPARE</t>
        </is>
      </c>
      <c r="G850" s="131" t="n"/>
      <c r="H850" s="128" t="n"/>
      <c r="I850" s="132" t="inlineStr">
        <is>
          <t>RL7-PBK-RIO1</t>
        </is>
      </c>
      <c r="J850" s="133" t="n">
        <v>1</v>
      </c>
      <c r="K850" s="129" t="n">
        <v>6</v>
      </c>
      <c r="L850" s="129" t="n">
        <v>12</v>
      </c>
      <c r="M850" s="131" t="inlineStr">
        <is>
          <t>24 VDC DI</t>
        </is>
      </c>
      <c r="N850" s="129" t="inlineStr">
        <is>
          <t>5069-IB16</t>
        </is>
      </c>
      <c r="O850" s="139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40" t="n"/>
    </row>
    <row r="851">
      <c r="A851" s="203">
        <f>ROW()-2</f>
        <v/>
      </c>
      <c r="B851" s="128" t="n"/>
      <c r="C851" s="263" t="n"/>
      <c r="D851" s="262" t="n"/>
      <c r="E851" s="128" t="n"/>
      <c r="F851" s="138" t="inlineStr">
        <is>
          <t>SPARE</t>
        </is>
      </c>
      <c r="G851" s="131" t="n"/>
      <c r="H851" s="128" t="n"/>
      <c r="I851" s="132" t="inlineStr">
        <is>
          <t>RL7-PBK-RIO1</t>
        </is>
      </c>
      <c r="J851" s="133" t="n">
        <v>1</v>
      </c>
      <c r="K851" s="129" t="n">
        <v>6</v>
      </c>
      <c r="L851" s="129" t="n">
        <v>13</v>
      </c>
      <c r="M851" s="131" t="inlineStr">
        <is>
          <t>24 VDC DI</t>
        </is>
      </c>
      <c r="N851" s="129" t="inlineStr">
        <is>
          <t>5069-IB16</t>
        </is>
      </c>
      <c r="O851" s="139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40" t="n"/>
    </row>
    <row r="852">
      <c r="A852" s="203">
        <f>ROW()-2</f>
        <v/>
      </c>
      <c r="B852" s="128" t="n"/>
      <c r="C852" s="263" t="n"/>
      <c r="D852" s="262" t="n"/>
      <c r="E852" s="128" t="n"/>
      <c r="F852" s="138" t="inlineStr">
        <is>
          <t>SPARE</t>
        </is>
      </c>
      <c r="G852" s="131" t="n"/>
      <c r="H852" s="128" t="n"/>
      <c r="I852" s="132" t="inlineStr">
        <is>
          <t>RL7-PBK-RIO1</t>
        </is>
      </c>
      <c r="J852" s="133" t="n">
        <v>1</v>
      </c>
      <c r="K852" s="129" t="n">
        <v>6</v>
      </c>
      <c r="L852" s="129" t="n">
        <v>14</v>
      </c>
      <c r="M852" s="131" t="inlineStr">
        <is>
          <t>24 VDC DI</t>
        </is>
      </c>
      <c r="N852" s="129" t="inlineStr">
        <is>
          <t>5069-IB16</t>
        </is>
      </c>
      <c r="O852" s="139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40" t="n"/>
    </row>
    <row r="853">
      <c r="A853" s="203">
        <f>ROW()-2</f>
        <v/>
      </c>
      <c r="B853" s="128" t="n"/>
      <c r="C853" s="263" t="n"/>
      <c r="D853" s="262" t="n"/>
      <c r="E853" s="128" t="n"/>
      <c r="F853" s="138" t="inlineStr">
        <is>
          <t>SPARE</t>
        </is>
      </c>
      <c r="G853" s="131" t="n"/>
      <c r="H853" s="128" t="n"/>
      <c r="I853" s="132" t="inlineStr">
        <is>
          <t>RL7-PBK-RIO1</t>
        </is>
      </c>
      <c r="J853" s="133" t="n">
        <v>1</v>
      </c>
      <c r="K853" s="129" t="n">
        <v>6</v>
      </c>
      <c r="L853" s="129" t="n">
        <v>15</v>
      </c>
      <c r="M853" s="131" t="inlineStr">
        <is>
          <t>24 VDC DI</t>
        </is>
      </c>
      <c r="N853" s="129" t="inlineStr">
        <is>
          <t>5069-IB16</t>
        </is>
      </c>
      <c r="O853" s="139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40" t="n"/>
    </row>
    <row r="854">
      <c r="A854" s="203">
        <f>ROW()-2</f>
        <v/>
      </c>
      <c r="B854" s="128" t="n"/>
      <c r="C854" s="263" t="n"/>
      <c r="D854" s="262" t="n"/>
      <c r="E854" s="128" t="n"/>
      <c r="F854" s="138" t="inlineStr">
        <is>
          <t>ADDRESS RESERVE MODULE</t>
        </is>
      </c>
      <c r="G854" s="131" t="n"/>
      <c r="H854" s="128" t="n"/>
      <c r="I854" s="132" t="inlineStr">
        <is>
          <t>RL7-PBK-RIO1</t>
        </is>
      </c>
      <c r="J854" s="133" t="n">
        <v>1</v>
      </c>
      <c r="K854" s="129" t="n">
        <v>7</v>
      </c>
      <c r="L854" s="129" t="n">
        <v>0</v>
      </c>
      <c r="M854" s="131" t="inlineStr">
        <is>
          <t>ARM</t>
        </is>
      </c>
      <c r="N854" s="129" t="inlineStr">
        <is>
          <t>5069-ARM</t>
        </is>
      </c>
      <c r="O854" s="139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40" t="n"/>
    </row>
    <row r="855">
      <c r="A855" s="203">
        <f>ROW()-2</f>
        <v/>
      </c>
      <c r="B855" s="128" t="n"/>
      <c r="C855" s="263" t="n"/>
      <c r="D855" s="262" t="n"/>
      <c r="E855" s="128" t="n"/>
      <c r="F855" s="138" t="inlineStr">
        <is>
          <t>SPARE</t>
        </is>
      </c>
      <c r="G855" s="131" t="n"/>
      <c r="H855" s="128" t="n"/>
      <c r="I855" s="132" t="inlineStr">
        <is>
          <t>RL7-PBK-RIO1</t>
        </is>
      </c>
      <c r="J855" s="133" t="n">
        <v>1</v>
      </c>
      <c r="K855" s="129" t="n">
        <v>8</v>
      </c>
      <c r="L855" s="129" t="n">
        <v>0</v>
      </c>
      <c r="M855" s="131" t="inlineStr">
        <is>
          <t>24 VDC DO</t>
        </is>
      </c>
      <c r="N855" s="129" t="inlineStr">
        <is>
          <t>5069-OB16</t>
        </is>
      </c>
      <c r="O855" s="139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40" t="n"/>
    </row>
    <row r="856">
      <c r="A856" s="203">
        <f>ROW()-2</f>
        <v/>
      </c>
      <c r="B856" s="128" t="n"/>
      <c r="C856" s="263" t="n"/>
      <c r="D856" s="280" t="n"/>
      <c r="E856" s="132" t="n"/>
      <c r="F856" s="138" t="inlineStr">
        <is>
          <t>SPARE</t>
        </is>
      </c>
      <c r="G856" s="131" t="n"/>
      <c r="H856" s="128" t="n"/>
      <c r="I856" s="132" t="inlineStr">
        <is>
          <t>RL7-PBK-RIO1</t>
        </is>
      </c>
      <c r="J856" s="133" t="n">
        <v>1</v>
      </c>
      <c r="K856" s="129" t="n">
        <v>8</v>
      </c>
      <c r="L856" s="129" t="n">
        <v>8</v>
      </c>
      <c r="M856" s="131" t="inlineStr">
        <is>
          <t>24 VDC DO</t>
        </is>
      </c>
      <c r="N856" s="129" t="inlineStr">
        <is>
          <t>5069-OB16</t>
        </is>
      </c>
      <c r="O856" s="139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40" t="n"/>
    </row>
    <row r="857">
      <c r="A857" s="203">
        <f>ROW()-2</f>
        <v/>
      </c>
      <c r="B857" s="128" t="n"/>
      <c r="C857" s="263" t="n"/>
      <c r="D857" s="280" t="n"/>
      <c r="E857" s="132" t="n"/>
      <c r="F857" s="138" t="inlineStr">
        <is>
          <t>SPARE</t>
        </is>
      </c>
      <c r="G857" s="131" t="n"/>
      <c r="H857" s="128" t="n"/>
      <c r="I857" s="132" t="inlineStr">
        <is>
          <t>RL7-PBK-RIO1</t>
        </is>
      </c>
      <c r="J857" s="133" t="n">
        <v>1</v>
      </c>
      <c r="K857" s="129" t="n">
        <v>8</v>
      </c>
      <c r="L857" s="129" t="n">
        <v>9</v>
      </c>
      <c r="M857" s="131" t="inlineStr">
        <is>
          <t>24 VDC DO</t>
        </is>
      </c>
      <c r="N857" s="129" t="inlineStr">
        <is>
          <t>5069-OB16</t>
        </is>
      </c>
      <c r="O857" s="139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40" t="n"/>
    </row>
    <row r="858">
      <c r="A858" s="203">
        <f>ROW()-2</f>
        <v/>
      </c>
      <c r="B858" s="128" t="n"/>
      <c r="C858" s="263" t="n"/>
      <c r="D858" s="280" t="n"/>
      <c r="E858" s="132" t="n"/>
      <c r="F858" s="138" t="inlineStr">
        <is>
          <t>SPARE</t>
        </is>
      </c>
      <c r="G858" s="131" t="n"/>
      <c r="H858" s="128" t="n"/>
      <c r="I858" s="132" t="inlineStr">
        <is>
          <t>RL7-PBK-RIO1</t>
        </is>
      </c>
      <c r="J858" s="133" t="n">
        <v>1</v>
      </c>
      <c r="K858" s="129" t="n">
        <v>8</v>
      </c>
      <c r="L858" s="129" t="n">
        <v>10</v>
      </c>
      <c r="M858" s="131" t="inlineStr">
        <is>
          <t>24 VDC DO</t>
        </is>
      </c>
      <c r="N858" s="129" t="inlineStr">
        <is>
          <t>5069-OB16</t>
        </is>
      </c>
      <c r="O858" s="139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40" t="n"/>
    </row>
    <row r="859">
      <c r="A859" s="203">
        <f>ROW()-2</f>
        <v/>
      </c>
      <c r="B859" s="128" t="n"/>
      <c r="C859" s="263" t="n"/>
      <c r="D859" s="280" t="n"/>
      <c r="E859" s="132" t="n"/>
      <c r="F859" s="138" t="inlineStr">
        <is>
          <t>SPARE</t>
        </is>
      </c>
      <c r="G859" s="131" t="n"/>
      <c r="H859" s="128" t="n"/>
      <c r="I859" s="132" t="inlineStr">
        <is>
          <t>RL7-PBK-RIO1</t>
        </is>
      </c>
      <c r="J859" s="133" t="n">
        <v>1</v>
      </c>
      <c r="K859" s="129" t="n">
        <v>8</v>
      </c>
      <c r="L859" s="129" t="n">
        <v>12</v>
      </c>
      <c r="M859" s="131" t="inlineStr">
        <is>
          <t>24 VDC DO</t>
        </is>
      </c>
      <c r="N859" s="129" t="inlineStr">
        <is>
          <t>5069-OB16</t>
        </is>
      </c>
      <c r="O859" s="139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40" t="n"/>
    </row>
    <row r="860">
      <c r="A860" s="203">
        <f>ROW()-2</f>
        <v/>
      </c>
      <c r="B860" s="128" t="n"/>
      <c r="C860" s="263" t="n"/>
      <c r="D860" s="280" t="n"/>
      <c r="E860" s="132" t="n"/>
      <c r="F860" s="138" t="inlineStr">
        <is>
          <t>SPARE</t>
        </is>
      </c>
      <c r="G860" s="131" t="n"/>
      <c r="H860" s="128" t="n"/>
      <c r="I860" s="132" t="inlineStr">
        <is>
          <t>RL7-PBK-RIO1</t>
        </is>
      </c>
      <c r="J860" s="133" t="n">
        <v>1</v>
      </c>
      <c r="K860" s="129" t="n">
        <v>8</v>
      </c>
      <c r="L860" s="129" t="n">
        <v>13</v>
      </c>
      <c r="M860" s="131" t="inlineStr">
        <is>
          <t>24 VDC DO</t>
        </is>
      </c>
      <c r="N860" s="129" t="inlineStr">
        <is>
          <t>5069-OB16</t>
        </is>
      </c>
      <c r="O860" s="139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40" t="n"/>
    </row>
    <row r="861">
      <c r="A861" s="203">
        <f>ROW()-2</f>
        <v/>
      </c>
      <c r="B861" s="128" t="n"/>
      <c r="C861" s="263" t="n"/>
      <c r="D861" s="280" t="n"/>
      <c r="E861" s="132" t="n"/>
      <c r="F861" s="138" t="inlineStr">
        <is>
          <t>SPARE</t>
        </is>
      </c>
      <c r="G861" s="131" t="n"/>
      <c r="H861" s="128" t="n"/>
      <c r="I861" s="132" t="inlineStr">
        <is>
          <t>RL7-PBK-RIO1</t>
        </is>
      </c>
      <c r="J861" s="133" t="n">
        <v>1</v>
      </c>
      <c r="K861" s="129" t="n">
        <v>8</v>
      </c>
      <c r="L861" s="129" t="n">
        <v>14</v>
      </c>
      <c r="M861" s="131" t="inlineStr">
        <is>
          <t>24 VDC DO</t>
        </is>
      </c>
      <c r="N861" s="129" t="inlineStr">
        <is>
          <t>5069-OB16</t>
        </is>
      </c>
      <c r="O861" s="139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40" t="n"/>
    </row>
    <row r="862">
      <c r="A862" s="203">
        <f>ROW()-2</f>
        <v/>
      </c>
      <c r="B862" s="128" t="n"/>
      <c r="C862" s="263" t="n"/>
      <c r="D862" s="262" t="n"/>
      <c r="E862" s="128" t="n"/>
      <c r="F862" s="138" t="inlineStr">
        <is>
          <t>SPARE</t>
        </is>
      </c>
      <c r="G862" s="131" t="n"/>
      <c r="H862" s="128" t="n"/>
      <c r="I862" s="132" t="inlineStr">
        <is>
          <t>RL7-PBK-RIO1</t>
        </is>
      </c>
      <c r="J862" s="133" t="n">
        <v>1</v>
      </c>
      <c r="K862" s="129" t="n">
        <v>9</v>
      </c>
      <c r="L862" s="129" t="n">
        <v>0</v>
      </c>
      <c r="M862" s="131" t="inlineStr">
        <is>
          <t>24 VDC DO</t>
        </is>
      </c>
      <c r="N862" s="129" t="inlineStr">
        <is>
          <t>5069-OB16</t>
        </is>
      </c>
      <c r="O862" s="139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40" t="n"/>
    </row>
    <row r="863">
      <c r="A863" s="203">
        <f>ROW()-2</f>
        <v/>
      </c>
      <c r="B863" s="128" t="n"/>
      <c r="C863" s="263" t="n"/>
      <c r="D863" s="262" t="n"/>
      <c r="E863" s="128" t="n"/>
      <c r="F863" s="138" t="inlineStr">
        <is>
          <t>SPARE</t>
        </is>
      </c>
      <c r="G863" s="131" t="n"/>
      <c r="H863" s="128" t="n"/>
      <c r="I863" s="132" t="inlineStr">
        <is>
          <t>RL7-PBK-RIO1</t>
        </is>
      </c>
      <c r="J863" s="133" t="n">
        <v>1</v>
      </c>
      <c r="K863" s="129" t="n">
        <v>9</v>
      </c>
      <c r="L863" s="129" t="n">
        <v>2</v>
      </c>
      <c r="M863" s="131" t="inlineStr">
        <is>
          <t>24 VDC DO</t>
        </is>
      </c>
      <c r="N863" s="129" t="inlineStr">
        <is>
          <t>5069-OB16</t>
        </is>
      </c>
      <c r="O863" s="139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40" t="n"/>
    </row>
    <row r="864">
      <c r="A864" s="203">
        <f>ROW()-2</f>
        <v/>
      </c>
      <c r="B864" s="128" t="n"/>
      <c r="C864" s="263" t="n"/>
      <c r="D864" s="262" t="n"/>
      <c r="E864" s="128" t="n"/>
      <c r="F864" s="138" t="inlineStr">
        <is>
          <t>SPARE</t>
        </is>
      </c>
      <c r="G864" s="129" t="n"/>
      <c r="H864" s="128" t="n"/>
      <c r="I864" s="132" t="inlineStr">
        <is>
          <t>RL7-PBK-RIO1</t>
        </is>
      </c>
      <c r="J864" s="133" t="n">
        <v>1</v>
      </c>
      <c r="K864" s="129" t="n">
        <v>9</v>
      </c>
      <c r="L864" s="129" t="n">
        <v>3</v>
      </c>
      <c r="M864" s="131" t="inlineStr">
        <is>
          <t>24 VDC DO</t>
        </is>
      </c>
      <c r="N864" s="129" t="inlineStr">
        <is>
          <t>5069-OB16</t>
        </is>
      </c>
      <c r="O864" s="139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40" t="n"/>
    </row>
    <row r="865">
      <c r="A865" s="203">
        <f>ROW()-2</f>
        <v/>
      </c>
      <c r="B865" s="128" t="n"/>
      <c r="C865" s="263" t="n"/>
      <c r="D865" s="262" t="n"/>
      <c r="E865" s="128" t="n"/>
      <c r="F865" s="138" t="inlineStr">
        <is>
          <t>SPARE</t>
        </is>
      </c>
      <c r="G865" s="131" t="n"/>
      <c r="H865" s="128" t="n"/>
      <c r="I865" s="132" t="inlineStr">
        <is>
          <t>RL7-PBK-RIO1</t>
        </is>
      </c>
      <c r="J865" s="133" t="n">
        <v>1</v>
      </c>
      <c r="K865" s="129" t="n">
        <v>9</v>
      </c>
      <c r="L865" s="129" t="n">
        <v>4</v>
      </c>
      <c r="M865" s="131" t="inlineStr">
        <is>
          <t>24 VDC DO</t>
        </is>
      </c>
      <c r="N865" s="129" t="inlineStr">
        <is>
          <t>5069-OB16</t>
        </is>
      </c>
      <c r="O865" s="139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40" t="n"/>
    </row>
    <row r="866">
      <c r="A866" s="203">
        <f>ROW()-2</f>
        <v/>
      </c>
      <c r="B866" s="128" t="n"/>
      <c r="C866" s="263" t="n"/>
      <c r="D866" s="262" t="n"/>
      <c r="E866" s="128" t="n"/>
      <c r="F866" s="138" t="inlineStr">
        <is>
          <t>SPARE</t>
        </is>
      </c>
      <c r="G866" s="131" t="n"/>
      <c r="H866" s="128" t="n"/>
      <c r="I866" s="132" t="inlineStr">
        <is>
          <t>RL7-PBK-RIO1</t>
        </is>
      </c>
      <c r="J866" s="133" t="n">
        <v>1</v>
      </c>
      <c r="K866" s="129" t="n">
        <v>9</v>
      </c>
      <c r="L866" s="129" t="n">
        <v>5</v>
      </c>
      <c r="M866" s="131" t="inlineStr">
        <is>
          <t>24 VDC DO</t>
        </is>
      </c>
      <c r="N866" s="129" t="inlineStr">
        <is>
          <t>5069-OB16</t>
        </is>
      </c>
      <c r="O866" s="139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40" t="n"/>
    </row>
    <row r="867">
      <c r="A867" s="203">
        <f>ROW()-2</f>
        <v/>
      </c>
      <c r="B867" s="128" t="n"/>
      <c r="C867" s="263" t="n"/>
      <c r="D867" s="262" t="n"/>
      <c r="E867" s="128" t="n"/>
      <c r="F867" s="138" t="inlineStr">
        <is>
          <t>SPARE</t>
        </is>
      </c>
      <c r="G867" s="131" t="n"/>
      <c r="H867" s="128" t="n"/>
      <c r="I867" s="132" t="inlineStr">
        <is>
          <t>RL7-PBK-RIO1</t>
        </is>
      </c>
      <c r="J867" s="133" t="n">
        <v>1</v>
      </c>
      <c r="K867" s="129" t="n">
        <v>9</v>
      </c>
      <c r="L867" s="129" t="n">
        <v>6</v>
      </c>
      <c r="M867" s="131" t="inlineStr">
        <is>
          <t>24 VDC DO</t>
        </is>
      </c>
      <c r="N867" s="129" t="inlineStr">
        <is>
          <t>5069-OB16</t>
        </is>
      </c>
      <c r="O867" s="139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40" t="n"/>
    </row>
    <row r="868">
      <c r="A868" s="203">
        <f>ROW()-2</f>
        <v/>
      </c>
      <c r="B868" s="128" t="n"/>
      <c r="C868" s="263" t="n"/>
      <c r="D868" s="262" t="n"/>
      <c r="E868" s="128" t="n"/>
      <c r="F868" s="138" t="inlineStr">
        <is>
          <t>SPARE</t>
        </is>
      </c>
      <c r="G868" s="131" t="n"/>
      <c r="H868" s="128" t="n"/>
      <c r="I868" s="132" t="inlineStr">
        <is>
          <t>RL7-PBK-RIO1</t>
        </is>
      </c>
      <c r="J868" s="133" t="n">
        <v>1</v>
      </c>
      <c r="K868" s="129" t="n">
        <v>9</v>
      </c>
      <c r="L868" s="129" t="n">
        <v>7</v>
      </c>
      <c r="M868" s="131" t="inlineStr">
        <is>
          <t>24 VDC DO</t>
        </is>
      </c>
      <c r="N868" s="129" t="inlineStr">
        <is>
          <t>5069-OB16</t>
        </is>
      </c>
      <c r="O868" s="139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40" t="n"/>
    </row>
    <row r="869">
      <c r="A869" s="203">
        <f>ROW()-2</f>
        <v/>
      </c>
      <c r="B869" s="128" t="n"/>
      <c r="C869" s="263" t="n"/>
      <c r="D869" s="262" t="n"/>
      <c r="E869" s="128" t="n"/>
      <c r="F869" s="138" t="inlineStr">
        <is>
          <t>SPARE</t>
        </is>
      </c>
      <c r="G869" s="131" t="n"/>
      <c r="H869" s="128" t="n"/>
      <c r="I869" s="132" t="inlineStr">
        <is>
          <t>RL7-PBK-RIO1</t>
        </is>
      </c>
      <c r="J869" s="133" t="n">
        <v>1</v>
      </c>
      <c r="K869" s="129" t="n">
        <v>9</v>
      </c>
      <c r="L869" s="129" t="n">
        <v>8</v>
      </c>
      <c r="M869" s="131" t="inlineStr">
        <is>
          <t>24 VDC DO</t>
        </is>
      </c>
      <c r="N869" s="129" t="inlineStr">
        <is>
          <t>5069-OB16</t>
        </is>
      </c>
      <c r="O869" s="139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40" t="n"/>
    </row>
    <row r="870">
      <c r="A870" s="203">
        <f>ROW()-2</f>
        <v/>
      </c>
      <c r="B870" s="128" t="n"/>
      <c r="C870" s="263" t="n"/>
      <c r="D870" s="262" t="n"/>
      <c r="E870" s="128" t="n"/>
      <c r="F870" s="138" t="inlineStr">
        <is>
          <t>SPARE</t>
        </is>
      </c>
      <c r="G870" s="131" t="n"/>
      <c r="H870" s="128" t="n"/>
      <c r="I870" s="132" t="inlineStr">
        <is>
          <t>RL7-PBK-RIO1</t>
        </is>
      </c>
      <c r="J870" s="133" t="n">
        <v>1</v>
      </c>
      <c r="K870" s="129" t="n">
        <v>9</v>
      </c>
      <c r="L870" s="129" t="n">
        <v>9</v>
      </c>
      <c r="M870" s="131" t="inlineStr">
        <is>
          <t>24 VDC DO</t>
        </is>
      </c>
      <c r="N870" s="129" t="inlineStr">
        <is>
          <t>5069-OB16</t>
        </is>
      </c>
      <c r="O870" s="139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40" t="n"/>
    </row>
    <row r="871">
      <c r="A871" s="203">
        <f>ROW()-2</f>
        <v/>
      </c>
      <c r="B871" s="128" t="n"/>
      <c r="C871" s="263" t="n"/>
      <c r="D871" s="262" t="n"/>
      <c r="E871" s="128" t="n"/>
      <c r="F871" s="138" t="inlineStr">
        <is>
          <t>SPARE</t>
        </is>
      </c>
      <c r="G871" s="131" t="n"/>
      <c r="H871" s="128" t="n"/>
      <c r="I871" s="132" t="inlineStr">
        <is>
          <t>RL7-PBK-RIO1</t>
        </is>
      </c>
      <c r="J871" s="133" t="n">
        <v>1</v>
      </c>
      <c r="K871" s="129" t="n">
        <v>9</v>
      </c>
      <c r="L871" s="129" t="n">
        <v>10</v>
      </c>
      <c r="M871" s="131" t="inlineStr">
        <is>
          <t>24 VDC DO</t>
        </is>
      </c>
      <c r="N871" s="129" t="inlineStr">
        <is>
          <t>5069-OB16</t>
        </is>
      </c>
      <c r="O871" s="139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40" t="n"/>
    </row>
    <row r="872">
      <c r="A872" s="203">
        <f>ROW()-2</f>
        <v/>
      </c>
      <c r="B872" s="128" t="n"/>
      <c r="C872" s="263" t="n"/>
      <c r="D872" s="262" t="n"/>
      <c r="E872" s="128" t="n"/>
      <c r="F872" s="138" t="inlineStr">
        <is>
          <t>SPARE</t>
        </is>
      </c>
      <c r="G872" s="131" t="n"/>
      <c r="H872" s="128" t="n"/>
      <c r="I872" s="132" t="inlineStr">
        <is>
          <t>RL7-PBK-RIO1</t>
        </is>
      </c>
      <c r="J872" s="133" t="n">
        <v>1</v>
      </c>
      <c r="K872" s="129" t="n">
        <v>9</v>
      </c>
      <c r="L872" s="129" t="n">
        <v>11</v>
      </c>
      <c r="M872" s="131" t="inlineStr">
        <is>
          <t>24 VDC DO</t>
        </is>
      </c>
      <c r="N872" s="129" t="inlineStr">
        <is>
          <t>5069-OB16</t>
        </is>
      </c>
      <c r="O872" s="139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40" t="n"/>
    </row>
    <row r="873">
      <c r="A873" s="203">
        <f>ROW()-2</f>
        <v/>
      </c>
      <c r="B873" s="128" t="n"/>
      <c r="C873" s="263" t="n"/>
      <c r="D873" s="262" t="n"/>
      <c r="E873" s="128" t="n"/>
      <c r="F873" s="138" t="inlineStr">
        <is>
          <t>SPARE</t>
        </is>
      </c>
      <c r="G873" s="131" t="n"/>
      <c r="H873" s="128" t="n"/>
      <c r="I873" s="132" t="inlineStr">
        <is>
          <t>RL7-PBK-RIO1</t>
        </is>
      </c>
      <c r="J873" s="133" t="n">
        <v>1</v>
      </c>
      <c r="K873" s="129" t="n">
        <v>9</v>
      </c>
      <c r="L873" s="129" t="n">
        <v>12</v>
      </c>
      <c r="M873" s="131" t="inlineStr">
        <is>
          <t>24 VDC DO</t>
        </is>
      </c>
      <c r="N873" s="129" t="inlineStr">
        <is>
          <t>5069-OB16</t>
        </is>
      </c>
      <c r="O873" s="139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40" t="n"/>
    </row>
    <row r="874">
      <c r="A874" s="203">
        <f>ROW()-2</f>
        <v/>
      </c>
      <c r="B874" s="128" t="n"/>
      <c r="C874" s="263" t="n"/>
      <c r="D874" s="262" t="n"/>
      <c r="E874" s="128" t="n"/>
      <c r="F874" s="138" t="inlineStr">
        <is>
          <t>SPARE</t>
        </is>
      </c>
      <c r="G874" s="131" t="n"/>
      <c r="H874" s="128" t="n"/>
      <c r="I874" s="132" t="inlineStr">
        <is>
          <t>RL7-PBK-RIO1</t>
        </is>
      </c>
      <c r="J874" s="133" t="n">
        <v>1</v>
      </c>
      <c r="K874" s="129" t="n">
        <v>9</v>
      </c>
      <c r="L874" s="129" t="n">
        <v>13</v>
      </c>
      <c r="M874" s="131" t="inlineStr">
        <is>
          <t>24 VDC DO</t>
        </is>
      </c>
      <c r="N874" s="129" t="inlineStr">
        <is>
          <t>5069-OB16</t>
        </is>
      </c>
      <c r="O874" s="139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40" t="n"/>
    </row>
    <row r="875">
      <c r="A875" s="203">
        <f>ROW()-2</f>
        <v/>
      </c>
      <c r="B875" s="128" t="n"/>
      <c r="C875" s="263" t="n"/>
      <c r="D875" s="262" t="n"/>
      <c r="E875" s="128" t="n"/>
      <c r="F875" s="138" t="inlineStr">
        <is>
          <t>SPARE</t>
        </is>
      </c>
      <c r="G875" s="131" t="n"/>
      <c r="H875" s="128" t="n"/>
      <c r="I875" s="132" t="inlineStr">
        <is>
          <t>RL7-PBK-RIO1</t>
        </is>
      </c>
      <c r="J875" s="133" t="n">
        <v>1</v>
      </c>
      <c r="K875" s="129" t="n">
        <v>9</v>
      </c>
      <c r="L875" s="129" t="n">
        <v>14</v>
      </c>
      <c r="M875" s="131" t="inlineStr">
        <is>
          <t>24 VDC DO</t>
        </is>
      </c>
      <c r="N875" s="129" t="inlineStr">
        <is>
          <t>5069-OB16</t>
        </is>
      </c>
      <c r="O875" s="139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40" t="n"/>
    </row>
    <row r="876">
      <c r="A876" s="203">
        <f>ROW()-2</f>
        <v/>
      </c>
      <c r="B876" s="128" t="n"/>
      <c r="C876" s="263" t="n"/>
      <c r="D876" s="262" t="n"/>
      <c r="E876" s="128" t="n"/>
      <c r="F876" s="138" t="inlineStr">
        <is>
          <t>SPARE</t>
        </is>
      </c>
      <c r="G876" s="131" t="n"/>
      <c r="H876" s="128" t="n"/>
      <c r="I876" s="132" t="inlineStr">
        <is>
          <t>RL7-PBK-RIO1</t>
        </is>
      </c>
      <c r="J876" s="133" t="n">
        <v>1</v>
      </c>
      <c r="K876" s="129" t="n">
        <v>9</v>
      </c>
      <c r="L876" s="129" t="n">
        <v>15</v>
      </c>
      <c r="M876" s="131" t="inlineStr">
        <is>
          <t>24 VDC DO</t>
        </is>
      </c>
      <c r="N876" s="129" t="inlineStr">
        <is>
          <t>5069-OB16</t>
        </is>
      </c>
      <c r="O876" s="139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40" t="n"/>
    </row>
    <row r="877">
      <c r="A877" s="203">
        <f>ROW()-2</f>
        <v/>
      </c>
      <c r="B877" s="128" t="n"/>
      <c r="C877" s="262" t="n"/>
      <c r="D877" s="262" t="n"/>
      <c r="E877" s="128" t="n"/>
      <c r="F877" s="138" t="inlineStr">
        <is>
          <t>SPARE</t>
        </is>
      </c>
      <c r="G877" s="131" t="n"/>
      <c r="H877" s="128" t="n"/>
      <c r="I877" s="132" t="inlineStr">
        <is>
          <t>RL7-LFT-RIO1</t>
        </is>
      </c>
      <c r="J877" s="133" t="n">
        <v>2</v>
      </c>
      <c r="K877" s="129" t="n">
        <v>2</v>
      </c>
      <c r="L877" s="129" t="n">
        <v>8</v>
      </c>
      <c r="M877" s="129" t="inlineStr">
        <is>
          <t>24 VDC DI</t>
        </is>
      </c>
      <c r="N877" s="129" t="inlineStr">
        <is>
          <t>5069-IB16</t>
        </is>
      </c>
      <c r="O877" s="139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40" t="inlineStr">
        <is>
          <t>OEM PANEL</t>
        </is>
      </c>
    </row>
    <row r="878">
      <c r="A878" s="203">
        <f>ROW()-2</f>
        <v/>
      </c>
      <c r="B878" s="128" t="n"/>
      <c r="C878" s="262" t="n"/>
      <c r="D878" s="262" t="n"/>
      <c r="E878" s="128" t="n"/>
      <c r="F878" s="138" t="inlineStr">
        <is>
          <t>SPARE</t>
        </is>
      </c>
      <c r="G878" s="131" t="n"/>
      <c r="H878" s="128" t="n"/>
      <c r="I878" s="132" t="inlineStr">
        <is>
          <t>RL7-LFT-RIO1</t>
        </is>
      </c>
      <c r="J878" s="133" t="n">
        <v>2</v>
      </c>
      <c r="K878" s="129" t="n">
        <v>2</v>
      </c>
      <c r="L878" s="129" t="n">
        <v>9</v>
      </c>
      <c r="M878" s="129" t="inlineStr">
        <is>
          <t>24 VDC DI</t>
        </is>
      </c>
      <c r="N878" s="129" t="inlineStr">
        <is>
          <t>5069-IB16</t>
        </is>
      </c>
      <c r="O878" s="139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40" t="inlineStr">
        <is>
          <t>OEM PANEL</t>
        </is>
      </c>
    </row>
    <row r="879">
      <c r="A879" s="203">
        <f>ROW()-2</f>
        <v/>
      </c>
      <c r="B879" s="128" t="n"/>
      <c r="C879" s="262" t="n"/>
      <c r="D879" s="262" t="n"/>
      <c r="E879" s="128" t="n"/>
      <c r="F879" s="138" t="inlineStr">
        <is>
          <t>SPARE</t>
        </is>
      </c>
      <c r="G879" s="131" t="n"/>
      <c r="H879" s="128" t="n"/>
      <c r="I879" s="132" t="inlineStr">
        <is>
          <t>RL7-LFT-RIO1</t>
        </is>
      </c>
      <c r="J879" s="133" t="n">
        <v>2</v>
      </c>
      <c r="K879" s="129" t="n">
        <v>2</v>
      </c>
      <c r="L879" s="129" t="n">
        <v>10</v>
      </c>
      <c r="M879" s="129" t="inlineStr">
        <is>
          <t>24 VDC DI</t>
        </is>
      </c>
      <c r="N879" s="129" t="inlineStr">
        <is>
          <t>5069-IB16</t>
        </is>
      </c>
      <c r="O879" s="139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40" t="inlineStr">
        <is>
          <t>OEM PANEL</t>
        </is>
      </c>
    </row>
    <row r="880">
      <c r="A880" s="203">
        <f>ROW()-2</f>
        <v/>
      </c>
      <c r="B880" s="128" t="n"/>
      <c r="C880" s="262" t="n"/>
      <c r="D880" s="262" t="n"/>
      <c r="E880" s="128" t="n"/>
      <c r="F880" s="138" t="inlineStr">
        <is>
          <t>SPARE</t>
        </is>
      </c>
      <c r="G880" s="131" t="n"/>
      <c r="H880" s="128" t="n"/>
      <c r="I880" s="132" t="inlineStr">
        <is>
          <t>RL7-LFT-RIO1</t>
        </is>
      </c>
      <c r="J880" s="133" t="n">
        <v>2</v>
      </c>
      <c r="K880" s="129" t="n">
        <v>2</v>
      </c>
      <c r="L880" s="129" t="n">
        <v>11</v>
      </c>
      <c r="M880" s="129" t="inlineStr">
        <is>
          <t>24 VDC DI</t>
        </is>
      </c>
      <c r="N880" s="129" t="inlineStr">
        <is>
          <t>5069-IB16</t>
        </is>
      </c>
      <c r="O880" s="139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40" t="inlineStr">
        <is>
          <t>OEM PANEL</t>
        </is>
      </c>
    </row>
    <row r="881">
      <c r="A881" s="203">
        <f>ROW()-2</f>
        <v/>
      </c>
      <c r="B881" s="128" t="n"/>
      <c r="C881" s="262" t="n"/>
      <c r="D881" s="262" t="n"/>
      <c r="E881" s="128" t="n"/>
      <c r="F881" s="138" t="inlineStr">
        <is>
          <t>SPARE</t>
        </is>
      </c>
      <c r="G881" s="131" t="n"/>
      <c r="H881" s="128" t="n"/>
      <c r="I881" s="132" t="inlineStr">
        <is>
          <t>RL7-LFT-RIO1</t>
        </is>
      </c>
      <c r="J881" s="133" t="n">
        <v>2</v>
      </c>
      <c r="K881" s="129" t="n">
        <v>2</v>
      </c>
      <c r="L881" s="129" t="n">
        <v>12</v>
      </c>
      <c r="M881" s="129" t="inlineStr">
        <is>
          <t>24 VDC DI</t>
        </is>
      </c>
      <c r="N881" s="129" t="inlineStr">
        <is>
          <t>5069-IB16</t>
        </is>
      </c>
      <c r="O881" s="139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40" t="inlineStr">
        <is>
          <t>OEM PANEL</t>
        </is>
      </c>
    </row>
    <row r="882">
      <c r="A882" s="203">
        <f>ROW()-2</f>
        <v/>
      </c>
      <c r="B882" s="128" t="n"/>
      <c r="C882" s="262" t="n"/>
      <c r="D882" s="262" t="n"/>
      <c r="E882" s="128" t="n"/>
      <c r="F882" s="138" t="inlineStr">
        <is>
          <t>SPARE</t>
        </is>
      </c>
      <c r="G882" s="131" t="n"/>
      <c r="H882" s="128" t="n"/>
      <c r="I882" s="132" t="inlineStr">
        <is>
          <t>RL7-LFT-RIO1</t>
        </is>
      </c>
      <c r="J882" s="133" t="n">
        <v>2</v>
      </c>
      <c r="K882" s="129" t="n">
        <v>2</v>
      </c>
      <c r="L882" s="129" t="n">
        <v>13</v>
      </c>
      <c r="M882" s="129" t="inlineStr">
        <is>
          <t>24 VDC DI</t>
        </is>
      </c>
      <c r="N882" s="129" t="inlineStr">
        <is>
          <t>5069-IB16</t>
        </is>
      </c>
      <c r="O882" s="139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40" t="inlineStr">
        <is>
          <t>OEM PANEL</t>
        </is>
      </c>
    </row>
    <row r="883">
      <c r="A883" s="203">
        <f>ROW()-2</f>
        <v/>
      </c>
      <c r="B883" s="128" t="n"/>
      <c r="C883" s="262" t="n"/>
      <c r="D883" s="262" t="n"/>
      <c r="E883" s="128" t="n"/>
      <c r="F883" s="138" t="inlineStr">
        <is>
          <t>SPARE</t>
        </is>
      </c>
      <c r="G883" s="131" t="n"/>
      <c r="H883" s="128" t="n"/>
      <c r="I883" s="132" t="inlineStr">
        <is>
          <t>RL7-LFT-RIO1</t>
        </is>
      </c>
      <c r="J883" s="133" t="n">
        <v>2</v>
      </c>
      <c r="K883" s="129" t="n">
        <v>2</v>
      </c>
      <c r="L883" s="129" t="n">
        <v>14</v>
      </c>
      <c r="M883" s="129" t="inlineStr">
        <is>
          <t>24 VDC DI</t>
        </is>
      </c>
      <c r="N883" s="129" t="inlineStr">
        <is>
          <t>5069-IB16</t>
        </is>
      </c>
      <c r="O883" s="139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40" t="inlineStr">
        <is>
          <t>OEM PANEL</t>
        </is>
      </c>
    </row>
    <row r="884">
      <c r="A884" s="203">
        <f>ROW()-2</f>
        <v/>
      </c>
      <c r="B884" s="128" t="n"/>
      <c r="C884" s="262" t="n"/>
      <c r="D884" s="262" t="n"/>
      <c r="E884" s="128" t="n"/>
      <c r="F884" s="138" t="inlineStr">
        <is>
          <t>SPARE</t>
        </is>
      </c>
      <c r="G884" s="131" t="n"/>
      <c r="H884" s="128" t="n"/>
      <c r="I884" s="132" t="inlineStr">
        <is>
          <t>RL7-LFT-RIO1</t>
        </is>
      </c>
      <c r="J884" s="133" t="n">
        <v>2</v>
      </c>
      <c r="K884" s="129" t="n">
        <v>2</v>
      </c>
      <c r="L884" s="129" t="n">
        <v>15</v>
      </c>
      <c r="M884" s="129" t="inlineStr">
        <is>
          <t>24 VDC DI</t>
        </is>
      </c>
      <c r="N884" s="129" t="inlineStr">
        <is>
          <t>5069-IB16</t>
        </is>
      </c>
      <c r="O884" s="139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40" t="inlineStr">
        <is>
          <t>OEM PANEL</t>
        </is>
      </c>
    </row>
    <row r="885">
      <c r="A885" s="203">
        <f>ROW()-2</f>
        <v/>
      </c>
      <c r="B885" s="128" t="n"/>
      <c r="C885" s="263" t="n"/>
      <c r="D885" s="262" t="n"/>
      <c r="E885" s="128" t="n"/>
      <c r="F885" s="138" t="inlineStr">
        <is>
          <t>SPARE</t>
        </is>
      </c>
      <c r="G885" s="131" t="n"/>
      <c r="H885" s="128" t="n"/>
      <c r="I885" s="132" t="inlineStr">
        <is>
          <t>RL7-LFT-RIO1</t>
        </is>
      </c>
      <c r="J885" s="133" t="n">
        <v>2</v>
      </c>
      <c r="K885" s="129" t="n">
        <v>3</v>
      </c>
      <c r="L885" s="129" t="n">
        <v>15</v>
      </c>
      <c r="M885" s="129" t="inlineStr">
        <is>
          <t>24 VDC DO</t>
        </is>
      </c>
      <c r="N885" s="129" t="inlineStr">
        <is>
          <t>5069-OB16</t>
        </is>
      </c>
      <c r="O885" s="139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40" t="inlineStr">
        <is>
          <t>OEM PANEL</t>
        </is>
      </c>
    </row>
    <row r="886">
      <c r="A886" s="203">
        <f>ROW()-2</f>
        <v/>
      </c>
      <c r="B886" s="128" t="n"/>
      <c r="C886" s="263" t="n"/>
      <c r="D886" s="262" t="n"/>
      <c r="E886" s="128" t="n"/>
      <c r="F886" s="138" t="inlineStr">
        <is>
          <t>SPARE</t>
        </is>
      </c>
      <c r="G886" s="131" t="n"/>
      <c r="H886" s="128" t="n"/>
      <c r="I886" s="132" t="inlineStr">
        <is>
          <t>RL7-LFT-RIO1</t>
        </is>
      </c>
      <c r="J886" s="133" t="n">
        <v>2</v>
      </c>
      <c r="K886" s="129" t="n">
        <v>4</v>
      </c>
      <c r="L886" s="129" t="n">
        <v>0</v>
      </c>
      <c r="M886" s="129" t="inlineStr">
        <is>
          <t>24 VDC DO</t>
        </is>
      </c>
      <c r="N886" s="129" t="inlineStr">
        <is>
          <t>5069-OB16</t>
        </is>
      </c>
      <c r="O886" s="139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40" t="inlineStr">
        <is>
          <t>OEM PANEL</t>
        </is>
      </c>
    </row>
    <row r="887">
      <c r="A887" s="203">
        <f>ROW()-2</f>
        <v/>
      </c>
      <c r="B887" s="128" t="n"/>
      <c r="C887" s="263" t="n"/>
      <c r="D887" s="262" t="n"/>
      <c r="E887" s="128" t="n"/>
      <c r="F887" s="138" t="inlineStr">
        <is>
          <t>SPARE</t>
        </is>
      </c>
      <c r="G887" s="131" t="n"/>
      <c r="H887" s="128" t="n"/>
      <c r="I887" s="132" t="inlineStr">
        <is>
          <t>RL7-LFT-RIO1</t>
        </is>
      </c>
      <c r="J887" s="133" t="n">
        <v>2</v>
      </c>
      <c r="K887" s="129" t="n">
        <v>4</v>
      </c>
      <c r="L887" s="129" t="n">
        <v>1</v>
      </c>
      <c r="M887" s="129" t="inlineStr">
        <is>
          <t>24 VDC DO</t>
        </is>
      </c>
      <c r="N887" s="129" t="inlineStr">
        <is>
          <t>5069-OB16</t>
        </is>
      </c>
      <c r="O887" s="139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40" t="inlineStr">
        <is>
          <t>OEM PANEL</t>
        </is>
      </c>
    </row>
    <row r="888">
      <c r="A888" s="203">
        <f>ROW()-2</f>
        <v/>
      </c>
      <c r="B888" s="128" t="n"/>
      <c r="C888" s="263" t="n"/>
      <c r="D888" s="262" t="n"/>
      <c r="E888" s="128" t="n"/>
      <c r="F888" s="138" t="inlineStr">
        <is>
          <t>SPARE</t>
        </is>
      </c>
      <c r="G888" s="131" t="n"/>
      <c r="H888" s="128" t="n"/>
      <c r="I888" s="132" t="inlineStr">
        <is>
          <t>RL7-LFT-RIO1</t>
        </is>
      </c>
      <c r="J888" s="133" t="n">
        <v>2</v>
      </c>
      <c r="K888" s="129" t="n">
        <v>4</v>
      </c>
      <c r="L888" s="129" t="n">
        <v>2</v>
      </c>
      <c r="M888" s="129" t="inlineStr">
        <is>
          <t>24 VDC DO</t>
        </is>
      </c>
      <c r="N888" s="129" t="inlineStr">
        <is>
          <t>5069-OB16</t>
        </is>
      </c>
      <c r="O888" s="139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40" t="inlineStr">
        <is>
          <t>OEM PANEL</t>
        </is>
      </c>
    </row>
    <row r="889">
      <c r="A889" s="203">
        <f>ROW()-2</f>
        <v/>
      </c>
      <c r="B889" s="128" t="n"/>
      <c r="C889" s="263" t="n"/>
      <c r="D889" s="262" t="n"/>
      <c r="E889" s="128" t="n"/>
      <c r="F889" s="138" t="inlineStr">
        <is>
          <t>SPARE</t>
        </is>
      </c>
      <c r="G889" s="131" t="n"/>
      <c r="H889" s="128" t="n"/>
      <c r="I889" s="132" t="inlineStr">
        <is>
          <t>RL7-LFT-RIO1</t>
        </is>
      </c>
      <c r="J889" s="133" t="n">
        <v>2</v>
      </c>
      <c r="K889" s="129" t="n">
        <v>4</v>
      </c>
      <c r="L889" s="129" t="n">
        <v>3</v>
      </c>
      <c r="M889" s="129" t="inlineStr">
        <is>
          <t>24 VDC DO</t>
        </is>
      </c>
      <c r="N889" s="129" t="inlineStr">
        <is>
          <t>5069-OB16</t>
        </is>
      </c>
      <c r="O889" s="139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40" t="inlineStr">
        <is>
          <t>OEM PANEL</t>
        </is>
      </c>
    </row>
    <row r="890">
      <c r="A890" s="203">
        <f>ROW()-2</f>
        <v/>
      </c>
      <c r="B890" s="128" t="n"/>
      <c r="C890" s="263" t="n"/>
      <c r="D890" s="262" t="n"/>
      <c r="E890" s="128" t="n"/>
      <c r="F890" s="138" t="inlineStr">
        <is>
          <t>SPARE</t>
        </is>
      </c>
      <c r="G890" s="131" t="n"/>
      <c r="H890" s="128" t="n"/>
      <c r="I890" s="132" t="inlineStr">
        <is>
          <t>RL7-LFT-RIO1</t>
        </is>
      </c>
      <c r="J890" s="133" t="n">
        <v>2</v>
      </c>
      <c r="K890" s="129" t="n">
        <v>4</v>
      </c>
      <c r="L890" s="129" t="n">
        <v>4</v>
      </c>
      <c r="M890" s="129" t="inlineStr">
        <is>
          <t>24 VDC DO</t>
        </is>
      </c>
      <c r="N890" s="129" t="inlineStr">
        <is>
          <t>5069-OB16</t>
        </is>
      </c>
      <c r="O890" s="139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40" t="inlineStr">
        <is>
          <t>OEM PANEL</t>
        </is>
      </c>
    </row>
    <row r="891">
      <c r="A891" s="203">
        <f>ROW()-2</f>
        <v/>
      </c>
      <c r="B891" s="128" t="n"/>
      <c r="C891" s="263" t="n"/>
      <c r="D891" s="262" t="n"/>
      <c r="E891" s="128" t="n"/>
      <c r="F891" s="138" t="inlineStr">
        <is>
          <t>SPARE</t>
        </is>
      </c>
      <c r="G891" s="131" t="n"/>
      <c r="H891" s="128" t="n"/>
      <c r="I891" s="132" t="inlineStr">
        <is>
          <t>RL7-LFT-RIO1</t>
        </is>
      </c>
      <c r="J891" s="133" t="n">
        <v>2</v>
      </c>
      <c r="K891" s="129" t="n">
        <v>4</v>
      </c>
      <c r="L891" s="129" t="n">
        <v>5</v>
      </c>
      <c r="M891" s="129" t="inlineStr">
        <is>
          <t>24 VDC DO</t>
        </is>
      </c>
      <c r="N891" s="129" t="inlineStr">
        <is>
          <t>5069-OB16</t>
        </is>
      </c>
      <c r="O891" s="139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40" t="inlineStr">
        <is>
          <t>OEM PANEL</t>
        </is>
      </c>
    </row>
    <row r="892">
      <c r="A892" s="203">
        <f>ROW()-2</f>
        <v/>
      </c>
      <c r="B892" s="128" t="n"/>
      <c r="C892" s="263" t="n"/>
      <c r="D892" s="262" t="n"/>
      <c r="E892" s="128" t="n"/>
      <c r="F892" s="138" t="inlineStr">
        <is>
          <t>SPARE</t>
        </is>
      </c>
      <c r="G892" s="131" t="n"/>
      <c r="H892" s="128" t="n"/>
      <c r="I892" s="132" t="inlineStr">
        <is>
          <t>RL7-LFT-RIO1</t>
        </is>
      </c>
      <c r="J892" s="133" t="n">
        <v>2</v>
      </c>
      <c r="K892" s="129" t="n">
        <v>4</v>
      </c>
      <c r="L892" s="129" t="n">
        <v>6</v>
      </c>
      <c r="M892" s="129" t="inlineStr">
        <is>
          <t>24 VDC DO</t>
        </is>
      </c>
      <c r="N892" s="129" t="inlineStr">
        <is>
          <t>5069-OB16</t>
        </is>
      </c>
      <c r="O892" s="139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40" t="inlineStr">
        <is>
          <t>OEM PANEL</t>
        </is>
      </c>
    </row>
    <row r="893">
      <c r="A893" s="203">
        <f>ROW()-2</f>
        <v/>
      </c>
      <c r="B893" s="128" t="n"/>
      <c r="C893" s="263" t="n"/>
      <c r="D893" s="262" t="n"/>
      <c r="E893" s="128" t="n"/>
      <c r="F893" s="138" t="inlineStr">
        <is>
          <t>SPARE</t>
        </is>
      </c>
      <c r="G893" s="131" t="n"/>
      <c r="H893" s="128" t="n"/>
      <c r="I893" s="132" t="inlineStr">
        <is>
          <t>RL7-LFT-RIO1</t>
        </is>
      </c>
      <c r="J893" s="133" t="n">
        <v>2</v>
      </c>
      <c r="K893" s="129" t="n">
        <v>4</v>
      </c>
      <c r="L893" s="129" t="n">
        <v>7</v>
      </c>
      <c r="M893" s="129" t="inlineStr">
        <is>
          <t>24 VDC DO</t>
        </is>
      </c>
      <c r="N893" s="129" t="inlineStr">
        <is>
          <t>5069-OB16</t>
        </is>
      </c>
      <c r="O893" s="139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40" t="inlineStr">
        <is>
          <t>OEM PANEL</t>
        </is>
      </c>
    </row>
    <row r="894">
      <c r="A894" s="203">
        <f>ROW()-2</f>
        <v/>
      </c>
      <c r="B894" s="128" t="n"/>
      <c r="C894" s="263" t="n"/>
      <c r="D894" s="262" t="n"/>
      <c r="E894" s="128" t="n"/>
      <c r="F894" s="138" t="inlineStr">
        <is>
          <t>SPARE</t>
        </is>
      </c>
      <c r="G894" s="131" t="n"/>
      <c r="H894" s="128" t="n"/>
      <c r="I894" s="132" t="inlineStr">
        <is>
          <t>RL7-LFT-RIO1</t>
        </is>
      </c>
      <c r="J894" s="133" t="n">
        <v>2</v>
      </c>
      <c r="K894" s="129" t="n">
        <v>4</v>
      </c>
      <c r="L894" s="129" t="n">
        <v>8</v>
      </c>
      <c r="M894" s="129" t="inlineStr">
        <is>
          <t>24 VDC DO</t>
        </is>
      </c>
      <c r="N894" s="129" t="inlineStr">
        <is>
          <t>5069-OB16</t>
        </is>
      </c>
      <c r="O894" s="139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40" t="inlineStr">
        <is>
          <t>OEM PANEL</t>
        </is>
      </c>
    </row>
    <row r="895">
      <c r="A895" s="203">
        <f>ROW()-2</f>
        <v/>
      </c>
      <c r="B895" s="128" t="n"/>
      <c r="C895" s="263" t="n"/>
      <c r="D895" s="262" t="n"/>
      <c r="E895" s="128" t="n"/>
      <c r="F895" s="138" t="inlineStr">
        <is>
          <t>SPARE</t>
        </is>
      </c>
      <c r="G895" s="131" t="n"/>
      <c r="H895" s="128" t="n"/>
      <c r="I895" s="132" t="inlineStr">
        <is>
          <t>RL7-LFT-RIO1</t>
        </is>
      </c>
      <c r="J895" s="133" t="n">
        <v>2</v>
      </c>
      <c r="K895" s="129" t="n">
        <v>4</v>
      </c>
      <c r="L895" s="129" t="n">
        <v>9</v>
      </c>
      <c r="M895" s="129" t="inlineStr">
        <is>
          <t>24 VDC DO</t>
        </is>
      </c>
      <c r="N895" s="129" t="inlineStr">
        <is>
          <t>5069-OB16</t>
        </is>
      </c>
      <c r="O895" s="139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40" t="inlineStr">
        <is>
          <t>OEM PANEL</t>
        </is>
      </c>
    </row>
    <row r="896">
      <c r="A896" s="203">
        <f>ROW()-2</f>
        <v/>
      </c>
      <c r="B896" s="128" t="n"/>
      <c r="C896" s="263" t="n"/>
      <c r="D896" s="262" t="n"/>
      <c r="E896" s="128" t="n"/>
      <c r="F896" s="138" t="inlineStr">
        <is>
          <t>SPARE</t>
        </is>
      </c>
      <c r="G896" s="131" t="n"/>
      <c r="H896" s="128" t="n"/>
      <c r="I896" s="132" t="inlineStr">
        <is>
          <t>RL7-LFT-RIO1</t>
        </is>
      </c>
      <c r="J896" s="133" t="n">
        <v>2</v>
      </c>
      <c r="K896" s="129" t="n">
        <v>4</v>
      </c>
      <c r="L896" s="129" t="n">
        <v>10</v>
      </c>
      <c r="M896" s="129" t="inlineStr">
        <is>
          <t>24 VDC DO</t>
        </is>
      </c>
      <c r="N896" s="129" t="inlineStr">
        <is>
          <t>5069-OB16</t>
        </is>
      </c>
      <c r="O896" s="139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40" t="inlineStr">
        <is>
          <t>OEM PANEL</t>
        </is>
      </c>
    </row>
    <row r="897">
      <c r="A897" s="203">
        <f>ROW()-2</f>
        <v/>
      </c>
      <c r="B897" s="128" t="n"/>
      <c r="C897" s="263" t="n"/>
      <c r="D897" s="262" t="n"/>
      <c r="E897" s="128" t="n"/>
      <c r="F897" s="138" t="inlineStr">
        <is>
          <t>SPARE</t>
        </is>
      </c>
      <c r="G897" s="131" t="n"/>
      <c r="H897" s="128" t="n"/>
      <c r="I897" s="132" t="inlineStr">
        <is>
          <t>RL7-LFT-RIO1</t>
        </is>
      </c>
      <c r="J897" s="133" t="n">
        <v>2</v>
      </c>
      <c r="K897" s="129" t="n">
        <v>4</v>
      </c>
      <c r="L897" s="129" t="n">
        <v>11</v>
      </c>
      <c r="M897" s="129" t="inlineStr">
        <is>
          <t>24 VDC DO</t>
        </is>
      </c>
      <c r="N897" s="129" t="inlineStr">
        <is>
          <t>5069-OB16</t>
        </is>
      </c>
      <c r="O897" s="139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40" t="inlineStr">
        <is>
          <t>OEM PANEL</t>
        </is>
      </c>
    </row>
    <row r="898">
      <c r="A898" s="203">
        <f>ROW()-2</f>
        <v/>
      </c>
      <c r="B898" s="128" t="n"/>
      <c r="C898" s="263" t="n"/>
      <c r="D898" s="262" t="n"/>
      <c r="E898" s="128" t="n"/>
      <c r="F898" s="138" t="inlineStr">
        <is>
          <t>SPARE</t>
        </is>
      </c>
      <c r="G898" s="131" t="n"/>
      <c r="H898" s="128" t="n"/>
      <c r="I898" s="132" t="inlineStr">
        <is>
          <t>RL7-LFT-RIO1</t>
        </is>
      </c>
      <c r="J898" s="133" t="n">
        <v>2</v>
      </c>
      <c r="K898" s="129" t="n">
        <v>4</v>
      </c>
      <c r="L898" s="129" t="n">
        <v>12</v>
      </c>
      <c r="M898" s="129" t="inlineStr">
        <is>
          <t>24 VDC DO</t>
        </is>
      </c>
      <c r="N898" s="129" t="inlineStr">
        <is>
          <t>5069-OB16</t>
        </is>
      </c>
      <c r="O898" s="139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40" t="inlineStr">
        <is>
          <t>OEM PANEL</t>
        </is>
      </c>
    </row>
    <row r="899">
      <c r="A899" s="203">
        <f>ROW()-2</f>
        <v/>
      </c>
      <c r="B899" s="128" t="n"/>
      <c r="C899" s="263" t="n"/>
      <c r="D899" s="262" t="n"/>
      <c r="E899" s="128" t="n"/>
      <c r="F899" s="138" t="inlineStr">
        <is>
          <t>SPARE</t>
        </is>
      </c>
      <c r="G899" s="131" t="n"/>
      <c r="H899" s="128" t="n"/>
      <c r="I899" s="132" t="inlineStr">
        <is>
          <t>RL7-LFT-RIO1</t>
        </is>
      </c>
      <c r="J899" s="133" t="n">
        <v>2</v>
      </c>
      <c r="K899" s="129" t="n">
        <v>4</v>
      </c>
      <c r="L899" s="129" t="n">
        <v>13</v>
      </c>
      <c r="M899" s="129" t="inlineStr">
        <is>
          <t>24 VDC DO</t>
        </is>
      </c>
      <c r="N899" s="129" t="inlineStr">
        <is>
          <t>5069-OB16</t>
        </is>
      </c>
      <c r="O899" s="139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40" t="inlineStr">
        <is>
          <t>OEM PANEL</t>
        </is>
      </c>
    </row>
    <row r="900">
      <c r="A900" s="203">
        <f>ROW()-2</f>
        <v/>
      </c>
      <c r="B900" s="128" t="n"/>
      <c r="C900" s="263" t="n"/>
      <c r="D900" s="262" t="n"/>
      <c r="E900" s="128" t="n"/>
      <c r="F900" s="138" t="inlineStr">
        <is>
          <t>SPARE</t>
        </is>
      </c>
      <c r="G900" s="131" t="n"/>
      <c r="H900" s="128" t="n"/>
      <c r="I900" s="132" t="inlineStr">
        <is>
          <t>RL7-LFT-RIO1</t>
        </is>
      </c>
      <c r="J900" s="133" t="n">
        <v>2</v>
      </c>
      <c r="K900" s="129" t="n">
        <v>4</v>
      </c>
      <c r="L900" s="129" t="n">
        <v>14</v>
      </c>
      <c r="M900" s="129" t="inlineStr">
        <is>
          <t>24 VDC DO</t>
        </is>
      </c>
      <c r="N900" s="129" t="inlineStr">
        <is>
          <t>5069-OB16</t>
        </is>
      </c>
      <c r="O900" s="139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40" t="inlineStr">
        <is>
          <t>OEM PANEL</t>
        </is>
      </c>
    </row>
    <row r="901">
      <c r="A901" s="203">
        <f>ROW()-2</f>
        <v/>
      </c>
      <c r="B901" s="128" t="n"/>
      <c r="C901" s="263" t="n"/>
      <c r="D901" s="262" t="n"/>
      <c r="E901" s="128" t="n"/>
      <c r="F901" s="138" t="inlineStr">
        <is>
          <t>SPARE</t>
        </is>
      </c>
      <c r="G901" s="131" t="n"/>
      <c r="H901" s="128" t="n"/>
      <c r="I901" s="132" t="inlineStr">
        <is>
          <t>RL7-LFT-RIO1</t>
        </is>
      </c>
      <c r="J901" s="133" t="n">
        <v>2</v>
      </c>
      <c r="K901" s="129" t="n">
        <v>4</v>
      </c>
      <c r="L901" s="129" t="n">
        <v>15</v>
      </c>
      <c r="M901" s="129" t="inlineStr">
        <is>
          <t>24 VDC DO</t>
        </is>
      </c>
      <c r="N901" s="129" t="inlineStr">
        <is>
          <t>5069-OB16</t>
        </is>
      </c>
      <c r="O901" s="139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40" t="inlineStr">
        <is>
          <t>OEM PANEL</t>
        </is>
      </c>
    </row>
    <row r="902">
      <c r="A902" s="203">
        <f>ROW()-3</f>
        <v/>
      </c>
      <c r="B902" s="128" t="n"/>
      <c r="C902" s="263" t="n"/>
      <c r="D902" s="263" t="n"/>
      <c r="E902" s="128" t="n"/>
      <c r="F902" s="138" t="inlineStr">
        <is>
          <t>SPARE</t>
        </is>
      </c>
      <c r="G902" s="131" t="n"/>
      <c r="H902" s="128" t="n"/>
      <c r="I902" s="132" t="inlineStr">
        <is>
          <t>RL7-BINS-RIO1</t>
        </is>
      </c>
      <c r="J902" s="133" t="n">
        <v>3</v>
      </c>
      <c r="K902" s="129" t="n">
        <v>1</v>
      </c>
      <c r="L902" s="129" t="n">
        <v>0</v>
      </c>
      <c r="M902" s="131" t="inlineStr">
        <is>
          <t>24 VDC SI</t>
        </is>
      </c>
      <c r="N902" s="131" t="inlineStr">
        <is>
          <t>5069-IB8S</t>
        </is>
      </c>
      <c r="O902" s="134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35" t="n"/>
    </row>
    <row r="903">
      <c r="A903" s="203">
        <f>ROW()-2</f>
        <v/>
      </c>
      <c r="B903" s="128" t="n"/>
      <c r="C903" s="263" t="n"/>
      <c r="D903" s="263" t="n"/>
      <c r="E903" s="128" t="n"/>
      <c r="F903" s="138" t="inlineStr">
        <is>
          <t>SPARE</t>
        </is>
      </c>
      <c r="G903" s="131" t="n"/>
      <c r="H903" s="128" t="n"/>
      <c r="I903" s="132" t="inlineStr">
        <is>
          <t>RL7-BINS-RIO1</t>
        </is>
      </c>
      <c r="J903" s="133" t="n">
        <v>3</v>
      </c>
      <c r="K903" s="129" t="n">
        <v>1</v>
      </c>
      <c r="L903" s="129" t="n">
        <v>1</v>
      </c>
      <c r="M903" s="131" t="inlineStr">
        <is>
          <t>24 VDC SI</t>
        </is>
      </c>
      <c r="N903" s="131" t="inlineStr">
        <is>
          <t>5069-IB8S</t>
        </is>
      </c>
      <c r="O903" s="134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35" t="n"/>
    </row>
    <row r="904">
      <c r="A904" s="203">
        <f>ROW()-2</f>
        <v/>
      </c>
      <c r="B904" s="128" t="n"/>
      <c r="C904" s="263" t="n"/>
      <c r="D904" s="263" t="n"/>
      <c r="E904" s="128" t="n"/>
      <c r="F904" s="138" t="inlineStr">
        <is>
          <t>SPARE</t>
        </is>
      </c>
      <c r="G904" s="131" t="n"/>
      <c r="H904" s="128" t="n"/>
      <c r="I904" s="132" t="inlineStr">
        <is>
          <t>RL7-BINS-RIO1</t>
        </is>
      </c>
      <c r="J904" s="133" t="n">
        <v>3</v>
      </c>
      <c r="K904" s="129" t="n">
        <v>1</v>
      </c>
      <c r="L904" s="129" t="n">
        <v>2</v>
      </c>
      <c r="M904" s="131" t="inlineStr">
        <is>
          <t>24 VDC SI</t>
        </is>
      </c>
      <c r="N904" s="131" t="inlineStr">
        <is>
          <t>5069-IB8S</t>
        </is>
      </c>
      <c r="O904" s="134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35" t="n"/>
    </row>
    <row r="905">
      <c r="A905" s="203">
        <f>ROW()-2</f>
        <v/>
      </c>
      <c r="B905" s="128" t="n"/>
      <c r="C905" s="263" t="n"/>
      <c r="D905" s="263" t="n"/>
      <c r="E905" s="128" t="n"/>
      <c r="F905" s="138" t="inlineStr">
        <is>
          <t>SPARE</t>
        </is>
      </c>
      <c r="G905" s="131" t="n"/>
      <c r="H905" s="128" t="n"/>
      <c r="I905" s="132" t="inlineStr">
        <is>
          <t>RL7-BINS-RIO1</t>
        </is>
      </c>
      <c r="J905" s="133" t="n">
        <v>3</v>
      </c>
      <c r="K905" s="129" t="n">
        <v>1</v>
      </c>
      <c r="L905" s="129" t="n">
        <v>3</v>
      </c>
      <c r="M905" s="131" t="inlineStr">
        <is>
          <t>24 VDC SI</t>
        </is>
      </c>
      <c r="N905" s="131" t="inlineStr">
        <is>
          <t>5069-IB8S</t>
        </is>
      </c>
      <c r="O905" s="134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35" t="n"/>
    </row>
    <row r="906">
      <c r="A906" s="203">
        <f>ROW()-2</f>
        <v/>
      </c>
      <c r="B906" s="128" t="n"/>
      <c r="C906" s="263" t="n"/>
      <c r="D906" s="263" t="n"/>
      <c r="E906" s="128" t="n"/>
      <c r="F906" s="138" t="inlineStr">
        <is>
          <t>SPARE</t>
        </is>
      </c>
      <c r="G906" s="131" t="n"/>
      <c r="H906" s="128" t="n"/>
      <c r="I906" s="132" t="inlineStr">
        <is>
          <t>RL7-BINS-RIO1</t>
        </is>
      </c>
      <c r="J906" s="133" t="n">
        <v>3</v>
      </c>
      <c r="K906" s="129" t="n">
        <v>1</v>
      </c>
      <c r="L906" s="129" t="n">
        <v>4</v>
      </c>
      <c r="M906" s="131" t="inlineStr">
        <is>
          <t>24 VDC SI</t>
        </is>
      </c>
      <c r="N906" s="131" t="inlineStr">
        <is>
          <t>5069-IB8S</t>
        </is>
      </c>
      <c r="O906" s="134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35" t="n"/>
    </row>
    <row r="907">
      <c r="A907" s="203">
        <f>ROW()-2</f>
        <v/>
      </c>
      <c r="B907" s="128" t="n"/>
      <c r="C907" s="263" t="n"/>
      <c r="D907" s="263" t="n"/>
      <c r="E907" s="128" t="n"/>
      <c r="F907" s="138" t="inlineStr">
        <is>
          <t>SPARE</t>
        </is>
      </c>
      <c r="G907" s="131" t="n"/>
      <c r="H907" s="128" t="n"/>
      <c r="I907" s="132" t="inlineStr">
        <is>
          <t>RL7-BINS-RIO1</t>
        </is>
      </c>
      <c r="J907" s="133" t="n">
        <v>3</v>
      </c>
      <c r="K907" s="129" t="n">
        <v>1</v>
      </c>
      <c r="L907" s="129" t="n">
        <v>5</v>
      </c>
      <c r="M907" s="131" t="inlineStr">
        <is>
          <t>24 VDC SI</t>
        </is>
      </c>
      <c r="N907" s="131" t="inlineStr">
        <is>
          <t>5069-IB8S</t>
        </is>
      </c>
      <c r="O907" s="134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35" t="n"/>
    </row>
    <row r="908">
      <c r="A908" s="203">
        <f>ROW()-2</f>
        <v/>
      </c>
      <c r="B908" s="128" t="n"/>
      <c r="C908" s="263" t="n"/>
      <c r="D908" s="263" t="n"/>
      <c r="E908" s="128" t="n"/>
      <c r="F908" s="138" t="inlineStr">
        <is>
          <t>SPARE</t>
        </is>
      </c>
      <c r="G908" s="131" t="n"/>
      <c r="H908" s="128" t="n"/>
      <c r="I908" s="132" t="inlineStr">
        <is>
          <t>RL7-BINS-RIO1</t>
        </is>
      </c>
      <c r="J908" s="133" t="n">
        <v>3</v>
      </c>
      <c r="K908" s="129" t="n">
        <v>1</v>
      </c>
      <c r="L908" s="129" t="n">
        <v>6</v>
      </c>
      <c r="M908" s="131" t="inlineStr">
        <is>
          <t>24 VDC SI</t>
        </is>
      </c>
      <c r="N908" s="131" t="inlineStr">
        <is>
          <t>5069-IB8S</t>
        </is>
      </c>
      <c r="O908" s="134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35" t="n"/>
    </row>
    <row r="909" customFormat="1" s="136">
      <c r="A909" s="203">
        <f>ROW()-2</f>
        <v/>
      </c>
      <c r="B909" s="128" t="n"/>
      <c r="C909" s="263" t="n"/>
      <c r="D909" s="263" t="n"/>
      <c r="E909" s="128" t="n"/>
      <c r="F909" s="138" t="inlineStr">
        <is>
          <t>SPARE</t>
        </is>
      </c>
      <c r="G909" s="131" t="n"/>
      <c r="H909" s="128" t="n"/>
      <c r="I909" s="132" t="inlineStr">
        <is>
          <t>RL7-BINS-RIO1</t>
        </is>
      </c>
      <c r="J909" s="133" t="n">
        <v>3</v>
      </c>
      <c r="K909" s="129" t="n">
        <v>1</v>
      </c>
      <c r="L909" s="129" t="n">
        <v>7</v>
      </c>
      <c r="M909" s="131" t="inlineStr">
        <is>
          <t>24 VDC SI</t>
        </is>
      </c>
      <c r="N909" s="131" t="inlineStr">
        <is>
          <t>5069-IB8S</t>
        </is>
      </c>
      <c r="O909" s="134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35" t="n"/>
    </row>
    <row r="910" customFormat="1" s="136">
      <c r="A910" s="203">
        <f>ROW()-2</f>
        <v/>
      </c>
      <c r="B910" s="128" t="n"/>
      <c r="C910" s="263" t="n"/>
      <c r="D910" s="262" t="n"/>
      <c r="E910" s="128" t="n"/>
      <c r="F910" s="138" t="inlineStr">
        <is>
          <t>ADDRESS RESERVE MODULE</t>
        </is>
      </c>
      <c r="G910" s="131" t="n"/>
      <c r="H910" s="128" t="n"/>
      <c r="I910" s="132" t="inlineStr">
        <is>
          <t>RL7-BINS-RIO1</t>
        </is>
      </c>
      <c r="J910" s="133" t="n">
        <v>3</v>
      </c>
      <c r="K910" s="129" t="n">
        <v>2</v>
      </c>
      <c r="L910" s="129" t="n">
        <v>0</v>
      </c>
      <c r="M910" s="129" t="inlineStr">
        <is>
          <t>ARM</t>
        </is>
      </c>
      <c r="N910" s="129" t="inlineStr">
        <is>
          <t>5069-ARM</t>
        </is>
      </c>
      <c r="O910" s="139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40" t="n"/>
    </row>
    <row r="911">
      <c r="A911" s="203">
        <f>ROW()-2</f>
        <v/>
      </c>
      <c r="B911" s="128" t="n"/>
      <c r="C911" s="263" t="n"/>
      <c r="D911" s="262" t="n"/>
      <c r="E911" s="128" t="n"/>
      <c r="F911" s="141" t="inlineStr">
        <is>
          <t>SPARE</t>
        </is>
      </c>
      <c r="G911" s="131" t="n"/>
      <c r="H911" s="128" t="n"/>
      <c r="I911" s="132" t="inlineStr">
        <is>
          <t>RL7-BINS-RIO1</t>
        </is>
      </c>
      <c r="J911" s="133" t="n">
        <v>3</v>
      </c>
      <c r="K911" s="129" t="n">
        <v>3</v>
      </c>
      <c r="L911" s="129" t="n">
        <v>10</v>
      </c>
      <c r="M911" s="131" t="inlineStr">
        <is>
          <t>24 VDC DI</t>
        </is>
      </c>
      <c r="N911" s="131" t="inlineStr">
        <is>
          <t>5069-IB8S</t>
        </is>
      </c>
      <c r="O911" s="134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35" t="n"/>
    </row>
    <row r="912">
      <c r="A912" s="203">
        <f>ROW()-2</f>
        <v/>
      </c>
      <c r="B912" s="128" t="n"/>
      <c r="C912" s="263" t="n"/>
      <c r="D912" s="262" t="n"/>
      <c r="E912" s="128" t="n"/>
      <c r="F912" s="138" t="inlineStr">
        <is>
          <t>SPARE</t>
        </is>
      </c>
      <c r="G912" s="131" t="n"/>
      <c r="H912" s="128" t="n"/>
      <c r="I912" s="132" t="inlineStr">
        <is>
          <t>RL7-BINS-RIO1</t>
        </is>
      </c>
      <c r="J912" s="133" t="n">
        <v>3</v>
      </c>
      <c r="K912" s="129" t="n">
        <v>3</v>
      </c>
      <c r="L912" s="129" t="n">
        <v>11</v>
      </c>
      <c r="M912" s="131" t="inlineStr">
        <is>
          <t>24 VDC DI</t>
        </is>
      </c>
      <c r="N912" s="131" t="inlineStr">
        <is>
          <t>5069-IB8S</t>
        </is>
      </c>
      <c r="O912" s="134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35" t="n"/>
    </row>
    <row r="913" customFormat="1" s="136">
      <c r="A913" s="203">
        <f>ROW()-2</f>
        <v/>
      </c>
      <c r="B913" s="128" t="n"/>
      <c r="C913" s="263" t="n"/>
      <c r="D913" s="262" t="n"/>
      <c r="E913" s="128" t="n"/>
      <c r="F913" s="138" t="inlineStr">
        <is>
          <t>SPARE</t>
        </is>
      </c>
      <c r="G913" s="131" t="n"/>
      <c r="H913" s="128" t="n"/>
      <c r="I913" s="132" t="inlineStr">
        <is>
          <t>RL7-BINS-RIO1</t>
        </is>
      </c>
      <c r="J913" s="133" t="n">
        <v>3</v>
      </c>
      <c r="K913" s="129" t="n">
        <v>3</v>
      </c>
      <c r="L913" s="129" t="n">
        <v>12</v>
      </c>
      <c r="M913" s="131" t="inlineStr">
        <is>
          <t>24 VDC DI</t>
        </is>
      </c>
      <c r="N913" s="131" t="inlineStr">
        <is>
          <t>5069-IB8S</t>
        </is>
      </c>
      <c r="O913" s="134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35" t="n"/>
    </row>
    <row r="914" customFormat="1" s="136">
      <c r="A914" s="203">
        <f>ROW()-2</f>
        <v/>
      </c>
      <c r="B914" s="128" t="n"/>
      <c r="C914" s="263" t="n"/>
      <c r="D914" s="262" t="n"/>
      <c r="E914" s="128" t="n"/>
      <c r="F914" s="138" t="inlineStr">
        <is>
          <t>SPARE</t>
        </is>
      </c>
      <c r="G914" s="131" t="n"/>
      <c r="H914" s="128" t="n"/>
      <c r="I914" s="132" t="inlineStr">
        <is>
          <t>RL7-BINS-RIO1</t>
        </is>
      </c>
      <c r="J914" s="133" t="n">
        <v>3</v>
      </c>
      <c r="K914" s="129" t="n">
        <v>3</v>
      </c>
      <c r="L914" s="129" t="n">
        <v>13</v>
      </c>
      <c r="M914" s="131" t="inlineStr">
        <is>
          <t>24 VDC DI</t>
        </is>
      </c>
      <c r="N914" s="131" t="inlineStr">
        <is>
          <t>5069-IB8S</t>
        </is>
      </c>
      <c r="O914" s="134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35" t="n"/>
    </row>
    <row r="915">
      <c r="A915" s="203">
        <f>ROW()-2</f>
        <v/>
      </c>
      <c r="B915" s="128" t="n"/>
      <c r="C915" s="263" t="n"/>
      <c r="D915" s="262" t="n"/>
      <c r="E915" s="128" t="n"/>
      <c r="F915" s="138" t="inlineStr">
        <is>
          <t>SPARE</t>
        </is>
      </c>
      <c r="G915" s="131" t="n"/>
      <c r="H915" s="128" t="n"/>
      <c r="I915" s="132" t="inlineStr">
        <is>
          <t>RL7-BINS-RIO1</t>
        </is>
      </c>
      <c r="J915" s="133" t="n">
        <v>3</v>
      </c>
      <c r="K915" s="129" t="n">
        <v>3</v>
      </c>
      <c r="L915" s="129" t="n">
        <v>14</v>
      </c>
      <c r="M915" s="131" t="inlineStr">
        <is>
          <t>24 VDC DI</t>
        </is>
      </c>
      <c r="N915" s="131" t="inlineStr">
        <is>
          <t>5069-IB8S</t>
        </is>
      </c>
      <c r="O915" s="134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35" t="n"/>
    </row>
    <row r="916">
      <c r="A916" s="203">
        <f>ROW()-2</f>
        <v/>
      </c>
      <c r="B916" s="128" t="n"/>
      <c r="C916" s="263" t="n"/>
      <c r="D916" s="262" t="n"/>
      <c r="E916" s="128" t="n"/>
      <c r="F916" s="138" t="inlineStr">
        <is>
          <t>SPARE</t>
        </is>
      </c>
      <c r="G916" s="131" t="n"/>
      <c r="H916" s="128" t="n"/>
      <c r="I916" s="132" t="inlineStr">
        <is>
          <t>RL7-BINS-RIO1</t>
        </is>
      </c>
      <c r="J916" s="133" t="n">
        <v>3</v>
      </c>
      <c r="K916" s="129" t="n">
        <v>3</v>
      </c>
      <c r="L916" s="129" t="n">
        <v>15</v>
      </c>
      <c r="M916" s="131" t="inlineStr">
        <is>
          <t>24 VDC DI</t>
        </is>
      </c>
      <c r="N916" s="131" t="inlineStr">
        <is>
          <t>5069-IB8S</t>
        </is>
      </c>
      <c r="O916" s="134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35" t="n"/>
    </row>
    <row r="917">
      <c r="A917" s="203">
        <f>ROW()-2</f>
        <v/>
      </c>
      <c r="B917" s="128" t="n"/>
      <c r="C917" s="263" t="n"/>
      <c r="D917" s="264" t="n"/>
      <c r="E917" s="133" t="n"/>
      <c r="F917" s="138" t="inlineStr">
        <is>
          <t>SPARE</t>
        </is>
      </c>
      <c r="G917" s="131" t="n"/>
      <c r="H917" s="128" t="n"/>
      <c r="I917" s="132" t="inlineStr">
        <is>
          <t>RL7-BINS-RIO1</t>
        </is>
      </c>
      <c r="J917" s="133" t="n">
        <v>3</v>
      </c>
      <c r="K917" s="129" t="n">
        <v>4</v>
      </c>
      <c r="L917" s="129" t="n">
        <v>12</v>
      </c>
      <c r="M917" s="131" t="inlineStr">
        <is>
          <t>24 VDC DO</t>
        </is>
      </c>
      <c r="N917" s="129" t="inlineStr">
        <is>
          <t>5069-IB16</t>
        </is>
      </c>
      <c r="O917" s="139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40" t="n"/>
    </row>
    <row r="918">
      <c r="A918" s="203">
        <f>ROW()-2</f>
        <v/>
      </c>
      <c r="B918" s="128" t="n"/>
      <c r="C918" s="263" t="n"/>
      <c r="D918" s="264" t="n"/>
      <c r="E918" s="133" t="n"/>
      <c r="F918" s="138" t="inlineStr">
        <is>
          <t>SPARE</t>
        </is>
      </c>
      <c r="G918" s="131" t="n"/>
      <c r="H918" s="128" t="n"/>
      <c r="I918" s="132" t="inlineStr">
        <is>
          <t>RL7-BINS-RIO1</t>
        </is>
      </c>
      <c r="J918" s="133" t="n">
        <v>3</v>
      </c>
      <c r="K918" s="129" t="n">
        <v>4</v>
      </c>
      <c r="L918" s="129" t="n">
        <v>13</v>
      </c>
      <c r="M918" s="131" t="inlineStr">
        <is>
          <t>24 VDC DO</t>
        </is>
      </c>
      <c r="N918" s="129" t="inlineStr">
        <is>
          <t>5069-IB16</t>
        </is>
      </c>
      <c r="O918" s="139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40" t="n"/>
    </row>
    <row r="919">
      <c r="A919" s="203">
        <f>ROW()-2</f>
        <v/>
      </c>
      <c r="B919" s="128" t="n"/>
      <c r="C919" s="263" t="n"/>
      <c r="D919" s="264" t="n"/>
      <c r="E919" s="133" t="n"/>
      <c r="F919" s="138" t="inlineStr">
        <is>
          <t>SPARE</t>
        </is>
      </c>
      <c r="G919" s="142" t="n"/>
      <c r="H919" s="133" t="n"/>
      <c r="I919" s="132" t="inlineStr">
        <is>
          <t>RL7-BINS-RIO1</t>
        </is>
      </c>
      <c r="J919" s="133" t="n">
        <v>3</v>
      </c>
      <c r="K919" s="129" t="n">
        <v>4</v>
      </c>
      <c r="L919" s="129" t="n">
        <v>14</v>
      </c>
      <c r="M919" s="131" t="inlineStr">
        <is>
          <t>24 VDC DO</t>
        </is>
      </c>
      <c r="N919" s="129" t="inlineStr">
        <is>
          <t>5069-IB16</t>
        </is>
      </c>
      <c r="O919" s="139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40" t="n"/>
    </row>
    <row r="920">
      <c r="A920" s="203">
        <f>ROW()-2</f>
        <v/>
      </c>
      <c r="B920" s="128" t="n"/>
      <c r="C920" s="263" t="n"/>
      <c r="D920" s="264" t="n"/>
      <c r="E920" s="133" t="n"/>
      <c r="F920" s="138" t="inlineStr">
        <is>
          <t>SPARE</t>
        </is>
      </c>
      <c r="G920" s="142" t="n"/>
      <c r="H920" s="133" t="n"/>
      <c r="I920" s="132" t="inlineStr">
        <is>
          <t>RL7-BINS-RIO1</t>
        </is>
      </c>
      <c r="J920" s="133" t="n">
        <v>3</v>
      </c>
      <c r="K920" s="129" t="n">
        <v>4</v>
      </c>
      <c r="L920" s="129" t="n">
        <v>15</v>
      </c>
      <c r="M920" s="131" t="inlineStr">
        <is>
          <t>24 VDC DO</t>
        </is>
      </c>
      <c r="N920" s="129" t="inlineStr">
        <is>
          <t>5069-IB16</t>
        </is>
      </c>
      <c r="O920" s="139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40" t="n"/>
    </row>
    <row r="921">
      <c r="A921" s="203">
        <f>ROW()-2</f>
        <v/>
      </c>
      <c r="B921" s="128" t="inlineStr">
        <is>
          <t>RL7-BIN-102-ZSS-03</t>
        </is>
      </c>
      <c r="C921" s="263" t="n"/>
      <c r="D921" s="263" t="n"/>
      <c r="E921" s="128" t="n"/>
      <c r="F921" s="138" t="inlineStr">
        <is>
          <t>SPARE</t>
        </is>
      </c>
      <c r="G921" s="131" t="n"/>
      <c r="H921" s="128" t="n"/>
      <c r="I921" s="132" t="inlineStr">
        <is>
          <t>RL7-BINA-RIO1</t>
        </is>
      </c>
      <c r="J921" s="133" t="n">
        <v>4</v>
      </c>
      <c r="K921" s="129" t="n">
        <v>2</v>
      </c>
      <c r="L921" s="129" t="n">
        <v>6</v>
      </c>
      <c r="M921" s="131" t="inlineStr">
        <is>
          <t>24 VDC SI</t>
        </is>
      </c>
      <c r="N921" s="131" t="inlineStr">
        <is>
          <t>5069-IB8S</t>
        </is>
      </c>
      <c r="O921" s="134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35" t="n"/>
    </row>
    <row r="922">
      <c r="A922" s="203">
        <f>ROW()-2</f>
        <v/>
      </c>
      <c r="B922" s="128" t="inlineStr">
        <is>
          <t>RL7-BIN-102-ZSS-03</t>
        </is>
      </c>
      <c r="C922" s="263" t="n"/>
      <c r="D922" s="263" t="n"/>
      <c r="E922" s="128" t="n"/>
      <c r="F922" s="138" t="inlineStr">
        <is>
          <t>SPARE</t>
        </is>
      </c>
      <c r="G922" s="131" t="n"/>
      <c r="H922" s="128" t="n"/>
      <c r="I922" s="132" t="inlineStr">
        <is>
          <t>RL7-BINA-RIO1</t>
        </is>
      </c>
      <c r="J922" s="133" t="n">
        <v>4</v>
      </c>
      <c r="K922" s="129" t="n">
        <v>2</v>
      </c>
      <c r="L922" s="129" t="n">
        <v>7</v>
      </c>
      <c r="M922" s="131" t="inlineStr">
        <is>
          <t>24 VDC SI</t>
        </is>
      </c>
      <c r="N922" s="131" t="inlineStr">
        <is>
          <t>5069-IB8S</t>
        </is>
      </c>
      <c r="O922" s="134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35" t="n"/>
    </row>
    <row r="923">
      <c r="A923" s="203">
        <f>ROW()-2</f>
        <v/>
      </c>
      <c r="B923" s="128" t="n"/>
      <c r="C923" s="263" t="n"/>
      <c r="D923" s="262" t="n"/>
      <c r="E923" s="128" t="n"/>
      <c r="F923" s="138" t="inlineStr">
        <is>
          <t>SPARE</t>
        </is>
      </c>
      <c r="G923" s="131" t="n"/>
      <c r="H923" s="128" t="n"/>
      <c r="I923" s="132" t="inlineStr">
        <is>
          <t>RL7-BINA-RIO1</t>
        </is>
      </c>
      <c r="J923" s="133" t="n">
        <v>4</v>
      </c>
      <c r="K923" s="129" t="n">
        <v>3</v>
      </c>
      <c r="L923" s="129" t="n">
        <v>0</v>
      </c>
      <c r="M923" s="131" t="inlineStr">
        <is>
          <t>24 VDC SI</t>
        </is>
      </c>
      <c r="N923" s="131" t="inlineStr">
        <is>
          <t>5069-IB8S</t>
        </is>
      </c>
      <c r="O923" s="134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35" t="n"/>
    </row>
    <row r="924">
      <c r="A924" s="203">
        <f>ROW()-2</f>
        <v/>
      </c>
      <c r="B924" s="128" t="n"/>
      <c r="C924" s="263" t="n"/>
      <c r="D924" s="262" t="n"/>
      <c r="E924" s="128" t="n"/>
      <c r="F924" s="138" t="inlineStr">
        <is>
          <t>SPARE</t>
        </is>
      </c>
      <c r="G924" s="131" t="n"/>
      <c r="H924" s="128" t="n"/>
      <c r="I924" s="132" t="inlineStr">
        <is>
          <t>RL7-BINA-RIO1</t>
        </is>
      </c>
      <c r="J924" s="133" t="n">
        <v>4</v>
      </c>
      <c r="K924" s="129" t="n">
        <v>3</v>
      </c>
      <c r="L924" s="129" t="n">
        <v>1</v>
      </c>
      <c r="M924" s="131" t="inlineStr">
        <is>
          <t>24 VDC SI</t>
        </is>
      </c>
      <c r="N924" s="131" t="inlineStr">
        <is>
          <t>5069-IB8S</t>
        </is>
      </c>
      <c r="O924" s="134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35" t="n"/>
    </row>
    <row r="925">
      <c r="A925" s="203">
        <f>ROW()-2</f>
        <v/>
      </c>
      <c r="B925" s="128" t="n"/>
      <c r="C925" s="263" t="n"/>
      <c r="D925" s="262" t="n"/>
      <c r="E925" s="128" t="n"/>
      <c r="F925" s="138" t="inlineStr">
        <is>
          <t>SPARE</t>
        </is>
      </c>
      <c r="G925" s="131" t="n"/>
      <c r="H925" s="128" t="n"/>
      <c r="I925" s="132" t="inlineStr">
        <is>
          <t>RL7-BINA-RIO1</t>
        </is>
      </c>
      <c r="J925" s="133" t="n">
        <v>4</v>
      </c>
      <c r="K925" s="129" t="n">
        <v>3</v>
      </c>
      <c r="L925" s="129" t="n">
        <v>2</v>
      </c>
      <c r="M925" s="131" t="inlineStr">
        <is>
          <t>24 VDC SI</t>
        </is>
      </c>
      <c r="N925" s="131" t="inlineStr">
        <is>
          <t>5069-IB8S</t>
        </is>
      </c>
      <c r="O925" s="134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35" t="n"/>
    </row>
    <row r="926">
      <c r="A926" s="203">
        <f>ROW()-2</f>
        <v/>
      </c>
      <c r="B926" s="128" t="n"/>
      <c r="C926" s="263" t="n"/>
      <c r="D926" s="262" t="n"/>
      <c r="E926" s="128" t="n"/>
      <c r="F926" s="138" t="inlineStr">
        <is>
          <t>SPARE</t>
        </is>
      </c>
      <c r="G926" s="131" t="n"/>
      <c r="H926" s="128" t="n"/>
      <c r="I926" s="132" t="inlineStr">
        <is>
          <t>RL7-BINA-RIO1</t>
        </is>
      </c>
      <c r="J926" s="133" t="n">
        <v>4</v>
      </c>
      <c r="K926" s="129" t="n">
        <v>3</v>
      </c>
      <c r="L926" s="129" t="n">
        <v>3</v>
      </c>
      <c r="M926" s="131" t="inlineStr">
        <is>
          <t>24 VDC SI</t>
        </is>
      </c>
      <c r="N926" s="131" t="inlineStr">
        <is>
          <t>5069-IB8S</t>
        </is>
      </c>
      <c r="O926" s="134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35" t="n"/>
    </row>
    <row r="927">
      <c r="A927" s="203">
        <f>ROW()-2</f>
        <v/>
      </c>
      <c r="B927" s="128" t="n"/>
      <c r="C927" s="263" t="n"/>
      <c r="D927" s="262" t="n"/>
      <c r="E927" s="128" t="n"/>
      <c r="F927" s="138" t="inlineStr">
        <is>
          <t>SPARE</t>
        </is>
      </c>
      <c r="G927" s="131" t="n"/>
      <c r="H927" s="128" t="n"/>
      <c r="I927" s="132" t="inlineStr">
        <is>
          <t>RL7-BINA-RIO1</t>
        </is>
      </c>
      <c r="J927" s="133" t="n">
        <v>4</v>
      </c>
      <c r="K927" s="129" t="n">
        <v>3</v>
      </c>
      <c r="L927" s="129" t="n">
        <v>4</v>
      </c>
      <c r="M927" s="131" t="inlineStr">
        <is>
          <t>24 VDC SI</t>
        </is>
      </c>
      <c r="N927" s="131" t="inlineStr">
        <is>
          <t>5069-IB8S</t>
        </is>
      </c>
      <c r="O927" s="134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35" t="n"/>
    </row>
    <row r="928">
      <c r="A928" s="203">
        <f>ROW()-2</f>
        <v/>
      </c>
      <c r="B928" s="128" t="n"/>
      <c r="C928" s="263" t="n"/>
      <c r="D928" s="262" t="n"/>
      <c r="E928" s="128" t="n"/>
      <c r="F928" s="138" t="inlineStr">
        <is>
          <t>SPARE</t>
        </is>
      </c>
      <c r="G928" s="131" t="n"/>
      <c r="H928" s="128" t="n"/>
      <c r="I928" s="132" t="inlineStr">
        <is>
          <t>RL7-BINA-RIO1</t>
        </is>
      </c>
      <c r="J928" s="133" t="n">
        <v>4</v>
      </c>
      <c r="K928" s="129" t="n">
        <v>3</v>
      </c>
      <c r="L928" s="129" t="n">
        <v>5</v>
      </c>
      <c r="M928" s="131" t="inlineStr">
        <is>
          <t>24 VDC SI</t>
        </is>
      </c>
      <c r="N928" s="131" t="inlineStr">
        <is>
          <t>5069-IB8S</t>
        </is>
      </c>
      <c r="O928" s="134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35" t="n"/>
    </row>
    <row r="929">
      <c r="A929" s="203">
        <f>ROW()-2</f>
        <v/>
      </c>
      <c r="B929" s="128" t="n"/>
      <c r="C929" s="263" t="n"/>
      <c r="D929" s="262" t="n"/>
      <c r="E929" s="128" t="n"/>
      <c r="F929" s="138" t="inlineStr">
        <is>
          <t>SPARE</t>
        </is>
      </c>
      <c r="G929" s="131" t="n"/>
      <c r="H929" s="128" t="n"/>
      <c r="I929" s="132" t="inlineStr">
        <is>
          <t>RL7-BINA-RIO1</t>
        </is>
      </c>
      <c r="J929" s="133" t="n">
        <v>4</v>
      </c>
      <c r="K929" s="129" t="n">
        <v>3</v>
      </c>
      <c r="L929" s="129" t="n">
        <v>6</v>
      </c>
      <c r="M929" s="131" t="inlineStr">
        <is>
          <t>24 VDC SI</t>
        </is>
      </c>
      <c r="N929" s="131" t="inlineStr">
        <is>
          <t>5069-IB8S</t>
        </is>
      </c>
      <c r="O929" s="134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35" t="n"/>
    </row>
    <row r="930">
      <c r="A930" s="203">
        <f>ROW()-2</f>
        <v/>
      </c>
      <c r="B930" s="128" t="n"/>
      <c r="C930" s="263" t="n"/>
      <c r="D930" s="262" t="n"/>
      <c r="E930" s="128" t="n"/>
      <c r="F930" s="138" t="inlineStr">
        <is>
          <t>SPARE</t>
        </is>
      </c>
      <c r="G930" s="131" t="n"/>
      <c r="H930" s="128" t="n"/>
      <c r="I930" s="132" t="inlineStr">
        <is>
          <t>RL7-BINA-RIO1</t>
        </is>
      </c>
      <c r="J930" s="133" t="n">
        <v>4</v>
      </c>
      <c r="K930" s="129" t="n">
        <v>3</v>
      </c>
      <c r="L930" s="129" t="n">
        <v>7</v>
      </c>
      <c r="M930" s="131" t="inlineStr">
        <is>
          <t>24 VDC SI</t>
        </is>
      </c>
      <c r="N930" s="131" t="inlineStr">
        <is>
          <t>5069-IB8S</t>
        </is>
      </c>
      <c r="O930" s="134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35" t="n"/>
    </row>
    <row r="931">
      <c r="A931" s="203">
        <f>ROW()-2</f>
        <v/>
      </c>
      <c r="B931" s="128" t="n"/>
      <c r="C931" s="263" t="n"/>
      <c r="D931" s="262" t="n"/>
      <c r="E931" s="128" t="n"/>
      <c r="F931" s="138" t="inlineStr">
        <is>
          <t>ADDRESS RESERVE MODULE</t>
        </is>
      </c>
      <c r="G931" s="131" t="n"/>
      <c r="H931" s="128" t="n"/>
      <c r="I931" s="132" t="inlineStr">
        <is>
          <t>RL7-BINA-RIO1</t>
        </is>
      </c>
      <c r="J931" s="133" t="n">
        <v>4</v>
      </c>
      <c r="K931" s="129" t="n">
        <v>4</v>
      </c>
      <c r="L931" s="129" t="n">
        <v>0</v>
      </c>
      <c r="M931" s="129" t="inlineStr">
        <is>
          <t>ARM</t>
        </is>
      </c>
      <c r="N931" s="129" t="inlineStr">
        <is>
          <t>5069-ARM</t>
        </is>
      </c>
      <c r="O931" s="139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40" t="n"/>
    </row>
    <row r="932">
      <c r="A932" s="203">
        <f>ROW()-2</f>
        <v/>
      </c>
      <c r="B932" s="128" t="inlineStr">
        <is>
          <t>RL7-CNV-111-ZSO-01</t>
        </is>
      </c>
      <c r="C932" s="263" t="n"/>
      <c r="D932" s="264" t="n"/>
      <c r="E932" s="133" t="n"/>
      <c r="F932" s="141" t="inlineStr">
        <is>
          <t>SPARE</t>
        </is>
      </c>
      <c r="G932" s="131" t="n"/>
      <c r="H932" s="128" t="n"/>
      <c r="I932" s="132" t="inlineStr">
        <is>
          <t>RL7-BINA-RIO1</t>
        </is>
      </c>
      <c r="J932" s="133" t="n">
        <v>4</v>
      </c>
      <c r="K932" s="129" t="n">
        <v>5</v>
      </c>
      <c r="L932" s="129" t="n">
        <v>0</v>
      </c>
      <c r="M932" s="131" t="inlineStr">
        <is>
          <t>24 VDC DI</t>
        </is>
      </c>
      <c r="N932" s="129" t="inlineStr">
        <is>
          <t>5069-IB16</t>
        </is>
      </c>
      <c r="O932" s="139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40" t="n"/>
    </row>
    <row r="933">
      <c r="A933" s="203">
        <f>ROW()-2</f>
        <v/>
      </c>
      <c r="B933" s="128" t="inlineStr">
        <is>
          <t>RL7-CNV-111-ZSC-01</t>
        </is>
      </c>
      <c r="C933" s="263" t="n"/>
      <c r="D933" s="264" t="n"/>
      <c r="E933" s="133" t="n"/>
      <c r="F933" s="141" t="inlineStr">
        <is>
          <t>SPARE</t>
        </is>
      </c>
      <c r="G933" s="131" t="n"/>
      <c r="H933" s="128" t="n"/>
      <c r="I933" s="132" t="inlineStr">
        <is>
          <t>RL7-BINA-RIO1</t>
        </is>
      </c>
      <c r="J933" s="133" t="n">
        <v>4</v>
      </c>
      <c r="K933" s="129" t="n">
        <v>5</v>
      </c>
      <c r="L933" s="129" t="n">
        <v>1</v>
      </c>
      <c r="M933" s="131" t="inlineStr">
        <is>
          <t>24 VDC DI</t>
        </is>
      </c>
      <c r="N933" s="129" t="inlineStr">
        <is>
          <t>5069-IB16</t>
        </is>
      </c>
      <c r="O933" s="139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40" t="n"/>
    </row>
    <row r="934">
      <c r="A934" s="203">
        <f>ROW()-2</f>
        <v/>
      </c>
      <c r="B934" s="128" t="inlineStr">
        <is>
          <t>RL7-CNV-111-ZSO-02</t>
        </is>
      </c>
      <c r="C934" s="263" t="n"/>
      <c r="D934" s="264" t="n"/>
      <c r="E934" s="133" t="n"/>
      <c r="F934" s="141" t="inlineStr">
        <is>
          <t>SPARE</t>
        </is>
      </c>
      <c r="G934" s="131" t="n"/>
      <c r="H934" s="128" t="n"/>
      <c r="I934" s="132" t="inlineStr">
        <is>
          <t>RL7-BINA-RIO1</t>
        </is>
      </c>
      <c r="J934" s="133" t="n">
        <v>4</v>
      </c>
      <c r="K934" s="129" t="n">
        <v>5</v>
      </c>
      <c r="L934" s="129" t="n">
        <v>2</v>
      </c>
      <c r="M934" s="131" t="inlineStr">
        <is>
          <t>24 VDC DI</t>
        </is>
      </c>
      <c r="N934" s="129" t="inlineStr">
        <is>
          <t>5069-IB16</t>
        </is>
      </c>
      <c r="O934" s="139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40" t="n"/>
    </row>
    <row r="935">
      <c r="A935" s="203">
        <f>ROW()-2</f>
        <v/>
      </c>
      <c r="B935" s="128" t="inlineStr">
        <is>
          <t>RL7-CNV-111-ZSC-02</t>
        </is>
      </c>
      <c r="C935" s="263" t="n"/>
      <c r="D935" s="264" t="n"/>
      <c r="E935" s="133" t="n"/>
      <c r="F935" s="141" t="inlineStr">
        <is>
          <t>SPARE</t>
        </is>
      </c>
      <c r="G935" s="131" t="n"/>
      <c r="H935" s="128" t="n"/>
      <c r="I935" s="132" t="inlineStr">
        <is>
          <t>RL7-BINA-RIO1</t>
        </is>
      </c>
      <c r="J935" s="133" t="n">
        <v>4</v>
      </c>
      <c r="K935" s="129" t="n">
        <v>5</v>
      </c>
      <c r="L935" s="129" t="n">
        <v>3</v>
      </c>
      <c r="M935" s="131" t="inlineStr">
        <is>
          <t>24 VDC DI</t>
        </is>
      </c>
      <c r="N935" s="129" t="inlineStr">
        <is>
          <t>5069-IB16</t>
        </is>
      </c>
      <c r="O935" s="139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40" t="n"/>
    </row>
    <row r="936">
      <c r="A936" s="203">
        <f>ROW()-2</f>
        <v/>
      </c>
      <c r="B936" s="128" t="inlineStr">
        <is>
          <t>RL7-CNV-111-ZSO-03</t>
        </is>
      </c>
      <c r="C936" s="263" t="n"/>
      <c r="D936" s="264" t="n"/>
      <c r="E936" s="133" t="n"/>
      <c r="F936" s="141" t="inlineStr">
        <is>
          <t>SPARE</t>
        </is>
      </c>
      <c r="G936" s="131" t="n"/>
      <c r="H936" s="128" t="n"/>
      <c r="I936" s="132" t="inlineStr">
        <is>
          <t>RL7-BINA-RIO1</t>
        </is>
      </c>
      <c r="J936" s="133" t="n">
        <v>4</v>
      </c>
      <c r="K936" s="129" t="n">
        <v>5</v>
      </c>
      <c r="L936" s="129" t="n">
        <v>4</v>
      </c>
      <c r="M936" s="131" t="inlineStr">
        <is>
          <t>24 VDC DI</t>
        </is>
      </c>
      <c r="N936" s="129" t="inlineStr">
        <is>
          <t>5069-IB16</t>
        </is>
      </c>
      <c r="O936" s="139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40" t="n"/>
    </row>
    <row r="937">
      <c r="A937" s="203">
        <f>ROW()-2</f>
        <v/>
      </c>
      <c r="B937" s="128" t="inlineStr">
        <is>
          <t>RL7-CNV-111-ZSC-03</t>
        </is>
      </c>
      <c r="C937" s="263" t="n"/>
      <c r="D937" s="264" t="n"/>
      <c r="E937" s="133" t="n"/>
      <c r="F937" s="141" t="inlineStr">
        <is>
          <t>SPARE</t>
        </is>
      </c>
      <c r="G937" s="142" t="n"/>
      <c r="H937" s="133" t="n"/>
      <c r="I937" s="132" t="inlineStr">
        <is>
          <t>RL7-BINA-RIO1</t>
        </is>
      </c>
      <c r="J937" s="133" t="n">
        <v>4</v>
      </c>
      <c r="K937" s="129" t="n">
        <v>5</v>
      </c>
      <c r="L937" s="129" t="n">
        <v>5</v>
      </c>
      <c r="M937" s="131" t="inlineStr">
        <is>
          <t>24 VDC DI</t>
        </is>
      </c>
      <c r="N937" s="129" t="inlineStr">
        <is>
          <t>5069-IB16</t>
        </is>
      </c>
      <c r="O937" s="139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40" t="n"/>
    </row>
    <row r="938">
      <c r="A938" s="203">
        <f>ROW()-2</f>
        <v/>
      </c>
      <c r="B938" s="128" t="inlineStr">
        <is>
          <t>RL7-CNV-111-ZSO-04</t>
        </is>
      </c>
      <c r="C938" s="263" t="n"/>
      <c r="D938" s="264" t="n"/>
      <c r="E938" s="133" t="n"/>
      <c r="F938" s="141" t="inlineStr">
        <is>
          <t>SPARE</t>
        </is>
      </c>
      <c r="G938" s="142" t="n"/>
      <c r="H938" s="133" t="n"/>
      <c r="I938" s="132" t="inlineStr">
        <is>
          <t>RL7-BINA-RIO1</t>
        </is>
      </c>
      <c r="J938" s="133" t="n">
        <v>4</v>
      </c>
      <c r="K938" s="129" t="n">
        <v>5</v>
      </c>
      <c r="L938" s="129" t="n">
        <v>6</v>
      </c>
      <c r="M938" s="131" t="inlineStr">
        <is>
          <t>24 VDC DI</t>
        </is>
      </c>
      <c r="N938" s="129" t="inlineStr">
        <is>
          <t>5069-IB16</t>
        </is>
      </c>
      <c r="O938" s="139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40" t="n"/>
    </row>
    <row r="939">
      <c r="A939" s="203">
        <f>ROW()-2</f>
        <v/>
      </c>
      <c r="B939" s="128" t="inlineStr">
        <is>
          <t>RL7-CNV-111-ZSC-04</t>
        </is>
      </c>
      <c r="C939" s="263" t="n"/>
      <c r="D939" s="264" t="n"/>
      <c r="E939" s="133" t="n"/>
      <c r="F939" s="141" t="inlineStr">
        <is>
          <t>SPARE</t>
        </is>
      </c>
      <c r="G939" s="142" t="n"/>
      <c r="H939" s="133" t="n"/>
      <c r="I939" s="132" t="inlineStr">
        <is>
          <t>RL7-BINA-RIO1</t>
        </is>
      </c>
      <c r="J939" s="133" t="n">
        <v>4</v>
      </c>
      <c r="K939" s="129" t="n">
        <v>5</v>
      </c>
      <c r="L939" s="129" t="n">
        <v>7</v>
      </c>
      <c r="M939" s="131" t="inlineStr">
        <is>
          <t>24 VDC DI</t>
        </is>
      </c>
      <c r="N939" s="129" t="inlineStr">
        <is>
          <t>5069-IB16</t>
        </is>
      </c>
      <c r="O939" s="139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40" t="n"/>
    </row>
    <row r="940">
      <c r="A940" s="203">
        <f>ROW()-2</f>
        <v/>
      </c>
      <c r="B940" s="128" t="n"/>
      <c r="C940" s="263" t="n"/>
      <c r="D940" s="264" t="n"/>
      <c r="E940" s="133" t="n"/>
      <c r="F940" s="141" t="inlineStr">
        <is>
          <t>SPARE</t>
        </is>
      </c>
      <c r="G940" s="142" t="n"/>
      <c r="H940" s="133" t="n"/>
      <c r="I940" s="132" t="inlineStr">
        <is>
          <t>RL7-BINA-RIO1</t>
        </is>
      </c>
      <c r="J940" s="133" t="n">
        <v>4</v>
      </c>
      <c r="K940" s="129" t="n">
        <v>5</v>
      </c>
      <c r="L940" s="129" t="n">
        <v>8</v>
      </c>
      <c r="M940" s="131" t="inlineStr">
        <is>
          <t>24 VDC DI</t>
        </is>
      </c>
      <c r="N940" s="129" t="inlineStr">
        <is>
          <t>5069-IB16</t>
        </is>
      </c>
      <c r="O940" s="139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43" t="n"/>
    </row>
    <row r="941">
      <c r="A941" s="203">
        <f>ROW()-2</f>
        <v/>
      </c>
      <c r="B941" s="128" t="n"/>
      <c r="C941" s="263" t="n"/>
      <c r="D941" s="264" t="n"/>
      <c r="E941" s="133" t="n"/>
      <c r="F941" s="141" t="inlineStr">
        <is>
          <t>SPARE</t>
        </is>
      </c>
      <c r="G941" s="142" t="n"/>
      <c r="H941" s="133" t="n"/>
      <c r="I941" s="132" t="inlineStr">
        <is>
          <t>RL7-BINA-RIO1</t>
        </is>
      </c>
      <c r="J941" s="133" t="n">
        <v>4</v>
      </c>
      <c r="K941" s="129" t="n">
        <v>5</v>
      </c>
      <c r="L941" s="129" t="n">
        <v>9</v>
      </c>
      <c r="M941" s="131" t="inlineStr">
        <is>
          <t>24 VDC DI</t>
        </is>
      </c>
      <c r="N941" s="129" t="inlineStr">
        <is>
          <t>5069-IB16</t>
        </is>
      </c>
      <c r="O941" s="139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40" t="n"/>
    </row>
    <row r="942">
      <c r="A942" s="203">
        <f>ROW()-2</f>
        <v/>
      </c>
      <c r="B942" s="128" t="n"/>
      <c r="C942" s="263" t="n"/>
      <c r="D942" s="264" t="n"/>
      <c r="E942" s="133" t="n"/>
      <c r="F942" s="141" t="inlineStr">
        <is>
          <t>SPARE</t>
        </is>
      </c>
      <c r="G942" s="142" t="n"/>
      <c r="H942" s="133" t="n"/>
      <c r="I942" s="132" t="inlineStr">
        <is>
          <t>RL7-BINA-RIO1</t>
        </is>
      </c>
      <c r="J942" s="133" t="n">
        <v>4</v>
      </c>
      <c r="K942" s="129" t="n">
        <v>5</v>
      </c>
      <c r="L942" s="129" t="n">
        <v>10</v>
      </c>
      <c r="M942" s="131" t="inlineStr">
        <is>
          <t>24 VDC DI</t>
        </is>
      </c>
      <c r="N942" s="129" t="inlineStr">
        <is>
          <t>5069-IB16</t>
        </is>
      </c>
      <c r="O942" s="139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40" t="n"/>
    </row>
    <row r="943">
      <c r="A943" s="203">
        <f>ROW()-2</f>
        <v/>
      </c>
      <c r="B943" s="128" t="n"/>
      <c r="C943" s="263" t="n"/>
      <c r="D943" s="262" t="n"/>
      <c r="E943" s="128" t="n"/>
      <c r="F943" s="138" t="inlineStr">
        <is>
          <t>SPARE</t>
        </is>
      </c>
      <c r="G943" s="131" t="n"/>
      <c r="H943" s="128" t="n"/>
      <c r="I943" s="132" t="inlineStr">
        <is>
          <t>RL7-BINA-RIO1</t>
        </is>
      </c>
      <c r="J943" s="133" t="n">
        <v>4</v>
      </c>
      <c r="K943" s="129" t="n">
        <v>5</v>
      </c>
      <c r="L943" s="129" t="n">
        <v>11</v>
      </c>
      <c r="M943" s="131" t="inlineStr">
        <is>
          <t>24 VDC DI</t>
        </is>
      </c>
      <c r="N943" s="129" t="inlineStr">
        <is>
          <t>5069-IB16</t>
        </is>
      </c>
      <c r="O943" s="139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40" t="n"/>
    </row>
    <row r="944">
      <c r="A944" s="203">
        <f>ROW()-2</f>
        <v/>
      </c>
      <c r="B944" s="128" t="n"/>
      <c r="C944" s="263" t="n"/>
      <c r="D944" s="262" t="n"/>
      <c r="E944" s="128" t="n"/>
      <c r="F944" s="138" t="inlineStr">
        <is>
          <t>SPARE</t>
        </is>
      </c>
      <c r="G944" s="131" t="n"/>
      <c r="H944" s="128" t="n"/>
      <c r="I944" s="132" t="inlineStr">
        <is>
          <t>RL7-BINA-RIO1</t>
        </is>
      </c>
      <c r="J944" s="133" t="n">
        <v>4</v>
      </c>
      <c r="K944" s="129" t="n">
        <v>5</v>
      </c>
      <c r="L944" s="129" t="n">
        <v>12</v>
      </c>
      <c r="M944" s="131" t="inlineStr">
        <is>
          <t>24 VDC DI</t>
        </is>
      </c>
      <c r="N944" s="129" t="inlineStr">
        <is>
          <t>5069-IB16</t>
        </is>
      </c>
      <c r="O944" s="139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40" t="n"/>
    </row>
    <row r="945">
      <c r="A945" s="203">
        <f>ROW()-2</f>
        <v/>
      </c>
      <c r="B945" s="128" t="n"/>
      <c r="C945" s="263" t="n"/>
      <c r="D945" s="262" t="n"/>
      <c r="E945" s="128" t="n"/>
      <c r="F945" s="138" t="inlineStr">
        <is>
          <t>SPARE</t>
        </is>
      </c>
      <c r="G945" s="131" t="n"/>
      <c r="H945" s="128" t="n"/>
      <c r="I945" s="132" t="inlineStr">
        <is>
          <t>RL7-BINA-RIO1</t>
        </is>
      </c>
      <c r="J945" s="133" t="n">
        <v>4</v>
      </c>
      <c r="K945" s="129" t="n">
        <v>5</v>
      </c>
      <c r="L945" s="129" t="n">
        <v>13</v>
      </c>
      <c r="M945" s="131" t="inlineStr">
        <is>
          <t>24 VDC DI</t>
        </is>
      </c>
      <c r="N945" s="129" t="inlineStr">
        <is>
          <t>5069-IB16</t>
        </is>
      </c>
      <c r="O945" s="139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40" t="n"/>
    </row>
    <row r="946">
      <c r="A946" s="203">
        <f>ROW()-2</f>
        <v/>
      </c>
      <c r="B946" s="128" t="n"/>
      <c r="C946" s="263" t="n"/>
      <c r="D946" s="262" t="n"/>
      <c r="E946" s="128" t="n"/>
      <c r="F946" s="138" t="inlineStr">
        <is>
          <t>SPARE</t>
        </is>
      </c>
      <c r="G946" s="131" t="n"/>
      <c r="H946" s="128" t="n"/>
      <c r="I946" s="132" t="inlineStr">
        <is>
          <t>RL7-BINA-RIO1</t>
        </is>
      </c>
      <c r="J946" s="133" t="n">
        <v>4</v>
      </c>
      <c r="K946" s="129" t="n">
        <v>5</v>
      </c>
      <c r="L946" s="129" t="n">
        <v>14</v>
      </c>
      <c r="M946" s="131" t="inlineStr">
        <is>
          <t>24 VDC DI</t>
        </is>
      </c>
      <c r="N946" s="129" t="inlineStr">
        <is>
          <t>5069-IB16</t>
        </is>
      </c>
      <c r="O946" s="139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40" t="n"/>
    </row>
    <row r="947" customFormat="1" s="136">
      <c r="A947" s="203">
        <f>ROW()-2</f>
        <v/>
      </c>
      <c r="B947" s="128" t="n"/>
      <c r="C947" s="263" t="n"/>
      <c r="D947" s="262" t="n"/>
      <c r="E947" s="128" t="n"/>
      <c r="F947" s="138" t="inlineStr">
        <is>
          <t>SPARE</t>
        </is>
      </c>
      <c r="G947" s="131" t="n"/>
      <c r="H947" s="128" t="n"/>
      <c r="I947" s="132" t="inlineStr">
        <is>
          <t>RL7-BINA-RIO1</t>
        </is>
      </c>
      <c r="J947" s="133" t="n">
        <v>4</v>
      </c>
      <c r="K947" s="129" t="n">
        <v>5</v>
      </c>
      <c r="L947" s="129" t="n">
        <v>15</v>
      </c>
      <c r="M947" s="131" t="inlineStr">
        <is>
          <t>24 VDC DI</t>
        </is>
      </c>
      <c r="N947" s="129" t="inlineStr">
        <is>
          <t>5069-IB16</t>
        </is>
      </c>
      <c r="O947" s="139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40" t="n"/>
    </row>
    <row r="948" customFormat="1" s="136">
      <c r="A948" s="203">
        <f>ROW()-2</f>
        <v/>
      </c>
      <c r="B948" s="128" t="inlineStr">
        <is>
          <t>RL7-CNV-111-ZSC-05</t>
        </is>
      </c>
      <c r="C948" s="263" t="n"/>
      <c r="D948" s="264" t="n"/>
      <c r="E948" s="128" t="n"/>
      <c r="F948" s="141" t="inlineStr">
        <is>
          <t>SPARE</t>
        </is>
      </c>
      <c r="G948" s="142" t="n"/>
      <c r="H948" s="128" t="n"/>
      <c r="I948" s="132" t="inlineStr">
        <is>
          <t>RL7-BINA-RIO1</t>
        </is>
      </c>
      <c r="J948" s="133" t="n">
        <v>4</v>
      </c>
      <c r="K948" s="129" t="n">
        <v>6</v>
      </c>
      <c r="L948" s="129" t="n">
        <v>7</v>
      </c>
      <c r="M948" s="131" t="inlineStr">
        <is>
          <t>24 VDC DO</t>
        </is>
      </c>
      <c r="N948" s="129" t="inlineStr">
        <is>
          <t>5069-IB16</t>
        </is>
      </c>
      <c r="O948" s="139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40" t="n"/>
    </row>
    <row r="949">
      <c r="A949" s="203">
        <f>ROW()-2</f>
        <v/>
      </c>
      <c r="B949" s="128" t="inlineStr">
        <is>
          <t>RL7-BIN-101-ZSO-01</t>
        </is>
      </c>
      <c r="C949" s="263" t="n"/>
      <c r="D949" s="264" t="n"/>
      <c r="E949" s="128" t="n"/>
      <c r="F949" s="141" t="inlineStr">
        <is>
          <t>SPARE</t>
        </is>
      </c>
      <c r="G949" s="142" t="n"/>
      <c r="H949" s="128" t="n"/>
      <c r="I949" s="132" t="inlineStr">
        <is>
          <t>RL7-BINA-RIO1</t>
        </is>
      </c>
      <c r="J949" s="133" t="n">
        <v>4</v>
      </c>
      <c r="K949" s="129" t="n">
        <v>6</v>
      </c>
      <c r="L949" s="129" t="n">
        <v>8</v>
      </c>
      <c r="M949" s="131" t="inlineStr">
        <is>
          <t>24 VDC DO</t>
        </is>
      </c>
      <c r="N949" s="129" t="inlineStr">
        <is>
          <t>5069-IB16</t>
        </is>
      </c>
      <c r="O949" s="139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40" t="n"/>
    </row>
    <row r="950">
      <c r="A950" s="203">
        <f>ROW()-2</f>
        <v/>
      </c>
      <c r="B950" s="128" t="inlineStr">
        <is>
          <t>RL7-BIN-101-ZSC-01</t>
        </is>
      </c>
      <c r="C950" s="263" t="n"/>
      <c r="D950" s="262" t="n"/>
      <c r="E950" s="128" t="n"/>
      <c r="F950" s="141" t="inlineStr">
        <is>
          <t>SPARE</t>
        </is>
      </c>
      <c r="G950" s="142" t="n"/>
      <c r="H950" s="128" t="n"/>
      <c r="I950" s="132" t="inlineStr">
        <is>
          <t>RL7-BINA-RIO1</t>
        </is>
      </c>
      <c r="J950" s="133" t="n">
        <v>4</v>
      </c>
      <c r="K950" s="129" t="n">
        <v>6</v>
      </c>
      <c r="L950" s="129" t="n">
        <v>9</v>
      </c>
      <c r="M950" s="131" t="inlineStr">
        <is>
          <t>24 VDC DO</t>
        </is>
      </c>
      <c r="N950" s="129" t="inlineStr">
        <is>
          <t>5069-IB16</t>
        </is>
      </c>
      <c r="O950" s="139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40" t="n"/>
    </row>
    <row r="951">
      <c r="A951" s="203">
        <f>ROW()-2</f>
        <v/>
      </c>
      <c r="B951" s="128" t="inlineStr">
        <is>
          <t>RL7-BIN-102-ZSO-01</t>
        </is>
      </c>
      <c r="C951" s="263" t="n"/>
      <c r="D951" s="262" t="n"/>
      <c r="E951" s="128" t="n"/>
      <c r="F951" s="141" t="inlineStr">
        <is>
          <t>SPARE</t>
        </is>
      </c>
      <c r="G951" s="142" t="n"/>
      <c r="H951" s="128" t="n"/>
      <c r="I951" s="132" t="inlineStr">
        <is>
          <t>RL7-BINA-RIO1</t>
        </is>
      </c>
      <c r="J951" s="133" t="n">
        <v>4</v>
      </c>
      <c r="K951" s="129" t="n">
        <v>6</v>
      </c>
      <c r="L951" s="129" t="n">
        <v>10</v>
      </c>
      <c r="M951" s="131" t="inlineStr">
        <is>
          <t>24 VDC DO</t>
        </is>
      </c>
      <c r="N951" s="129" t="inlineStr">
        <is>
          <t>5069-IB16</t>
        </is>
      </c>
      <c r="O951" s="139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40" t="n"/>
    </row>
    <row r="952">
      <c r="A952" s="203">
        <f>ROW()-2</f>
        <v/>
      </c>
      <c r="B952" s="128" t="inlineStr">
        <is>
          <t>RL7-BIN-102-ZSC-01</t>
        </is>
      </c>
      <c r="C952" s="263" t="n"/>
      <c r="D952" s="262" t="n"/>
      <c r="E952" s="128" t="n"/>
      <c r="F952" s="138" t="inlineStr">
        <is>
          <t>SPARE</t>
        </is>
      </c>
      <c r="G952" s="131" t="n"/>
      <c r="H952" s="128" t="n"/>
      <c r="I952" s="132" t="inlineStr">
        <is>
          <t>RL7-BINA-RIO1</t>
        </is>
      </c>
      <c r="J952" s="133" t="n">
        <v>4</v>
      </c>
      <c r="K952" s="129" t="n">
        <v>6</v>
      </c>
      <c r="L952" s="129" t="n">
        <v>11</v>
      </c>
      <c r="M952" s="131" t="inlineStr">
        <is>
          <t>24 VDC DO</t>
        </is>
      </c>
      <c r="N952" s="129" t="inlineStr">
        <is>
          <t>5069-IB16</t>
        </is>
      </c>
      <c r="O952" s="139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40" t="n"/>
    </row>
    <row r="953" customFormat="1" s="136">
      <c r="A953" s="203">
        <f>ROW()-2</f>
        <v/>
      </c>
      <c r="B953" s="128" t="inlineStr">
        <is>
          <t>RL7-CNV-112-ZSO-01</t>
        </is>
      </c>
      <c r="C953" s="263" t="n"/>
      <c r="D953" s="262" t="n"/>
      <c r="E953" s="128" t="n"/>
      <c r="F953" s="138" t="inlineStr">
        <is>
          <t>SPARE</t>
        </is>
      </c>
      <c r="G953" s="131" t="n"/>
      <c r="H953" s="128" t="n"/>
      <c r="I953" s="132" t="inlineStr">
        <is>
          <t>RL7-BINA-RIO1</t>
        </is>
      </c>
      <c r="J953" s="133" t="n">
        <v>4</v>
      </c>
      <c r="K953" s="129" t="n">
        <v>6</v>
      </c>
      <c r="L953" s="129" t="n">
        <v>12</v>
      </c>
      <c r="M953" s="131" t="inlineStr">
        <is>
          <t>24 VDC DO</t>
        </is>
      </c>
      <c r="N953" s="129" t="inlineStr">
        <is>
          <t>5069-IB16</t>
        </is>
      </c>
      <c r="O953" s="139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40" t="n"/>
    </row>
    <row r="954" customFormat="1" s="136">
      <c r="A954" s="203">
        <f>ROW()-2</f>
        <v/>
      </c>
      <c r="B954" s="128" t="inlineStr">
        <is>
          <t>RL7-CNV-112-ZSC-01</t>
        </is>
      </c>
      <c r="C954" s="263" t="n"/>
      <c r="D954" s="262" t="n"/>
      <c r="E954" s="128" t="n"/>
      <c r="F954" s="138" t="inlineStr">
        <is>
          <t>SPARE</t>
        </is>
      </c>
      <c r="G954" s="131" t="n"/>
      <c r="H954" s="128" t="n"/>
      <c r="I954" s="132" t="inlineStr">
        <is>
          <t>RL7-BINA-RIO1</t>
        </is>
      </c>
      <c r="J954" s="133" t="n">
        <v>4</v>
      </c>
      <c r="K954" s="129" t="n">
        <v>6</v>
      </c>
      <c r="L954" s="129" t="n">
        <v>13</v>
      </c>
      <c r="M954" s="131" t="inlineStr">
        <is>
          <t>24 VDC DO</t>
        </is>
      </c>
      <c r="N954" s="129" t="inlineStr">
        <is>
          <t>5069-IB16</t>
        </is>
      </c>
      <c r="O954" s="139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40" t="n"/>
    </row>
    <row r="955">
      <c r="A955" s="203">
        <f>ROW()-2</f>
        <v/>
      </c>
      <c r="B955" s="128" t="n"/>
      <c r="C955" s="263" t="n"/>
      <c r="D955" s="262" t="n"/>
      <c r="E955" s="128" t="n"/>
      <c r="F955" s="138" t="inlineStr">
        <is>
          <t>SPARE</t>
        </is>
      </c>
      <c r="G955" s="131" t="n"/>
      <c r="H955" s="128" t="n"/>
      <c r="I955" s="132" t="inlineStr">
        <is>
          <t>RL7-BINA-RIO1</t>
        </is>
      </c>
      <c r="J955" s="133" t="n">
        <v>4</v>
      </c>
      <c r="K955" s="129" t="n">
        <v>6</v>
      </c>
      <c r="L955" s="129" t="n">
        <v>14</v>
      </c>
      <c r="M955" s="131" t="inlineStr">
        <is>
          <t>24 VDC DO</t>
        </is>
      </c>
      <c r="N955" s="129" t="inlineStr">
        <is>
          <t>5069-IB16</t>
        </is>
      </c>
      <c r="O955" s="139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40" t="n"/>
    </row>
    <row r="956">
      <c r="A956" s="203">
        <f>ROW()-2</f>
        <v/>
      </c>
      <c r="B956" s="128" t="n"/>
      <c r="C956" s="263" t="n"/>
      <c r="D956" s="262" t="n"/>
      <c r="E956" s="128" t="n"/>
      <c r="F956" s="138" t="inlineStr">
        <is>
          <t>SPARE</t>
        </is>
      </c>
      <c r="G956" s="131" t="n"/>
      <c r="H956" s="128" t="n"/>
      <c r="I956" s="132" t="inlineStr">
        <is>
          <t>RL7-BINA-RIO1</t>
        </is>
      </c>
      <c r="J956" s="133" t="n">
        <v>4</v>
      </c>
      <c r="K956" s="129" t="n">
        <v>6</v>
      </c>
      <c r="L956" s="129" t="n">
        <v>15</v>
      </c>
      <c r="M956" s="131" t="inlineStr">
        <is>
          <t>24 VDC DO</t>
        </is>
      </c>
      <c r="N956" s="129" t="inlineStr">
        <is>
          <t>5069-IB16</t>
        </is>
      </c>
      <c r="O956" s="139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40" t="n"/>
    </row>
    <row r="957">
      <c r="A957" s="203">
        <f>ROW()-2</f>
        <v/>
      </c>
      <c r="B957" s="128" t="inlineStr">
        <is>
          <t>RL7-CNV-114-ZSS-04</t>
        </is>
      </c>
      <c r="C957" s="263" t="n"/>
      <c r="D957" s="262" t="n"/>
      <c r="E957" s="128" t="n"/>
      <c r="F957" s="138" t="inlineStr">
        <is>
          <t>SPARE</t>
        </is>
      </c>
      <c r="G957" s="131" t="n"/>
      <c r="H957" s="128" t="n"/>
      <c r="I957" s="132" t="inlineStr">
        <is>
          <t>RL7-BINB-RIO1</t>
        </is>
      </c>
      <c r="J957" s="133" t="n">
        <v>5</v>
      </c>
      <c r="K957" s="129" t="n">
        <v>3</v>
      </c>
      <c r="L957" s="129" t="n">
        <v>0</v>
      </c>
      <c r="M957" s="129" t="inlineStr">
        <is>
          <t>24 VDC SI</t>
        </is>
      </c>
      <c r="N957" s="129" t="inlineStr">
        <is>
          <t>5069-IB8S</t>
        </is>
      </c>
      <c r="O957" s="139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40" t="n"/>
    </row>
    <row r="958">
      <c r="A958" s="203">
        <f>ROW()-2</f>
        <v/>
      </c>
      <c r="B958" s="128" t="inlineStr">
        <is>
          <t>RL7-CNV-114-ZSS-04</t>
        </is>
      </c>
      <c r="C958" s="263" t="n"/>
      <c r="D958" s="262" t="n"/>
      <c r="E958" s="128" t="n"/>
      <c r="F958" s="138" t="inlineStr">
        <is>
          <t>SPARE</t>
        </is>
      </c>
      <c r="G958" s="131" t="n"/>
      <c r="H958" s="128" t="n"/>
      <c r="I958" s="132" t="inlineStr">
        <is>
          <t>RL7-BINB-RIO1</t>
        </is>
      </c>
      <c r="J958" s="133" t="n">
        <v>5</v>
      </c>
      <c r="K958" s="129" t="n">
        <v>3</v>
      </c>
      <c r="L958" s="129" t="n">
        <v>1</v>
      </c>
      <c r="M958" s="129" t="inlineStr">
        <is>
          <t>24 VDC SI</t>
        </is>
      </c>
      <c r="N958" s="129" t="inlineStr">
        <is>
          <t>5069-IB8S</t>
        </is>
      </c>
      <c r="O958" s="139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40" t="n"/>
    </row>
    <row r="959">
      <c r="A959" s="203">
        <f>ROW()-2</f>
        <v/>
      </c>
      <c r="B959" s="128" t="inlineStr">
        <is>
          <t>RL7-CNV-114-ZSS-01</t>
        </is>
      </c>
      <c r="C959" s="263" t="n"/>
      <c r="D959" s="262" t="n"/>
      <c r="E959" s="128" t="n"/>
      <c r="F959" s="138" t="inlineStr">
        <is>
          <t>SPARE</t>
        </is>
      </c>
      <c r="G959" s="131" t="n"/>
      <c r="H959" s="128" t="n"/>
      <c r="I959" s="132" t="inlineStr">
        <is>
          <t>RL7-BINB-RIO1</t>
        </is>
      </c>
      <c r="J959" s="133" t="n">
        <v>5</v>
      </c>
      <c r="K959" s="129" t="n">
        <v>3</v>
      </c>
      <c r="L959" s="129" t="n">
        <v>2</v>
      </c>
      <c r="M959" s="129" t="inlineStr">
        <is>
          <t>24 VDC SI</t>
        </is>
      </c>
      <c r="N959" s="129" t="inlineStr">
        <is>
          <t>5069-IB8S</t>
        </is>
      </c>
      <c r="O959" s="139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40" t="n"/>
    </row>
    <row r="960">
      <c r="A960" s="203">
        <f>ROW()-2</f>
        <v/>
      </c>
      <c r="B960" s="128" t="inlineStr">
        <is>
          <t>RL7-CNV-114-ZSS-01</t>
        </is>
      </c>
      <c r="C960" s="263" t="n"/>
      <c r="D960" s="262" t="n"/>
      <c r="E960" s="128" t="n"/>
      <c r="F960" s="138" t="inlineStr">
        <is>
          <t>SPARE</t>
        </is>
      </c>
      <c r="G960" s="131" t="n"/>
      <c r="H960" s="128" t="n"/>
      <c r="I960" s="132" t="inlineStr">
        <is>
          <t>RL7-BINB-RIO1</t>
        </is>
      </c>
      <c r="J960" s="133" t="n">
        <v>5</v>
      </c>
      <c r="K960" s="129" t="n">
        <v>3</v>
      </c>
      <c r="L960" s="129" t="n">
        <v>3</v>
      </c>
      <c r="M960" s="129" t="inlineStr">
        <is>
          <t>24 VDC SI</t>
        </is>
      </c>
      <c r="N960" s="129" t="inlineStr">
        <is>
          <t>5069-IB8S</t>
        </is>
      </c>
      <c r="O960" s="139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40" t="n"/>
    </row>
    <row r="961">
      <c r="A961" s="203">
        <f>ROW()-2</f>
        <v/>
      </c>
      <c r="B961" s="128" t="inlineStr">
        <is>
          <t>RL7-CNV-114-ZSS-02</t>
        </is>
      </c>
      <c r="C961" s="263" t="n"/>
      <c r="D961" s="262" t="n"/>
      <c r="E961" s="128" t="n"/>
      <c r="F961" s="138" t="inlineStr">
        <is>
          <t>SPARE</t>
        </is>
      </c>
      <c r="G961" s="131" t="n"/>
      <c r="H961" s="128" t="n"/>
      <c r="I961" s="132" t="inlineStr">
        <is>
          <t>RL7-BINB-RIO1</t>
        </is>
      </c>
      <c r="J961" s="133" t="n">
        <v>5</v>
      </c>
      <c r="K961" s="129" t="n">
        <v>3</v>
      </c>
      <c r="L961" s="129" t="n">
        <v>4</v>
      </c>
      <c r="M961" s="129" t="inlineStr">
        <is>
          <t>24 VDC SI</t>
        </is>
      </c>
      <c r="N961" s="129" t="inlineStr">
        <is>
          <t>5069-IB8S</t>
        </is>
      </c>
      <c r="O961" s="139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40" t="n"/>
    </row>
    <row r="962">
      <c r="A962" s="203">
        <f>ROW()-2</f>
        <v/>
      </c>
      <c r="B962" s="128" t="inlineStr">
        <is>
          <t>RL7-CNV-114-ZSS-02</t>
        </is>
      </c>
      <c r="C962" s="263" t="n"/>
      <c r="D962" s="262" t="n"/>
      <c r="E962" s="128" t="n"/>
      <c r="F962" s="138" t="inlineStr">
        <is>
          <t>SPARE</t>
        </is>
      </c>
      <c r="G962" s="131" t="n"/>
      <c r="H962" s="128" t="n"/>
      <c r="I962" s="132" t="inlineStr">
        <is>
          <t>RL7-BINB-RIO1</t>
        </is>
      </c>
      <c r="J962" s="133" t="n">
        <v>5</v>
      </c>
      <c r="K962" s="129" t="n">
        <v>3</v>
      </c>
      <c r="L962" s="129" t="n">
        <v>5</v>
      </c>
      <c r="M962" s="129" t="inlineStr">
        <is>
          <t>24 VDC SI</t>
        </is>
      </c>
      <c r="N962" s="129" t="inlineStr">
        <is>
          <t>5069-IB8S</t>
        </is>
      </c>
      <c r="O962" s="139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40" t="n"/>
    </row>
    <row r="963">
      <c r="A963" s="203">
        <f>ROW()-2</f>
        <v/>
      </c>
      <c r="B963" s="128" t="inlineStr">
        <is>
          <t>RL7-CNV-114-ZSS-03</t>
        </is>
      </c>
      <c r="C963" s="263" t="n"/>
      <c r="D963" s="262" t="n"/>
      <c r="E963" s="128" t="n"/>
      <c r="F963" s="138" t="inlineStr">
        <is>
          <t>SPARE</t>
        </is>
      </c>
      <c r="G963" s="131" t="n"/>
      <c r="H963" s="128" t="n"/>
      <c r="I963" s="132" t="inlineStr">
        <is>
          <t>RL7-BINB-RIO1</t>
        </is>
      </c>
      <c r="J963" s="133" t="n">
        <v>5</v>
      </c>
      <c r="K963" s="129" t="n">
        <v>3</v>
      </c>
      <c r="L963" s="129" t="n">
        <v>6</v>
      </c>
      <c r="M963" s="129" t="inlineStr">
        <is>
          <t>24 VDC SI</t>
        </is>
      </c>
      <c r="N963" s="129" t="inlineStr">
        <is>
          <t>5069-IB8S</t>
        </is>
      </c>
      <c r="O963" s="139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40" t="n"/>
    </row>
    <row r="964">
      <c r="A964" s="203">
        <f>ROW()-2</f>
        <v/>
      </c>
      <c r="B964" s="128" t="inlineStr">
        <is>
          <t>RL7-CNV-114-ZSS-03</t>
        </is>
      </c>
      <c r="C964" s="263" t="n"/>
      <c r="D964" s="262" t="n"/>
      <c r="E964" s="128" t="n"/>
      <c r="F964" s="138" t="inlineStr">
        <is>
          <t>SPARE</t>
        </is>
      </c>
      <c r="G964" s="131" t="n"/>
      <c r="H964" s="128" t="n"/>
      <c r="I964" s="132" t="inlineStr">
        <is>
          <t>RL7-BINB-RIO1</t>
        </is>
      </c>
      <c r="J964" s="133" t="n">
        <v>5</v>
      </c>
      <c r="K964" s="129" t="n">
        <v>3</v>
      </c>
      <c r="L964" s="129" t="n">
        <v>7</v>
      </c>
      <c r="M964" s="129" t="inlineStr">
        <is>
          <t>24 VDC SI</t>
        </is>
      </c>
      <c r="N964" s="129" t="inlineStr">
        <is>
          <t>5069-IB8S</t>
        </is>
      </c>
      <c r="O964" s="139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40" t="n"/>
    </row>
    <row r="965">
      <c r="A965" s="203">
        <f>ROW()-2</f>
        <v/>
      </c>
      <c r="B965" s="128" t="n"/>
      <c r="C965" s="263" t="n"/>
      <c r="D965" s="262" t="n"/>
      <c r="E965" s="128" t="n"/>
      <c r="F965" s="138" t="inlineStr">
        <is>
          <t>ADDRESS RESERVE MODULE</t>
        </is>
      </c>
      <c r="G965" s="131" t="n"/>
      <c r="H965" s="128" t="n"/>
      <c r="I965" s="132" t="inlineStr">
        <is>
          <t>RL7-BINB-RIO1</t>
        </is>
      </c>
      <c r="J965" s="133" t="n">
        <v>5</v>
      </c>
      <c r="K965" s="129" t="n">
        <v>4</v>
      </c>
      <c r="L965" s="129" t="n">
        <v>0</v>
      </c>
      <c r="M965" s="129" t="inlineStr">
        <is>
          <t>ARM</t>
        </is>
      </c>
      <c r="N965" s="129" t="inlineStr">
        <is>
          <t>5069-ARM</t>
        </is>
      </c>
      <c r="O965" s="139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40" t="n"/>
    </row>
    <row r="966">
      <c r="A966" s="203">
        <f>ROW()-2</f>
        <v/>
      </c>
      <c r="B966" s="128" t="n"/>
      <c r="C966" s="263" t="n"/>
      <c r="D966" s="264" t="n"/>
      <c r="E966" s="133" t="n"/>
      <c r="F966" s="141" t="inlineStr">
        <is>
          <t>SPARE</t>
        </is>
      </c>
      <c r="G966" s="142" t="n"/>
      <c r="H966" s="133" t="n"/>
      <c r="I966" s="132" t="inlineStr">
        <is>
          <t>RL7-BINB-RIO1</t>
        </is>
      </c>
      <c r="J966" s="133" t="n">
        <v>5</v>
      </c>
      <c r="K966" s="129" t="n">
        <v>5</v>
      </c>
      <c r="L966" s="129" t="n">
        <v>0</v>
      </c>
      <c r="M966" s="129" t="inlineStr">
        <is>
          <t>24 VDC DI</t>
        </is>
      </c>
      <c r="N966" s="129" t="inlineStr">
        <is>
          <t>5069-IB8S</t>
        </is>
      </c>
      <c r="O966" s="139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40" t="n"/>
    </row>
    <row r="967">
      <c r="A967" s="203">
        <f>ROW()-2</f>
        <v/>
      </c>
      <c r="B967" s="128" t="n"/>
      <c r="C967" s="263" t="n"/>
      <c r="D967" s="264" t="n"/>
      <c r="E967" s="133" t="n"/>
      <c r="F967" s="141" t="inlineStr">
        <is>
          <t>SPARE</t>
        </is>
      </c>
      <c r="G967" s="142" t="n"/>
      <c r="H967" s="133" t="n"/>
      <c r="I967" s="132" t="inlineStr">
        <is>
          <t>RL7-BINB-RIO1</t>
        </is>
      </c>
      <c r="J967" s="133" t="n">
        <v>5</v>
      </c>
      <c r="K967" s="129" t="n">
        <v>5</v>
      </c>
      <c r="L967" s="129" t="n">
        <v>1</v>
      </c>
      <c r="M967" s="129" t="inlineStr">
        <is>
          <t>24 VDC DI</t>
        </is>
      </c>
      <c r="N967" s="129" t="inlineStr">
        <is>
          <t>5069-IB8S</t>
        </is>
      </c>
      <c r="O967" s="139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40" t="n"/>
    </row>
    <row r="968">
      <c r="A968" s="203">
        <f>ROW()-2</f>
        <v/>
      </c>
      <c r="B968" s="128" t="inlineStr">
        <is>
          <t>RL7-CNV-113-ZSS-01</t>
        </is>
      </c>
      <c r="C968" s="263" t="n"/>
      <c r="D968" s="264" t="n"/>
      <c r="E968" s="133" t="n"/>
      <c r="F968" s="141" t="inlineStr">
        <is>
          <t>SPARE</t>
        </is>
      </c>
      <c r="G968" s="142" t="n"/>
      <c r="H968" s="133" t="n"/>
      <c r="I968" s="132" t="inlineStr">
        <is>
          <t>RL7-BINB-RIO1</t>
        </is>
      </c>
      <c r="J968" s="133" t="n">
        <v>5</v>
      </c>
      <c r="K968" s="129" t="n">
        <v>5</v>
      </c>
      <c r="L968" s="129" t="n">
        <v>2</v>
      </c>
      <c r="M968" s="129" t="inlineStr">
        <is>
          <t>24 VDC DI</t>
        </is>
      </c>
      <c r="N968" s="129" t="inlineStr">
        <is>
          <t>5069-IB8S</t>
        </is>
      </c>
      <c r="O968" s="139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40" t="n"/>
    </row>
    <row r="969">
      <c r="A969" s="203">
        <f>ROW()-2</f>
        <v/>
      </c>
      <c r="B969" s="128" t="inlineStr">
        <is>
          <t>RL7-CNV-113-ZSS-01</t>
        </is>
      </c>
      <c r="C969" s="263" t="n"/>
      <c r="D969" s="264" t="n"/>
      <c r="E969" s="133" t="n"/>
      <c r="F969" s="141" t="inlineStr">
        <is>
          <t>SPARE</t>
        </is>
      </c>
      <c r="G969" s="142" t="n"/>
      <c r="H969" s="133" t="n"/>
      <c r="I969" s="132" t="inlineStr">
        <is>
          <t>RL7-BINB-RIO1</t>
        </is>
      </c>
      <c r="J969" s="133" t="n">
        <v>5</v>
      </c>
      <c r="K969" s="129" t="n">
        <v>5</v>
      </c>
      <c r="L969" s="129" t="n">
        <v>3</v>
      </c>
      <c r="M969" s="129" t="inlineStr">
        <is>
          <t>24 VDC DI</t>
        </is>
      </c>
      <c r="N969" s="129" t="inlineStr">
        <is>
          <t>5069-IB8S</t>
        </is>
      </c>
      <c r="O969" s="139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40" t="n"/>
    </row>
    <row r="970">
      <c r="A970" s="203">
        <f>ROW()-2</f>
        <v/>
      </c>
      <c r="B970" s="128" t="inlineStr">
        <is>
          <t>RL7-CNV-112-PB-01</t>
        </is>
      </c>
      <c r="C970" s="263" t="n"/>
      <c r="D970" s="262" t="n"/>
      <c r="E970" s="128" t="n"/>
      <c r="F970" s="138" t="inlineStr">
        <is>
          <t>SPARE</t>
        </is>
      </c>
      <c r="G970" s="131" t="n"/>
      <c r="H970" s="128" t="n"/>
      <c r="I970" s="132" t="inlineStr">
        <is>
          <t>RL7-BINB-RIO1</t>
        </is>
      </c>
      <c r="J970" s="133" t="n">
        <v>5</v>
      </c>
      <c r="K970" s="129" t="n">
        <v>5</v>
      </c>
      <c r="L970" s="129" t="n">
        <v>4</v>
      </c>
      <c r="M970" s="129" t="inlineStr">
        <is>
          <t>24 VDC DI</t>
        </is>
      </c>
      <c r="N970" s="129" t="inlineStr">
        <is>
          <t>5069-IB8S</t>
        </is>
      </c>
      <c r="O970" s="139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40" t="n"/>
    </row>
    <row r="971">
      <c r="A971" s="203">
        <f>ROW()-2</f>
        <v/>
      </c>
      <c r="B971" s="128" t="inlineStr">
        <is>
          <t>RL7-CNV-112-PB-01</t>
        </is>
      </c>
      <c r="C971" s="263" t="n"/>
      <c r="D971" s="262" t="n"/>
      <c r="E971" s="128" t="n"/>
      <c r="F971" s="138" t="inlineStr">
        <is>
          <t>SPARE</t>
        </is>
      </c>
      <c r="G971" s="131" t="n"/>
      <c r="H971" s="128" t="n"/>
      <c r="I971" s="132" t="inlineStr">
        <is>
          <t>RL7-BINB-RIO1</t>
        </is>
      </c>
      <c r="J971" s="133" t="n">
        <v>5</v>
      </c>
      <c r="K971" s="129" t="n">
        <v>5</v>
      </c>
      <c r="L971" s="129" t="n">
        <v>5</v>
      </c>
      <c r="M971" s="129" t="inlineStr">
        <is>
          <t>24 VDC DI</t>
        </is>
      </c>
      <c r="N971" s="129" t="inlineStr">
        <is>
          <t>5069-IB8S</t>
        </is>
      </c>
      <c r="O971" s="139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40" t="n"/>
    </row>
    <row r="972">
      <c r="A972" s="203">
        <f>ROW()-2</f>
        <v/>
      </c>
      <c r="B972" s="128" t="n"/>
      <c r="C972" s="263" t="n"/>
      <c r="D972" s="262" t="n"/>
      <c r="E972" s="128" t="n"/>
      <c r="F972" s="138" t="inlineStr">
        <is>
          <t>SPARE</t>
        </is>
      </c>
      <c r="G972" s="131" t="n"/>
      <c r="H972" s="128" t="n"/>
      <c r="I972" s="132" t="inlineStr">
        <is>
          <t>RL7-BINB-RIO1</t>
        </is>
      </c>
      <c r="J972" s="133" t="n">
        <v>5</v>
      </c>
      <c r="K972" s="129" t="n">
        <v>5</v>
      </c>
      <c r="L972" s="129" t="n">
        <v>6</v>
      </c>
      <c r="M972" s="129" t="inlineStr">
        <is>
          <t>24 VDC DI</t>
        </is>
      </c>
      <c r="N972" s="129" t="inlineStr">
        <is>
          <t>5069-IB8S</t>
        </is>
      </c>
      <c r="O972" s="139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40" t="n"/>
    </row>
    <row r="973">
      <c r="A973" s="203">
        <f>ROW()-2</f>
        <v/>
      </c>
      <c r="B973" s="128" t="n"/>
      <c r="C973" s="263" t="n"/>
      <c r="D973" s="262" t="n"/>
      <c r="E973" s="128" t="n"/>
      <c r="F973" s="138" t="inlineStr">
        <is>
          <t>SPARE</t>
        </is>
      </c>
      <c r="G973" s="131" t="n"/>
      <c r="H973" s="128" t="n"/>
      <c r="I973" s="132" t="inlineStr">
        <is>
          <t>RL7-BINB-RIO1</t>
        </is>
      </c>
      <c r="J973" s="133" t="n">
        <v>5</v>
      </c>
      <c r="K973" s="129" t="n">
        <v>5</v>
      </c>
      <c r="L973" s="129" t="n">
        <v>7</v>
      </c>
      <c r="M973" s="129" t="inlineStr">
        <is>
          <t>24 VDC DI</t>
        </is>
      </c>
      <c r="N973" s="129" t="inlineStr">
        <is>
          <t>5069-IB8S</t>
        </is>
      </c>
      <c r="O973" s="139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40" t="n"/>
    </row>
    <row r="974">
      <c r="A974" s="203">
        <f>ROW()-2</f>
        <v/>
      </c>
      <c r="B974" s="128" t="n"/>
      <c r="C974" s="263" t="n"/>
      <c r="D974" s="262" t="n"/>
      <c r="E974" s="128" t="n"/>
      <c r="F974" s="138" t="inlineStr">
        <is>
          <t>SPARE</t>
        </is>
      </c>
      <c r="G974" s="131" t="n"/>
      <c r="H974" s="128" t="n"/>
      <c r="I974" s="132" t="inlineStr">
        <is>
          <t>RL7-BINB-RIO1</t>
        </is>
      </c>
      <c r="J974" s="133" t="n">
        <v>5</v>
      </c>
      <c r="K974" s="129" t="n">
        <v>5</v>
      </c>
      <c r="L974" s="129" t="n">
        <v>8</v>
      </c>
      <c r="M974" s="129" t="inlineStr">
        <is>
          <t>24 VDC DI</t>
        </is>
      </c>
      <c r="N974" s="129" t="inlineStr">
        <is>
          <t>5069-IB16</t>
        </is>
      </c>
      <c r="O974" s="139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40" t="n"/>
    </row>
    <row r="975">
      <c r="A975" s="203">
        <f>ROW()-2</f>
        <v/>
      </c>
      <c r="B975" s="128" t="n"/>
      <c r="C975" s="263" t="n"/>
      <c r="D975" s="262" t="n"/>
      <c r="E975" s="128" t="n"/>
      <c r="F975" s="138" t="inlineStr">
        <is>
          <t>SPARE</t>
        </is>
      </c>
      <c r="G975" s="131" t="n"/>
      <c r="H975" s="128" t="n"/>
      <c r="I975" s="132" t="inlineStr">
        <is>
          <t>RL7-BINB-RIO1</t>
        </is>
      </c>
      <c r="J975" s="133" t="n">
        <v>5</v>
      </c>
      <c r="K975" s="129" t="n">
        <v>5</v>
      </c>
      <c r="L975" s="129" t="n">
        <v>9</v>
      </c>
      <c r="M975" s="129" t="inlineStr">
        <is>
          <t>24 VDC DI</t>
        </is>
      </c>
      <c r="N975" s="129" t="inlineStr">
        <is>
          <t>5069-IB16</t>
        </is>
      </c>
      <c r="O975" s="139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40" t="n"/>
    </row>
    <row r="976">
      <c r="A976" s="203">
        <f>ROW()-2</f>
        <v/>
      </c>
      <c r="B976" s="128" t="n"/>
      <c r="C976" s="263" t="n"/>
      <c r="D976" s="262" t="n"/>
      <c r="E976" s="128" t="n"/>
      <c r="F976" s="138" t="inlineStr">
        <is>
          <t>SPARE</t>
        </is>
      </c>
      <c r="G976" s="131" t="n"/>
      <c r="H976" s="128" t="n"/>
      <c r="I976" s="132" t="inlineStr">
        <is>
          <t>RL7-BINB-RIO1</t>
        </is>
      </c>
      <c r="J976" s="133" t="n">
        <v>5</v>
      </c>
      <c r="K976" s="129" t="n">
        <v>5</v>
      </c>
      <c r="L976" s="129" t="n">
        <v>10</v>
      </c>
      <c r="M976" s="129" t="inlineStr">
        <is>
          <t>24 VDC DI</t>
        </is>
      </c>
      <c r="N976" s="129" t="inlineStr">
        <is>
          <t>5069-IB16</t>
        </is>
      </c>
      <c r="O976" s="139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40" t="n"/>
    </row>
    <row r="977">
      <c r="A977" s="203">
        <f>ROW()-2</f>
        <v/>
      </c>
      <c r="B977" s="128" t="n"/>
      <c r="C977" s="263" t="n"/>
      <c r="D977" s="262" t="n"/>
      <c r="E977" s="128" t="n"/>
      <c r="F977" s="138" t="inlineStr">
        <is>
          <t>SPARE</t>
        </is>
      </c>
      <c r="G977" s="131" t="n"/>
      <c r="H977" s="128" t="n"/>
      <c r="I977" s="132" t="inlineStr">
        <is>
          <t>RL7-BINB-RIO1</t>
        </is>
      </c>
      <c r="J977" s="133" t="n">
        <v>5</v>
      </c>
      <c r="K977" s="129" t="n">
        <v>5</v>
      </c>
      <c r="L977" s="129" t="n">
        <v>11</v>
      </c>
      <c r="M977" s="129" t="inlineStr">
        <is>
          <t>24 VDC DI</t>
        </is>
      </c>
      <c r="N977" s="129" t="inlineStr">
        <is>
          <t>5069-IB16</t>
        </is>
      </c>
      <c r="O977" s="139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40" t="n"/>
    </row>
    <row r="978">
      <c r="A978" s="203">
        <f>ROW()-2</f>
        <v/>
      </c>
      <c r="B978" s="128" t="n"/>
      <c r="C978" s="263" t="n"/>
      <c r="D978" s="262" t="n"/>
      <c r="E978" s="128" t="n"/>
      <c r="F978" s="138" t="inlineStr">
        <is>
          <t>SPARE</t>
        </is>
      </c>
      <c r="G978" s="131" t="n"/>
      <c r="H978" s="128" t="n"/>
      <c r="I978" s="132" t="inlineStr">
        <is>
          <t>RL7-BINB-RIO1</t>
        </is>
      </c>
      <c r="J978" s="133" t="n">
        <v>5</v>
      </c>
      <c r="K978" s="129" t="n">
        <v>5</v>
      </c>
      <c r="L978" s="129" t="n">
        <v>12</v>
      </c>
      <c r="M978" s="129" t="inlineStr">
        <is>
          <t>24 VDC DI</t>
        </is>
      </c>
      <c r="N978" s="129" t="inlineStr">
        <is>
          <t>5069-IB16</t>
        </is>
      </c>
      <c r="O978" s="139" t="n"/>
      <c r="P978" s="127" t="n"/>
      <c r="Q978" s="127" t="n"/>
      <c r="R978" s="127" t="n"/>
      <c r="S978" s="127" t="n"/>
      <c r="T978" s="127" t="n"/>
      <c r="U978" s="127" t="n"/>
      <c r="V978" s="127" t="n"/>
      <c r="W978" s="127" t="n"/>
      <c r="X978" s="127" t="n"/>
      <c r="Y978" s="127" t="n"/>
      <c r="Z978" s="140" t="n"/>
    </row>
    <row r="979">
      <c r="A979" s="203">
        <f>ROW()-2</f>
        <v/>
      </c>
      <c r="B979" s="128" t="n"/>
      <c r="C979" s="263" t="n"/>
      <c r="D979" s="262" t="n"/>
      <c r="E979" s="128" t="n"/>
      <c r="F979" s="138" t="inlineStr">
        <is>
          <t>SPARE</t>
        </is>
      </c>
      <c r="G979" s="131" t="n"/>
      <c r="H979" s="128" t="n"/>
      <c r="I979" s="132" t="inlineStr">
        <is>
          <t>RL7-BINB-RIO1</t>
        </is>
      </c>
      <c r="J979" s="133" t="n">
        <v>5</v>
      </c>
      <c r="K979" s="129" t="n">
        <v>5</v>
      </c>
      <c r="L979" s="129" t="n">
        <v>13</v>
      </c>
      <c r="M979" s="129" t="inlineStr">
        <is>
          <t>24 VDC DI</t>
        </is>
      </c>
      <c r="N979" s="129" t="inlineStr">
        <is>
          <t>5069-IB16</t>
        </is>
      </c>
      <c r="O979" s="139" t="n"/>
      <c r="P979" s="127" t="n"/>
      <c r="Q979" s="127" t="n"/>
      <c r="R979" s="127" t="n"/>
      <c r="S979" s="127" t="n"/>
      <c r="T979" s="127" t="n"/>
      <c r="U979" s="127" t="n"/>
      <c r="V979" s="127" t="n"/>
      <c r="W979" s="127" t="n"/>
      <c r="X979" s="127" t="n"/>
      <c r="Y979" s="127" t="n"/>
      <c r="Z979" s="140" t="n"/>
    </row>
    <row r="980">
      <c r="A980" s="203">
        <f>ROW()-2</f>
        <v/>
      </c>
      <c r="B980" s="128" t="n"/>
      <c r="C980" s="263" t="n"/>
      <c r="D980" s="262" t="n"/>
      <c r="E980" s="128" t="n"/>
      <c r="F980" s="138" t="inlineStr">
        <is>
          <t>SPARE</t>
        </is>
      </c>
      <c r="G980" s="131" t="n"/>
      <c r="H980" s="128" t="n"/>
      <c r="I980" s="132" t="inlineStr">
        <is>
          <t>RL7-BINB-RIO1</t>
        </is>
      </c>
      <c r="J980" s="133" t="n">
        <v>5</v>
      </c>
      <c r="K980" s="129" t="n">
        <v>5</v>
      </c>
      <c r="L980" s="129" t="n">
        <v>14</v>
      </c>
      <c r="M980" s="129" t="inlineStr">
        <is>
          <t>24 VDC DI</t>
        </is>
      </c>
      <c r="N980" s="129" t="inlineStr">
        <is>
          <t>5069-IB16</t>
        </is>
      </c>
      <c r="O980" s="139" t="n"/>
      <c r="P980" s="127" t="n"/>
      <c r="Q980" s="127" t="n"/>
      <c r="R980" s="127" t="n"/>
      <c r="S980" s="127" t="n"/>
      <c r="T980" s="127" t="n"/>
      <c r="U980" s="127" t="n"/>
      <c r="V980" s="127" t="n"/>
      <c r="W980" s="127" t="n"/>
      <c r="X980" s="127" t="n"/>
      <c r="Y980" s="127" t="n"/>
      <c r="Z980" s="140" t="n"/>
    </row>
    <row r="981">
      <c r="A981" s="203">
        <f>ROW()-2</f>
        <v/>
      </c>
      <c r="B981" s="128" t="n"/>
      <c r="C981" s="263" t="n"/>
      <c r="D981" s="262" t="n"/>
      <c r="E981" s="128" t="n"/>
      <c r="F981" s="138" t="inlineStr">
        <is>
          <t>SPARE</t>
        </is>
      </c>
      <c r="G981" s="131" t="n"/>
      <c r="H981" s="128" t="n"/>
      <c r="I981" s="132" t="inlineStr">
        <is>
          <t>RL7-BINB-RIO1</t>
        </is>
      </c>
      <c r="J981" s="133" t="n">
        <v>5</v>
      </c>
      <c r="K981" s="129" t="n">
        <v>5</v>
      </c>
      <c r="L981" s="129" t="n">
        <v>15</v>
      </c>
      <c r="M981" s="129" t="inlineStr">
        <is>
          <t>24 VDC DI</t>
        </is>
      </c>
      <c r="N981" s="129" t="inlineStr">
        <is>
          <t>5069-IB16</t>
        </is>
      </c>
      <c r="O981" s="139" t="n"/>
      <c r="P981" s="127" t="n"/>
      <c r="Q981" s="127" t="n"/>
      <c r="R981" s="127" t="n"/>
      <c r="S981" s="127" t="n"/>
      <c r="T981" s="127" t="n"/>
      <c r="U981" s="127" t="n"/>
      <c r="V981" s="127" t="n"/>
      <c r="W981" s="127" t="n"/>
      <c r="X981" s="127" t="n"/>
      <c r="Y981" s="127" t="n"/>
      <c r="Z981" s="140" t="n"/>
    </row>
    <row r="982">
      <c r="A982" s="203">
        <f>ROW()-2</f>
        <v/>
      </c>
      <c r="B982" s="128" t="inlineStr">
        <is>
          <t>RL7-BIN-104-ZSO-01</t>
        </is>
      </c>
      <c r="C982" s="263" t="n"/>
      <c r="D982" s="262" t="n"/>
      <c r="E982" s="128" t="n"/>
      <c r="F982" s="138" t="inlineStr">
        <is>
          <t>SPARE</t>
        </is>
      </c>
      <c r="G982" s="131" t="n"/>
      <c r="H982" s="128" t="n"/>
      <c r="I982" s="132" t="inlineStr">
        <is>
          <t>RL7-BINB-RIO1</t>
        </is>
      </c>
      <c r="J982" s="133" t="n">
        <v>5</v>
      </c>
      <c r="K982" s="129" t="n">
        <v>6</v>
      </c>
      <c r="L982" s="129" t="n">
        <v>9</v>
      </c>
      <c r="M982" s="129" t="inlineStr">
        <is>
          <t>24 VDC DO</t>
        </is>
      </c>
      <c r="N982" s="129" t="inlineStr">
        <is>
          <t>5069-IB16</t>
        </is>
      </c>
      <c r="O982" s="139" t="n"/>
      <c r="P982" s="127" t="n"/>
      <c r="Q982" s="127" t="n"/>
      <c r="R982" s="127" t="n"/>
      <c r="S982" s="127" t="n"/>
      <c r="T982" s="127" t="n"/>
      <c r="U982" s="127" t="n"/>
      <c r="V982" s="127" t="n"/>
      <c r="W982" s="127" t="n"/>
      <c r="X982" s="127" t="n"/>
      <c r="Y982" s="127" t="n"/>
      <c r="Z982" s="140" t="n"/>
    </row>
    <row r="983">
      <c r="A983" s="203">
        <f>ROW()-2</f>
        <v/>
      </c>
      <c r="B983" s="128" t="inlineStr">
        <is>
          <t>RL7-BIN-104-ZSC-01</t>
        </is>
      </c>
      <c r="C983" s="263" t="n"/>
      <c r="D983" s="262" t="n"/>
      <c r="E983" s="128" t="n"/>
      <c r="F983" s="138" t="inlineStr">
        <is>
          <t>SPARE</t>
        </is>
      </c>
      <c r="G983" s="131" t="n"/>
      <c r="H983" s="128" t="n"/>
      <c r="I983" s="132" t="inlineStr">
        <is>
          <t>RL7-BINB-RIO1</t>
        </is>
      </c>
      <c r="J983" s="133" t="n">
        <v>5</v>
      </c>
      <c r="K983" s="129" t="n">
        <v>6</v>
      </c>
      <c r="L983" s="129" t="n">
        <v>10</v>
      </c>
      <c r="M983" s="129" t="inlineStr">
        <is>
          <t>24 VDC DO</t>
        </is>
      </c>
      <c r="N983" s="129" t="inlineStr">
        <is>
          <t>5069-IB16</t>
        </is>
      </c>
      <c r="O983" s="139" t="n"/>
      <c r="P983" s="127" t="n"/>
      <c r="Q983" s="127" t="n"/>
      <c r="R983" s="127" t="n"/>
      <c r="S983" s="127" t="n"/>
      <c r="T983" s="127" t="n"/>
      <c r="U983" s="127" t="n"/>
      <c r="V983" s="127" t="n"/>
      <c r="W983" s="127" t="n"/>
      <c r="X983" s="127" t="n"/>
      <c r="Y983" s="127" t="n"/>
      <c r="Z983" s="140" t="n"/>
    </row>
    <row r="984">
      <c r="A984" s="203">
        <f>ROW()-2</f>
        <v/>
      </c>
      <c r="B984" s="128" t="inlineStr">
        <is>
          <t>RL7-CNV-113-ZSO-01</t>
        </is>
      </c>
      <c r="C984" s="263" t="n"/>
      <c r="D984" s="262" t="n"/>
      <c r="E984" s="128" t="n"/>
      <c r="F984" s="138" t="inlineStr">
        <is>
          <t>SPARE</t>
        </is>
      </c>
      <c r="G984" s="131" t="n"/>
      <c r="H984" s="128" t="n"/>
      <c r="I984" s="132" t="inlineStr">
        <is>
          <t>RL7-BINB-RIO1</t>
        </is>
      </c>
      <c r="J984" s="133" t="n">
        <v>5</v>
      </c>
      <c r="K984" s="129" t="n">
        <v>6</v>
      </c>
      <c r="L984" s="129" t="n">
        <v>11</v>
      </c>
      <c r="M984" s="129" t="inlineStr">
        <is>
          <t>24 VDC DO</t>
        </is>
      </c>
      <c r="N984" s="129" t="inlineStr">
        <is>
          <t>5069-IB16</t>
        </is>
      </c>
      <c r="O984" s="139" t="n"/>
      <c r="P984" s="127" t="n"/>
      <c r="Q984" s="127" t="n"/>
      <c r="R984" s="127" t="n"/>
      <c r="S984" s="127" t="n"/>
      <c r="T984" s="127" t="n"/>
      <c r="U984" s="127" t="n"/>
      <c r="V984" s="127" t="n"/>
      <c r="W984" s="127" t="n"/>
      <c r="X984" s="127" t="n"/>
      <c r="Y984" s="127" t="n"/>
      <c r="Z984" s="140" t="n"/>
    </row>
    <row r="985">
      <c r="A985" s="203">
        <f>ROW()-2</f>
        <v/>
      </c>
      <c r="B985" s="128" t="inlineStr">
        <is>
          <t>RL7-CNV-113-ZSC-01</t>
        </is>
      </c>
      <c r="C985" s="263" t="n"/>
      <c r="D985" s="262" t="n"/>
      <c r="E985" s="128" t="n"/>
      <c r="F985" s="138" t="inlineStr">
        <is>
          <t>SPARE</t>
        </is>
      </c>
      <c r="G985" s="131" t="n"/>
      <c r="H985" s="128" t="n"/>
      <c r="I985" s="132" t="inlineStr">
        <is>
          <t>RL7-BINB-RIO1</t>
        </is>
      </c>
      <c r="J985" s="133" t="n">
        <v>5</v>
      </c>
      <c r="K985" s="129" t="n">
        <v>6</v>
      </c>
      <c r="L985" s="129" t="n">
        <v>12</v>
      </c>
      <c r="M985" s="129" t="inlineStr">
        <is>
          <t>24 VDC DO</t>
        </is>
      </c>
      <c r="N985" s="129" t="inlineStr">
        <is>
          <t>5069-IB16</t>
        </is>
      </c>
      <c r="O985" s="139" t="n"/>
      <c r="P985" s="127" t="n"/>
      <c r="Q985" s="127" t="n"/>
      <c r="R985" s="127" t="n"/>
      <c r="S985" s="127" t="n"/>
      <c r="T985" s="127" t="n"/>
      <c r="U985" s="127" t="n"/>
      <c r="V985" s="127" t="n"/>
      <c r="W985" s="127" t="n"/>
      <c r="X985" s="127" t="n"/>
      <c r="Y985" s="127" t="n"/>
      <c r="Z985" s="140" t="n"/>
    </row>
    <row r="986">
      <c r="A986" s="203">
        <f>ROW()-2</f>
        <v/>
      </c>
      <c r="B986" s="128" t="inlineStr">
        <is>
          <t>RL7-CNV-114-ZSO-08</t>
        </is>
      </c>
      <c r="C986" s="263" t="n"/>
      <c r="D986" s="262" t="n"/>
      <c r="E986" s="128" t="n"/>
      <c r="F986" s="138" t="inlineStr">
        <is>
          <t>SPARE</t>
        </is>
      </c>
      <c r="G986" s="131" t="n"/>
      <c r="H986" s="128" t="n"/>
      <c r="I986" s="132" t="inlineStr">
        <is>
          <t>RL7-BINB-RIO1</t>
        </is>
      </c>
      <c r="J986" s="133" t="n">
        <v>5</v>
      </c>
      <c r="K986" s="129" t="n">
        <v>6</v>
      </c>
      <c r="L986" s="129" t="n">
        <v>13</v>
      </c>
      <c r="M986" s="129" t="inlineStr">
        <is>
          <t>24 VDC DO</t>
        </is>
      </c>
      <c r="N986" s="129" t="inlineStr">
        <is>
          <t>5069-IB16</t>
        </is>
      </c>
      <c r="O986" s="139" t="n"/>
      <c r="P986" s="127" t="n"/>
      <c r="Q986" s="127" t="n"/>
      <c r="R986" s="127" t="n"/>
      <c r="S986" s="127" t="n"/>
      <c r="T986" s="127" t="n"/>
      <c r="U986" s="127" t="n"/>
      <c r="V986" s="127" t="n"/>
      <c r="W986" s="127" t="n"/>
      <c r="X986" s="127" t="n"/>
      <c r="Y986" s="127" t="n"/>
      <c r="Z986" s="140" t="n"/>
    </row>
    <row r="987">
      <c r="A987" s="203">
        <f>ROW()-2</f>
        <v/>
      </c>
      <c r="B987" s="128" t="inlineStr">
        <is>
          <t>RL7-CNV-114-ZSC-08</t>
        </is>
      </c>
      <c r="C987" s="263" t="n"/>
      <c r="D987" s="262" t="n"/>
      <c r="E987" s="128" t="n"/>
      <c r="F987" s="138" t="inlineStr">
        <is>
          <t>SPARE</t>
        </is>
      </c>
      <c r="G987" s="131" t="n"/>
      <c r="H987" s="128" t="n"/>
      <c r="I987" s="132" t="inlineStr">
        <is>
          <t>RL7-BINB-RIO1</t>
        </is>
      </c>
      <c r="J987" s="133" t="n">
        <v>5</v>
      </c>
      <c r="K987" s="129" t="n">
        <v>6</v>
      </c>
      <c r="L987" s="129" t="n">
        <v>14</v>
      </c>
      <c r="M987" s="129" t="inlineStr">
        <is>
          <t>24 VDC DO</t>
        </is>
      </c>
      <c r="N987" s="129" t="inlineStr">
        <is>
          <t>5069-IB16</t>
        </is>
      </c>
      <c r="O987" s="139" t="n"/>
      <c r="P987" s="127" t="n"/>
      <c r="Q987" s="127" t="n"/>
      <c r="R987" s="127" t="n"/>
      <c r="S987" s="127" t="n"/>
      <c r="T987" s="127" t="n"/>
      <c r="U987" s="127" t="n"/>
      <c r="V987" s="127" t="n"/>
      <c r="W987" s="127" t="n"/>
      <c r="X987" s="127" t="n"/>
      <c r="Y987" s="127" t="n"/>
      <c r="Z987" s="140" t="n"/>
    </row>
    <row r="988">
      <c r="A988" s="203">
        <f>ROW()-2</f>
        <v/>
      </c>
      <c r="B988" s="128" t="n"/>
      <c r="C988" s="263" t="n"/>
      <c r="D988" s="262" t="n"/>
      <c r="E988" s="128" t="n"/>
      <c r="F988" s="138" t="inlineStr">
        <is>
          <t>SPARE</t>
        </is>
      </c>
      <c r="G988" s="131" t="n"/>
      <c r="H988" s="128" t="n"/>
      <c r="I988" s="132" t="inlineStr">
        <is>
          <t>RL7-BINB-RIO1</t>
        </is>
      </c>
      <c r="J988" s="133" t="n">
        <v>5</v>
      </c>
      <c r="K988" s="129" t="n">
        <v>6</v>
      </c>
      <c r="L988" s="129" t="n">
        <v>15</v>
      </c>
      <c r="M988" s="129" t="inlineStr">
        <is>
          <t>24 VDC DO</t>
        </is>
      </c>
      <c r="N988" s="129" t="inlineStr">
        <is>
          <t>5069-IB16</t>
        </is>
      </c>
      <c r="O988" s="139" t="n"/>
      <c r="P988" s="127" t="n"/>
      <c r="Q988" s="127" t="n"/>
      <c r="R988" s="127" t="n"/>
      <c r="S988" s="127" t="n"/>
      <c r="T988" s="127" t="n"/>
      <c r="U988" s="127" t="n"/>
      <c r="V988" s="127" t="n"/>
      <c r="W988" s="127" t="n"/>
      <c r="X988" s="127" t="n"/>
      <c r="Y988" s="127" t="n"/>
      <c r="Z988" s="140" t="n"/>
    </row>
    <row r="989">
      <c r="A989" s="203">
        <f>ROW()-1</f>
        <v/>
      </c>
      <c r="B989" s="128" t="inlineStr">
        <is>
          <t>RL7-CNV-114-ZSS-05</t>
        </is>
      </c>
      <c r="C989" s="263" t="n"/>
      <c r="D989" s="262" t="n"/>
      <c r="E989" s="128" t="n"/>
      <c r="F989" s="138" t="inlineStr">
        <is>
          <t>SPARE</t>
        </is>
      </c>
      <c r="G989" s="131" t="n"/>
      <c r="H989" s="128" t="n"/>
      <c r="I989" s="132" t="inlineStr">
        <is>
          <t>RL7-IPA1-RIO1</t>
        </is>
      </c>
      <c r="J989" s="133" t="n">
        <v>6</v>
      </c>
      <c r="K989" s="129" t="n">
        <v>2</v>
      </c>
      <c r="L989" s="129" t="n">
        <v>4</v>
      </c>
      <c r="M989" s="129" t="inlineStr">
        <is>
          <t>24 VDC SI</t>
        </is>
      </c>
      <c r="N989" s="129" t="inlineStr">
        <is>
          <t>5069-IB8S</t>
        </is>
      </c>
      <c r="O989" s="139" t="n"/>
      <c r="P989" s="127" t="n"/>
      <c r="Q989" s="127" t="n"/>
      <c r="R989" s="127" t="n"/>
      <c r="S989" s="127" t="n"/>
      <c r="T989" s="127" t="n"/>
      <c r="U989" s="127" t="n"/>
      <c r="V989" s="127" t="n"/>
      <c r="W989" s="127" t="n"/>
      <c r="X989" s="127" t="n"/>
      <c r="Y989" s="127" t="n"/>
      <c r="Z989" s="140" t="n"/>
    </row>
    <row r="990">
      <c r="A990" s="203">
        <f>ROW()-1</f>
        <v/>
      </c>
      <c r="B990" s="128" t="inlineStr">
        <is>
          <t>RL7-CNV-114-ZSS-05</t>
        </is>
      </c>
      <c r="C990" s="263" t="n"/>
      <c r="D990" s="262" t="n"/>
      <c r="E990" s="128" t="n"/>
      <c r="F990" s="138" t="inlineStr">
        <is>
          <t>SPARE</t>
        </is>
      </c>
      <c r="G990" s="131" t="n"/>
      <c r="H990" s="128" t="n"/>
      <c r="I990" s="132" t="inlineStr">
        <is>
          <t>RL7-IPA1-RIO1</t>
        </is>
      </c>
      <c r="J990" s="133" t="n">
        <v>6</v>
      </c>
      <c r="K990" s="129" t="n">
        <v>2</v>
      </c>
      <c r="L990" s="129" t="n">
        <v>5</v>
      </c>
      <c r="M990" s="129" t="inlineStr">
        <is>
          <t>24 VDC SI</t>
        </is>
      </c>
      <c r="N990" s="129" t="inlineStr">
        <is>
          <t>5069-IB8S</t>
        </is>
      </c>
      <c r="O990" s="139" t="n"/>
      <c r="P990" s="127" t="n"/>
      <c r="Q990" s="127" t="n"/>
      <c r="R990" s="127" t="n"/>
      <c r="S990" s="127" t="n"/>
      <c r="T990" s="127" t="n"/>
      <c r="U990" s="127" t="n"/>
      <c r="V990" s="127" t="n"/>
      <c r="W990" s="127" t="n"/>
      <c r="X990" s="127" t="n"/>
      <c r="Y990" s="127" t="n"/>
      <c r="Z990" s="140" t="n"/>
    </row>
    <row r="991">
      <c r="A991" s="203">
        <f>ROW()-1</f>
        <v/>
      </c>
      <c r="B991" s="128" t="inlineStr">
        <is>
          <t>RL7-BIN-104-ZSS-03</t>
        </is>
      </c>
      <c r="C991" s="263" t="n"/>
      <c r="D991" s="262" t="n"/>
      <c r="E991" s="128" t="n"/>
      <c r="F991" s="138" t="inlineStr">
        <is>
          <t>SPARE</t>
        </is>
      </c>
      <c r="G991" s="131" t="n"/>
      <c r="H991" s="128" t="n"/>
      <c r="I991" s="132" t="inlineStr">
        <is>
          <t>RL7-IPA1-RIO1</t>
        </is>
      </c>
      <c r="J991" s="133" t="n">
        <v>6</v>
      </c>
      <c r="K991" s="129" t="n">
        <v>2</v>
      </c>
      <c r="L991" s="129" t="n">
        <v>6</v>
      </c>
      <c r="M991" s="129" t="inlineStr">
        <is>
          <t>24 VDC SI</t>
        </is>
      </c>
      <c r="N991" s="129" t="inlineStr">
        <is>
          <t>5069-IB8S</t>
        </is>
      </c>
      <c r="O991" s="139" t="n"/>
      <c r="P991" s="127" t="n"/>
      <c r="Q991" s="127" t="n"/>
      <c r="R991" s="127" t="n"/>
      <c r="S991" s="127" t="n"/>
      <c r="T991" s="127" t="n"/>
      <c r="U991" s="127" t="n"/>
      <c r="V991" s="127" t="n"/>
      <c r="W991" s="127" t="n"/>
      <c r="X991" s="127" t="n"/>
      <c r="Y991" s="127" t="n"/>
      <c r="Z991" s="140" t="n"/>
    </row>
    <row r="992">
      <c r="A992" s="203">
        <f>ROW()-1</f>
        <v/>
      </c>
      <c r="B992" s="128" t="inlineStr">
        <is>
          <t>RL7-BIN-104-ZSS-03</t>
        </is>
      </c>
      <c r="C992" s="263" t="n"/>
      <c r="D992" s="262" t="n"/>
      <c r="E992" s="128" t="n"/>
      <c r="F992" s="138" t="inlineStr">
        <is>
          <t>SPARE</t>
        </is>
      </c>
      <c r="G992" s="131" t="n"/>
      <c r="H992" s="128" t="n"/>
      <c r="I992" s="132" t="inlineStr">
        <is>
          <t>RL7-IPA1-RIO1</t>
        </is>
      </c>
      <c r="J992" s="133" t="n">
        <v>6</v>
      </c>
      <c r="K992" s="129" t="n">
        <v>2</v>
      </c>
      <c r="L992" s="129" t="n">
        <v>7</v>
      </c>
      <c r="M992" s="129" t="inlineStr">
        <is>
          <t>24 VDC SI</t>
        </is>
      </c>
      <c r="N992" s="129" t="inlineStr">
        <is>
          <t>5069-IB8S</t>
        </is>
      </c>
      <c r="O992" s="139" t="n"/>
      <c r="P992" s="127" t="n"/>
      <c r="Q992" s="127" t="n"/>
      <c r="R992" s="127" t="n"/>
      <c r="S992" s="127" t="n"/>
      <c r="T992" s="127" t="n"/>
      <c r="U992" s="127" t="n"/>
      <c r="V992" s="127" t="n"/>
      <c r="W992" s="127" t="n"/>
      <c r="X992" s="127" t="n"/>
      <c r="Y992" s="127" t="n"/>
      <c r="Z992" s="140" t="n"/>
    </row>
    <row r="993">
      <c r="A993" s="203">
        <f>ROW()-1</f>
        <v/>
      </c>
      <c r="B993" s="128" t="inlineStr">
        <is>
          <t>RL7-CNV-114-ZSS-04</t>
        </is>
      </c>
      <c r="C993" s="263" t="n"/>
      <c r="D993" s="262" t="n"/>
      <c r="E993" s="128" t="n"/>
      <c r="F993" s="138" t="inlineStr">
        <is>
          <t>SPARE</t>
        </is>
      </c>
      <c r="G993" s="131" t="n"/>
      <c r="H993" s="128" t="n"/>
      <c r="I993" s="132" t="inlineStr">
        <is>
          <t>RL7-IPA1-RIO1</t>
        </is>
      </c>
      <c r="J993" s="133" t="n">
        <v>6</v>
      </c>
      <c r="K993" s="129" t="n">
        <v>3</v>
      </c>
      <c r="L993" s="129" t="n">
        <v>0</v>
      </c>
      <c r="M993" s="129" t="inlineStr">
        <is>
          <t>24 VDC SI</t>
        </is>
      </c>
      <c r="N993" s="129" t="inlineStr">
        <is>
          <t>5069-IB8S</t>
        </is>
      </c>
      <c r="O993" s="139" t="n"/>
      <c r="P993" s="127" t="n"/>
      <c r="Q993" s="127" t="n"/>
      <c r="R993" s="127" t="n"/>
      <c r="S993" s="127" t="n"/>
      <c r="T993" s="127" t="n"/>
      <c r="U993" s="127" t="n"/>
      <c r="V993" s="127" t="n"/>
      <c r="W993" s="127" t="n"/>
      <c r="X993" s="127" t="n"/>
      <c r="Y993" s="127" t="n"/>
      <c r="Z993" s="140" t="n"/>
    </row>
    <row r="994">
      <c r="A994" s="203">
        <f>ROW()-1</f>
        <v/>
      </c>
      <c r="B994" s="128" t="inlineStr">
        <is>
          <t>RL7-CNV-114-ZSS-04</t>
        </is>
      </c>
      <c r="C994" s="263" t="n"/>
      <c r="D994" s="262" t="n"/>
      <c r="E994" s="128" t="n"/>
      <c r="F994" s="138" t="inlineStr">
        <is>
          <t>SPARE</t>
        </is>
      </c>
      <c r="G994" s="131" t="n"/>
      <c r="H994" s="128" t="n"/>
      <c r="I994" s="132" t="inlineStr">
        <is>
          <t>RL7-IPA1-RIO1</t>
        </is>
      </c>
      <c r="J994" s="133" t="n">
        <v>6</v>
      </c>
      <c r="K994" s="129" t="n">
        <v>3</v>
      </c>
      <c r="L994" s="129" t="n">
        <v>1</v>
      </c>
      <c r="M994" s="129" t="inlineStr">
        <is>
          <t>24 VDC SI</t>
        </is>
      </c>
      <c r="N994" s="129" t="inlineStr">
        <is>
          <t>5069-IB8S</t>
        </is>
      </c>
      <c r="O994" s="139" t="n"/>
      <c r="P994" s="127" t="n"/>
      <c r="Q994" s="127" t="n"/>
      <c r="R994" s="127" t="n"/>
      <c r="S994" s="127" t="n"/>
      <c r="T994" s="127" t="n"/>
      <c r="U994" s="127" t="n"/>
      <c r="V994" s="127" t="n"/>
      <c r="W994" s="127" t="n"/>
      <c r="X994" s="127" t="n"/>
      <c r="Y994" s="127" t="n"/>
      <c r="Z994" s="140" t="n"/>
    </row>
    <row r="995" customFormat="1" s="136">
      <c r="A995" s="203">
        <f>ROW()-1</f>
        <v/>
      </c>
      <c r="B995" s="128" t="inlineStr">
        <is>
          <t>RL7-CNV-114-ZSS-01</t>
        </is>
      </c>
      <c r="C995" s="263" t="n"/>
      <c r="D995" s="262" t="n"/>
      <c r="E995" s="128" t="n"/>
      <c r="F995" s="138" t="inlineStr">
        <is>
          <t>SPARE</t>
        </is>
      </c>
      <c r="G995" s="131" t="n"/>
      <c r="H995" s="128" t="n"/>
      <c r="I995" s="132" t="inlineStr">
        <is>
          <t>RL7-IPA1-RIO1</t>
        </is>
      </c>
      <c r="J995" s="133" t="n">
        <v>6</v>
      </c>
      <c r="K995" s="129" t="n">
        <v>3</v>
      </c>
      <c r="L995" s="129" t="n">
        <v>2</v>
      </c>
      <c r="M995" s="129" t="inlineStr">
        <is>
          <t>24 VDC SI</t>
        </is>
      </c>
      <c r="N995" s="129" t="inlineStr">
        <is>
          <t>5069-IB8S</t>
        </is>
      </c>
      <c r="O995" s="139" t="n"/>
      <c r="P995" s="127" t="n"/>
      <c r="Q995" s="127" t="n"/>
      <c r="R995" s="127" t="n"/>
      <c r="S995" s="127" t="n"/>
      <c r="T995" s="127" t="n"/>
      <c r="U995" s="127" t="n"/>
      <c r="V995" s="127" t="n"/>
      <c r="W995" s="127" t="n"/>
      <c r="X995" s="127" t="n"/>
      <c r="Y995" s="127" t="n"/>
      <c r="Z995" s="140" t="n"/>
    </row>
    <row r="996">
      <c r="A996" s="203">
        <f>ROW()-1</f>
        <v/>
      </c>
      <c r="B996" s="128" t="inlineStr">
        <is>
          <t>RL7-CNV-114-ZSS-01</t>
        </is>
      </c>
      <c r="C996" s="263" t="n"/>
      <c r="D996" s="262" t="n"/>
      <c r="E996" s="128" t="n"/>
      <c r="F996" s="138" t="inlineStr">
        <is>
          <t>SPARE</t>
        </is>
      </c>
      <c r="G996" s="131" t="n"/>
      <c r="H996" s="128" t="n"/>
      <c r="I996" s="132" t="inlineStr">
        <is>
          <t>RL7-IPA1-RIO1</t>
        </is>
      </c>
      <c r="J996" s="133" t="n">
        <v>6</v>
      </c>
      <c r="K996" s="129" t="n">
        <v>3</v>
      </c>
      <c r="L996" s="129" t="n">
        <v>3</v>
      </c>
      <c r="M996" s="129" t="inlineStr">
        <is>
          <t>24 VDC SI</t>
        </is>
      </c>
      <c r="N996" s="129" t="inlineStr">
        <is>
          <t>5069-IB8S</t>
        </is>
      </c>
      <c r="O996" s="139" t="n"/>
      <c r="P996" s="127" t="n"/>
      <c r="Q996" s="127" t="n"/>
      <c r="R996" s="127" t="n"/>
      <c r="S996" s="127" t="n"/>
      <c r="T996" s="127" t="n"/>
      <c r="U996" s="127" t="n"/>
      <c r="V996" s="127" t="n"/>
      <c r="W996" s="127" t="n"/>
      <c r="X996" s="127" t="n"/>
      <c r="Y996" s="127" t="n"/>
      <c r="Z996" s="140" t="n"/>
    </row>
    <row r="997">
      <c r="A997" s="203">
        <f>ROW()-1</f>
        <v/>
      </c>
      <c r="B997" s="128" t="inlineStr">
        <is>
          <t>RL7-CNV-114-ZSS-02</t>
        </is>
      </c>
      <c r="C997" s="263" t="n"/>
      <c r="D997" s="262" t="n"/>
      <c r="E997" s="128" t="n"/>
      <c r="F997" s="138" t="inlineStr">
        <is>
          <t>SPARE</t>
        </is>
      </c>
      <c r="G997" s="131" t="n"/>
      <c r="H997" s="128" t="n"/>
      <c r="I997" s="132" t="inlineStr">
        <is>
          <t>RL7-IPA1-RIO1</t>
        </is>
      </c>
      <c r="J997" s="133" t="n">
        <v>6</v>
      </c>
      <c r="K997" s="129" t="n">
        <v>3</v>
      </c>
      <c r="L997" s="129" t="n">
        <v>4</v>
      </c>
      <c r="M997" s="129" t="inlineStr">
        <is>
          <t>24 VDC SI</t>
        </is>
      </c>
      <c r="N997" s="129" t="inlineStr">
        <is>
          <t>5069-IB8S</t>
        </is>
      </c>
      <c r="O997" s="139" t="n"/>
      <c r="P997" s="127" t="n"/>
      <c r="Q997" s="127" t="n"/>
      <c r="R997" s="127" t="n"/>
      <c r="S997" s="127" t="n"/>
      <c r="T997" s="127" t="n"/>
      <c r="U997" s="127" t="n"/>
      <c r="V997" s="127" t="n"/>
      <c r="W997" s="127" t="n"/>
      <c r="X997" s="127" t="n"/>
      <c r="Y997" s="127" t="n"/>
      <c r="Z997" s="140" t="n"/>
    </row>
    <row r="998">
      <c r="A998" s="203">
        <f>ROW()-1</f>
        <v/>
      </c>
      <c r="B998" s="128" t="inlineStr">
        <is>
          <t>RL7-CNV-114-ZSS-02</t>
        </is>
      </c>
      <c r="C998" s="263" t="n"/>
      <c r="D998" s="262" t="n"/>
      <c r="E998" s="128" t="n"/>
      <c r="F998" s="138" t="inlineStr">
        <is>
          <t>SPARE</t>
        </is>
      </c>
      <c r="G998" s="131" t="n"/>
      <c r="H998" s="128" t="n"/>
      <c r="I998" s="132" t="inlineStr">
        <is>
          <t>RL7-IPA1-RIO1</t>
        </is>
      </c>
      <c r="J998" s="133" t="n">
        <v>6</v>
      </c>
      <c r="K998" s="129" t="n">
        <v>3</v>
      </c>
      <c r="L998" s="129" t="n">
        <v>5</v>
      </c>
      <c r="M998" s="129" t="inlineStr">
        <is>
          <t>24 VDC SI</t>
        </is>
      </c>
      <c r="N998" s="129" t="inlineStr">
        <is>
          <t>5069-IB8S</t>
        </is>
      </c>
      <c r="O998" s="139" t="n"/>
      <c r="P998" s="127" t="n"/>
      <c r="Q998" s="127" t="n"/>
      <c r="R998" s="127" t="n"/>
      <c r="S998" s="127" t="n"/>
      <c r="T998" s="127" t="n"/>
      <c r="U998" s="127" t="n"/>
      <c r="V998" s="127" t="n"/>
      <c r="W998" s="127" t="n"/>
      <c r="X998" s="127" t="n"/>
      <c r="Y998" s="127" t="n"/>
      <c r="Z998" s="140" t="n"/>
    </row>
    <row r="999">
      <c r="A999" s="203">
        <f>ROW()-1</f>
        <v/>
      </c>
      <c r="B999" s="128" t="inlineStr">
        <is>
          <t>RL7-CNV-114-ZSS-03</t>
        </is>
      </c>
      <c r="C999" s="263" t="n"/>
      <c r="D999" s="262" t="n"/>
      <c r="E999" s="128" t="n"/>
      <c r="F999" s="138" t="inlineStr">
        <is>
          <t>SPARE</t>
        </is>
      </c>
      <c r="G999" s="131" t="n"/>
      <c r="H999" s="128" t="n"/>
      <c r="I999" s="132" t="inlineStr">
        <is>
          <t>RL7-IPA1-RIO1</t>
        </is>
      </c>
      <c r="J999" s="133" t="n">
        <v>6</v>
      </c>
      <c r="K999" s="129" t="n">
        <v>3</v>
      </c>
      <c r="L999" s="129" t="n">
        <v>6</v>
      </c>
      <c r="M999" s="129" t="inlineStr">
        <is>
          <t>24 VDC SI</t>
        </is>
      </c>
      <c r="N999" s="129" t="inlineStr">
        <is>
          <t>5069-IB8S</t>
        </is>
      </c>
      <c r="O999" s="139" t="n"/>
      <c r="P999" s="127" t="n"/>
      <c r="Q999" s="127" t="n"/>
      <c r="R999" s="127" t="n"/>
      <c r="S999" s="127" t="n"/>
      <c r="T999" s="127" t="n"/>
      <c r="U999" s="127" t="n"/>
      <c r="V999" s="127" t="n"/>
      <c r="W999" s="127" t="n"/>
      <c r="X999" s="127" t="n"/>
      <c r="Y999" s="127" t="n"/>
      <c r="Z999" s="140" t="n"/>
    </row>
    <row r="1000">
      <c r="A1000" s="203">
        <f>ROW()-1</f>
        <v/>
      </c>
      <c r="B1000" s="128" t="inlineStr">
        <is>
          <t>RL7-CNV-114-ZSS-03</t>
        </is>
      </c>
      <c r="C1000" s="263" t="n"/>
      <c r="D1000" s="262" t="n"/>
      <c r="E1000" s="128" t="n"/>
      <c r="F1000" s="138" t="inlineStr">
        <is>
          <t>SPARE</t>
        </is>
      </c>
      <c r="G1000" s="131" t="n"/>
      <c r="H1000" s="128" t="n"/>
      <c r="I1000" s="132" t="inlineStr">
        <is>
          <t>RL7-IPA1-RIO1</t>
        </is>
      </c>
      <c r="J1000" s="133" t="n">
        <v>6</v>
      </c>
      <c r="K1000" s="129" t="n">
        <v>3</v>
      </c>
      <c r="L1000" s="129" t="n">
        <v>7</v>
      </c>
      <c r="M1000" s="129" t="inlineStr">
        <is>
          <t>24 VDC SI</t>
        </is>
      </c>
      <c r="N1000" s="129" t="inlineStr">
        <is>
          <t>5069-IB8S</t>
        </is>
      </c>
      <c r="O1000" s="139" t="n"/>
      <c r="P1000" s="127" t="n"/>
      <c r="Q1000" s="127" t="n"/>
      <c r="R1000" s="127" t="n"/>
      <c r="S1000" s="127" t="n"/>
      <c r="T1000" s="127" t="n"/>
      <c r="U1000" s="127" t="n"/>
      <c r="V1000" s="127" t="n"/>
      <c r="W1000" s="127" t="n"/>
      <c r="X1000" s="127" t="n"/>
      <c r="Y1000" s="127" t="n"/>
      <c r="Z1000" s="140" t="n"/>
    </row>
    <row r="1001">
      <c r="A1001" s="203">
        <f>ROW()-1</f>
        <v/>
      </c>
      <c r="B1001" s="128" t="n"/>
      <c r="C1001" s="263" t="n"/>
      <c r="D1001" s="262" t="n"/>
      <c r="E1001" s="128" t="n"/>
      <c r="F1001" s="141" t="inlineStr">
        <is>
          <t>SPARE</t>
        </is>
      </c>
      <c r="G1001" s="142" t="n"/>
      <c r="H1001" s="133" t="n"/>
      <c r="I1001" s="132" t="inlineStr">
        <is>
          <t>RL7-IPA1-RIO1</t>
        </is>
      </c>
      <c r="J1001" s="133" t="n">
        <v>6</v>
      </c>
      <c r="K1001" s="129" t="n">
        <v>4</v>
      </c>
      <c r="L1001" s="129" t="n">
        <v>6</v>
      </c>
      <c r="M1001" s="129" t="inlineStr">
        <is>
          <t>24 VDC DI</t>
        </is>
      </c>
      <c r="N1001" s="129" t="inlineStr">
        <is>
          <t>5069-IB8S</t>
        </is>
      </c>
      <c r="O1001" s="139" t="n"/>
      <c r="P1001" s="127" t="n"/>
      <c r="Q1001" s="127" t="n"/>
      <c r="R1001" s="127" t="n"/>
      <c r="S1001" s="127" t="n"/>
      <c r="T1001" s="127" t="n"/>
      <c r="U1001" s="127" t="n"/>
      <c r="V1001" s="127" t="n"/>
      <c r="W1001" s="127" t="n"/>
      <c r="X1001" s="127" t="n"/>
      <c r="Y1001" s="127" t="n"/>
      <c r="Z1001" s="140" t="n"/>
    </row>
    <row r="1002">
      <c r="A1002" s="203">
        <f>ROW()-1</f>
        <v/>
      </c>
      <c r="B1002" s="128" t="n"/>
      <c r="C1002" s="263" t="n"/>
      <c r="D1002" s="262" t="n"/>
      <c r="E1002" s="128" t="n"/>
      <c r="F1002" s="141" t="inlineStr">
        <is>
          <t>SPARE</t>
        </is>
      </c>
      <c r="G1002" s="142" t="n"/>
      <c r="H1002" s="133" t="n"/>
      <c r="I1002" s="132" t="inlineStr">
        <is>
          <t>RL7-IPA1-RIO1</t>
        </is>
      </c>
      <c r="J1002" s="133" t="n">
        <v>6</v>
      </c>
      <c r="K1002" s="129" t="n">
        <v>4</v>
      </c>
      <c r="L1002" s="129" t="n">
        <v>7</v>
      </c>
      <c r="M1002" s="129" t="inlineStr">
        <is>
          <t>24 VDC DI</t>
        </is>
      </c>
      <c r="N1002" s="129" t="inlineStr">
        <is>
          <t>5069-IB8S</t>
        </is>
      </c>
      <c r="O1002" s="139" t="n"/>
      <c r="P1002" s="127" t="n"/>
      <c r="Q1002" s="127" t="n"/>
      <c r="R1002" s="127" t="n"/>
      <c r="S1002" s="127" t="n"/>
      <c r="T1002" s="127" t="n"/>
      <c r="U1002" s="127" t="n"/>
      <c r="V1002" s="127" t="n"/>
      <c r="W1002" s="127" t="n"/>
      <c r="X1002" s="127" t="n"/>
      <c r="Y1002" s="127" t="n"/>
      <c r="Z1002" s="140" t="n"/>
    </row>
    <row r="1003">
      <c r="A1003" s="203">
        <f>ROW()-1</f>
        <v/>
      </c>
      <c r="B1003" s="128" t="n"/>
      <c r="C1003" s="263" t="n"/>
      <c r="D1003" s="262" t="n"/>
      <c r="E1003" s="128" t="n"/>
      <c r="F1003" s="141" t="inlineStr">
        <is>
          <t>SPARE</t>
        </is>
      </c>
      <c r="G1003" s="142" t="n"/>
      <c r="H1003" s="133" t="n"/>
      <c r="I1003" s="132" t="inlineStr">
        <is>
          <t>RL7-IPA1-RIO1</t>
        </is>
      </c>
      <c r="J1003" s="133" t="n">
        <v>6</v>
      </c>
      <c r="K1003" s="129" t="n">
        <v>4</v>
      </c>
      <c r="L1003" s="129" t="n">
        <v>8</v>
      </c>
      <c r="M1003" s="129" t="inlineStr">
        <is>
          <t>24 VDC DI</t>
        </is>
      </c>
      <c r="N1003" s="129" t="inlineStr">
        <is>
          <t>5069-IB16</t>
        </is>
      </c>
      <c r="O1003" s="139" t="n"/>
      <c r="P1003" s="127" t="n"/>
      <c r="Q1003" s="127" t="n"/>
      <c r="R1003" s="127" t="n"/>
      <c r="S1003" s="127" t="n"/>
      <c r="T1003" s="127" t="n"/>
      <c r="U1003" s="127" t="n"/>
      <c r="V1003" s="127" t="n"/>
      <c r="W1003" s="127" t="n"/>
      <c r="X1003" s="127" t="n"/>
      <c r="Y1003" s="127" t="n"/>
      <c r="Z1003" s="140" t="n"/>
    </row>
    <row r="1004">
      <c r="A1004" s="203">
        <f>ROW()-1</f>
        <v/>
      </c>
      <c r="B1004" s="128" t="n"/>
      <c r="C1004" s="263" t="n"/>
      <c r="D1004" s="262" t="n"/>
      <c r="E1004" s="128" t="n"/>
      <c r="F1004" s="141" t="inlineStr">
        <is>
          <t>SPARE</t>
        </is>
      </c>
      <c r="G1004" s="142" t="n"/>
      <c r="H1004" s="133" t="n"/>
      <c r="I1004" s="132" t="inlineStr">
        <is>
          <t>RL7-IPA1-RIO1</t>
        </is>
      </c>
      <c r="J1004" s="133" t="n">
        <v>6</v>
      </c>
      <c r="K1004" s="129" t="n">
        <v>4</v>
      </c>
      <c r="L1004" s="129" t="n">
        <v>9</v>
      </c>
      <c r="M1004" s="129" t="inlineStr">
        <is>
          <t>24 VDC DI</t>
        </is>
      </c>
      <c r="N1004" s="129" t="inlineStr">
        <is>
          <t>5069-IB16</t>
        </is>
      </c>
      <c r="O1004" s="139" t="n"/>
      <c r="P1004" s="127" t="n"/>
      <c r="Q1004" s="127" t="n"/>
      <c r="R1004" s="127" t="n"/>
      <c r="S1004" s="127" t="n"/>
      <c r="T1004" s="127" t="n"/>
      <c r="U1004" s="127" t="n"/>
      <c r="V1004" s="127" t="n"/>
      <c r="W1004" s="127" t="n"/>
      <c r="X1004" s="127" t="n"/>
      <c r="Y1004" s="127" t="n"/>
      <c r="Z1004" s="140" t="n"/>
    </row>
    <row r="1005">
      <c r="A1005" s="203">
        <f>ROW()-1</f>
        <v/>
      </c>
      <c r="B1005" s="128" t="n"/>
      <c r="C1005" s="263" t="n"/>
      <c r="D1005" s="262" t="n"/>
      <c r="E1005" s="128" t="n"/>
      <c r="F1005" s="138" t="inlineStr">
        <is>
          <t>SPARE</t>
        </is>
      </c>
      <c r="G1005" s="131" t="n"/>
      <c r="H1005" s="128" t="n"/>
      <c r="I1005" s="132" t="inlineStr">
        <is>
          <t>RL7-IPA1-RIO1</t>
        </is>
      </c>
      <c r="J1005" s="133" t="n">
        <v>6</v>
      </c>
      <c r="K1005" s="129" t="n">
        <v>4</v>
      </c>
      <c r="L1005" s="129" t="n">
        <v>10</v>
      </c>
      <c r="M1005" s="129" t="inlineStr">
        <is>
          <t>24 VDC DI</t>
        </is>
      </c>
      <c r="N1005" s="129" t="inlineStr">
        <is>
          <t>5069-IB16</t>
        </is>
      </c>
      <c r="O1005" s="139" t="n"/>
      <c r="P1005" s="127" t="n"/>
      <c r="Q1005" s="127" t="n"/>
      <c r="R1005" s="127" t="n"/>
      <c r="S1005" s="127" t="n"/>
      <c r="T1005" s="127" t="n"/>
      <c r="U1005" s="127" t="n"/>
      <c r="V1005" s="127" t="n"/>
      <c r="W1005" s="127" t="n"/>
      <c r="X1005" s="127" t="n"/>
      <c r="Y1005" s="127" t="n"/>
      <c r="Z1005" s="140" t="n"/>
    </row>
    <row r="1006">
      <c r="A1006" s="203">
        <f>ROW()-1</f>
        <v/>
      </c>
      <c r="B1006" s="128" t="n"/>
      <c r="C1006" s="263" t="n"/>
      <c r="D1006" s="262" t="n"/>
      <c r="E1006" s="128" t="n"/>
      <c r="F1006" s="138" t="inlineStr">
        <is>
          <t>SPARE</t>
        </is>
      </c>
      <c r="G1006" s="131" t="n"/>
      <c r="H1006" s="128" t="n"/>
      <c r="I1006" s="132" t="inlineStr">
        <is>
          <t>RL7-IPA1-RIO1</t>
        </is>
      </c>
      <c r="J1006" s="133" t="n">
        <v>6</v>
      </c>
      <c r="K1006" s="129" t="n">
        <v>4</v>
      </c>
      <c r="L1006" s="129" t="n">
        <v>11</v>
      </c>
      <c r="M1006" s="129" t="inlineStr">
        <is>
          <t>24 VDC DI</t>
        </is>
      </c>
      <c r="N1006" s="129" t="inlineStr">
        <is>
          <t>5069-IB16</t>
        </is>
      </c>
      <c r="O1006" s="139" t="n"/>
      <c r="P1006" s="127" t="n"/>
      <c r="Q1006" s="127" t="n"/>
      <c r="R1006" s="127" t="n"/>
      <c r="S1006" s="127" t="n"/>
      <c r="T1006" s="127" t="n"/>
      <c r="U1006" s="127" t="n"/>
      <c r="V1006" s="127" t="n"/>
      <c r="W1006" s="127" t="n"/>
      <c r="X1006" s="127" t="n"/>
      <c r="Y1006" s="127" t="n"/>
      <c r="Z1006" s="140" t="n"/>
    </row>
    <row r="1007">
      <c r="A1007" s="203">
        <f>ROW()-1</f>
        <v/>
      </c>
      <c r="B1007" s="128" t="n"/>
      <c r="C1007" s="263" t="n"/>
      <c r="D1007" s="262" t="n"/>
      <c r="E1007" s="128" t="n"/>
      <c r="F1007" s="138" t="inlineStr">
        <is>
          <t>SPARE</t>
        </is>
      </c>
      <c r="G1007" s="131" t="n"/>
      <c r="H1007" s="128" t="n"/>
      <c r="I1007" s="132" t="inlineStr">
        <is>
          <t>RL7-IPA1-RIO1</t>
        </is>
      </c>
      <c r="J1007" s="133" t="n">
        <v>6</v>
      </c>
      <c r="K1007" s="129" t="n">
        <v>4</v>
      </c>
      <c r="L1007" s="129" t="n">
        <v>12</v>
      </c>
      <c r="M1007" s="129" t="inlineStr">
        <is>
          <t>24 VDC DI</t>
        </is>
      </c>
      <c r="N1007" s="129" t="inlineStr">
        <is>
          <t>5069-IB16</t>
        </is>
      </c>
      <c r="O1007" s="139" t="n"/>
      <c r="P1007" s="127" t="n"/>
      <c r="Q1007" s="127" t="n"/>
      <c r="R1007" s="127" t="n"/>
      <c r="S1007" s="127" t="n"/>
      <c r="T1007" s="127" t="n"/>
      <c r="U1007" s="127" t="n"/>
      <c r="V1007" s="127" t="n"/>
      <c r="W1007" s="127" t="n"/>
      <c r="X1007" s="127" t="n"/>
      <c r="Y1007" s="127" t="n"/>
      <c r="Z1007" s="140" t="n"/>
    </row>
    <row r="1008">
      <c r="A1008" s="203">
        <f>ROW()-1</f>
        <v/>
      </c>
      <c r="B1008" s="128" t="n"/>
      <c r="C1008" s="263" t="n"/>
      <c r="D1008" s="262" t="n"/>
      <c r="E1008" s="128" t="n"/>
      <c r="F1008" s="138" t="inlineStr">
        <is>
          <t>SPARE</t>
        </is>
      </c>
      <c r="G1008" s="131" t="n"/>
      <c r="H1008" s="128" t="n"/>
      <c r="I1008" s="132" t="inlineStr">
        <is>
          <t>RL7-IPA1-RIO1</t>
        </is>
      </c>
      <c r="J1008" s="133" t="n">
        <v>6</v>
      </c>
      <c r="K1008" s="129" t="n">
        <v>4</v>
      </c>
      <c r="L1008" s="129" t="n">
        <v>13</v>
      </c>
      <c r="M1008" s="129" t="inlineStr">
        <is>
          <t>24 VDC DI</t>
        </is>
      </c>
      <c r="N1008" s="129" t="inlineStr">
        <is>
          <t>5069-IB16</t>
        </is>
      </c>
      <c r="O1008" s="139" t="n"/>
      <c r="P1008" s="127" t="n"/>
      <c r="Q1008" s="127" t="n"/>
      <c r="R1008" s="127" t="n"/>
      <c r="S1008" s="127" t="n"/>
      <c r="T1008" s="127" t="n"/>
      <c r="U1008" s="127" t="n"/>
      <c r="V1008" s="127" t="n"/>
      <c r="W1008" s="127" t="n"/>
      <c r="X1008" s="127" t="n"/>
      <c r="Y1008" s="127" t="n"/>
      <c r="Z1008" s="140" t="n"/>
    </row>
    <row r="1009">
      <c r="A1009" s="203">
        <f>ROW()-1</f>
        <v/>
      </c>
      <c r="B1009" s="128" t="n"/>
      <c r="C1009" s="263" t="n"/>
      <c r="D1009" s="262" t="n"/>
      <c r="E1009" s="128" t="n"/>
      <c r="F1009" s="138" t="inlineStr">
        <is>
          <t>SPARE</t>
        </is>
      </c>
      <c r="G1009" s="131" t="n"/>
      <c r="H1009" s="128" t="n"/>
      <c r="I1009" s="132" t="inlineStr">
        <is>
          <t>RL7-IPA1-RIO1</t>
        </is>
      </c>
      <c r="J1009" s="133" t="n">
        <v>6</v>
      </c>
      <c r="K1009" s="129" t="n">
        <v>4</v>
      </c>
      <c r="L1009" s="129" t="n">
        <v>14</v>
      </c>
      <c r="M1009" s="129" t="inlineStr">
        <is>
          <t>24 VDC DI</t>
        </is>
      </c>
      <c r="N1009" s="129" t="inlineStr">
        <is>
          <t>5069-IB16</t>
        </is>
      </c>
      <c r="O1009" s="139" t="n"/>
      <c r="P1009" s="127" t="n"/>
      <c r="Q1009" s="127" t="n"/>
      <c r="R1009" s="127" t="n"/>
      <c r="S1009" s="127" t="n"/>
      <c r="T1009" s="127" t="n"/>
      <c r="U1009" s="127" t="n"/>
      <c r="V1009" s="127" t="n"/>
      <c r="W1009" s="127" t="n"/>
      <c r="X1009" s="127" t="n"/>
      <c r="Y1009" s="127" t="n"/>
      <c r="Z1009" s="140" t="n"/>
    </row>
    <row r="1010">
      <c r="A1010" s="203">
        <f>ROW()-1</f>
        <v/>
      </c>
      <c r="B1010" s="128" t="n"/>
      <c r="C1010" s="263" t="n"/>
      <c r="D1010" s="262" t="n"/>
      <c r="E1010" s="128" t="n"/>
      <c r="F1010" s="138" t="inlineStr">
        <is>
          <t>SPARE</t>
        </is>
      </c>
      <c r="G1010" s="131" t="n"/>
      <c r="H1010" s="128" t="n"/>
      <c r="I1010" s="132" t="inlineStr">
        <is>
          <t>RL7-IPA1-RIO1</t>
        </is>
      </c>
      <c r="J1010" s="133" t="n">
        <v>6</v>
      </c>
      <c r="K1010" s="129" t="n">
        <v>4</v>
      </c>
      <c r="L1010" s="129" t="n">
        <v>15</v>
      </c>
      <c r="M1010" s="129" t="inlineStr">
        <is>
          <t>24 VDC DI</t>
        </is>
      </c>
      <c r="N1010" s="129" t="inlineStr">
        <is>
          <t>5069-IB16</t>
        </is>
      </c>
      <c r="O1010" s="139" t="n"/>
      <c r="P1010" s="127" t="n"/>
      <c r="Q1010" s="127" t="n"/>
      <c r="R1010" s="127" t="n"/>
      <c r="S1010" s="127" t="n"/>
      <c r="T1010" s="127" t="n"/>
      <c r="U1010" s="127" t="n"/>
      <c r="V1010" s="127" t="n"/>
      <c r="W1010" s="127" t="n"/>
      <c r="X1010" s="127" t="n"/>
      <c r="Y1010" s="127" t="n"/>
      <c r="Z1010" s="140" t="n"/>
    </row>
    <row r="1011">
      <c r="A1011" s="203">
        <f>ROW()-1</f>
        <v/>
      </c>
      <c r="B1011" s="128" t="n"/>
      <c r="C1011" s="263" t="n"/>
      <c r="D1011" s="262" t="n"/>
      <c r="E1011" s="128" t="n"/>
      <c r="F1011" s="138" t="inlineStr">
        <is>
          <t>ADDRESS RESERVE MODULE</t>
        </is>
      </c>
      <c r="G1011" s="131" t="n"/>
      <c r="H1011" s="128" t="n"/>
      <c r="I1011" s="132" t="inlineStr">
        <is>
          <t>RL7-IPA1-RIO1</t>
        </is>
      </c>
      <c r="J1011" s="133" t="n">
        <v>6</v>
      </c>
      <c r="K1011" s="129" t="n">
        <v>5</v>
      </c>
      <c r="L1011" s="129" t="n">
        <v>0</v>
      </c>
      <c r="M1011" s="129" t="inlineStr">
        <is>
          <t>ARM</t>
        </is>
      </c>
      <c r="N1011" s="129" t="inlineStr">
        <is>
          <t>5069-ARM</t>
        </is>
      </c>
      <c r="O1011" s="139" t="n"/>
      <c r="P1011" s="127" t="n"/>
      <c r="Q1011" s="127" t="n"/>
      <c r="R1011" s="127" t="n"/>
      <c r="S1011" s="127" t="n"/>
      <c r="T1011" s="127" t="n"/>
      <c r="U1011" s="127" t="n"/>
      <c r="V1011" s="127" t="n"/>
      <c r="W1011" s="127" t="n"/>
      <c r="X1011" s="127" t="n"/>
      <c r="Y1011" s="127" t="n"/>
      <c r="Z1011" s="140" t="n"/>
    </row>
    <row r="1012">
      <c r="A1012" s="203">
        <f>ROW()-1</f>
        <v/>
      </c>
      <c r="B1012" s="128" t="inlineStr">
        <is>
          <t>RL7-CNV-114-ZSC-04</t>
        </is>
      </c>
      <c r="C1012" s="263" t="n"/>
      <c r="D1012" s="262" t="n"/>
      <c r="E1012" s="128" t="n"/>
      <c r="F1012" s="144" t="n"/>
      <c r="G1012" s="131" t="n"/>
      <c r="H1012" s="128" t="n"/>
      <c r="I1012" s="132" t="inlineStr">
        <is>
          <t>RL7-IPA1-RIO1</t>
        </is>
      </c>
      <c r="J1012" s="133" t="n">
        <v>6</v>
      </c>
      <c r="K1012" s="129" t="n">
        <v>6</v>
      </c>
      <c r="L1012" s="129" t="n">
        <v>4</v>
      </c>
      <c r="M1012" s="129" t="inlineStr">
        <is>
          <t>24 VDC DO</t>
        </is>
      </c>
      <c r="N1012" s="129" t="inlineStr">
        <is>
          <t>5069-IB16</t>
        </is>
      </c>
      <c r="O1012" s="139" t="n"/>
      <c r="P1012" s="127" t="n"/>
      <c r="Q1012" s="127" t="n"/>
      <c r="R1012" s="127" t="n"/>
      <c r="S1012" s="127" t="n"/>
      <c r="T1012" s="127" t="n"/>
      <c r="U1012" s="127" t="n"/>
      <c r="V1012" s="127" t="n"/>
      <c r="W1012" s="127" t="n"/>
      <c r="X1012" s="127" t="n"/>
      <c r="Y1012" s="127" t="n"/>
      <c r="Z1012" s="140" t="n"/>
    </row>
    <row r="1013">
      <c r="A1013" s="203">
        <f>ROW()-1</f>
        <v/>
      </c>
      <c r="B1013" s="128" t="inlineStr">
        <is>
          <t>RL7-CNV-114-ZSC-03</t>
        </is>
      </c>
      <c r="C1013" s="263" t="n"/>
      <c r="D1013" s="262" t="n"/>
      <c r="E1013" s="128" t="n"/>
      <c r="F1013" s="144" t="n"/>
      <c r="G1013" s="131" t="n"/>
      <c r="H1013" s="128" t="n"/>
      <c r="I1013" s="132" t="inlineStr">
        <is>
          <t>RL7-IPA1-RIO1</t>
        </is>
      </c>
      <c r="J1013" s="133" t="n">
        <v>6</v>
      </c>
      <c r="K1013" s="129" t="n">
        <v>6</v>
      </c>
      <c r="L1013" s="129" t="n">
        <v>5</v>
      </c>
      <c r="M1013" s="129" t="inlineStr">
        <is>
          <t>24 VDC DO</t>
        </is>
      </c>
      <c r="N1013" s="129" t="inlineStr">
        <is>
          <t>5069-IB16</t>
        </is>
      </c>
      <c r="O1013" s="139" t="n"/>
      <c r="P1013" s="127" t="n"/>
      <c r="Q1013" s="127" t="n"/>
      <c r="R1013" s="127" t="n"/>
      <c r="S1013" s="127" t="n"/>
      <c r="T1013" s="127" t="n"/>
      <c r="U1013" s="127" t="n"/>
      <c r="V1013" s="127" t="n"/>
      <c r="W1013" s="127" t="n"/>
      <c r="X1013" s="127" t="n"/>
      <c r="Y1013" s="127" t="n"/>
      <c r="Z1013" s="140" t="n"/>
    </row>
    <row r="1014">
      <c r="A1014" s="203">
        <f>ROW()-1</f>
        <v/>
      </c>
      <c r="B1014" s="128" t="inlineStr">
        <is>
          <t>RL7-BIN-103-ZSO-01</t>
        </is>
      </c>
      <c r="C1014" s="263" t="n"/>
      <c r="D1014" s="262" t="n"/>
      <c r="E1014" s="128" t="n"/>
      <c r="F1014" s="138" t="n"/>
      <c r="G1014" s="131" t="n"/>
      <c r="H1014" s="128" t="n"/>
      <c r="I1014" s="132" t="inlineStr">
        <is>
          <t>RL7-IPA1-RIO1</t>
        </is>
      </c>
      <c r="J1014" s="133" t="n">
        <v>6</v>
      </c>
      <c r="K1014" s="129" t="n">
        <v>6</v>
      </c>
      <c r="L1014" s="129" t="n">
        <v>6</v>
      </c>
      <c r="M1014" s="129" t="inlineStr">
        <is>
          <t>24 VDC DO</t>
        </is>
      </c>
      <c r="N1014" s="129" t="inlineStr">
        <is>
          <t>5069-IB16</t>
        </is>
      </c>
      <c r="O1014" s="139" t="n"/>
      <c r="P1014" s="127" t="n"/>
      <c r="Q1014" s="127" t="n"/>
      <c r="R1014" s="127" t="n"/>
      <c r="S1014" s="127" t="n"/>
      <c r="T1014" s="127" t="n"/>
      <c r="U1014" s="127" t="n"/>
      <c r="V1014" s="127" t="n"/>
      <c r="W1014" s="127" t="n"/>
      <c r="X1014" s="127" t="n"/>
      <c r="Y1014" s="127" t="n"/>
      <c r="Z1014" s="140" t="n"/>
    </row>
    <row r="1015">
      <c r="A1015" s="203">
        <f>ROW()-1</f>
        <v/>
      </c>
      <c r="B1015" s="128" t="inlineStr">
        <is>
          <t>RL7-BIN-103-ZSC-01</t>
        </is>
      </c>
      <c r="C1015" s="263" t="n"/>
      <c r="D1015" s="262" t="n"/>
      <c r="E1015" s="128" t="n"/>
      <c r="F1015" s="138" t="inlineStr">
        <is>
          <t>SPARE</t>
        </is>
      </c>
      <c r="G1015" s="131" t="n"/>
      <c r="H1015" s="128" t="n"/>
      <c r="I1015" s="132" t="inlineStr">
        <is>
          <t>RL7-IPA1-RIO1</t>
        </is>
      </c>
      <c r="J1015" s="133" t="n">
        <v>6</v>
      </c>
      <c r="K1015" s="129" t="n">
        <v>6</v>
      </c>
      <c r="L1015" s="129" t="n">
        <v>7</v>
      </c>
      <c r="M1015" s="129" t="inlineStr">
        <is>
          <t>24 VDC DO</t>
        </is>
      </c>
      <c r="N1015" s="129" t="inlineStr">
        <is>
          <t>5069-IB16</t>
        </is>
      </c>
      <c r="O1015" s="139" t="n"/>
      <c r="P1015" s="127" t="n"/>
      <c r="Q1015" s="127" t="n"/>
      <c r="R1015" s="127" t="n"/>
      <c r="S1015" s="127" t="n"/>
      <c r="T1015" s="127" t="n"/>
      <c r="U1015" s="127" t="n"/>
      <c r="V1015" s="127" t="n"/>
      <c r="W1015" s="127" t="n"/>
      <c r="X1015" s="127" t="n"/>
      <c r="Y1015" s="127" t="n"/>
      <c r="Z1015" s="140" t="n"/>
    </row>
    <row r="1016">
      <c r="A1016" s="203">
        <f>ROW()-1</f>
        <v/>
      </c>
      <c r="B1016" s="128" t="n"/>
      <c r="C1016" s="263" t="n"/>
      <c r="D1016" s="262" t="n"/>
      <c r="E1016" s="128" t="n"/>
      <c r="F1016" s="138" t="inlineStr">
        <is>
          <t>SPARE</t>
        </is>
      </c>
      <c r="G1016" s="131" t="n"/>
      <c r="H1016" s="128" t="n"/>
      <c r="I1016" s="132" t="inlineStr">
        <is>
          <t>RL7-IPA1-RIO1</t>
        </is>
      </c>
      <c r="J1016" s="133" t="n">
        <v>6</v>
      </c>
      <c r="K1016" s="129" t="n">
        <v>6</v>
      </c>
      <c r="L1016" s="129" t="n">
        <v>8</v>
      </c>
      <c r="M1016" s="129" t="inlineStr">
        <is>
          <t>24 VDC DO</t>
        </is>
      </c>
      <c r="N1016" s="129" t="inlineStr">
        <is>
          <t>5069-IB16</t>
        </is>
      </c>
      <c r="O1016" s="139" t="n"/>
      <c r="P1016" s="127" t="n"/>
      <c r="Q1016" s="127" t="n"/>
      <c r="R1016" s="127" t="n"/>
      <c r="S1016" s="127" t="n"/>
      <c r="T1016" s="127" t="n"/>
      <c r="U1016" s="127" t="n"/>
      <c r="V1016" s="127" t="n"/>
      <c r="W1016" s="127" t="n"/>
      <c r="X1016" s="127" t="n"/>
      <c r="Y1016" s="127" t="n"/>
      <c r="Z1016" s="140" t="n"/>
    </row>
    <row r="1017">
      <c r="A1017" s="203">
        <f>ROW()-1</f>
        <v/>
      </c>
      <c r="B1017" s="128" t="inlineStr">
        <is>
          <t>RL7-BIN-104-ZSO-01</t>
        </is>
      </c>
      <c r="C1017" s="263" t="n"/>
      <c r="D1017" s="262" t="n"/>
      <c r="E1017" s="128" t="n"/>
      <c r="F1017" s="138" t="inlineStr">
        <is>
          <t>SPARE</t>
        </is>
      </c>
      <c r="G1017" s="131" t="n"/>
      <c r="H1017" s="128" t="n"/>
      <c r="I1017" s="132" t="inlineStr">
        <is>
          <t>RL7-IPA1-RIO1</t>
        </is>
      </c>
      <c r="J1017" s="133" t="n">
        <v>6</v>
      </c>
      <c r="K1017" s="129" t="n">
        <v>6</v>
      </c>
      <c r="L1017" s="129" t="n">
        <v>9</v>
      </c>
      <c r="M1017" s="129" t="inlineStr">
        <is>
          <t>24 VDC DO</t>
        </is>
      </c>
      <c r="N1017" s="129" t="inlineStr">
        <is>
          <t>5069-IB16</t>
        </is>
      </c>
      <c r="O1017" s="139" t="n"/>
      <c r="P1017" s="127" t="n"/>
      <c r="Q1017" s="127" t="n"/>
      <c r="R1017" s="127" t="n"/>
      <c r="S1017" s="127" t="n"/>
      <c r="T1017" s="127" t="n"/>
      <c r="U1017" s="127" t="n"/>
      <c r="V1017" s="127" t="n"/>
      <c r="W1017" s="127" t="n"/>
      <c r="X1017" s="127" t="n"/>
      <c r="Y1017" s="127" t="n"/>
      <c r="Z1017" s="140" t="n"/>
    </row>
    <row r="1018">
      <c r="A1018" s="203">
        <f>ROW()-1</f>
        <v/>
      </c>
      <c r="B1018" s="128" t="inlineStr">
        <is>
          <t>RL7-BIN-104-ZSC-01</t>
        </is>
      </c>
      <c r="C1018" s="263" t="n"/>
      <c r="D1018" s="262" t="n"/>
      <c r="E1018" s="128" t="n"/>
      <c r="F1018" s="138" t="inlineStr">
        <is>
          <t>SPARE</t>
        </is>
      </c>
      <c r="G1018" s="131" t="n"/>
      <c r="H1018" s="128" t="n"/>
      <c r="I1018" s="132" t="inlineStr">
        <is>
          <t>RL7-IPA1-RIO1</t>
        </is>
      </c>
      <c r="J1018" s="133" t="n">
        <v>6</v>
      </c>
      <c r="K1018" s="129" t="n">
        <v>6</v>
      </c>
      <c r="L1018" s="129" t="n">
        <v>10</v>
      </c>
      <c r="M1018" s="129" t="inlineStr">
        <is>
          <t>24 VDC DO</t>
        </is>
      </c>
      <c r="N1018" s="129" t="inlineStr">
        <is>
          <t>5069-IB16</t>
        </is>
      </c>
      <c r="O1018" s="139" t="n"/>
      <c r="P1018" s="127" t="n"/>
      <c r="Q1018" s="127" t="n"/>
      <c r="R1018" s="127" t="n"/>
      <c r="S1018" s="127" t="n"/>
      <c r="T1018" s="127" t="n"/>
      <c r="U1018" s="127" t="n"/>
      <c r="V1018" s="127" t="n"/>
      <c r="W1018" s="127" t="n"/>
      <c r="X1018" s="127" t="n"/>
      <c r="Y1018" s="127" t="n"/>
      <c r="Z1018" s="140" t="n"/>
    </row>
    <row r="1019">
      <c r="A1019" s="203">
        <f>ROW()-1</f>
        <v/>
      </c>
      <c r="B1019" s="128" t="inlineStr">
        <is>
          <t>RL7-CNV-113-ZSO-01</t>
        </is>
      </c>
      <c r="C1019" s="263" t="n"/>
      <c r="D1019" s="262" t="n"/>
      <c r="E1019" s="128" t="n"/>
      <c r="F1019" s="138" t="inlineStr">
        <is>
          <t>SPARE</t>
        </is>
      </c>
      <c r="G1019" s="131" t="n"/>
      <c r="H1019" s="128" t="n"/>
      <c r="I1019" s="132" t="inlineStr">
        <is>
          <t>RL7-IPA1-RIO1</t>
        </is>
      </c>
      <c r="J1019" s="133" t="n">
        <v>6</v>
      </c>
      <c r="K1019" s="129" t="n">
        <v>6</v>
      </c>
      <c r="L1019" s="129" t="n">
        <v>11</v>
      </c>
      <c r="M1019" s="129" t="inlineStr">
        <is>
          <t>24 VDC DO</t>
        </is>
      </c>
      <c r="N1019" s="129" t="inlineStr">
        <is>
          <t>5069-IB16</t>
        </is>
      </c>
      <c r="O1019" s="139" t="n"/>
      <c r="P1019" s="127" t="n"/>
      <c r="Q1019" s="127" t="n"/>
      <c r="R1019" s="127" t="n"/>
      <c r="S1019" s="127" t="n"/>
      <c r="T1019" s="127" t="n"/>
      <c r="U1019" s="127" t="n"/>
      <c r="V1019" s="127" t="n"/>
      <c r="W1019" s="127" t="n"/>
      <c r="X1019" s="127" t="n"/>
      <c r="Y1019" s="127" t="n"/>
      <c r="Z1019" s="140" t="n"/>
    </row>
    <row r="1020">
      <c r="A1020" s="203">
        <f>ROW()-1</f>
        <v/>
      </c>
      <c r="B1020" s="128" t="inlineStr">
        <is>
          <t>RL7-CNV-113-ZSC-01</t>
        </is>
      </c>
      <c r="C1020" s="263" t="n"/>
      <c r="D1020" s="262" t="n"/>
      <c r="E1020" s="128" t="n"/>
      <c r="F1020" s="138" t="inlineStr">
        <is>
          <t>SPARE</t>
        </is>
      </c>
      <c r="G1020" s="131" t="n"/>
      <c r="H1020" s="128" t="n"/>
      <c r="I1020" s="132" t="inlineStr">
        <is>
          <t>RL7-IPA1-RIO1</t>
        </is>
      </c>
      <c r="J1020" s="133" t="n">
        <v>6</v>
      </c>
      <c r="K1020" s="129" t="n">
        <v>6</v>
      </c>
      <c r="L1020" s="129" t="n">
        <v>12</v>
      </c>
      <c r="M1020" s="129" t="inlineStr">
        <is>
          <t>24 VDC DO</t>
        </is>
      </c>
      <c r="N1020" s="129" t="inlineStr">
        <is>
          <t>5069-IB16</t>
        </is>
      </c>
      <c r="O1020" s="139" t="n"/>
      <c r="P1020" s="127" t="n"/>
      <c r="Q1020" s="127" t="n"/>
      <c r="R1020" s="127" t="n"/>
      <c r="S1020" s="127" t="n"/>
      <c r="T1020" s="127" t="n"/>
      <c r="U1020" s="127" t="n"/>
      <c r="V1020" s="127" t="n"/>
      <c r="W1020" s="127" t="n"/>
      <c r="X1020" s="127" t="n"/>
      <c r="Y1020" s="127" t="n"/>
      <c r="Z1020" s="140" t="n"/>
    </row>
    <row r="1021">
      <c r="A1021" s="203">
        <f>ROW()-1</f>
        <v/>
      </c>
      <c r="B1021" s="128" t="inlineStr">
        <is>
          <t>RL7-CNV-114-ZSO-08</t>
        </is>
      </c>
      <c r="C1021" s="263" t="n"/>
      <c r="D1021" s="262" t="n"/>
      <c r="E1021" s="128" t="n"/>
      <c r="F1021" s="138" t="inlineStr">
        <is>
          <t>SPARE</t>
        </is>
      </c>
      <c r="G1021" s="131" t="n"/>
      <c r="H1021" s="128" t="n"/>
      <c r="I1021" s="132" t="inlineStr">
        <is>
          <t>RL7-IPA1-RIO1</t>
        </is>
      </c>
      <c r="J1021" s="133" t="n">
        <v>6</v>
      </c>
      <c r="K1021" s="129" t="n">
        <v>6</v>
      </c>
      <c r="L1021" s="129" t="n">
        <v>13</v>
      </c>
      <c r="M1021" s="129" t="inlineStr">
        <is>
          <t>24 VDC DO</t>
        </is>
      </c>
      <c r="N1021" s="129" t="inlineStr">
        <is>
          <t>5069-IB16</t>
        </is>
      </c>
      <c r="O1021" s="139" t="n"/>
      <c r="P1021" s="127" t="n"/>
      <c r="Q1021" s="127" t="n"/>
      <c r="R1021" s="127" t="n"/>
      <c r="S1021" s="127" t="n"/>
      <c r="T1021" s="127" t="n"/>
      <c r="U1021" s="127" t="n"/>
      <c r="V1021" s="127" t="n"/>
      <c r="W1021" s="127" t="n"/>
      <c r="X1021" s="127" t="n"/>
      <c r="Y1021" s="127" t="n"/>
      <c r="Z1021" s="140" t="n"/>
    </row>
    <row r="1022">
      <c r="A1022" s="203">
        <f>ROW()-1</f>
        <v/>
      </c>
      <c r="B1022" s="128" t="inlineStr">
        <is>
          <t>RL7-CNV-114-ZSC-08</t>
        </is>
      </c>
      <c r="C1022" s="263" t="n"/>
      <c r="D1022" s="262" t="n"/>
      <c r="E1022" s="128" t="n"/>
      <c r="F1022" s="138" t="inlineStr">
        <is>
          <t>SPARE</t>
        </is>
      </c>
      <c r="G1022" s="131" t="n"/>
      <c r="H1022" s="128" t="n"/>
      <c r="I1022" s="132" t="inlineStr">
        <is>
          <t>RL7-IPA1-RIO1</t>
        </is>
      </c>
      <c r="J1022" s="133" t="n">
        <v>6</v>
      </c>
      <c r="K1022" s="129" t="n">
        <v>6</v>
      </c>
      <c r="L1022" s="129" t="n">
        <v>14</v>
      </c>
      <c r="M1022" s="129" t="inlineStr">
        <is>
          <t>24 VDC DO</t>
        </is>
      </c>
      <c r="N1022" s="129" t="inlineStr">
        <is>
          <t>5069-IB16</t>
        </is>
      </c>
      <c r="O1022" s="139" t="n"/>
      <c r="P1022" s="127" t="n"/>
      <c r="Q1022" s="127" t="n"/>
      <c r="R1022" s="127" t="n"/>
      <c r="S1022" s="127" t="n"/>
      <c r="T1022" s="127" t="n"/>
      <c r="U1022" s="127" t="n"/>
      <c r="V1022" s="127" t="n"/>
      <c r="W1022" s="127" t="n"/>
      <c r="X1022" s="127" t="n"/>
      <c r="Y1022" s="127" t="n"/>
      <c r="Z1022" s="140" t="n"/>
    </row>
    <row r="1023">
      <c r="A1023" s="203">
        <f>ROW()-1</f>
        <v/>
      </c>
      <c r="B1023" s="128" t="n"/>
      <c r="C1023" s="263" t="n"/>
      <c r="D1023" s="262" t="n"/>
      <c r="E1023" s="128" t="n"/>
      <c r="F1023" s="138" t="inlineStr">
        <is>
          <t>SPARE</t>
        </is>
      </c>
      <c r="G1023" s="131" t="n"/>
      <c r="H1023" s="128" t="n"/>
      <c r="I1023" s="132" t="inlineStr">
        <is>
          <t>RL7-IPA1-RIO1</t>
        </is>
      </c>
      <c r="J1023" s="133" t="n">
        <v>6</v>
      </c>
      <c r="K1023" s="129" t="n">
        <v>6</v>
      </c>
      <c r="L1023" s="129" t="n">
        <v>15</v>
      </c>
      <c r="M1023" s="129" t="inlineStr">
        <is>
          <t>24 VDC DO</t>
        </is>
      </c>
      <c r="N1023" s="129" t="inlineStr">
        <is>
          <t>5069-IB16</t>
        </is>
      </c>
      <c r="O1023" s="139" t="n"/>
      <c r="P1023" s="127" t="n"/>
      <c r="Q1023" s="127" t="n"/>
      <c r="R1023" s="127" t="n"/>
      <c r="S1023" s="127" t="n"/>
      <c r="T1023" s="127" t="n"/>
      <c r="U1023" s="127" t="n"/>
      <c r="V1023" s="127" t="n"/>
      <c r="W1023" s="127" t="n"/>
      <c r="X1023" s="127" t="n"/>
      <c r="Y1023" s="127" t="n"/>
      <c r="Z1023" s="140" t="n"/>
    </row>
    <row r="1024">
      <c r="A1024" s="203">
        <f>ROW()-1</f>
        <v/>
      </c>
      <c r="B1024" s="133" t="n"/>
      <c r="C1024" s="263" t="n"/>
      <c r="D1024" s="264" t="n"/>
      <c r="E1024" s="133" t="n"/>
      <c r="F1024" s="141" t="inlineStr">
        <is>
          <t>SPARE</t>
        </is>
      </c>
      <c r="G1024" s="129" t="n"/>
      <c r="H1024" s="133" t="n"/>
      <c r="I1024" s="142" t="inlineStr">
        <is>
          <t>RL7-IPA2-RIO1</t>
        </is>
      </c>
      <c r="J1024" s="133" t="n">
        <v>7</v>
      </c>
      <c r="K1024" s="129" t="n">
        <v>2</v>
      </c>
      <c r="L1024" s="129" t="n">
        <v>6</v>
      </c>
      <c r="M1024" s="129" t="inlineStr">
        <is>
          <t>24 VDC SI</t>
        </is>
      </c>
      <c r="N1024" s="129" t="inlineStr">
        <is>
          <t>5069-IB8S</t>
        </is>
      </c>
      <c r="O1024" s="146" t="n"/>
      <c r="P1024" s="146" t="n"/>
      <c r="Q1024" s="146" t="n"/>
      <c r="R1024" s="146" t="n"/>
      <c r="S1024" s="146" t="n"/>
      <c r="T1024" s="146" t="n"/>
      <c r="U1024" s="146" t="n"/>
      <c r="V1024" s="146" t="n"/>
      <c r="W1024" s="146" t="n"/>
      <c r="X1024" s="146" t="n"/>
      <c r="Y1024" s="146" t="n"/>
      <c r="Z1024" s="143" t="n"/>
    </row>
    <row r="1025">
      <c r="A1025" s="203">
        <f>ROW()-1</f>
        <v/>
      </c>
      <c r="B1025" s="133" t="n"/>
      <c r="C1025" s="263" t="n"/>
      <c r="D1025" s="264" t="n"/>
      <c r="E1025" s="133" t="n"/>
      <c r="F1025" s="141" t="inlineStr">
        <is>
          <t>SPARE</t>
        </is>
      </c>
      <c r="G1025" s="129" t="n"/>
      <c r="H1025" s="133" t="n"/>
      <c r="I1025" s="142" t="inlineStr">
        <is>
          <t>RL7-IPA2-RIO1</t>
        </is>
      </c>
      <c r="J1025" s="133" t="n">
        <v>7</v>
      </c>
      <c r="K1025" s="129" t="n">
        <v>2</v>
      </c>
      <c r="L1025" s="129" t="n">
        <v>7</v>
      </c>
      <c r="M1025" s="129" t="inlineStr">
        <is>
          <t>24 VDC SI</t>
        </is>
      </c>
      <c r="N1025" s="129" t="inlineStr">
        <is>
          <t>5069-IB8S</t>
        </is>
      </c>
      <c r="O1025" s="146" t="n"/>
      <c r="P1025" s="146" t="n"/>
      <c r="Q1025" s="146" t="n"/>
      <c r="R1025" s="146" t="n"/>
      <c r="S1025" s="146" t="n"/>
      <c r="T1025" s="146" t="n"/>
      <c r="U1025" s="146" t="n"/>
      <c r="V1025" s="146" t="n"/>
      <c r="W1025" s="146" t="n"/>
      <c r="X1025" s="146" t="n"/>
      <c r="Y1025" s="146" t="n"/>
      <c r="Z1025" s="143" t="n"/>
    </row>
    <row r="1026">
      <c r="A1026" s="203">
        <f>ROW()-1</f>
        <v/>
      </c>
      <c r="B1026" s="133" t="n"/>
      <c r="C1026" s="263" t="n"/>
      <c r="D1026" s="264" t="n"/>
      <c r="E1026" s="133" t="n"/>
      <c r="F1026" s="141" t="inlineStr">
        <is>
          <t>SPARE</t>
        </is>
      </c>
      <c r="G1026" s="129" t="n"/>
      <c r="H1026" s="133" t="n"/>
      <c r="I1026" s="142" t="inlineStr">
        <is>
          <t>RL7-IPA2-RIO1</t>
        </is>
      </c>
      <c r="J1026" s="133" t="n">
        <v>7</v>
      </c>
      <c r="K1026" s="129" t="n">
        <v>4</v>
      </c>
      <c r="L1026" s="129" t="n">
        <v>0</v>
      </c>
      <c r="M1026" s="129" t="inlineStr">
        <is>
          <t>24 VDC SI</t>
        </is>
      </c>
      <c r="N1026" s="129" t="inlineStr">
        <is>
          <t>5069-IB8S</t>
        </is>
      </c>
      <c r="O1026" s="146" t="n"/>
      <c r="P1026" s="146" t="n"/>
      <c r="Q1026" s="146" t="n"/>
      <c r="R1026" s="146" t="n"/>
      <c r="S1026" s="146" t="n"/>
      <c r="T1026" s="146" t="n"/>
      <c r="U1026" s="146" t="n"/>
      <c r="V1026" s="146" t="n"/>
      <c r="W1026" s="146" t="n"/>
      <c r="X1026" s="146" t="n"/>
      <c r="Y1026" s="146" t="n"/>
      <c r="Z1026" s="143" t="n"/>
    </row>
    <row r="1027">
      <c r="A1027" s="203">
        <f>ROW()-1</f>
        <v/>
      </c>
      <c r="B1027" s="133" t="n"/>
      <c r="C1027" s="263" t="n"/>
      <c r="D1027" s="264" t="n"/>
      <c r="E1027" s="133" t="n"/>
      <c r="F1027" s="141" t="inlineStr">
        <is>
          <t>SPARE</t>
        </is>
      </c>
      <c r="G1027" s="129" t="n"/>
      <c r="H1027" s="133" t="n"/>
      <c r="I1027" s="142" t="inlineStr">
        <is>
          <t>RL7-IPA2-RIO1</t>
        </is>
      </c>
      <c r="J1027" s="133" t="n">
        <v>7</v>
      </c>
      <c r="K1027" s="129" t="n">
        <v>4</v>
      </c>
      <c r="L1027" s="129" t="n">
        <v>1</v>
      </c>
      <c r="M1027" s="129" t="inlineStr">
        <is>
          <t>24 VDC SI</t>
        </is>
      </c>
      <c r="N1027" s="129" t="inlineStr">
        <is>
          <t>5069-IB8S</t>
        </is>
      </c>
      <c r="O1027" s="146" t="n"/>
      <c r="P1027" s="146" t="n"/>
      <c r="Q1027" s="146" t="n"/>
      <c r="R1027" s="146" t="n"/>
      <c r="S1027" s="146" t="n"/>
      <c r="T1027" s="146" t="n"/>
      <c r="U1027" s="146" t="n"/>
      <c r="V1027" s="146" t="n"/>
      <c r="W1027" s="146" t="n"/>
      <c r="X1027" s="146" t="n"/>
      <c r="Y1027" s="146" t="n"/>
      <c r="Z1027" s="143" t="n"/>
    </row>
    <row r="1028">
      <c r="A1028" s="203">
        <f>ROW()-1</f>
        <v/>
      </c>
      <c r="B1028" s="133" t="n"/>
      <c r="C1028" s="263" t="n"/>
      <c r="D1028" s="264" t="n"/>
      <c r="E1028" s="133" t="n"/>
      <c r="F1028" s="141" t="inlineStr">
        <is>
          <t>SPARE</t>
        </is>
      </c>
      <c r="G1028" s="129" t="n"/>
      <c r="H1028" s="133" t="n"/>
      <c r="I1028" s="142" t="inlineStr">
        <is>
          <t>RL7-IPA2-RIO1</t>
        </is>
      </c>
      <c r="J1028" s="133" t="n">
        <v>7</v>
      </c>
      <c r="K1028" s="129" t="n">
        <v>4</v>
      </c>
      <c r="L1028" s="129" t="n">
        <v>2</v>
      </c>
      <c r="M1028" s="129" t="inlineStr">
        <is>
          <t>24 VDC SI</t>
        </is>
      </c>
      <c r="N1028" s="129" t="inlineStr">
        <is>
          <t>5069-IB8S</t>
        </is>
      </c>
      <c r="O1028" s="146" t="n"/>
      <c r="P1028" s="146" t="n"/>
      <c r="Q1028" s="146" t="n"/>
      <c r="R1028" s="146" t="n"/>
      <c r="S1028" s="146" t="n"/>
      <c r="T1028" s="146" t="n"/>
      <c r="U1028" s="146" t="n"/>
      <c r="V1028" s="146" t="n"/>
      <c r="W1028" s="146" t="n"/>
      <c r="X1028" s="146" t="n"/>
      <c r="Y1028" s="146" t="n"/>
      <c r="Z1028" s="143" t="n"/>
    </row>
    <row r="1029">
      <c r="A1029" s="203">
        <f>ROW()-1</f>
        <v/>
      </c>
      <c r="B1029" s="133" t="n"/>
      <c r="C1029" s="263" t="n"/>
      <c r="D1029" s="264" t="n"/>
      <c r="E1029" s="133" t="n"/>
      <c r="F1029" s="141" t="inlineStr">
        <is>
          <t>SPARE</t>
        </is>
      </c>
      <c r="G1029" s="129" t="n"/>
      <c r="H1029" s="133" t="n"/>
      <c r="I1029" s="142" t="inlineStr">
        <is>
          <t>RL7-IPA2-RIO1</t>
        </is>
      </c>
      <c r="J1029" s="133" t="n">
        <v>7</v>
      </c>
      <c r="K1029" s="129" t="n">
        <v>4</v>
      </c>
      <c r="L1029" s="129" t="n">
        <v>3</v>
      </c>
      <c r="M1029" s="129" t="inlineStr">
        <is>
          <t>24 VDC SI</t>
        </is>
      </c>
      <c r="N1029" s="129" t="inlineStr">
        <is>
          <t>5069-IB8S</t>
        </is>
      </c>
      <c r="O1029" s="146" t="n"/>
      <c r="P1029" s="146" t="n"/>
      <c r="Q1029" s="146" t="n"/>
      <c r="R1029" s="146" t="n"/>
      <c r="S1029" s="146" t="n"/>
      <c r="T1029" s="146" t="n"/>
      <c r="U1029" s="146" t="n"/>
      <c r="V1029" s="146" t="n"/>
      <c r="W1029" s="146" t="n"/>
      <c r="X1029" s="146" t="n"/>
      <c r="Y1029" s="146" t="n"/>
      <c r="Z1029" s="143" t="n"/>
    </row>
    <row r="1030">
      <c r="A1030" s="203">
        <f>ROW()-1</f>
        <v/>
      </c>
      <c r="B1030" s="133" t="n"/>
      <c r="C1030" s="263" t="n"/>
      <c r="D1030" s="264" t="n"/>
      <c r="E1030" s="133" t="n"/>
      <c r="F1030" s="141" t="inlineStr">
        <is>
          <t>SPARE</t>
        </is>
      </c>
      <c r="G1030" s="129" t="n"/>
      <c r="H1030" s="133" t="n"/>
      <c r="I1030" s="142" t="inlineStr">
        <is>
          <t>RL7-IPA2-RIO1</t>
        </is>
      </c>
      <c r="J1030" s="133" t="n">
        <v>7</v>
      </c>
      <c r="K1030" s="129" t="n">
        <v>4</v>
      </c>
      <c r="L1030" s="129" t="n">
        <v>4</v>
      </c>
      <c r="M1030" s="129" t="inlineStr">
        <is>
          <t>24 VDC SI</t>
        </is>
      </c>
      <c r="N1030" s="129" t="inlineStr">
        <is>
          <t>5069-IB8S</t>
        </is>
      </c>
      <c r="O1030" s="146" t="n"/>
      <c r="P1030" s="146" t="n"/>
      <c r="Q1030" s="146" t="n"/>
      <c r="R1030" s="146" t="n"/>
      <c r="S1030" s="146" t="n"/>
      <c r="T1030" s="146" t="n"/>
      <c r="U1030" s="146" t="n"/>
      <c r="V1030" s="146" t="n"/>
      <c r="W1030" s="146" t="n"/>
      <c r="X1030" s="146" t="n"/>
      <c r="Y1030" s="146" t="n"/>
      <c r="Z1030" s="143" t="n"/>
    </row>
    <row r="1031">
      <c r="A1031" s="203">
        <f>ROW()-1</f>
        <v/>
      </c>
      <c r="B1031" s="133" t="n"/>
      <c r="C1031" s="263" t="n"/>
      <c r="D1031" s="264" t="n"/>
      <c r="E1031" s="133" t="n"/>
      <c r="F1031" s="141" t="inlineStr">
        <is>
          <t>SPARE</t>
        </is>
      </c>
      <c r="G1031" s="129" t="n"/>
      <c r="H1031" s="133" t="n"/>
      <c r="I1031" s="142" t="inlineStr">
        <is>
          <t>RL7-IPA2-RIO1</t>
        </is>
      </c>
      <c r="J1031" s="133" t="n">
        <v>7</v>
      </c>
      <c r="K1031" s="129" t="n">
        <v>4</v>
      </c>
      <c r="L1031" s="129" t="n">
        <v>5</v>
      </c>
      <c r="M1031" s="129" t="inlineStr">
        <is>
          <t>24 VDC SI</t>
        </is>
      </c>
      <c r="N1031" s="129" t="inlineStr">
        <is>
          <t>5069-IB8S</t>
        </is>
      </c>
      <c r="O1031" s="146" t="n"/>
      <c r="P1031" s="146" t="n"/>
      <c r="Q1031" s="146" t="n"/>
      <c r="R1031" s="146" t="n"/>
      <c r="S1031" s="146" t="n"/>
      <c r="T1031" s="146" t="n"/>
      <c r="U1031" s="146" t="n"/>
      <c r="V1031" s="146" t="n"/>
      <c r="W1031" s="146" t="n"/>
      <c r="X1031" s="146" t="n"/>
      <c r="Y1031" s="146" t="n"/>
      <c r="Z1031" s="143" t="n"/>
    </row>
    <row r="1032">
      <c r="A1032" s="203">
        <f>ROW()-1</f>
        <v/>
      </c>
      <c r="B1032" s="133" t="n"/>
      <c r="C1032" s="263" t="n"/>
      <c r="D1032" s="264" t="n"/>
      <c r="E1032" s="133" t="n"/>
      <c r="F1032" s="141" t="inlineStr">
        <is>
          <t>SPARE</t>
        </is>
      </c>
      <c r="G1032" s="129" t="n"/>
      <c r="H1032" s="133" t="n"/>
      <c r="I1032" s="142" t="inlineStr">
        <is>
          <t>RL7-IPA2-RIO1</t>
        </is>
      </c>
      <c r="J1032" s="133" t="n">
        <v>7</v>
      </c>
      <c r="K1032" s="129" t="n">
        <v>4</v>
      </c>
      <c r="L1032" s="129" t="n">
        <v>6</v>
      </c>
      <c r="M1032" s="129" t="inlineStr">
        <is>
          <t>24 VDC SI</t>
        </is>
      </c>
      <c r="N1032" s="129" t="inlineStr">
        <is>
          <t>5069-IB8S</t>
        </is>
      </c>
      <c r="O1032" s="146" t="n"/>
      <c r="P1032" s="146" t="n"/>
      <c r="Q1032" s="146" t="n"/>
      <c r="R1032" s="146" t="n"/>
      <c r="S1032" s="146" t="n"/>
      <c r="T1032" s="146" t="n"/>
      <c r="U1032" s="146" t="n"/>
      <c r="V1032" s="146" t="n"/>
      <c r="W1032" s="146" t="n"/>
      <c r="X1032" s="146" t="n"/>
      <c r="Y1032" s="146" t="n"/>
      <c r="Z1032" s="143" t="n"/>
    </row>
    <row r="1033">
      <c r="A1033" s="203">
        <f>ROW()-1</f>
        <v/>
      </c>
      <c r="B1033" s="133" t="n"/>
      <c r="C1033" s="263" t="n"/>
      <c r="D1033" s="264" t="n"/>
      <c r="E1033" s="133" t="n"/>
      <c r="F1033" s="141" t="inlineStr">
        <is>
          <t>SPARE</t>
        </is>
      </c>
      <c r="G1033" s="129" t="n"/>
      <c r="H1033" s="133" t="n"/>
      <c r="I1033" s="142" t="inlineStr">
        <is>
          <t>RL7-IPA2-RIO1</t>
        </is>
      </c>
      <c r="J1033" s="133" t="n">
        <v>7</v>
      </c>
      <c r="K1033" s="129" t="n">
        <v>4</v>
      </c>
      <c r="L1033" s="129" t="n">
        <v>7</v>
      </c>
      <c r="M1033" s="129" t="inlineStr">
        <is>
          <t>24 VDC SI</t>
        </is>
      </c>
      <c r="N1033" s="129" t="inlineStr">
        <is>
          <t>5069-IB8S</t>
        </is>
      </c>
      <c r="O1033" s="146" t="n"/>
      <c r="P1033" s="146" t="n"/>
      <c r="Q1033" s="146" t="n"/>
      <c r="R1033" s="146" t="n"/>
      <c r="S1033" s="146" t="n"/>
      <c r="T1033" s="146" t="n"/>
      <c r="U1033" s="146" t="n"/>
      <c r="V1033" s="146" t="n"/>
      <c r="W1033" s="146" t="n"/>
      <c r="X1033" s="146" t="n"/>
      <c r="Y1033" s="146" t="n"/>
      <c r="Z1033" s="143" t="n"/>
    </row>
    <row r="1034">
      <c r="A1034" s="203">
        <f>ROW()-1</f>
        <v/>
      </c>
      <c r="B1034" s="133" t="n"/>
      <c r="C1034" s="263" t="n"/>
      <c r="D1034" s="264" t="n"/>
      <c r="E1034" s="133" t="n"/>
      <c r="F1034" s="141" t="inlineStr">
        <is>
          <t>SPARE</t>
        </is>
      </c>
      <c r="G1034" s="131" t="n"/>
      <c r="H1034" s="133" t="n"/>
      <c r="I1034" s="142" t="inlineStr">
        <is>
          <t>RL7-IPA2-RIO1</t>
        </is>
      </c>
      <c r="J1034" s="133" t="n">
        <v>7</v>
      </c>
      <c r="K1034" s="129" t="n">
        <v>5</v>
      </c>
      <c r="L1034" s="129" t="n">
        <v>0</v>
      </c>
      <c r="M1034" s="129" t="inlineStr">
        <is>
          <t>24 VDC SO</t>
        </is>
      </c>
      <c r="N1034" s="129" t="inlineStr">
        <is>
          <t>5069-OBV8S</t>
        </is>
      </c>
      <c r="O1034" s="146" t="n"/>
      <c r="P1034" s="146" t="n"/>
      <c r="Q1034" s="146" t="n"/>
      <c r="R1034" s="146" t="n"/>
      <c r="S1034" s="146" t="n"/>
      <c r="T1034" s="146" t="n"/>
      <c r="U1034" s="146" t="n"/>
      <c r="V1034" s="146" t="n"/>
      <c r="W1034" s="146" t="n"/>
      <c r="X1034" s="146" t="n"/>
      <c r="Y1034" s="146" t="n"/>
      <c r="Z1034" s="143" t="n"/>
    </row>
    <row r="1035">
      <c r="A1035" s="203">
        <f>ROW()-1</f>
        <v/>
      </c>
      <c r="B1035" s="133" t="n"/>
      <c r="C1035" s="263" t="n"/>
      <c r="D1035" s="264" t="n"/>
      <c r="E1035" s="133" t="n"/>
      <c r="F1035" s="141" t="inlineStr">
        <is>
          <t>SPARE</t>
        </is>
      </c>
      <c r="G1035" s="131" t="n"/>
      <c r="H1035" s="133" t="n"/>
      <c r="I1035" s="142" t="inlineStr">
        <is>
          <t>RL7-IPA2-RIO1</t>
        </is>
      </c>
      <c r="J1035" s="133" t="n">
        <v>7</v>
      </c>
      <c r="K1035" s="129" t="n">
        <v>5</v>
      </c>
      <c r="L1035" s="129" t="n">
        <v>1</v>
      </c>
      <c r="M1035" s="129" t="inlineStr">
        <is>
          <t>24 VDC SO</t>
        </is>
      </c>
      <c r="N1035" s="129" t="inlineStr">
        <is>
          <t>5069-OBV8S</t>
        </is>
      </c>
      <c r="O1035" s="146" t="n"/>
      <c r="P1035" s="146" t="n"/>
      <c r="Q1035" s="146" t="n"/>
      <c r="R1035" s="146" t="n"/>
      <c r="S1035" s="146" t="n"/>
      <c r="T1035" s="146" t="n"/>
      <c r="U1035" s="146" t="n"/>
      <c r="V1035" s="146" t="n"/>
      <c r="W1035" s="146" t="n"/>
      <c r="X1035" s="146" t="n"/>
      <c r="Y1035" s="146" t="n"/>
      <c r="Z1035" s="143" t="n"/>
    </row>
    <row r="1036">
      <c r="A1036" s="203">
        <f>ROW()-1</f>
        <v/>
      </c>
      <c r="B1036" s="133" t="n"/>
      <c r="C1036" s="263" t="n"/>
      <c r="D1036" s="264" t="n"/>
      <c r="E1036" s="133" t="n"/>
      <c r="F1036" s="141" t="inlineStr">
        <is>
          <t>SPARE</t>
        </is>
      </c>
      <c r="G1036" s="131" t="n"/>
      <c r="H1036" s="133" t="n"/>
      <c r="I1036" s="142" t="inlineStr">
        <is>
          <t>RL7-IPA2-RIO1</t>
        </is>
      </c>
      <c r="J1036" s="133" t="n">
        <v>7</v>
      </c>
      <c r="K1036" s="129" t="n">
        <v>5</v>
      </c>
      <c r="L1036" s="129" t="n">
        <v>2</v>
      </c>
      <c r="M1036" s="129" t="inlineStr">
        <is>
          <t>24 VDC SO</t>
        </is>
      </c>
      <c r="N1036" s="129" t="inlineStr">
        <is>
          <t>5069-OBV8S</t>
        </is>
      </c>
      <c r="O1036" s="146" t="n"/>
      <c r="P1036" s="146" t="n"/>
      <c r="Q1036" s="146" t="n"/>
      <c r="R1036" s="146" t="n"/>
      <c r="S1036" s="146" t="n"/>
      <c r="T1036" s="146" t="n"/>
      <c r="U1036" s="146" t="n"/>
      <c r="V1036" s="146" t="n"/>
      <c r="W1036" s="146" t="n"/>
      <c r="X1036" s="146" t="n"/>
      <c r="Y1036" s="146" t="n"/>
      <c r="Z1036" s="143" t="n"/>
    </row>
    <row r="1037">
      <c r="A1037" s="203">
        <f>ROW()-1</f>
        <v/>
      </c>
      <c r="B1037" s="133" t="n"/>
      <c r="C1037" s="263" t="n"/>
      <c r="D1037" s="264" t="n"/>
      <c r="E1037" s="133" t="n"/>
      <c r="F1037" s="141" t="inlineStr">
        <is>
          <t>SPARE</t>
        </is>
      </c>
      <c r="G1037" s="131" t="n"/>
      <c r="H1037" s="133" t="n"/>
      <c r="I1037" s="142" t="inlineStr">
        <is>
          <t>RL7-IPA2-RIO1</t>
        </is>
      </c>
      <c r="J1037" s="133" t="n">
        <v>7</v>
      </c>
      <c r="K1037" s="129" t="n">
        <v>5</v>
      </c>
      <c r="L1037" s="129" t="n">
        <v>3</v>
      </c>
      <c r="M1037" s="129" t="inlineStr">
        <is>
          <t>24 VDC SO</t>
        </is>
      </c>
      <c r="N1037" s="129" t="inlineStr">
        <is>
          <t>5069-OBV8S</t>
        </is>
      </c>
      <c r="O1037" s="146" t="n"/>
      <c r="P1037" s="146" t="n"/>
      <c r="Q1037" s="146" t="n"/>
      <c r="R1037" s="146" t="n"/>
      <c r="S1037" s="146" t="n"/>
      <c r="T1037" s="146" t="n"/>
      <c r="U1037" s="146" t="n"/>
      <c r="V1037" s="146" t="n"/>
      <c r="W1037" s="146" t="n"/>
      <c r="X1037" s="146" t="n"/>
      <c r="Y1037" s="146" t="n"/>
      <c r="Z1037" s="143" t="n"/>
    </row>
    <row r="1038">
      <c r="A1038" s="203">
        <f>ROW()-1</f>
        <v/>
      </c>
      <c r="B1038" s="133" t="n"/>
      <c r="C1038" s="263" t="n"/>
      <c r="D1038" s="264" t="n"/>
      <c r="E1038" s="133" t="n"/>
      <c r="F1038" s="141" t="inlineStr">
        <is>
          <t>SPARE</t>
        </is>
      </c>
      <c r="G1038" s="131" t="n"/>
      <c r="H1038" s="133" t="n"/>
      <c r="I1038" s="142" t="inlineStr">
        <is>
          <t>RL7-IPA2-RIO1</t>
        </is>
      </c>
      <c r="J1038" s="133" t="n">
        <v>7</v>
      </c>
      <c r="K1038" s="129" t="n">
        <v>5</v>
      </c>
      <c r="L1038" s="129" t="n">
        <v>4</v>
      </c>
      <c r="M1038" s="129" t="inlineStr">
        <is>
          <t>24 VDC SO</t>
        </is>
      </c>
      <c r="N1038" s="129" t="inlineStr">
        <is>
          <t>5069-OBV8S</t>
        </is>
      </c>
      <c r="O1038" s="146" t="n"/>
      <c r="P1038" s="146" t="n"/>
      <c r="Q1038" s="146" t="n"/>
      <c r="R1038" s="146" t="n"/>
      <c r="S1038" s="146" t="n"/>
      <c r="T1038" s="146" t="n"/>
      <c r="U1038" s="146" t="n"/>
      <c r="V1038" s="146" t="n"/>
      <c r="W1038" s="146" t="n"/>
      <c r="X1038" s="146" t="n"/>
      <c r="Y1038" s="146" t="n"/>
      <c r="Z1038" s="143" t="n"/>
    </row>
    <row r="1039">
      <c r="A1039" s="203">
        <f>ROW()-1</f>
        <v/>
      </c>
      <c r="B1039" s="133" t="n"/>
      <c r="C1039" s="263" t="n"/>
      <c r="D1039" s="264" t="n"/>
      <c r="E1039" s="133" t="n"/>
      <c r="F1039" s="141" t="inlineStr">
        <is>
          <t>SPARE</t>
        </is>
      </c>
      <c r="G1039" s="131" t="n"/>
      <c r="H1039" s="133" t="n"/>
      <c r="I1039" s="142" t="inlineStr">
        <is>
          <t>RL7-IPA2-RIO1</t>
        </is>
      </c>
      <c r="J1039" s="133" t="n">
        <v>7</v>
      </c>
      <c r="K1039" s="129" t="n">
        <v>5</v>
      </c>
      <c r="L1039" s="129" t="n">
        <v>5</v>
      </c>
      <c r="M1039" s="129" t="inlineStr">
        <is>
          <t>24 VDC SO</t>
        </is>
      </c>
      <c r="N1039" s="129" t="inlineStr">
        <is>
          <t>5069-OBV8S</t>
        </is>
      </c>
      <c r="O1039" s="146" t="n"/>
      <c r="P1039" s="146" t="n"/>
      <c r="Q1039" s="146" t="n"/>
      <c r="R1039" s="146" t="n"/>
      <c r="S1039" s="146" t="n"/>
      <c r="T1039" s="146" t="n"/>
      <c r="U1039" s="146" t="n"/>
      <c r="V1039" s="146" t="n"/>
      <c r="W1039" s="146" t="n"/>
      <c r="X1039" s="146" t="n"/>
      <c r="Y1039" s="146" t="n"/>
      <c r="Z1039" s="143" t="n"/>
    </row>
    <row r="1040">
      <c r="A1040" s="203">
        <f>ROW()-1</f>
        <v/>
      </c>
      <c r="B1040" s="133" t="n"/>
      <c r="C1040" s="263" t="n"/>
      <c r="D1040" s="264" t="n"/>
      <c r="E1040" s="133" t="n"/>
      <c r="F1040" s="141" t="inlineStr">
        <is>
          <t>SPARE</t>
        </is>
      </c>
      <c r="G1040" s="131" t="n"/>
      <c r="H1040" s="133" t="n"/>
      <c r="I1040" s="142" t="inlineStr">
        <is>
          <t>RL7-IPA2-RIO1</t>
        </is>
      </c>
      <c r="J1040" s="133" t="n">
        <v>7</v>
      </c>
      <c r="K1040" s="129" t="n">
        <v>5</v>
      </c>
      <c r="L1040" s="129" t="n">
        <v>6</v>
      </c>
      <c r="M1040" s="129" t="inlineStr">
        <is>
          <t>24 VDC SO</t>
        </is>
      </c>
      <c r="N1040" s="129" t="inlineStr">
        <is>
          <t>5069-OBV8S</t>
        </is>
      </c>
      <c r="O1040" s="146" t="n"/>
      <c r="P1040" s="146" t="n"/>
      <c r="Q1040" s="146" t="n"/>
      <c r="R1040" s="146" t="n"/>
      <c r="S1040" s="146" t="n"/>
      <c r="T1040" s="146" t="n"/>
      <c r="U1040" s="146" t="n"/>
      <c r="V1040" s="146" t="n"/>
      <c r="W1040" s="146" t="n"/>
      <c r="X1040" s="146" t="n"/>
      <c r="Y1040" s="146" t="n"/>
      <c r="Z1040" s="143" t="n"/>
    </row>
    <row r="1041">
      <c r="A1041" s="203">
        <f>ROW()-1</f>
        <v/>
      </c>
      <c r="B1041" s="133" t="n"/>
      <c r="C1041" s="263" t="n"/>
      <c r="D1041" s="264" t="n"/>
      <c r="E1041" s="133" t="n"/>
      <c r="F1041" s="141" t="inlineStr">
        <is>
          <t>SPARE</t>
        </is>
      </c>
      <c r="G1041" s="131" t="n"/>
      <c r="H1041" s="133" t="n"/>
      <c r="I1041" s="142" t="inlineStr">
        <is>
          <t>RL7-IPA2-RIO1</t>
        </is>
      </c>
      <c r="J1041" s="133" t="n">
        <v>7</v>
      </c>
      <c r="K1041" s="129" t="n">
        <v>5</v>
      </c>
      <c r="L1041" s="129" t="n">
        <v>7</v>
      </c>
      <c r="M1041" s="129" t="inlineStr">
        <is>
          <t>24 VDC SO</t>
        </is>
      </c>
      <c r="N1041" s="129" t="inlineStr">
        <is>
          <t>5069-OBV8S</t>
        </is>
      </c>
      <c r="O1041" s="146" t="n"/>
      <c r="P1041" s="146" t="n"/>
      <c r="Q1041" s="146" t="n"/>
      <c r="R1041" s="146" t="n"/>
      <c r="S1041" s="146" t="n"/>
      <c r="T1041" s="146" t="n"/>
      <c r="U1041" s="146" t="n"/>
      <c r="V1041" s="146" t="n"/>
      <c r="W1041" s="146" t="n"/>
      <c r="X1041" s="146" t="n"/>
      <c r="Y1041" s="146" t="n"/>
      <c r="Z1041" s="143" t="n"/>
    </row>
    <row r="1042">
      <c r="A1042" s="203">
        <f>ROW()-1</f>
        <v/>
      </c>
      <c r="B1042" s="133" t="n"/>
      <c r="C1042" s="263" t="n"/>
      <c r="D1042" s="264" t="n"/>
      <c r="E1042" s="133" t="n"/>
      <c r="F1042" s="141" t="inlineStr">
        <is>
          <t>SPARE</t>
        </is>
      </c>
      <c r="G1042" s="129" t="n"/>
      <c r="H1042" s="133" t="n"/>
      <c r="I1042" s="142" t="inlineStr">
        <is>
          <t>RL7-IPA2-RIO1</t>
        </is>
      </c>
      <c r="J1042" s="133" t="n">
        <v>7</v>
      </c>
      <c r="K1042" s="129" t="n">
        <v>6</v>
      </c>
      <c r="L1042" s="129" t="n">
        <v>8</v>
      </c>
      <c r="M1042" s="129" t="inlineStr">
        <is>
          <t>24 VDC DI</t>
        </is>
      </c>
      <c r="N1042" s="129" t="inlineStr">
        <is>
          <t>5069-IB16</t>
        </is>
      </c>
      <c r="O1042" s="146" t="n"/>
      <c r="P1042" s="146" t="n"/>
      <c r="Q1042" s="146" t="n"/>
      <c r="R1042" s="146" t="n"/>
      <c r="S1042" s="146" t="n"/>
      <c r="T1042" s="146" t="n"/>
      <c r="U1042" s="146" t="n"/>
      <c r="V1042" s="146" t="n"/>
      <c r="W1042" s="146" t="n"/>
      <c r="X1042" s="146" t="n"/>
      <c r="Y1042" s="146" t="n"/>
      <c r="Z1042" s="143" t="n"/>
    </row>
    <row r="1043">
      <c r="A1043" s="203">
        <f>ROW()-1</f>
        <v/>
      </c>
      <c r="B1043" s="133" t="n"/>
      <c r="C1043" s="263" t="n"/>
      <c r="D1043" s="264" t="n"/>
      <c r="E1043" s="133" t="n"/>
      <c r="F1043" s="141" t="inlineStr">
        <is>
          <t>SPARE</t>
        </is>
      </c>
      <c r="G1043" s="129" t="n"/>
      <c r="H1043" s="133" t="n"/>
      <c r="I1043" s="142" t="inlineStr">
        <is>
          <t>RL7-IPA2-RIO1</t>
        </is>
      </c>
      <c r="J1043" s="133" t="n">
        <v>7</v>
      </c>
      <c r="K1043" s="129" t="n">
        <v>6</v>
      </c>
      <c r="L1043" s="129" t="n">
        <v>9</v>
      </c>
      <c r="M1043" s="129" t="inlineStr">
        <is>
          <t>24 VDC DI</t>
        </is>
      </c>
      <c r="N1043" s="129" t="inlineStr">
        <is>
          <t>5069-IB16</t>
        </is>
      </c>
      <c r="O1043" s="146" t="n"/>
      <c r="P1043" s="146" t="n"/>
      <c r="Q1043" s="146" t="n"/>
      <c r="R1043" s="146" t="n"/>
      <c r="S1043" s="146" t="n"/>
      <c r="T1043" s="146" t="n"/>
      <c r="U1043" s="146" t="n"/>
      <c r="V1043" s="146" t="n"/>
      <c r="W1043" s="146" t="n"/>
      <c r="X1043" s="146" t="n"/>
      <c r="Y1043" s="146" t="n"/>
      <c r="Z1043" s="143" t="n"/>
    </row>
    <row r="1044">
      <c r="A1044" s="203">
        <f>ROW()-1</f>
        <v/>
      </c>
      <c r="B1044" s="133" t="n"/>
      <c r="C1044" s="263" t="n"/>
      <c r="D1044" s="264" t="n"/>
      <c r="E1044" s="133" t="n"/>
      <c r="F1044" s="141" t="inlineStr">
        <is>
          <t>SPARE</t>
        </is>
      </c>
      <c r="G1044" s="129" t="n"/>
      <c r="H1044" s="133" t="n"/>
      <c r="I1044" s="142" t="inlineStr">
        <is>
          <t>RL7-IPA2-RIO1</t>
        </is>
      </c>
      <c r="J1044" s="133" t="n">
        <v>7</v>
      </c>
      <c r="K1044" s="129" t="n">
        <v>6</v>
      </c>
      <c r="L1044" s="129" t="n">
        <v>10</v>
      </c>
      <c r="M1044" s="129" t="inlineStr">
        <is>
          <t>24 VDC DI</t>
        </is>
      </c>
      <c r="N1044" s="129" t="inlineStr">
        <is>
          <t>5069-IB16</t>
        </is>
      </c>
      <c r="O1044" s="146" t="n"/>
      <c r="P1044" s="146" t="n"/>
      <c r="Q1044" s="146" t="n"/>
      <c r="R1044" s="146" t="n"/>
      <c r="S1044" s="146" t="n"/>
      <c r="T1044" s="146" t="n"/>
      <c r="U1044" s="146" t="n"/>
      <c r="V1044" s="146" t="n"/>
      <c r="W1044" s="146" t="n"/>
      <c r="X1044" s="146" t="n"/>
      <c r="Y1044" s="146" t="n"/>
      <c r="Z1044" s="143" t="n"/>
    </row>
    <row r="1045">
      <c r="A1045" s="203">
        <f>ROW()-1</f>
        <v/>
      </c>
      <c r="B1045" s="133" t="n"/>
      <c r="C1045" s="263" t="n"/>
      <c r="D1045" s="264" t="n"/>
      <c r="E1045" s="133" t="n"/>
      <c r="F1045" s="141" t="inlineStr">
        <is>
          <t>SPARE</t>
        </is>
      </c>
      <c r="G1045" s="129" t="n"/>
      <c r="H1045" s="133" t="n"/>
      <c r="I1045" s="142" t="inlineStr">
        <is>
          <t>RL7-IPA2-RIO1</t>
        </is>
      </c>
      <c r="J1045" s="133" t="n">
        <v>7</v>
      </c>
      <c r="K1045" s="129" t="n">
        <v>6</v>
      </c>
      <c r="L1045" s="129" t="n">
        <v>11</v>
      </c>
      <c r="M1045" s="129" t="inlineStr">
        <is>
          <t>24 VDC DI</t>
        </is>
      </c>
      <c r="N1045" s="129" t="inlineStr">
        <is>
          <t>5069-IB16</t>
        </is>
      </c>
      <c r="O1045" s="146" t="n"/>
      <c r="P1045" s="146" t="n"/>
      <c r="Q1045" s="146" t="n"/>
      <c r="R1045" s="146" t="n"/>
      <c r="S1045" s="146" t="n"/>
      <c r="T1045" s="146" t="n"/>
      <c r="U1045" s="146" t="n"/>
      <c r="V1045" s="146" t="n"/>
      <c r="W1045" s="146" t="n"/>
      <c r="X1045" s="146" t="n"/>
      <c r="Y1045" s="146" t="n"/>
      <c r="Z1045" s="143" t="n"/>
    </row>
    <row r="1046">
      <c r="A1046" s="203">
        <f>ROW()-1</f>
        <v/>
      </c>
      <c r="B1046" s="133" t="n"/>
      <c r="C1046" s="263" t="n"/>
      <c r="D1046" s="264" t="n"/>
      <c r="E1046" s="133" t="n"/>
      <c r="F1046" s="141" t="inlineStr">
        <is>
          <t>SPARE</t>
        </is>
      </c>
      <c r="G1046" s="129" t="n"/>
      <c r="H1046" s="133" t="n"/>
      <c r="I1046" s="142" t="inlineStr">
        <is>
          <t>RL7-IPA2-RIO1</t>
        </is>
      </c>
      <c r="J1046" s="133" t="n">
        <v>7</v>
      </c>
      <c r="K1046" s="129" t="n">
        <v>6</v>
      </c>
      <c r="L1046" s="129" t="n">
        <v>12</v>
      </c>
      <c r="M1046" s="129" t="inlineStr">
        <is>
          <t>24 VDC DI</t>
        </is>
      </c>
      <c r="N1046" s="129" t="inlineStr">
        <is>
          <t>5069-IB16</t>
        </is>
      </c>
      <c r="O1046" s="146" t="n"/>
      <c r="P1046" s="146" t="n"/>
      <c r="Q1046" s="146" t="n"/>
      <c r="R1046" s="146" t="n"/>
      <c r="S1046" s="146" t="n"/>
      <c r="T1046" s="146" t="n"/>
      <c r="U1046" s="146" t="n"/>
      <c r="V1046" s="146" t="n"/>
      <c r="W1046" s="146" t="n"/>
      <c r="X1046" s="146" t="n"/>
      <c r="Y1046" s="146" t="n"/>
      <c r="Z1046" s="143" t="n"/>
    </row>
    <row r="1047">
      <c r="A1047" s="203">
        <f>ROW()-1</f>
        <v/>
      </c>
      <c r="B1047" s="133" t="n"/>
      <c r="C1047" s="263" t="n"/>
      <c r="D1047" s="264" t="n"/>
      <c r="E1047" s="133" t="n"/>
      <c r="F1047" s="141" t="inlineStr">
        <is>
          <t>SPARE</t>
        </is>
      </c>
      <c r="G1047" s="129" t="n"/>
      <c r="H1047" s="133" t="n"/>
      <c r="I1047" s="142" t="inlineStr">
        <is>
          <t>RL7-IPA2-RIO1</t>
        </is>
      </c>
      <c r="J1047" s="133" t="n">
        <v>7</v>
      </c>
      <c r="K1047" s="129" t="n">
        <v>6</v>
      </c>
      <c r="L1047" s="129" t="n">
        <v>13</v>
      </c>
      <c r="M1047" s="129" t="inlineStr">
        <is>
          <t>24 VDC DI</t>
        </is>
      </c>
      <c r="N1047" s="129" t="inlineStr">
        <is>
          <t>5069-IB16</t>
        </is>
      </c>
      <c r="O1047" s="146" t="n"/>
      <c r="P1047" s="146" t="n"/>
      <c r="Q1047" s="146" t="n"/>
      <c r="R1047" s="146" t="n"/>
      <c r="S1047" s="146" t="n"/>
      <c r="T1047" s="146" t="n"/>
      <c r="U1047" s="146" t="n"/>
      <c r="V1047" s="146" t="n"/>
      <c r="W1047" s="146" t="n"/>
      <c r="X1047" s="146" t="n"/>
      <c r="Y1047" s="146" t="n"/>
      <c r="Z1047" s="143" t="n"/>
    </row>
    <row r="1048">
      <c r="A1048" s="203">
        <f>ROW()-1</f>
        <v/>
      </c>
      <c r="B1048" s="133" t="n"/>
      <c r="C1048" s="263" t="n"/>
      <c r="D1048" s="264" t="n"/>
      <c r="E1048" s="133" t="n"/>
      <c r="F1048" s="141" t="inlineStr">
        <is>
          <t>SPARE</t>
        </is>
      </c>
      <c r="G1048" s="129" t="n"/>
      <c r="H1048" s="133" t="n"/>
      <c r="I1048" s="142" t="inlineStr">
        <is>
          <t>RL7-IPA2-RIO1</t>
        </is>
      </c>
      <c r="J1048" s="133" t="n">
        <v>7</v>
      </c>
      <c r="K1048" s="129" t="n">
        <v>6</v>
      </c>
      <c r="L1048" s="129" t="n">
        <v>14</v>
      </c>
      <c r="M1048" s="129" t="inlineStr">
        <is>
          <t>24 VDC DI</t>
        </is>
      </c>
      <c r="N1048" s="129" t="inlineStr">
        <is>
          <t>5069-IB16</t>
        </is>
      </c>
      <c r="O1048" s="146" t="n"/>
      <c r="P1048" s="146" t="n"/>
      <c r="Q1048" s="146" t="n"/>
      <c r="R1048" s="146" t="n"/>
      <c r="S1048" s="146" t="n"/>
      <c r="T1048" s="146" t="n"/>
      <c r="U1048" s="146" t="n"/>
      <c r="V1048" s="146" t="n"/>
      <c r="W1048" s="146" t="n"/>
      <c r="X1048" s="146" t="n"/>
      <c r="Y1048" s="146" t="n"/>
      <c r="Z1048" s="143" t="n"/>
    </row>
    <row r="1049">
      <c r="A1049" s="203">
        <f>ROW()-1</f>
        <v/>
      </c>
      <c r="B1049" s="133" t="n"/>
      <c r="C1049" s="263" t="n"/>
      <c r="D1049" s="264" t="n"/>
      <c r="E1049" s="133" t="n"/>
      <c r="F1049" s="141" t="inlineStr">
        <is>
          <t>SPARE</t>
        </is>
      </c>
      <c r="G1049" s="129" t="n"/>
      <c r="H1049" s="133" t="n"/>
      <c r="I1049" s="142" t="inlineStr">
        <is>
          <t>RL7-IPA2-RIO1</t>
        </is>
      </c>
      <c r="J1049" s="133" t="n">
        <v>7</v>
      </c>
      <c r="K1049" s="129" t="n">
        <v>6</v>
      </c>
      <c r="L1049" s="129" t="n">
        <v>15</v>
      </c>
      <c r="M1049" s="129" t="inlineStr">
        <is>
          <t>24 VDC DI</t>
        </is>
      </c>
      <c r="N1049" s="129" t="inlineStr">
        <is>
          <t>5069-IB16</t>
        </is>
      </c>
      <c r="O1049" s="146" t="n"/>
      <c r="P1049" s="146" t="n"/>
      <c r="Q1049" s="146" t="n"/>
      <c r="R1049" s="146" t="n"/>
      <c r="S1049" s="146" t="n"/>
      <c r="T1049" s="146" t="n"/>
      <c r="U1049" s="146" t="n"/>
      <c r="V1049" s="146" t="n"/>
      <c r="W1049" s="146" t="n"/>
      <c r="X1049" s="146" t="n"/>
      <c r="Y1049" s="146" t="n"/>
      <c r="Z1049" s="143" t="n"/>
    </row>
    <row r="1050">
      <c r="A1050" s="203">
        <f>ROW()-1</f>
        <v/>
      </c>
      <c r="B1050" s="133" t="n"/>
      <c r="C1050" s="263" t="n"/>
      <c r="D1050" s="264" t="n"/>
      <c r="E1050" s="133" t="n"/>
      <c r="F1050" s="141" t="inlineStr">
        <is>
          <t>SPARE</t>
        </is>
      </c>
      <c r="G1050" s="131" t="n"/>
      <c r="H1050" s="133" t="n"/>
      <c r="I1050" s="142" t="inlineStr">
        <is>
          <t>RL7-IPA2-RIO1</t>
        </is>
      </c>
      <c r="J1050" s="133" t="n">
        <v>7</v>
      </c>
      <c r="K1050" s="129" t="n">
        <v>7</v>
      </c>
      <c r="L1050" s="129" t="n">
        <v>5</v>
      </c>
      <c r="M1050" s="129" t="inlineStr">
        <is>
          <t>24 VDC DO</t>
        </is>
      </c>
      <c r="N1050" s="129" t="inlineStr">
        <is>
          <t>5069-OB16</t>
        </is>
      </c>
      <c r="O1050" s="146" t="n"/>
      <c r="P1050" s="146" t="n"/>
      <c r="Q1050" s="146" t="n"/>
      <c r="R1050" s="146" t="n"/>
      <c r="S1050" s="146" t="n"/>
      <c r="T1050" s="146" t="n"/>
      <c r="U1050" s="146" t="n"/>
      <c r="V1050" s="146" t="n"/>
      <c r="W1050" s="146" t="n"/>
      <c r="X1050" s="146" t="n"/>
      <c r="Y1050" s="146" t="n"/>
      <c r="Z1050" s="143" t="n"/>
    </row>
    <row r="1051">
      <c r="A1051" s="203">
        <f>ROW()-1</f>
        <v/>
      </c>
      <c r="B1051" s="133" t="n"/>
      <c r="C1051" s="263" t="n"/>
      <c r="D1051" s="264" t="n"/>
      <c r="E1051" s="133" t="n"/>
      <c r="F1051" s="141" t="inlineStr">
        <is>
          <t>SPARE</t>
        </is>
      </c>
      <c r="G1051" s="131" t="n"/>
      <c r="H1051" s="133" t="n"/>
      <c r="I1051" s="142" t="inlineStr">
        <is>
          <t>RL7-IPA2-RIO1</t>
        </is>
      </c>
      <c r="J1051" s="133" t="n">
        <v>7</v>
      </c>
      <c r="K1051" s="129" t="n">
        <v>7</v>
      </c>
      <c r="L1051" s="129" t="n">
        <v>6</v>
      </c>
      <c r="M1051" s="129" t="inlineStr">
        <is>
          <t>24 VDC DO</t>
        </is>
      </c>
      <c r="N1051" s="129" t="inlineStr">
        <is>
          <t>5069-OB16</t>
        </is>
      </c>
      <c r="O1051" s="146" t="n"/>
      <c r="P1051" s="146" t="n"/>
      <c r="Q1051" s="146" t="n"/>
      <c r="R1051" s="146" t="n"/>
      <c r="S1051" s="146" t="n"/>
      <c r="T1051" s="146" t="n"/>
      <c r="U1051" s="146" t="n"/>
      <c r="V1051" s="146" t="n"/>
      <c r="W1051" s="146" t="n"/>
      <c r="X1051" s="146" t="n"/>
      <c r="Y1051" s="146" t="n"/>
      <c r="Z1051" s="143" t="n"/>
    </row>
    <row r="1052">
      <c r="A1052" s="203">
        <f>ROW()-1</f>
        <v/>
      </c>
      <c r="B1052" s="133" t="n"/>
      <c r="C1052" s="263" t="n"/>
      <c r="D1052" s="264" t="n"/>
      <c r="E1052" s="133" t="n"/>
      <c r="F1052" s="141" t="inlineStr">
        <is>
          <t>SPARE</t>
        </is>
      </c>
      <c r="G1052" s="131" t="n"/>
      <c r="H1052" s="133" t="n"/>
      <c r="I1052" s="142" t="inlineStr">
        <is>
          <t>RL7-IPA2-RIO1</t>
        </is>
      </c>
      <c r="J1052" s="133" t="n">
        <v>7</v>
      </c>
      <c r="K1052" s="129" t="n">
        <v>7</v>
      </c>
      <c r="L1052" s="129" t="n">
        <v>7</v>
      </c>
      <c r="M1052" s="129" t="inlineStr">
        <is>
          <t>24 VDC DO</t>
        </is>
      </c>
      <c r="N1052" s="129" t="inlineStr">
        <is>
          <t>5069-OB16</t>
        </is>
      </c>
      <c r="O1052" s="146" t="n"/>
      <c r="P1052" s="146" t="n"/>
      <c r="Q1052" s="146" t="n"/>
      <c r="R1052" s="146" t="n"/>
      <c r="S1052" s="146" t="n"/>
      <c r="T1052" s="146" t="n"/>
      <c r="U1052" s="146" t="n"/>
      <c r="V1052" s="146" t="n"/>
      <c r="W1052" s="146" t="n"/>
      <c r="X1052" s="146" t="n"/>
      <c r="Y1052" s="146" t="n"/>
      <c r="Z1052" s="143" t="n"/>
    </row>
    <row r="1053">
      <c r="A1053" s="203">
        <f>ROW()-1</f>
        <v/>
      </c>
      <c r="B1053" s="133" t="n"/>
      <c r="C1053" s="263" t="n"/>
      <c r="D1053" s="264" t="n"/>
      <c r="E1053" s="133" t="n"/>
      <c r="F1053" s="141" t="inlineStr">
        <is>
          <t>SPARE</t>
        </is>
      </c>
      <c r="G1053" s="131" t="n"/>
      <c r="H1053" s="133" t="n"/>
      <c r="I1053" s="142" t="inlineStr">
        <is>
          <t>RL7-IPA2-RIO1</t>
        </is>
      </c>
      <c r="J1053" s="133" t="n">
        <v>7</v>
      </c>
      <c r="K1053" s="129" t="n">
        <v>7</v>
      </c>
      <c r="L1053" s="129" t="n">
        <v>8</v>
      </c>
      <c r="M1053" s="129" t="inlineStr">
        <is>
          <t>24 VDC DO</t>
        </is>
      </c>
      <c r="N1053" s="129" t="inlineStr">
        <is>
          <t>5069-OB16</t>
        </is>
      </c>
      <c r="O1053" s="146" t="n"/>
      <c r="P1053" s="146" t="n"/>
      <c r="Q1053" s="146" t="n"/>
      <c r="R1053" s="146" t="n"/>
      <c r="S1053" s="146" t="n"/>
      <c r="T1053" s="146" t="n"/>
      <c r="U1053" s="146" t="n"/>
      <c r="V1053" s="146" t="n"/>
      <c r="W1053" s="146" t="n"/>
      <c r="X1053" s="146" t="n"/>
      <c r="Y1053" s="146" t="n"/>
      <c r="Z1053" s="143" t="n"/>
    </row>
    <row r="1054">
      <c r="A1054" s="203">
        <f>ROW()-1</f>
        <v/>
      </c>
      <c r="B1054" s="133" t="n"/>
      <c r="C1054" s="263" t="n"/>
      <c r="D1054" s="264" t="n"/>
      <c r="E1054" s="133" t="n"/>
      <c r="F1054" s="141" t="inlineStr">
        <is>
          <t>SPARE</t>
        </is>
      </c>
      <c r="G1054" s="131" t="n"/>
      <c r="H1054" s="133" t="n"/>
      <c r="I1054" s="142" t="inlineStr">
        <is>
          <t>RL7-IPA2-RIO1</t>
        </is>
      </c>
      <c r="J1054" s="133" t="n">
        <v>7</v>
      </c>
      <c r="K1054" s="129" t="n">
        <v>7</v>
      </c>
      <c r="L1054" s="129" t="n">
        <v>9</v>
      </c>
      <c r="M1054" s="129" t="inlineStr">
        <is>
          <t>24 VDC DO</t>
        </is>
      </c>
      <c r="N1054" s="129" t="inlineStr">
        <is>
          <t>5069-OB16</t>
        </is>
      </c>
      <c r="O1054" s="146" t="n"/>
      <c r="P1054" s="146" t="n"/>
      <c r="Q1054" s="146" t="n"/>
      <c r="R1054" s="146" t="n"/>
      <c r="S1054" s="146" t="n"/>
      <c r="T1054" s="146" t="n"/>
      <c r="U1054" s="146" t="n"/>
      <c r="V1054" s="146" t="n"/>
      <c r="W1054" s="146" t="n"/>
      <c r="X1054" s="146" t="n"/>
      <c r="Y1054" s="146" t="n"/>
      <c r="Z1054" s="143" t="n"/>
    </row>
    <row r="1055">
      <c r="A1055" s="203">
        <f>ROW()-1</f>
        <v/>
      </c>
      <c r="B1055" s="133" t="n"/>
      <c r="C1055" s="263" t="n"/>
      <c r="D1055" s="264" t="n"/>
      <c r="E1055" s="133" t="n"/>
      <c r="F1055" s="141" t="inlineStr">
        <is>
          <t>SPARE</t>
        </is>
      </c>
      <c r="G1055" s="131" t="n"/>
      <c r="H1055" s="133" t="n"/>
      <c r="I1055" s="142" t="inlineStr">
        <is>
          <t>RL7-IPA2-RIO1</t>
        </is>
      </c>
      <c r="J1055" s="133" t="n">
        <v>7</v>
      </c>
      <c r="K1055" s="129" t="n">
        <v>7</v>
      </c>
      <c r="L1055" s="129" t="n">
        <v>10</v>
      </c>
      <c r="M1055" s="129" t="inlineStr">
        <is>
          <t>24 VDC DO</t>
        </is>
      </c>
      <c r="N1055" s="129" t="inlineStr">
        <is>
          <t>5069-OB16</t>
        </is>
      </c>
      <c r="O1055" s="146" t="n"/>
      <c r="P1055" s="146" t="n"/>
      <c r="Q1055" s="146" t="n"/>
      <c r="R1055" s="146" t="n"/>
      <c r="S1055" s="146" t="n"/>
      <c r="T1055" s="146" t="n"/>
      <c r="U1055" s="146" t="n"/>
      <c r="V1055" s="146" t="n"/>
      <c r="W1055" s="146" t="n"/>
      <c r="X1055" s="146" t="n"/>
      <c r="Y1055" s="146" t="n"/>
      <c r="Z1055" s="143" t="n"/>
    </row>
    <row r="1056">
      <c r="A1056" s="203">
        <f>ROW()-1</f>
        <v/>
      </c>
      <c r="B1056" s="133" t="n"/>
      <c r="C1056" s="263" t="n"/>
      <c r="D1056" s="264" t="n"/>
      <c r="E1056" s="133" t="n"/>
      <c r="F1056" s="141" t="inlineStr">
        <is>
          <t>SPARE</t>
        </is>
      </c>
      <c r="G1056" s="131" t="n"/>
      <c r="H1056" s="133" t="n"/>
      <c r="I1056" s="142" t="inlineStr">
        <is>
          <t>RL7-IPA2-RIO1</t>
        </is>
      </c>
      <c r="J1056" s="133" t="n">
        <v>7</v>
      </c>
      <c r="K1056" s="129" t="n">
        <v>7</v>
      </c>
      <c r="L1056" s="129" t="n">
        <v>11</v>
      </c>
      <c r="M1056" s="129" t="inlineStr">
        <is>
          <t>24 VDC DO</t>
        </is>
      </c>
      <c r="N1056" s="129" t="inlineStr">
        <is>
          <t>5069-OB16</t>
        </is>
      </c>
      <c r="O1056" s="146" t="n"/>
      <c r="P1056" s="146" t="n"/>
      <c r="Q1056" s="146" t="n"/>
      <c r="R1056" s="146" t="n"/>
      <c r="S1056" s="146" t="n"/>
      <c r="T1056" s="146" t="n"/>
      <c r="U1056" s="146" t="n"/>
      <c r="V1056" s="146" t="n"/>
      <c r="W1056" s="146" t="n"/>
      <c r="X1056" s="146" t="n"/>
      <c r="Y1056" s="146" t="n"/>
      <c r="Z1056" s="143" t="n"/>
    </row>
    <row r="1057">
      <c r="A1057" s="203">
        <f>ROW()-1</f>
        <v/>
      </c>
      <c r="B1057" s="133" t="n"/>
      <c r="C1057" s="263" t="n"/>
      <c r="D1057" s="264" t="n"/>
      <c r="E1057" s="133" t="n"/>
      <c r="F1057" s="141" t="inlineStr">
        <is>
          <t>SPARE</t>
        </is>
      </c>
      <c r="G1057" s="131" t="n"/>
      <c r="H1057" s="133" t="n"/>
      <c r="I1057" s="142" t="inlineStr">
        <is>
          <t>RL7-IPA2-RIO1</t>
        </is>
      </c>
      <c r="J1057" s="133" t="n">
        <v>7</v>
      </c>
      <c r="K1057" s="129" t="n">
        <v>7</v>
      </c>
      <c r="L1057" s="129" t="n">
        <v>12</v>
      </c>
      <c r="M1057" s="129" t="inlineStr">
        <is>
          <t>24 VDC DO</t>
        </is>
      </c>
      <c r="N1057" s="129" t="inlineStr">
        <is>
          <t>5069-OB16</t>
        </is>
      </c>
      <c r="O1057" s="146" t="n"/>
      <c r="P1057" s="146" t="n"/>
      <c r="Q1057" s="146" t="n"/>
      <c r="R1057" s="146" t="n"/>
      <c r="S1057" s="146" t="n"/>
      <c r="T1057" s="146" t="n"/>
      <c r="U1057" s="146" t="n"/>
      <c r="V1057" s="146" t="n"/>
      <c r="W1057" s="146" t="n"/>
      <c r="X1057" s="146" t="n"/>
      <c r="Y1057" s="146" t="n"/>
      <c r="Z1057" s="143" t="n"/>
    </row>
    <row r="1058">
      <c r="A1058" s="203">
        <f>ROW()-1</f>
        <v/>
      </c>
      <c r="B1058" s="133" t="n"/>
      <c r="C1058" s="263" t="n"/>
      <c r="D1058" s="264" t="n"/>
      <c r="E1058" s="133" t="n"/>
      <c r="F1058" s="141" t="inlineStr">
        <is>
          <t>SPARE</t>
        </is>
      </c>
      <c r="G1058" s="131" t="n"/>
      <c r="H1058" s="133" t="n"/>
      <c r="I1058" s="142" t="inlineStr">
        <is>
          <t>RL7-IPA2-RIO1</t>
        </is>
      </c>
      <c r="J1058" s="133" t="n">
        <v>7</v>
      </c>
      <c r="K1058" s="129" t="n">
        <v>7</v>
      </c>
      <c r="L1058" s="129" t="n">
        <v>13</v>
      </c>
      <c r="M1058" s="129" t="inlineStr">
        <is>
          <t>24 VDC DO</t>
        </is>
      </c>
      <c r="N1058" s="129" t="inlineStr">
        <is>
          <t>5069-OB16</t>
        </is>
      </c>
      <c r="O1058" s="146" t="n"/>
      <c r="P1058" s="146" t="n"/>
      <c r="Q1058" s="146" t="n"/>
      <c r="R1058" s="146" t="n"/>
      <c r="S1058" s="146" t="n"/>
      <c r="T1058" s="146" t="n"/>
      <c r="U1058" s="146" t="n"/>
      <c r="V1058" s="146" t="n"/>
      <c r="W1058" s="146" t="n"/>
      <c r="X1058" s="146" t="n"/>
      <c r="Y1058" s="146" t="n"/>
      <c r="Z1058" s="143" t="n"/>
    </row>
    <row r="1059">
      <c r="A1059" s="203">
        <f>ROW()-1</f>
        <v/>
      </c>
      <c r="B1059" s="133" t="n"/>
      <c r="C1059" s="263" t="n"/>
      <c r="D1059" s="264" t="n"/>
      <c r="E1059" s="133" t="n"/>
      <c r="F1059" s="141" t="inlineStr">
        <is>
          <t>SPARE</t>
        </is>
      </c>
      <c r="G1059" s="131" t="n"/>
      <c r="H1059" s="133" t="n"/>
      <c r="I1059" s="142" t="inlineStr">
        <is>
          <t>RL7-IPA2-RIO1</t>
        </is>
      </c>
      <c r="J1059" s="133" t="n">
        <v>7</v>
      </c>
      <c r="K1059" s="129" t="n">
        <v>7</v>
      </c>
      <c r="L1059" s="129" t="n">
        <v>14</v>
      </c>
      <c r="M1059" s="129" t="inlineStr">
        <is>
          <t>24 VDC DO</t>
        </is>
      </c>
      <c r="N1059" s="129" t="inlineStr">
        <is>
          <t>5069-OB16</t>
        </is>
      </c>
      <c r="O1059" s="146" t="n"/>
      <c r="P1059" s="146" t="n"/>
      <c r="Q1059" s="146" t="n"/>
      <c r="R1059" s="146" t="n"/>
      <c r="S1059" s="146" t="n"/>
      <c r="T1059" s="146" t="n"/>
      <c r="U1059" s="146" t="n"/>
      <c r="V1059" s="146" t="n"/>
      <c r="W1059" s="146" t="n"/>
      <c r="X1059" s="146" t="n"/>
      <c r="Y1059" s="146" t="n"/>
      <c r="Z1059" s="143" t="n"/>
    </row>
    <row r="1060">
      <c r="A1060" s="203">
        <f>ROW()-1</f>
        <v/>
      </c>
      <c r="B1060" s="133" t="n"/>
      <c r="C1060" s="263" t="n"/>
      <c r="D1060" s="264" t="n"/>
      <c r="E1060" s="133" t="n"/>
      <c r="F1060" s="141" t="inlineStr">
        <is>
          <t>SPARE</t>
        </is>
      </c>
      <c r="G1060" s="131" t="n"/>
      <c r="H1060" s="133" t="n"/>
      <c r="I1060" s="142" t="inlineStr">
        <is>
          <t>RL7-IPA2-RIO1</t>
        </is>
      </c>
      <c r="J1060" s="133" t="n">
        <v>7</v>
      </c>
      <c r="K1060" s="129" t="n">
        <v>7</v>
      </c>
      <c r="L1060" s="129" t="n">
        <v>15</v>
      </c>
      <c r="M1060" s="129" t="inlineStr">
        <is>
          <t>24 VDC DO</t>
        </is>
      </c>
      <c r="N1060" s="129" t="inlineStr">
        <is>
          <t>5069-OB16</t>
        </is>
      </c>
      <c r="O1060" s="146" t="n"/>
      <c r="P1060" s="146" t="n"/>
      <c r="Q1060" s="146" t="n"/>
      <c r="R1060" s="146" t="n"/>
      <c r="S1060" s="146" t="n"/>
      <c r="T1060" s="146" t="n"/>
      <c r="U1060" s="146" t="n"/>
      <c r="V1060" s="146" t="n"/>
      <c r="W1060" s="146" t="n"/>
      <c r="X1060" s="146" t="n"/>
      <c r="Y1060" s="146" t="n"/>
      <c r="Z1060" s="143" t="n"/>
    </row>
    <row r="1061">
      <c r="A1061" s="203">
        <f>ROW()-1</f>
        <v/>
      </c>
      <c r="B1061" s="128" t="n"/>
      <c r="C1061" s="263" t="n"/>
      <c r="D1061" s="262" t="n"/>
      <c r="E1061" s="128" t="n"/>
      <c r="F1061" s="138" t="n"/>
      <c r="G1061" s="131" t="n"/>
      <c r="H1061" s="128" t="n"/>
      <c r="I1061" s="132" t="inlineStr">
        <is>
          <t>RL7-FAGC1-RIO1</t>
        </is>
      </c>
      <c r="J1061" s="133" t="n">
        <v>8</v>
      </c>
      <c r="K1061" s="129" t="n">
        <v>3</v>
      </c>
      <c r="L1061" s="129" t="n">
        <v>2</v>
      </c>
      <c r="M1061" s="129" t="inlineStr">
        <is>
          <t>24 VDC SI</t>
        </is>
      </c>
      <c r="N1061" s="129" t="inlineStr">
        <is>
          <t>5069-IB8S</t>
        </is>
      </c>
      <c r="O1061" s="139" t="n"/>
      <c r="P1061" s="127" t="n"/>
      <c r="Q1061" s="127" t="n"/>
      <c r="R1061" s="127" t="n"/>
      <c r="S1061" s="127" t="n"/>
      <c r="T1061" s="127" t="n"/>
      <c r="U1061" s="127" t="n"/>
      <c r="V1061" s="127" t="n"/>
      <c r="W1061" s="127" t="n"/>
      <c r="X1061" s="127" t="n"/>
      <c r="Y1061" s="127" t="n"/>
      <c r="Z1061" s="140" t="n"/>
    </row>
    <row r="1062">
      <c r="A1062" s="203">
        <f>ROW()-1</f>
        <v/>
      </c>
      <c r="B1062" s="128" t="n"/>
      <c r="C1062" s="263" t="n"/>
      <c r="D1062" s="262" t="n"/>
      <c r="E1062" s="128" t="n"/>
      <c r="F1062" s="138" t="n"/>
      <c r="G1062" s="131" t="n"/>
      <c r="H1062" s="128" t="n"/>
      <c r="I1062" s="132" t="inlineStr">
        <is>
          <t>RL7-FAGC1-RIO1</t>
        </is>
      </c>
      <c r="J1062" s="133" t="n">
        <v>8</v>
      </c>
      <c r="K1062" s="129" t="n">
        <v>3</v>
      </c>
      <c r="L1062" s="129" t="n">
        <v>3</v>
      </c>
      <c r="M1062" s="129" t="inlineStr">
        <is>
          <t>24 VDC SI</t>
        </is>
      </c>
      <c r="N1062" s="129" t="inlineStr">
        <is>
          <t>5069-IB8S</t>
        </is>
      </c>
      <c r="O1062" s="139" t="n"/>
      <c r="P1062" s="127" t="n"/>
      <c r="Q1062" s="127" t="n"/>
      <c r="R1062" s="127" t="n"/>
      <c r="S1062" s="127" t="n"/>
      <c r="T1062" s="127" t="n"/>
      <c r="U1062" s="127" t="n"/>
      <c r="V1062" s="127" t="n"/>
      <c r="W1062" s="127" t="n"/>
      <c r="X1062" s="127" t="n"/>
      <c r="Y1062" s="127" t="n"/>
      <c r="Z1062" s="140" t="n"/>
    </row>
    <row r="1063">
      <c r="A1063" s="203">
        <f>ROW()-1</f>
        <v/>
      </c>
      <c r="B1063" s="128" t="n"/>
      <c r="C1063" s="263" t="n"/>
      <c r="D1063" s="262" t="n"/>
      <c r="E1063" s="128" t="n"/>
      <c r="F1063" s="138" t="n"/>
      <c r="G1063" s="131" t="n"/>
      <c r="H1063" s="128" t="n"/>
      <c r="I1063" s="132" t="inlineStr">
        <is>
          <t>RL7-FAGC1-RIO1</t>
        </is>
      </c>
      <c r="J1063" s="133" t="n">
        <v>8</v>
      </c>
      <c r="K1063" s="129" t="n">
        <v>3</v>
      </c>
      <c r="L1063" s="129" t="n">
        <v>4</v>
      </c>
      <c r="M1063" s="129" t="inlineStr">
        <is>
          <t>24 VDC SI</t>
        </is>
      </c>
      <c r="N1063" s="129" t="inlineStr">
        <is>
          <t>5069-IB8S</t>
        </is>
      </c>
      <c r="O1063" s="139" t="n"/>
      <c r="P1063" s="127" t="n"/>
      <c r="Q1063" s="127" t="n"/>
      <c r="R1063" s="127" t="n"/>
      <c r="S1063" s="127" t="n"/>
      <c r="T1063" s="127" t="n"/>
      <c r="U1063" s="127" t="n"/>
      <c r="V1063" s="127" t="n"/>
      <c r="W1063" s="127" t="n"/>
      <c r="X1063" s="127" t="n"/>
      <c r="Y1063" s="127" t="n"/>
      <c r="Z1063" s="140" t="n"/>
    </row>
    <row r="1064">
      <c r="A1064" s="203">
        <f>ROW()-1</f>
        <v/>
      </c>
      <c r="B1064" s="128" t="n"/>
      <c r="C1064" s="263" t="n"/>
      <c r="D1064" s="262" t="n"/>
      <c r="E1064" s="128" t="n"/>
      <c r="F1064" s="138" t="n"/>
      <c r="G1064" s="131" t="n"/>
      <c r="H1064" s="128" t="n"/>
      <c r="I1064" s="132" t="inlineStr">
        <is>
          <t>RL7-FAGC1-RIO1</t>
        </is>
      </c>
      <c r="J1064" s="133" t="n">
        <v>8</v>
      </c>
      <c r="K1064" s="129" t="n">
        <v>3</v>
      </c>
      <c r="L1064" s="129" t="n">
        <v>5</v>
      </c>
      <c r="M1064" s="129" t="inlineStr">
        <is>
          <t>24 VDC SI</t>
        </is>
      </c>
      <c r="N1064" s="129" t="inlineStr">
        <is>
          <t>5069-IB8S</t>
        </is>
      </c>
      <c r="O1064" s="139" t="n"/>
      <c r="P1064" s="127" t="n"/>
      <c r="Q1064" s="127" t="n"/>
      <c r="R1064" s="127" t="n"/>
      <c r="S1064" s="127" t="n"/>
      <c r="T1064" s="127" t="n"/>
      <c r="U1064" s="127" t="n"/>
      <c r="V1064" s="127" t="n"/>
      <c r="W1064" s="127" t="n"/>
      <c r="X1064" s="127" t="n"/>
      <c r="Y1064" s="127" t="n"/>
      <c r="Z1064" s="140" t="n"/>
    </row>
    <row r="1065">
      <c r="A1065" s="203">
        <f>ROW()-1</f>
        <v/>
      </c>
      <c r="B1065" s="128" t="n"/>
      <c r="C1065" s="263" t="n"/>
      <c r="D1065" s="262" t="n"/>
      <c r="E1065" s="128" t="n"/>
      <c r="F1065" s="138" t="n"/>
      <c r="G1065" s="131" t="n"/>
      <c r="H1065" s="128" t="n"/>
      <c r="I1065" s="132" t="inlineStr">
        <is>
          <t>RL7-FAGC1-RIO1</t>
        </is>
      </c>
      <c r="J1065" s="133" t="n">
        <v>8</v>
      </c>
      <c r="K1065" s="129" t="n">
        <v>3</v>
      </c>
      <c r="L1065" s="129" t="n">
        <v>6</v>
      </c>
      <c r="M1065" s="129" t="inlineStr">
        <is>
          <t>24 VDC SI</t>
        </is>
      </c>
      <c r="N1065" s="129" t="inlineStr">
        <is>
          <t>5069-IB8S</t>
        </is>
      </c>
      <c r="O1065" s="139" t="n"/>
      <c r="P1065" s="127" t="n"/>
      <c r="Q1065" s="127" t="n"/>
      <c r="R1065" s="127" t="n"/>
      <c r="S1065" s="127" t="n"/>
      <c r="T1065" s="127" t="n"/>
      <c r="U1065" s="127" t="n"/>
      <c r="V1065" s="127" t="n"/>
      <c r="W1065" s="127" t="n"/>
      <c r="X1065" s="127" t="n"/>
      <c r="Y1065" s="127" t="n"/>
      <c r="Z1065" s="140" t="n"/>
    </row>
    <row r="1066">
      <c r="A1066" s="203">
        <f>ROW()-1</f>
        <v/>
      </c>
      <c r="B1066" s="128" t="n"/>
      <c r="C1066" s="263" t="n"/>
      <c r="D1066" s="262" t="n"/>
      <c r="E1066" s="128" t="n"/>
      <c r="F1066" s="138" t="n"/>
      <c r="G1066" s="131" t="n"/>
      <c r="H1066" s="128" t="n"/>
      <c r="I1066" s="132" t="inlineStr">
        <is>
          <t>RL7-FAGC1-RIO1</t>
        </is>
      </c>
      <c r="J1066" s="133" t="n">
        <v>8</v>
      </c>
      <c r="K1066" s="129" t="n">
        <v>3</v>
      </c>
      <c r="L1066" s="129" t="n">
        <v>7</v>
      </c>
      <c r="M1066" s="129" t="inlineStr">
        <is>
          <t>24 VDC SI</t>
        </is>
      </c>
      <c r="N1066" s="129" t="inlineStr">
        <is>
          <t>5069-IB8S</t>
        </is>
      </c>
      <c r="O1066" s="139" t="n"/>
      <c r="P1066" s="127" t="n"/>
      <c r="Q1066" s="127" t="n"/>
      <c r="R1066" s="127" t="n"/>
      <c r="S1066" s="127" t="n"/>
      <c r="T1066" s="127" t="n"/>
      <c r="U1066" s="127" t="n"/>
      <c r="V1066" s="127" t="n"/>
      <c r="W1066" s="127" t="n"/>
      <c r="X1066" s="127" t="n"/>
      <c r="Y1066" s="127" t="n"/>
      <c r="Z1066" s="140" t="n"/>
    </row>
    <row r="1067">
      <c r="A1067" s="203">
        <f>ROW()-1</f>
        <v/>
      </c>
      <c r="B1067" s="128" t="n"/>
      <c r="C1067" s="263" t="n"/>
      <c r="D1067" s="262" t="n"/>
      <c r="E1067" s="128" t="n"/>
      <c r="F1067" s="138" t="inlineStr">
        <is>
          <t>SPARE</t>
        </is>
      </c>
      <c r="G1067" s="131" t="n"/>
      <c r="H1067" s="128" t="n"/>
      <c r="I1067" s="132" t="inlineStr">
        <is>
          <t>RL7-FAGC1-RIO1</t>
        </is>
      </c>
      <c r="J1067" s="133" t="n">
        <v>8</v>
      </c>
      <c r="K1067" s="129" t="n">
        <v>4</v>
      </c>
      <c r="L1067" s="129" t="n">
        <v>2</v>
      </c>
      <c r="M1067" s="129" t="inlineStr">
        <is>
          <t>24 VDC DI</t>
        </is>
      </c>
      <c r="N1067" s="129" t="inlineStr">
        <is>
          <t>5069-IB16</t>
        </is>
      </c>
      <c r="O1067" s="139" t="n"/>
      <c r="P1067" s="127" t="n"/>
      <c r="Q1067" s="127" t="n"/>
      <c r="R1067" s="127" t="n"/>
      <c r="S1067" s="127" t="n"/>
      <c r="T1067" s="127" t="n"/>
      <c r="U1067" s="127" t="n"/>
      <c r="V1067" s="127" t="n"/>
      <c r="W1067" s="127" t="n"/>
      <c r="X1067" s="127" t="n"/>
      <c r="Y1067" s="127" t="n"/>
      <c r="Z1067" s="140" t="n"/>
    </row>
    <row r="1068">
      <c r="A1068" s="203">
        <f>ROW()-1</f>
        <v/>
      </c>
      <c r="B1068" s="128" t="n"/>
      <c r="C1068" s="263" t="n"/>
      <c r="D1068" s="262" t="n"/>
      <c r="E1068" s="128" t="n"/>
      <c r="F1068" s="138" t="inlineStr">
        <is>
          <t>SPARE</t>
        </is>
      </c>
      <c r="G1068" s="131" t="n"/>
      <c r="H1068" s="128" t="n"/>
      <c r="I1068" s="132" t="inlineStr">
        <is>
          <t>RL7-FAGC1-RIO1</t>
        </is>
      </c>
      <c r="J1068" s="133" t="n">
        <v>8</v>
      </c>
      <c r="K1068" s="129" t="n">
        <v>4</v>
      </c>
      <c r="L1068" s="129" t="n">
        <v>4</v>
      </c>
      <c r="M1068" s="129" t="inlineStr">
        <is>
          <t>24 VDC DI</t>
        </is>
      </c>
      <c r="N1068" s="129" t="inlineStr">
        <is>
          <t>5069-IB16</t>
        </is>
      </c>
      <c r="O1068" s="139" t="n"/>
      <c r="P1068" s="127" t="n"/>
      <c r="Q1068" s="127" t="n"/>
      <c r="R1068" s="127" t="n"/>
      <c r="S1068" s="127" t="n"/>
      <c r="T1068" s="127" t="n"/>
      <c r="U1068" s="127" t="n"/>
      <c r="V1068" s="127" t="n"/>
      <c r="W1068" s="127" t="n"/>
      <c r="X1068" s="127" t="n"/>
      <c r="Y1068" s="127" t="n"/>
      <c r="Z1068" s="140" t="n"/>
    </row>
    <row r="1069">
      <c r="A1069" s="203">
        <f>ROW()-1</f>
        <v/>
      </c>
      <c r="B1069" s="128" t="n"/>
      <c r="C1069" s="263" t="n"/>
      <c r="D1069" s="262" t="n"/>
      <c r="E1069" s="128" t="n"/>
      <c r="F1069" s="138" t="inlineStr">
        <is>
          <t>SPARE</t>
        </is>
      </c>
      <c r="G1069" s="131" t="n"/>
      <c r="H1069" s="128" t="n"/>
      <c r="I1069" s="132" t="inlineStr">
        <is>
          <t>RL7-FAGC1-RIO1</t>
        </is>
      </c>
      <c r="J1069" s="133" t="n">
        <v>8</v>
      </c>
      <c r="K1069" s="129" t="n">
        <v>4</v>
      </c>
      <c r="L1069" s="129" t="n">
        <v>9</v>
      </c>
      <c r="M1069" s="129" t="inlineStr">
        <is>
          <t>24 VDC DI</t>
        </is>
      </c>
      <c r="N1069" s="129" t="inlineStr">
        <is>
          <t>5069-IB16</t>
        </is>
      </c>
      <c r="O1069" s="139" t="n"/>
      <c r="P1069" s="127" t="n"/>
      <c r="Q1069" s="127" t="n"/>
      <c r="R1069" s="127" t="n"/>
      <c r="S1069" s="127" t="n"/>
      <c r="T1069" s="127" t="n"/>
      <c r="U1069" s="127" t="n"/>
      <c r="V1069" s="127" t="n"/>
      <c r="W1069" s="127" t="n"/>
      <c r="X1069" s="127" t="n"/>
      <c r="Y1069" s="127" t="n"/>
      <c r="Z1069" s="140" t="n"/>
    </row>
    <row r="1070">
      <c r="A1070" s="203">
        <f>ROW()-1</f>
        <v/>
      </c>
      <c r="B1070" s="128" t="n"/>
      <c r="C1070" s="263" t="n"/>
      <c r="D1070" s="262" t="n"/>
      <c r="E1070" s="128" t="n"/>
      <c r="F1070" s="138" t="inlineStr">
        <is>
          <t>SPARE</t>
        </is>
      </c>
      <c r="G1070" s="131" t="n"/>
      <c r="H1070" s="128" t="n"/>
      <c r="I1070" s="132" t="inlineStr">
        <is>
          <t>RL7-FAGC1-RIO1</t>
        </is>
      </c>
      <c r="J1070" s="133" t="n">
        <v>8</v>
      </c>
      <c r="K1070" s="129" t="n">
        <v>4</v>
      </c>
      <c r="L1070" s="129" t="n">
        <v>10</v>
      </c>
      <c r="M1070" s="129" t="inlineStr">
        <is>
          <t>24 VDC DI</t>
        </is>
      </c>
      <c r="N1070" s="129" t="inlineStr">
        <is>
          <t>5069-IB16</t>
        </is>
      </c>
      <c r="O1070" s="139" t="n"/>
      <c r="P1070" s="127" t="n"/>
      <c r="Q1070" s="127" t="n"/>
      <c r="R1070" s="127" t="n"/>
      <c r="S1070" s="127" t="n"/>
      <c r="T1070" s="127" t="n"/>
      <c r="U1070" s="127" t="n"/>
      <c r="V1070" s="127" t="n"/>
      <c r="W1070" s="127" t="n"/>
      <c r="X1070" s="127" t="n"/>
      <c r="Y1070" s="127" t="n"/>
      <c r="Z1070" s="140" t="n"/>
    </row>
    <row r="1071">
      <c r="A1071" s="203">
        <f>ROW()-1</f>
        <v/>
      </c>
      <c r="B1071" s="128" t="n"/>
      <c r="C1071" s="263" t="n"/>
      <c r="D1071" s="262" t="n"/>
      <c r="E1071" s="128" t="n"/>
      <c r="F1071" s="138" t="inlineStr">
        <is>
          <t>SPARE</t>
        </is>
      </c>
      <c r="G1071" s="131" t="n"/>
      <c r="H1071" s="128" t="n"/>
      <c r="I1071" s="132" t="inlineStr">
        <is>
          <t>RL7-FAGC1-RIO1</t>
        </is>
      </c>
      <c r="J1071" s="133" t="n">
        <v>8</v>
      </c>
      <c r="K1071" s="129" t="n">
        <v>4</v>
      </c>
      <c r="L1071" s="129" t="n">
        <v>11</v>
      </c>
      <c r="M1071" s="129" t="inlineStr">
        <is>
          <t>24 VDC DI</t>
        </is>
      </c>
      <c r="N1071" s="129" t="inlineStr">
        <is>
          <t>5069-IB16</t>
        </is>
      </c>
      <c r="O1071" s="139" t="n"/>
      <c r="P1071" s="127" t="n"/>
      <c r="Q1071" s="127" t="n"/>
      <c r="R1071" s="127" t="n"/>
      <c r="S1071" s="127" t="n"/>
      <c r="T1071" s="127" t="n"/>
      <c r="U1071" s="127" t="n"/>
      <c r="V1071" s="127" t="n"/>
      <c r="W1071" s="127" t="n"/>
      <c r="X1071" s="127" t="n"/>
      <c r="Y1071" s="127" t="n"/>
      <c r="Z1071" s="140" t="n"/>
    </row>
    <row r="1072">
      <c r="A1072" s="203">
        <f>ROW()-1</f>
        <v/>
      </c>
      <c r="B1072" s="128" t="n"/>
      <c r="C1072" s="263" t="n"/>
      <c r="D1072" s="262" t="n"/>
      <c r="E1072" s="128" t="n"/>
      <c r="F1072" s="138" t="inlineStr">
        <is>
          <t>SPARE</t>
        </is>
      </c>
      <c r="G1072" s="131" t="n"/>
      <c r="H1072" s="128" t="n"/>
      <c r="I1072" s="132" t="inlineStr">
        <is>
          <t>RL7-FAGC1-RIO1</t>
        </is>
      </c>
      <c r="J1072" s="133" t="n">
        <v>8</v>
      </c>
      <c r="K1072" s="129" t="n">
        <v>4</v>
      </c>
      <c r="L1072" s="129" t="n">
        <v>12</v>
      </c>
      <c r="M1072" s="129" t="inlineStr">
        <is>
          <t>24 VDC DI</t>
        </is>
      </c>
      <c r="N1072" s="129" t="inlineStr">
        <is>
          <t>5069-IB16</t>
        </is>
      </c>
      <c r="O1072" s="139" t="n"/>
      <c r="P1072" s="127" t="n"/>
      <c r="Q1072" s="127" t="n"/>
      <c r="R1072" s="127" t="n"/>
      <c r="S1072" s="127" t="n"/>
      <c r="T1072" s="127" t="n"/>
      <c r="U1072" s="127" t="n"/>
      <c r="V1072" s="127" t="n"/>
      <c r="W1072" s="127" t="n"/>
      <c r="X1072" s="127" t="n"/>
      <c r="Y1072" s="127" t="n"/>
      <c r="Z1072" s="140" t="n"/>
    </row>
    <row r="1073">
      <c r="A1073" s="203">
        <f>ROW()-1</f>
        <v/>
      </c>
      <c r="B1073" s="128" t="n"/>
      <c r="C1073" s="263" t="n"/>
      <c r="D1073" s="262" t="n"/>
      <c r="E1073" s="128" t="n"/>
      <c r="F1073" s="138" t="inlineStr">
        <is>
          <t>SPARE</t>
        </is>
      </c>
      <c r="G1073" s="131" t="n"/>
      <c r="H1073" s="128" t="n"/>
      <c r="I1073" s="132" t="inlineStr">
        <is>
          <t>RL7-FAGC1-RIO1</t>
        </is>
      </c>
      <c r="J1073" s="133" t="n">
        <v>8</v>
      </c>
      <c r="K1073" s="129" t="n">
        <v>4</v>
      </c>
      <c r="L1073" s="129" t="n">
        <v>13</v>
      </c>
      <c r="M1073" s="129" t="inlineStr">
        <is>
          <t>24 VDC DI</t>
        </is>
      </c>
      <c r="N1073" s="129" t="inlineStr">
        <is>
          <t>5069-IB16</t>
        </is>
      </c>
      <c r="O1073" s="139" t="n"/>
      <c r="P1073" s="127" t="n"/>
      <c r="Q1073" s="127" t="n"/>
      <c r="R1073" s="127" t="n"/>
      <c r="S1073" s="127" t="n"/>
      <c r="T1073" s="127" t="n"/>
      <c r="U1073" s="127" t="n"/>
      <c r="V1073" s="127" t="n"/>
      <c r="W1073" s="127" t="n"/>
      <c r="X1073" s="127" t="n"/>
      <c r="Y1073" s="127" t="n"/>
      <c r="Z1073" s="140" t="n"/>
    </row>
    <row r="1074">
      <c r="A1074" s="203">
        <f>ROW()-1</f>
        <v/>
      </c>
      <c r="B1074" s="128" t="n"/>
      <c r="C1074" s="263" t="n"/>
      <c r="D1074" s="262" t="n"/>
      <c r="E1074" s="128" t="n"/>
      <c r="F1074" s="138" t="inlineStr">
        <is>
          <t>SPARE</t>
        </is>
      </c>
      <c r="G1074" s="131" t="n"/>
      <c r="H1074" s="128" t="n"/>
      <c r="I1074" s="132" t="inlineStr">
        <is>
          <t>RL7-FAGC1-RIO1</t>
        </is>
      </c>
      <c r="J1074" s="133" t="n">
        <v>8</v>
      </c>
      <c r="K1074" s="129" t="n">
        <v>4</v>
      </c>
      <c r="L1074" s="129" t="n">
        <v>14</v>
      </c>
      <c r="M1074" s="129" t="inlineStr">
        <is>
          <t>24 VDC DI</t>
        </is>
      </c>
      <c r="N1074" s="129" t="inlineStr">
        <is>
          <t>5069-IB16</t>
        </is>
      </c>
      <c r="O1074" s="139" t="n"/>
      <c r="P1074" s="127" t="n"/>
      <c r="Q1074" s="127" t="n"/>
      <c r="R1074" s="127" t="n"/>
      <c r="S1074" s="127" t="n"/>
      <c r="T1074" s="127" t="n"/>
      <c r="U1074" s="127" t="n"/>
      <c r="V1074" s="127" t="n"/>
      <c r="W1074" s="127" t="n"/>
      <c r="X1074" s="127" t="n"/>
      <c r="Y1074" s="127" t="n"/>
      <c r="Z1074" s="140" t="n"/>
    </row>
    <row r="1075">
      <c r="A1075" s="203">
        <f>ROW()-1</f>
        <v/>
      </c>
      <c r="B1075" s="128" t="n"/>
      <c r="C1075" s="263" t="n"/>
      <c r="D1075" s="262" t="n"/>
      <c r="E1075" s="128" t="n"/>
      <c r="F1075" s="138" t="inlineStr">
        <is>
          <t>SPARE</t>
        </is>
      </c>
      <c r="G1075" s="131" t="n"/>
      <c r="H1075" s="128" t="n"/>
      <c r="I1075" s="132" t="inlineStr">
        <is>
          <t>RL7-FAGC1-RIO1</t>
        </is>
      </c>
      <c r="J1075" s="133" t="n">
        <v>8</v>
      </c>
      <c r="K1075" s="129" t="n">
        <v>4</v>
      </c>
      <c r="L1075" s="129" t="n">
        <v>15</v>
      </c>
      <c r="M1075" s="129" t="inlineStr">
        <is>
          <t>24 VDC DI</t>
        </is>
      </c>
      <c r="N1075" s="129" t="inlineStr">
        <is>
          <t>5069-IB16</t>
        </is>
      </c>
      <c r="O1075" s="139" t="n"/>
      <c r="P1075" s="127" t="n"/>
      <c r="Q1075" s="127" t="n"/>
      <c r="R1075" s="127" t="n"/>
      <c r="S1075" s="127" t="n"/>
      <c r="T1075" s="127" t="n"/>
      <c r="U1075" s="127" t="n"/>
      <c r="V1075" s="127" t="n"/>
      <c r="W1075" s="127" t="n"/>
      <c r="X1075" s="127" t="n"/>
      <c r="Y1075" s="127" t="n"/>
      <c r="Z1075" s="140" t="n"/>
    </row>
    <row r="1076" customFormat="1" s="136">
      <c r="A1076" s="203">
        <f>ROW()-1</f>
        <v/>
      </c>
      <c r="B1076" s="128" t="n"/>
      <c r="C1076" s="263" t="n"/>
      <c r="D1076" s="262" t="n"/>
      <c r="E1076" s="128" t="n"/>
      <c r="F1076" s="138" t="inlineStr">
        <is>
          <t>ADDRESS RESERVE MODULE</t>
        </is>
      </c>
      <c r="G1076" s="131" t="n"/>
      <c r="H1076" s="128" t="n"/>
      <c r="I1076" s="132" t="inlineStr">
        <is>
          <t>RL7-FAGC1-RIO1</t>
        </is>
      </c>
      <c r="J1076" s="133" t="n">
        <v>8</v>
      </c>
      <c r="K1076" s="129" t="n">
        <v>5</v>
      </c>
      <c r="L1076" s="129" t="n">
        <v>0</v>
      </c>
      <c r="M1076" s="129" t="inlineStr">
        <is>
          <t>ARM</t>
        </is>
      </c>
      <c r="N1076" s="129" t="inlineStr">
        <is>
          <t>5069-ARM</t>
        </is>
      </c>
      <c r="O1076" s="139" t="n"/>
      <c r="P1076" s="127" t="n"/>
      <c r="Q1076" s="127" t="n"/>
      <c r="R1076" s="127" t="n"/>
      <c r="S1076" s="127" t="n"/>
      <c r="T1076" s="127" t="n"/>
      <c r="U1076" s="127" t="n"/>
      <c r="V1076" s="127" t="n"/>
      <c r="W1076" s="127" t="n"/>
      <c r="X1076" s="127" t="n"/>
      <c r="Y1076" s="127" t="n"/>
      <c r="Z1076" s="140" t="n"/>
    </row>
    <row r="1077">
      <c r="A1077" s="203">
        <f>ROW()-1</f>
        <v/>
      </c>
      <c r="B1077" s="128" t="n"/>
      <c r="C1077" s="263" t="n"/>
      <c r="D1077" s="262" t="n"/>
      <c r="E1077" s="128" t="n"/>
      <c r="F1077" s="138" t="inlineStr">
        <is>
          <t>SPARE</t>
        </is>
      </c>
      <c r="G1077" s="131" t="n"/>
      <c r="H1077" s="128" t="n"/>
      <c r="I1077" s="132" t="inlineStr">
        <is>
          <t>RL7-FAGC1-RIO1</t>
        </is>
      </c>
      <c r="J1077" s="133" t="n">
        <v>8</v>
      </c>
      <c r="K1077" s="129" t="n">
        <v>6</v>
      </c>
      <c r="L1077" s="129" t="n">
        <v>1</v>
      </c>
      <c r="M1077" s="129" t="inlineStr">
        <is>
          <t>24 VDC DO</t>
        </is>
      </c>
      <c r="N1077" s="129" t="inlineStr">
        <is>
          <t>5069-OB16</t>
        </is>
      </c>
      <c r="O1077" s="139" t="n"/>
      <c r="P1077" s="127" t="n"/>
      <c r="Q1077" s="127" t="n"/>
      <c r="R1077" s="127" t="n"/>
      <c r="S1077" s="127" t="n"/>
      <c r="T1077" s="127" t="n"/>
      <c r="U1077" s="127" t="n"/>
      <c r="V1077" s="127" t="n"/>
      <c r="W1077" s="127" t="n"/>
      <c r="X1077" s="127" t="n"/>
      <c r="Y1077" s="127" t="n"/>
      <c r="Z1077" s="140" t="n"/>
    </row>
    <row r="1078">
      <c r="A1078" s="203">
        <f>ROW()-1</f>
        <v/>
      </c>
      <c r="B1078" s="128" t="n"/>
      <c r="C1078" s="263" t="n"/>
      <c r="D1078" s="280" t="n"/>
      <c r="E1078" s="132" t="n"/>
      <c r="F1078" s="138" t="inlineStr">
        <is>
          <t>SPARE</t>
        </is>
      </c>
      <c r="G1078" s="131" t="n"/>
      <c r="H1078" s="128" t="n"/>
      <c r="I1078" s="132" t="inlineStr">
        <is>
          <t>RL7-FAGC1-RIO1</t>
        </is>
      </c>
      <c r="J1078" s="133" t="n">
        <v>8</v>
      </c>
      <c r="K1078" s="129" t="n">
        <v>6</v>
      </c>
      <c r="L1078" s="129" t="n">
        <v>9</v>
      </c>
      <c r="M1078" s="129" t="inlineStr">
        <is>
          <t>24 VDC DO</t>
        </is>
      </c>
      <c r="N1078" s="129" t="inlineStr">
        <is>
          <t>5069-OB16</t>
        </is>
      </c>
      <c r="O1078" s="139" t="n"/>
      <c r="P1078" s="127" t="n"/>
      <c r="Q1078" s="127" t="n"/>
      <c r="R1078" s="127" t="n"/>
      <c r="S1078" s="127" t="n"/>
      <c r="T1078" s="127" t="n"/>
      <c r="U1078" s="127" t="n"/>
      <c r="V1078" s="127" t="n"/>
      <c r="W1078" s="127" t="n"/>
      <c r="X1078" s="127" t="n"/>
      <c r="Y1078" s="127" t="n"/>
      <c r="Z1078" s="140" t="n"/>
    </row>
    <row r="1079">
      <c r="A1079" s="203">
        <f>ROW()-1</f>
        <v/>
      </c>
      <c r="B1079" s="128" t="n"/>
      <c r="C1079" s="263" t="n"/>
      <c r="D1079" s="280" t="n"/>
      <c r="E1079" s="132" t="n"/>
      <c r="F1079" s="138" t="inlineStr">
        <is>
          <t>SPARE</t>
        </is>
      </c>
      <c r="G1079" s="131" t="n"/>
      <c r="H1079" s="128" t="n"/>
      <c r="I1079" s="132" t="inlineStr">
        <is>
          <t>RL7-FAGC1-RIO1</t>
        </is>
      </c>
      <c r="J1079" s="133" t="n">
        <v>8</v>
      </c>
      <c r="K1079" s="129" t="n">
        <v>6</v>
      </c>
      <c r="L1079" s="129" t="n">
        <v>10</v>
      </c>
      <c r="M1079" s="129" t="inlineStr">
        <is>
          <t>24 VDC DO</t>
        </is>
      </c>
      <c r="N1079" s="129" t="inlineStr">
        <is>
          <t>5069-OB16</t>
        </is>
      </c>
      <c r="O1079" s="139" t="n"/>
      <c r="P1079" s="127" t="n"/>
      <c r="Q1079" s="127" t="n"/>
      <c r="R1079" s="127" t="n"/>
      <c r="S1079" s="127" t="n"/>
      <c r="T1079" s="127" t="n"/>
      <c r="U1079" s="127" t="n"/>
      <c r="V1079" s="127" t="n"/>
      <c r="W1079" s="127" t="n"/>
      <c r="X1079" s="127" t="n"/>
      <c r="Y1079" s="127" t="n"/>
      <c r="Z1079" s="140" t="n"/>
    </row>
    <row r="1080">
      <c r="A1080" s="203">
        <f>ROW()-1</f>
        <v/>
      </c>
      <c r="B1080" s="128" t="n"/>
      <c r="C1080" s="263" t="n"/>
      <c r="D1080" s="280" t="n"/>
      <c r="E1080" s="132" t="n"/>
      <c r="F1080" s="138" t="inlineStr">
        <is>
          <t>SPARE</t>
        </is>
      </c>
      <c r="G1080" s="131" t="n"/>
      <c r="H1080" s="128" t="n"/>
      <c r="I1080" s="132" t="inlineStr">
        <is>
          <t>RL7-FAGC1-RIO1</t>
        </is>
      </c>
      <c r="J1080" s="133" t="n">
        <v>8</v>
      </c>
      <c r="K1080" s="129" t="n">
        <v>6</v>
      </c>
      <c r="L1080" s="129" t="n">
        <v>11</v>
      </c>
      <c r="M1080" s="129" t="inlineStr">
        <is>
          <t>24 VDC DO</t>
        </is>
      </c>
      <c r="N1080" s="129" t="inlineStr">
        <is>
          <t>5069-OB16</t>
        </is>
      </c>
      <c r="O1080" s="139" t="n"/>
      <c r="P1080" s="127" t="n"/>
      <c r="Q1080" s="127" t="n"/>
      <c r="R1080" s="127" t="n"/>
      <c r="S1080" s="127" t="n"/>
      <c r="T1080" s="127" t="n"/>
      <c r="U1080" s="127" t="n"/>
      <c r="V1080" s="127" t="n"/>
      <c r="W1080" s="127" t="n"/>
      <c r="X1080" s="127" t="n"/>
      <c r="Y1080" s="127" t="n"/>
      <c r="Z1080" s="140" t="n"/>
    </row>
    <row r="1081">
      <c r="A1081" s="203">
        <f>ROW()-1</f>
        <v/>
      </c>
      <c r="B1081" s="128" t="n"/>
      <c r="C1081" s="263" t="n"/>
      <c r="D1081" s="280" t="n"/>
      <c r="E1081" s="132" t="n"/>
      <c r="F1081" s="138" t="inlineStr">
        <is>
          <t>SPARE</t>
        </is>
      </c>
      <c r="G1081" s="131" t="n"/>
      <c r="H1081" s="128" t="n"/>
      <c r="I1081" s="132" t="inlineStr">
        <is>
          <t>RL7-FAGC1-RIO1</t>
        </is>
      </c>
      <c r="J1081" s="133" t="n">
        <v>8</v>
      </c>
      <c r="K1081" s="129" t="n">
        <v>6</v>
      </c>
      <c r="L1081" s="129" t="n">
        <v>12</v>
      </c>
      <c r="M1081" s="129" t="inlineStr">
        <is>
          <t>24 VDC DO</t>
        </is>
      </c>
      <c r="N1081" s="129" t="inlineStr">
        <is>
          <t>5069-OB16</t>
        </is>
      </c>
      <c r="O1081" s="139" t="n"/>
      <c r="P1081" s="127" t="n"/>
      <c r="Q1081" s="127" t="n"/>
      <c r="R1081" s="127" t="n"/>
      <c r="S1081" s="127" t="n"/>
      <c r="T1081" s="127" t="n"/>
      <c r="U1081" s="127" t="n"/>
      <c r="V1081" s="127" t="n"/>
      <c r="W1081" s="127" t="n"/>
      <c r="X1081" s="127" t="n"/>
      <c r="Y1081" s="127" t="n"/>
      <c r="Z1081" s="140" t="n"/>
    </row>
    <row r="1082">
      <c r="A1082" s="203">
        <f>ROW()-1</f>
        <v/>
      </c>
      <c r="B1082" s="128" t="n"/>
      <c r="C1082" s="263" t="n"/>
      <c r="D1082" s="280" t="n"/>
      <c r="E1082" s="132" t="n"/>
      <c r="F1082" s="138" t="inlineStr">
        <is>
          <t>SPARE</t>
        </is>
      </c>
      <c r="G1082" s="131" t="n"/>
      <c r="H1082" s="128" t="n"/>
      <c r="I1082" s="132" t="inlineStr">
        <is>
          <t>RL7-FAGC1-RIO1</t>
        </is>
      </c>
      <c r="J1082" s="133" t="n">
        <v>8</v>
      </c>
      <c r="K1082" s="129" t="n">
        <v>6</v>
      </c>
      <c r="L1082" s="129" t="n">
        <v>13</v>
      </c>
      <c r="M1082" s="129" t="inlineStr">
        <is>
          <t>24 VDC DO</t>
        </is>
      </c>
      <c r="N1082" s="129" t="inlineStr">
        <is>
          <t>5069-OB16</t>
        </is>
      </c>
      <c r="O1082" s="139" t="n"/>
      <c r="P1082" s="127" t="n"/>
      <c r="Q1082" s="127" t="n"/>
      <c r="R1082" s="127" t="n"/>
      <c r="S1082" s="127" t="n"/>
      <c r="T1082" s="127" t="n"/>
      <c r="U1082" s="127" t="n"/>
      <c r="V1082" s="127" t="n"/>
      <c r="W1082" s="127" t="n"/>
      <c r="X1082" s="127" t="n"/>
      <c r="Y1082" s="127" t="n"/>
      <c r="Z1082" s="140" t="n"/>
    </row>
    <row r="1083">
      <c r="A1083" s="203">
        <f>ROW()-1</f>
        <v/>
      </c>
      <c r="B1083" s="128" t="n"/>
      <c r="C1083" s="263" t="n"/>
      <c r="D1083" s="280" t="n"/>
      <c r="E1083" s="132" t="n"/>
      <c r="F1083" s="138" t="inlineStr">
        <is>
          <t>SPARE</t>
        </is>
      </c>
      <c r="G1083" s="131" t="n"/>
      <c r="H1083" s="128" t="n"/>
      <c r="I1083" s="132" t="inlineStr">
        <is>
          <t>RL7-FAGC1-RIO1</t>
        </is>
      </c>
      <c r="J1083" s="133" t="n">
        <v>8</v>
      </c>
      <c r="K1083" s="129" t="n">
        <v>6</v>
      </c>
      <c r="L1083" s="129" t="n">
        <v>14</v>
      </c>
      <c r="M1083" s="129" t="inlineStr">
        <is>
          <t>24 VDC DO</t>
        </is>
      </c>
      <c r="N1083" s="129" t="inlineStr">
        <is>
          <t>5069-OB16</t>
        </is>
      </c>
      <c r="O1083" s="139" t="n"/>
      <c r="P1083" s="127" t="n"/>
      <c r="Q1083" s="127" t="n"/>
      <c r="R1083" s="127" t="n"/>
      <c r="S1083" s="127" t="n"/>
      <c r="T1083" s="127" t="n"/>
      <c r="U1083" s="127" t="n"/>
      <c r="V1083" s="127" t="n"/>
      <c r="W1083" s="127" t="n"/>
      <c r="X1083" s="127" t="n"/>
      <c r="Y1083" s="127" t="n"/>
      <c r="Z1083" s="140" t="n"/>
    </row>
    <row r="1084">
      <c r="A1084" s="203">
        <f>ROW()-1</f>
        <v/>
      </c>
      <c r="B1084" s="128" t="n"/>
      <c r="C1084" s="263" t="n"/>
      <c r="D1084" s="262" t="n"/>
      <c r="E1084" s="128" t="n"/>
      <c r="F1084" s="138" t="inlineStr">
        <is>
          <t>SPARE</t>
        </is>
      </c>
      <c r="G1084" s="131" t="n"/>
      <c r="H1084" s="128" t="n"/>
      <c r="I1084" s="132" t="inlineStr">
        <is>
          <t>RL7-FAGC1-RIO1</t>
        </is>
      </c>
      <c r="J1084" s="133" t="n">
        <v>8</v>
      </c>
      <c r="K1084" s="129" t="n">
        <v>6</v>
      </c>
      <c r="L1084" s="129" t="n">
        <v>15</v>
      </c>
      <c r="M1084" s="129" t="inlineStr">
        <is>
          <t>24 VDC DO</t>
        </is>
      </c>
      <c r="N1084" s="129" t="inlineStr">
        <is>
          <t>5069-OB16</t>
        </is>
      </c>
      <c r="O1084" s="139" t="n"/>
      <c r="P1084" s="127" t="n"/>
      <c r="Q1084" s="127" t="n"/>
      <c r="R1084" s="127" t="n"/>
      <c r="S1084" s="127" t="n"/>
      <c r="T1084" s="127" t="n"/>
      <c r="U1084" s="127" t="n"/>
      <c r="V1084" s="127" t="n"/>
      <c r="W1084" s="127" t="n"/>
      <c r="X1084" s="127" t="n"/>
      <c r="Y1084" s="127" t="n"/>
      <c r="Z1084" s="140" t="n"/>
    </row>
    <row r="1085">
      <c r="A1085" s="203">
        <f>ROW()-1</f>
        <v/>
      </c>
      <c r="B1085" s="128" t="n"/>
      <c r="C1085" s="263" t="n"/>
      <c r="D1085" s="262" t="n"/>
      <c r="E1085" s="128" t="n"/>
      <c r="F1085" s="138" t="inlineStr">
        <is>
          <t>SPARE</t>
        </is>
      </c>
      <c r="G1085" s="131" t="n"/>
      <c r="H1085" s="128" t="n"/>
      <c r="I1085" s="132" t="inlineStr">
        <is>
          <t>RL7-FAGC2-RIO1</t>
        </is>
      </c>
      <c r="J1085" s="133" t="n">
        <v>9</v>
      </c>
      <c r="K1085" s="129" t="n">
        <v>3</v>
      </c>
      <c r="L1085" s="129" t="n">
        <v>2</v>
      </c>
      <c r="M1085" s="129" t="inlineStr">
        <is>
          <t>24 VDC SI</t>
        </is>
      </c>
      <c r="N1085" s="129" t="inlineStr">
        <is>
          <t>5069-IB8S</t>
        </is>
      </c>
      <c r="O1085" s="139" t="n"/>
      <c r="P1085" s="127" t="n"/>
      <c r="Q1085" s="127" t="n"/>
      <c r="R1085" s="127" t="n"/>
      <c r="S1085" s="127" t="n"/>
      <c r="T1085" s="127" t="n"/>
      <c r="U1085" s="127" t="n"/>
      <c r="V1085" s="127" t="n"/>
      <c r="W1085" s="127" t="n"/>
      <c r="X1085" s="127" t="n"/>
      <c r="Y1085" s="127" t="n"/>
      <c r="Z1085" s="140" t="n"/>
    </row>
    <row r="1086">
      <c r="A1086" s="203">
        <f>ROW()-1</f>
        <v/>
      </c>
      <c r="B1086" s="128" t="n"/>
      <c r="C1086" s="263" t="n"/>
      <c r="D1086" s="262" t="n"/>
      <c r="E1086" s="128" t="n"/>
      <c r="F1086" s="138" t="inlineStr">
        <is>
          <t>SPARE</t>
        </is>
      </c>
      <c r="G1086" s="131" t="n"/>
      <c r="H1086" s="128" t="n"/>
      <c r="I1086" s="132" t="inlineStr">
        <is>
          <t>RL7-FAGC2-RIO1</t>
        </is>
      </c>
      <c r="J1086" s="133" t="n">
        <v>9</v>
      </c>
      <c r="K1086" s="129" t="n">
        <v>3</v>
      </c>
      <c r="L1086" s="129" t="n">
        <v>3</v>
      </c>
      <c r="M1086" s="129" t="inlineStr">
        <is>
          <t>24 VDC SI</t>
        </is>
      </c>
      <c r="N1086" s="129" t="inlineStr">
        <is>
          <t>5069-IB8S</t>
        </is>
      </c>
      <c r="O1086" s="139" t="n"/>
      <c r="P1086" s="127" t="n"/>
      <c r="Q1086" s="127" t="n"/>
      <c r="R1086" s="127" t="n"/>
      <c r="S1086" s="127" t="n"/>
      <c r="T1086" s="127" t="n"/>
      <c r="U1086" s="127" t="n"/>
      <c r="V1086" s="127" t="n"/>
      <c r="W1086" s="127" t="n"/>
      <c r="X1086" s="127" t="n"/>
      <c r="Y1086" s="127" t="n"/>
      <c r="Z1086" s="140" t="n"/>
    </row>
    <row r="1087">
      <c r="A1087" s="203">
        <f>ROW()-1</f>
        <v/>
      </c>
      <c r="B1087" s="128" t="n"/>
      <c r="C1087" s="263" t="n"/>
      <c r="D1087" s="262" t="n"/>
      <c r="E1087" s="128" t="n"/>
      <c r="F1087" s="138" t="inlineStr">
        <is>
          <t>SPARE</t>
        </is>
      </c>
      <c r="G1087" s="131" t="n"/>
      <c r="H1087" s="128" t="n"/>
      <c r="I1087" s="132" t="inlineStr">
        <is>
          <t>RL7-FAGC2-RIO1</t>
        </is>
      </c>
      <c r="J1087" s="133" t="n">
        <v>9</v>
      </c>
      <c r="K1087" s="129" t="n">
        <v>3</v>
      </c>
      <c r="L1087" s="129" t="n">
        <v>4</v>
      </c>
      <c r="M1087" s="129" t="inlineStr">
        <is>
          <t>24 VDC SI</t>
        </is>
      </c>
      <c r="N1087" s="129" t="inlineStr">
        <is>
          <t>5069-IB8S</t>
        </is>
      </c>
      <c r="O1087" s="139" t="n"/>
      <c r="P1087" s="127" t="n"/>
      <c r="Q1087" s="127" t="n"/>
      <c r="R1087" s="127" t="n"/>
      <c r="S1087" s="127" t="n"/>
      <c r="T1087" s="127" t="n"/>
      <c r="U1087" s="127" t="n"/>
      <c r="V1087" s="127" t="n"/>
      <c r="W1087" s="127" t="n"/>
      <c r="X1087" s="127" t="n"/>
      <c r="Y1087" s="127" t="n"/>
      <c r="Z1087" s="140" t="n"/>
    </row>
    <row r="1088">
      <c r="A1088" s="203">
        <f>ROW()-1</f>
        <v/>
      </c>
      <c r="B1088" s="128" t="n"/>
      <c r="C1088" s="263" t="n"/>
      <c r="D1088" s="262" t="n"/>
      <c r="E1088" s="128" t="n"/>
      <c r="F1088" s="138" t="inlineStr">
        <is>
          <t>SPARE</t>
        </is>
      </c>
      <c r="G1088" s="131" t="n"/>
      <c r="H1088" s="128" t="n"/>
      <c r="I1088" s="132" t="inlineStr">
        <is>
          <t>RL7-FAGC2-RIO1</t>
        </is>
      </c>
      <c r="J1088" s="133" t="n">
        <v>9</v>
      </c>
      <c r="K1088" s="129" t="n">
        <v>3</v>
      </c>
      <c r="L1088" s="129" t="n">
        <v>5</v>
      </c>
      <c r="M1088" s="129" t="inlineStr">
        <is>
          <t>24 VDC SI</t>
        </is>
      </c>
      <c r="N1088" s="129" t="inlineStr">
        <is>
          <t>5069-IB8S</t>
        </is>
      </c>
      <c r="O1088" s="139" t="n"/>
      <c r="P1088" s="127" t="n"/>
      <c r="Q1088" s="127" t="n"/>
      <c r="R1088" s="127" t="n"/>
      <c r="S1088" s="127" t="n"/>
      <c r="T1088" s="127" t="n"/>
      <c r="U1088" s="127" t="n"/>
      <c r="V1088" s="127" t="n"/>
      <c r="W1088" s="127" t="n"/>
      <c r="X1088" s="127" t="n"/>
      <c r="Y1088" s="127" t="n"/>
      <c r="Z1088" s="140" t="n"/>
    </row>
    <row r="1089">
      <c r="A1089" s="203">
        <f>ROW()-1</f>
        <v/>
      </c>
      <c r="B1089" s="128" t="n"/>
      <c r="C1089" s="263" t="n"/>
      <c r="D1089" s="262" t="n"/>
      <c r="E1089" s="128" t="n"/>
      <c r="F1089" s="138" t="inlineStr">
        <is>
          <t>SPARE</t>
        </is>
      </c>
      <c r="G1089" s="131" t="n"/>
      <c r="H1089" s="128" t="n"/>
      <c r="I1089" s="132" t="inlineStr">
        <is>
          <t>RL7-FAGC2-RIO1</t>
        </is>
      </c>
      <c r="J1089" s="133" t="n">
        <v>9</v>
      </c>
      <c r="K1089" s="129" t="n">
        <v>3</v>
      </c>
      <c r="L1089" s="129" t="n">
        <v>6</v>
      </c>
      <c r="M1089" s="129" t="inlineStr">
        <is>
          <t>24 VDC SI</t>
        </is>
      </c>
      <c r="N1089" s="129" t="inlineStr">
        <is>
          <t>5069-IB8S</t>
        </is>
      </c>
      <c r="O1089" s="139" t="n"/>
      <c r="P1089" s="127" t="n"/>
      <c r="Q1089" s="127" t="n"/>
      <c r="R1089" s="127" t="n"/>
      <c r="S1089" s="127" t="n"/>
      <c r="T1089" s="127" t="n"/>
      <c r="U1089" s="127" t="n"/>
      <c r="V1089" s="127" t="n"/>
      <c r="W1089" s="127" t="n"/>
      <c r="X1089" s="127" t="n"/>
      <c r="Y1089" s="127" t="n"/>
      <c r="Z1089" s="140" t="n"/>
    </row>
    <row r="1090">
      <c r="A1090" s="203">
        <f>ROW()-1</f>
        <v/>
      </c>
      <c r="B1090" s="128" t="n"/>
      <c r="C1090" s="263" t="n"/>
      <c r="D1090" s="262" t="n"/>
      <c r="E1090" s="128" t="n"/>
      <c r="F1090" s="138" t="inlineStr">
        <is>
          <t>SPARE</t>
        </is>
      </c>
      <c r="G1090" s="131" t="n"/>
      <c r="H1090" s="128" t="n"/>
      <c r="I1090" s="132" t="inlineStr">
        <is>
          <t>RL7-FAGC2-RIO1</t>
        </is>
      </c>
      <c r="J1090" s="133" t="n">
        <v>9</v>
      </c>
      <c r="K1090" s="129" t="n">
        <v>3</v>
      </c>
      <c r="L1090" s="129" t="n">
        <v>7</v>
      </c>
      <c r="M1090" s="129" t="inlineStr">
        <is>
          <t>24 VDC SI</t>
        </is>
      </c>
      <c r="N1090" s="129" t="inlineStr">
        <is>
          <t>5069-IB8S</t>
        </is>
      </c>
      <c r="O1090" s="139" t="n"/>
      <c r="P1090" s="127" t="n"/>
      <c r="Q1090" s="127" t="n"/>
      <c r="R1090" s="127" t="n"/>
      <c r="S1090" s="127" t="n"/>
      <c r="T1090" s="127" t="n"/>
      <c r="U1090" s="127" t="n"/>
      <c r="V1090" s="127" t="n"/>
      <c r="W1090" s="127" t="n"/>
      <c r="X1090" s="127" t="n"/>
      <c r="Y1090" s="127" t="n"/>
      <c r="Z1090" s="140" t="n"/>
    </row>
    <row r="1091">
      <c r="A1091" s="203">
        <f>ROW()-1</f>
        <v/>
      </c>
      <c r="B1091" s="128" t="n"/>
      <c r="C1091" s="263" t="n"/>
      <c r="D1091" s="262" t="n"/>
      <c r="E1091" s="128" t="n"/>
      <c r="F1091" s="138" t="inlineStr">
        <is>
          <t>SPARE</t>
        </is>
      </c>
      <c r="G1091" s="131" t="n"/>
      <c r="H1091" s="128" t="n"/>
      <c r="I1091" s="132" t="inlineStr">
        <is>
          <t>RL7-FAGC2-RIO1</t>
        </is>
      </c>
      <c r="J1091" s="133" t="n">
        <v>9</v>
      </c>
      <c r="K1091" s="129" t="n">
        <v>4</v>
      </c>
      <c r="L1091" s="129" t="n">
        <v>2</v>
      </c>
      <c r="M1091" s="129" t="inlineStr">
        <is>
          <t>24 VDC DI</t>
        </is>
      </c>
      <c r="N1091" s="129" t="inlineStr">
        <is>
          <t>5069-IB16</t>
        </is>
      </c>
      <c r="O1091" s="139" t="n"/>
      <c r="P1091" s="127" t="n"/>
      <c r="Q1091" s="127" t="n"/>
      <c r="R1091" s="127" t="n"/>
      <c r="S1091" s="127" t="n"/>
      <c r="T1091" s="127" t="n"/>
      <c r="U1091" s="127" t="n"/>
      <c r="V1091" s="127" t="n"/>
      <c r="W1091" s="127" t="n"/>
      <c r="X1091" s="127" t="n"/>
      <c r="Y1091" s="127" t="n"/>
      <c r="Z1091" s="145" t="n"/>
    </row>
    <row r="1092">
      <c r="A1092" s="203">
        <f>ROW()-1</f>
        <v/>
      </c>
      <c r="B1092" s="128" t="n"/>
      <c r="C1092" s="263" t="n"/>
      <c r="D1092" s="262" t="n"/>
      <c r="E1092" s="128" t="n"/>
      <c r="F1092" s="138" t="inlineStr">
        <is>
          <t>SPARE</t>
        </is>
      </c>
      <c r="G1092" s="131" t="n"/>
      <c r="H1092" s="128" t="n"/>
      <c r="I1092" s="132" t="inlineStr">
        <is>
          <t>RL7-FAGC2-RIO1</t>
        </is>
      </c>
      <c r="J1092" s="133" t="n">
        <v>9</v>
      </c>
      <c r="K1092" s="129" t="n">
        <v>4</v>
      </c>
      <c r="L1092" s="129" t="n">
        <v>4</v>
      </c>
      <c r="M1092" s="129" t="inlineStr">
        <is>
          <t>24 VDC DI</t>
        </is>
      </c>
      <c r="N1092" s="129" t="inlineStr">
        <is>
          <t>5069-IB16</t>
        </is>
      </c>
      <c r="O1092" s="139" t="n"/>
      <c r="P1092" s="127" t="n"/>
      <c r="Q1092" s="127" t="n"/>
      <c r="R1092" s="127" t="n"/>
      <c r="S1092" s="127" t="n"/>
      <c r="T1092" s="127" t="n"/>
      <c r="U1092" s="127" t="n"/>
      <c r="V1092" s="127" t="n"/>
      <c r="W1092" s="127" t="n"/>
      <c r="X1092" s="127" t="n"/>
      <c r="Y1092" s="127" t="n"/>
      <c r="Z1092" s="140" t="n"/>
    </row>
    <row r="1093">
      <c r="A1093" s="203">
        <f>ROW()-1</f>
        <v/>
      </c>
      <c r="B1093" s="128" t="n"/>
      <c r="C1093" s="263" t="n"/>
      <c r="D1093" s="262" t="n"/>
      <c r="E1093" s="128" t="n"/>
      <c r="F1093" s="138" t="inlineStr">
        <is>
          <t>SPARE</t>
        </is>
      </c>
      <c r="G1093" s="131" t="n"/>
      <c r="H1093" s="128" t="n"/>
      <c r="I1093" s="132" t="inlineStr">
        <is>
          <t>RL7-FAGC2-RIO1</t>
        </is>
      </c>
      <c r="J1093" s="133" t="n">
        <v>9</v>
      </c>
      <c r="K1093" s="129" t="n">
        <v>4</v>
      </c>
      <c r="L1093" s="129" t="n">
        <v>9</v>
      </c>
      <c r="M1093" s="129" t="inlineStr">
        <is>
          <t>24 VDC DI</t>
        </is>
      </c>
      <c r="N1093" s="129" t="inlineStr">
        <is>
          <t>5069-IB16</t>
        </is>
      </c>
      <c r="O1093" s="139" t="n"/>
      <c r="P1093" s="127" t="n"/>
      <c r="Q1093" s="127" t="n"/>
      <c r="R1093" s="127" t="n"/>
      <c r="S1093" s="127" t="n"/>
      <c r="T1093" s="127" t="n"/>
      <c r="U1093" s="127" t="n"/>
      <c r="V1093" s="127" t="n"/>
      <c r="W1093" s="127" t="n"/>
      <c r="X1093" s="127" t="n"/>
      <c r="Y1093" s="127" t="n"/>
      <c r="Z1093" s="140" t="n"/>
    </row>
    <row r="1094">
      <c r="A1094" s="203">
        <f>ROW()-1</f>
        <v/>
      </c>
      <c r="B1094" s="128" t="n"/>
      <c r="C1094" s="263" t="n"/>
      <c r="D1094" s="262" t="n"/>
      <c r="E1094" s="128" t="n"/>
      <c r="F1094" s="138" t="inlineStr">
        <is>
          <t>SPARE</t>
        </is>
      </c>
      <c r="G1094" s="131" t="n"/>
      <c r="H1094" s="128" t="n"/>
      <c r="I1094" s="132" t="inlineStr">
        <is>
          <t>RL7-FAGC2-RIO1</t>
        </is>
      </c>
      <c r="J1094" s="133" t="n">
        <v>9</v>
      </c>
      <c r="K1094" s="129" t="n">
        <v>4</v>
      </c>
      <c r="L1094" s="129" t="n">
        <v>10</v>
      </c>
      <c r="M1094" s="129" t="inlineStr">
        <is>
          <t>24 VDC DI</t>
        </is>
      </c>
      <c r="N1094" s="129" t="inlineStr">
        <is>
          <t>5069-IB16</t>
        </is>
      </c>
      <c r="O1094" s="139" t="n"/>
      <c r="P1094" s="127" t="n"/>
      <c r="Q1094" s="127" t="n"/>
      <c r="R1094" s="127" t="n"/>
      <c r="S1094" s="127" t="n"/>
      <c r="T1094" s="127" t="n"/>
      <c r="U1094" s="127" t="n"/>
      <c r="V1094" s="127" t="n"/>
      <c r="W1094" s="127" t="n"/>
      <c r="X1094" s="127" t="n"/>
      <c r="Y1094" s="127" t="n"/>
      <c r="Z1094" s="140" t="n"/>
    </row>
    <row r="1095">
      <c r="A1095" s="203">
        <f>ROW()-1</f>
        <v/>
      </c>
      <c r="B1095" s="128" t="n"/>
      <c r="C1095" s="263" t="n"/>
      <c r="D1095" s="262" t="n"/>
      <c r="E1095" s="128" t="n"/>
      <c r="F1095" s="138" t="inlineStr">
        <is>
          <t>SPARE</t>
        </is>
      </c>
      <c r="G1095" s="131" t="n"/>
      <c r="H1095" s="128" t="n"/>
      <c r="I1095" s="132" t="inlineStr">
        <is>
          <t>RL7-FAGC2-RIO1</t>
        </is>
      </c>
      <c r="J1095" s="133" t="n">
        <v>9</v>
      </c>
      <c r="K1095" s="129" t="n">
        <v>4</v>
      </c>
      <c r="L1095" s="129" t="n">
        <v>11</v>
      </c>
      <c r="M1095" s="129" t="inlineStr">
        <is>
          <t>24 VDC DI</t>
        </is>
      </c>
      <c r="N1095" s="129" t="inlineStr">
        <is>
          <t>5069-IB16</t>
        </is>
      </c>
      <c r="O1095" s="139" t="n"/>
      <c r="P1095" s="127" t="n"/>
      <c r="Q1095" s="127" t="n"/>
      <c r="R1095" s="127" t="n"/>
      <c r="S1095" s="127" t="n"/>
      <c r="T1095" s="127" t="n"/>
      <c r="U1095" s="127" t="n"/>
      <c r="V1095" s="127" t="n"/>
      <c r="W1095" s="127" t="n"/>
      <c r="X1095" s="127" t="n"/>
      <c r="Y1095" s="127" t="n"/>
      <c r="Z1095" s="140" t="n"/>
    </row>
    <row r="1096">
      <c r="A1096" s="203">
        <f>ROW()-1</f>
        <v/>
      </c>
      <c r="B1096" s="128" t="n"/>
      <c r="C1096" s="263" t="n"/>
      <c r="D1096" s="262" t="n"/>
      <c r="E1096" s="128" t="n"/>
      <c r="F1096" s="138" t="inlineStr">
        <is>
          <t>SPARE</t>
        </is>
      </c>
      <c r="G1096" s="131" t="n"/>
      <c r="H1096" s="128" t="n"/>
      <c r="I1096" s="132" t="inlineStr">
        <is>
          <t>RL7-FAGC2-RIO1</t>
        </is>
      </c>
      <c r="J1096" s="133" t="n">
        <v>9</v>
      </c>
      <c r="K1096" s="129" t="n">
        <v>4</v>
      </c>
      <c r="L1096" s="129" t="n">
        <v>12</v>
      </c>
      <c r="M1096" s="129" t="inlineStr">
        <is>
          <t>24 VDC DI</t>
        </is>
      </c>
      <c r="N1096" s="129" t="inlineStr">
        <is>
          <t>5069-IB16</t>
        </is>
      </c>
      <c r="O1096" s="139" t="n"/>
      <c r="P1096" s="127" t="n"/>
      <c r="Q1096" s="127" t="n"/>
      <c r="R1096" s="127" t="n"/>
      <c r="S1096" s="127" t="n"/>
      <c r="T1096" s="127" t="n"/>
      <c r="U1096" s="127" t="n"/>
      <c r="V1096" s="127" t="n"/>
      <c r="W1096" s="127" t="n"/>
      <c r="X1096" s="127" t="n"/>
      <c r="Y1096" s="127" t="n"/>
      <c r="Z1096" s="140" t="n"/>
    </row>
    <row r="1097">
      <c r="A1097" s="203">
        <f>ROW()-1</f>
        <v/>
      </c>
      <c r="B1097" s="128" t="n"/>
      <c r="C1097" s="263" t="n"/>
      <c r="D1097" s="262" t="n"/>
      <c r="E1097" s="128" t="n"/>
      <c r="F1097" s="138" t="inlineStr">
        <is>
          <t>SPARE</t>
        </is>
      </c>
      <c r="G1097" s="131" t="n"/>
      <c r="H1097" s="128" t="n"/>
      <c r="I1097" s="132" t="inlineStr">
        <is>
          <t>RL7-FAGC2-RIO1</t>
        </is>
      </c>
      <c r="J1097" s="133" t="n">
        <v>9</v>
      </c>
      <c r="K1097" s="129" t="n">
        <v>4</v>
      </c>
      <c r="L1097" s="129" t="n">
        <v>13</v>
      </c>
      <c r="M1097" s="129" t="inlineStr">
        <is>
          <t>24 VDC DI</t>
        </is>
      </c>
      <c r="N1097" s="129" t="inlineStr">
        <is>
          <t>5069-IB16</t>
        </is>
      </c>
      <c r="O1097" s="139" t="n"/>
      <c r="P1097" s="127" t="n"/>
      <c r="Q1097" s="127" t="n"/>
      <c r="R1097" s="127" t="n"/>
      <c r="S1097" s="127" t="n"/>
      <c r="T1097" s="127" t="n"/>
      <c r="U1097" s="127" t="n"/>
      <c r="V1097" s="127" t="n"/>
      <c r="W1097" s="127" t="n"/>
      <c r="X1097" s="127" t="n"/>
      <c r="Y1097" s="127" t="n"/>
      <c r="Z1097" s="140" t="n"/>
    </row>
    <row r="1098">
      <c r="A1098" s="203">
        <f>ROW()-1</f>
        <v/>
      </c>
      <c r="B1098" s="128" t="n"/>
      <c r="C1098" s="263" t="n"/>
      <c r="D1098" s="262" t="n"/>
      <c r="E1098" s="128" t="n"/>
      <c r="F1098" s="138" t="inlineStr">
        <is>
          <t>SPARE</t>
        </is>
      </c>
      <c r="G1098" s="131" t="n"/>
      <c r="H1098" s="128" t="n"/>
      <c r="I1098" s="132" t="inlineStr">
        <is>
          <t>RL7-FAGC2-RIO1</t>
        </is>
      </c>
      <c r="J1098" s="133" t="n">
        <v>9</v>
      </c>
      <c r="K1098" s="129" t="n">
        <v>4</v>
      </c>
      <c r="L1098" s="129" t="n">
        <v>14</v>
      </c>
      <c r="M1098" s="129" t="inlineStr">
        <is>
          <t>24 VDC DI</t>
        </is>
      </c>
      <c r="N1098" s="129" t="inlineStr">
        <is>
          <t>5069-IB16</t>
        </is>
      </c>
      <c r="O1098" s="139" t="n"/>
      <c r="P1098" s="127" t="n"/>
      <c r="Q1098" s="127" t="n"/>
      <c r="R1098" s="127" t="n"/>
      <c r="S1098" s="127" t="n"/>
      <c r="T1098" s="127" t="n"/>
      <c r="U1098" s="127" t="n"/>
      <c r="V1098" s="127" t="n"/>
      <c r="W1098" s="127" t="n"/>
      <c r="X1098" s="127" t="n"/>
      <c r="Y1098" s="127" t="n"/>
      <c r="Z1098" s="140" t="n"/>
    </row>
    <row r="1099">
      <c r="A1099" s="203">
        <f>ROW()-1</f>
        <v/>
      </c>
      <c r="B1099" s="128" t="n"/>
      <c r="C1099" s="263" t="n"/>
      <c r="D1099" s="262" t="n"/>
      <c r="E1099" s="128" t="n"/>
      <c r="F1099" s="138" t="inlineStr">
        <is>
          <t>SPARE</t>
        </is>
      </c>
      <c r="G1099" s="131" t="n"/>
      <c r="H1099" s="128" t="n"/>
      <c r="I1099" s="132" t="inlineStr">
        <is>
          <t>RL7-FAGC2-RIO1</t>
        </is>
      </c>
      <c r="J1099" s="133" t="n">
        <v>9</v>
      </c>
      <c r="K1099" s="129" t="n">
        <v>4</v>
      </c>
      <c r="L1099" s="129" t="n">
        <v>15</v>
      </c>
      <c r="M1099" s="129" t="inlineStr">
        <is>
          <t>24 VDC DI</t>
        </is>
      </c>
      <c r="N1099" s="129" t="inlineStr">
        <is>
          <t>5069-IB16</t>
        </is>
      </c>
      <c r="O1099" s="139" t="n"/>
      <c r="P1099" s="127" t="n"/>
      <c r="Q1099" s="127" t="n"/>
      <c r="R1099" s="127" t="n"/>
      <c r="S1099" s="127" t="n"/>
      <c r="T1099" s="127" t="n"/>
      <c r="U1099" s="127" t="n"/>
      <c r="V1099" s="127" t="n"/>
      <c r="W1099" s="127" t="n"/>
      <c r="X1099" s="127" t="n"/>
      <c r="Y1099" s="127" t="n"/>
      <c r="Z1099" s="140" t="n"/>
    </row>
    <row r="1100">
      <c r="A1100" s="203">
        <f>ROW()-1</f>
        <v/>
      </c>
      <c r="B1100" s="128" t="n"/>
      <c r="C1100" s="263" t="n"/>
      <c r="D1100" s="262" t="n"/>
      <c r="E1100" s="128" t="n"/>
      <c r="F1100" s="138" t="inlineStr">
        <is>
          <t>ADDRESS RESERVE MODULE</t>
        </is>
      </c>
      <c r="G1100" s="131" t="n"/>
      <c r="H1100" s="128" t="n"/>
      <c r="I1100" s="132" t="inlineStr">
        <is>
          <t>RL7-FAGC2-RIO1</t>
        </is>
      </c>
      <c r="J1100" s="133" t="n">
        <v>9</v>
      </c>
      <c r="K1100" s="129" t="n">
        <v>5</v>
      </c>
      <c r="L1100" s="129" t="n">
        <v>0</v>
      </c>
      <c r="M1100" s="129" t="inlineStr">
        <is>
          <t>ARM</t>
        </is>
      </c>
      <c r="N1100" s="129" t="inlineStr">
        <is>
          <t>5069-ARM</t>
        </is>
      </c>
      <c r="O1100" s="139" t="n"/>
      <c r="P1100" s="127" t="n"/>
      <c r="Q1100" s="127" t="n"/>
      <c r="R1100" s="127" t="n"/>
      <c r="S1100" s="127" t="n"/>
      <c r="T1100" s="127" t="n"/>
      <c r="U1100" s="127" t="n"/>
      <c r="V1100" s="127" t="n"/>
      <c r="W1100" s="127" t="n"/>
      <c r="X1100" s="127" t="n"/>
      <c r="Y1100" s="127" t="n"/>
      <c r="Z1100" s="140" t="n"/>
    </row>
    <row r="1101">
      <c r="A1101" s="203">
        <f>ROW()-1</f>
        <v/>
      </c>
      <c r="B1101" s="128" t="n"/>
      <c r="C1101" s="263" t="n"/>
      <c r="D1101" s="262" t="n"/>
      <c r="E1101" s="128" t="n"/>
      <c r="F1101" s="138" t="inlineStr">
        <is>
          <t>SPARE</t>
        </is>
      </c>
      <c r="G1101" s="131" t="n"/>
      <c r="H1101" s="128" t="n"/>
      <c r="I1101" s="132" t="inlineStr">
        <is>
          <t>RL7-FAGC2-RIO1</t>
        </is>
      </c>
      <c r="J1101" s="133" t="n">
        <v>9</v>
      </c>
      <c r="K1101" s="129" t="n">
        <v>6</v>
      </c>
      <c r="L1101" s="129" t="n">
        <v>1</v>
      </c>
      <c r="M1101" s="129" t="inlineStr">
        <is>
          <t>24 VDC DO</t>
        </is>
      </c>
      <c r="N1101" s="129" t="inlineStr">
        <is>
          <t>5069-OB16</t>
        </is>
      </c>
      <c r="O1101" s="139" t="n"/>
      <c r="P1101" s="127" t="n"/>
      <c r="Q1101" s="127" t="n"/>
      <c r="R1101" s="127" t="n"/>
      <c r="S1101" s="127" t="n"/>
      <c r="T1101" s="127" t="n"/>
      <c r="U1101" s="127" t="n"/>
      <c r="V1101" s="127" t="n"/>
      <c r="W1101" s="127" t="n"/>
      <c r="X1101" s="127" t="n"/>
      <c r="Y1101" s="127" t="n"/>
      <c r="Z1101" s="140" t="n"/>
    </row>
    <row r="1102">
      <c r="A1102" s="203">
        <f>ROW()-1</f>
        <v/>
      </c>
      <c r="B1102" s="128" t="n"/>
      <c r="C1102" s="263" t="n"/>
      <c r="D1102" s="262" t="n"/>
      <c r="E1102" s="128" t="n"/>
      <c r="F1102" s="138" t="inlineStr">
        <is>
          <t>SPARE</t>
        </is>
      </c>
      <c r="G1102" s="131" t="n"/>
      <c r="H1102" s="128" t="n"/>
      <c r="I1102" s="132" t="inlineStr">
        <is>
          <t>RL7-FAGC2-RIO1</t>
        </is>
      </c>
      <c r="J1102" s="133" t="n">
        <v>9</v>
      </c>
      <c r="K1102" s="129" t="n">
        <v>6</v>
      </c>
      <c r="L1102" s="129" t="n">
        <v>9</v>
      </c>
      <c r="M1102" s="129" t="inlineStr">
        <is>
          <t>24 VDC DO</t>
        </is>
      </c>
      <c r="N1102" s="129" t="inlineStr">
        <is>
          <t>5069-OB16</t>
        </is>
      </c>
      <c r="O1102" s="139" t="n"/>
      <c r="P1102" s="127" t="n"/>
      <c r="Q1102" s="127" t="n"/>
      <c r="R1102" s="127" t="n"/>
      <c r="S1102" s="127" t="n"/>
      <c r="T1102" s="127" t="n"/>
      <c r="U1102" s="127" t="n"/>
      <c r="V1102" s="127" t="n"/>
      <c r="W1102" s="127" t="n"/>
      <c r="X1102" s="127" t="n"/>
      <c r="Y1102" s="127" t="n"/>
      <c r="Z1102" s="140" t="n"/>
    </row>
    <row r="1103">
      <c r="A1103" s="203">
        <f>ROW()-1</f>
        <v/>
      </c>
      <c r="B1103" s="128" t="n"/>
      <c r="C1103" s="263" t="n"/>
      <c r="D1103" s="262" t="n"/>
      <c r="E1103" s="128" t="n"/>
      <c r="F1103" s="138" t="inlineStr">
        <is>
          <t>SPARE</t>
        </is>
      </c>
      <c r="G1103" s="131" t="n"/>
      <c r="H1103" s="128" t="n"/>
      <c r="I1103" s="132" t="inlineStr">
        <is>
          <t>RL7-FAGC2-RIO1</t>
        </is>
      </c>
      <c r="J1103" s="133" t="n">
        <v>9</v>
      </c>
      <c r="K1103" s="129" t="n">
        <v>6</v>
      </c>
      <c r="L1103" s="129" t="n">
        <v>10</v>
      </c>
      <c r="M1103" s="129" t="inlineStr">
        <is>
          <t>24 VDC DO</t>
        </is>
      </c>
      <c r="N1103" s="129" t="inlineStr">
        <is>
          <t>5069-OB16</t>
        </is>
      </c>
      <c r="O1103" s="139" t="n"/>
      <c r="P1103" s="127" t="n"/>
      <c r="Q1103" s="127" t="n"/>
      <c r="R1103" s="127" t="n"/>
      <c r="S1103" s="127" t="n"/>
      <c r="T1103" s="127" t="n"/>
      <c r="U1103" s="127" t="n"/>
      <c r="V1103" s="127" t="n"/>
      <c r="W1103" s="127" t="n"/>
      <c r="X1103" s="127" t="n"/>
      <c r="Y1103" s="127" t="n"/>
      <c r="Z1103" s="140" t="n"/>
    </row>
    <row r="1104">
      <c r="A1104" s="203">
        <f>ROW()-1</f>
        <v/>
      </c>
      <c r="B1104" s="128" t="n"/>
      <c r="C1104" s="263" t="n"/>
      <c r="D1104" s="262" t="n"/>
      <c r="E1104" s="128" t="n"/>
      <c r="F1104" s="138" t="inlineStr">
        <is>
          <t>SPARE</t>
        </is>
      </c>
      <c r="G1104" s="131" t="n"/>
      <c r="H1104" s="128" t="n"/>
      <c r="I1104" s="132" t="inlineStr">
        <is>
          <t>RL7-FAGC2-RIO1</t>
        </is>
      </c>
      <c r="J1104" s="133" t="n">
        <v>9</v>
      </c>
      <c r="K1104" s="129" t="n">
        <v>6</v>
      </c>
      <c r="L1104" s="129" t="n">
        <v>11</v>
      </c>
      <c r="M1104" s="129" t="inlineStr">
        <is>
          <t>24 VDC DO</t>
        </is>
      </c>
      <c r="N1104" s="129" t="inlineStr">
        <is>
          <t>5069-OB16</t>
        </is>
      </c>
      <c r="O1104" s="139" t="n"/>
      <c r="P1104" s="127" t="n"/>
      <c r="Q1104" s="127" t="n"/>
      <c r="R1104" s="127" t="n"/>
      <c r="S1104" s="127" t="n"/>
      <c r="T1104" s="127" t="n"/>
      <c r="U1104" s="127" t="n"/>
      <c r="V1104" s="127" t="n"/>
      <c r="W1104" s="127" t="n"/>
      <c r="X1104" s="127" t="n"/>
      <c r="Y1104" s="127" t="n"/>
      <c r="Z1104" s="140" t="n"/>
    </row>
    <row r="1105">
      <c r="A1105" s="203">
        <f>ROW()-1</f>
        <v/>
      </c>
      <c r="B1105" s="128" t="n"/>
      <c r="C1105" s="263" t="n"/>
      <c r="D1105" s="262" t="n"/>
      <c r="E1105" s="128" t="n"/>
      <c r="F1105" s="138" t="inlineStr">
        <is>
          <t>SPARE</t>
        </is>
      </c>
      <c r="G1105" s="131" t="n"/>
      <c r="H1105" s="128" t="n"/>
      <c r="I1105" s="132" t="inlineStr">
        <is>
          <t>RL7-FAGC2-RIO1</t>
        </is>
      </c>
      <c r="J1105" s="133" t="n">
        <v>9</v>
      </c>
      <c r="K1105" s="129" t="n">
        <v>6</v>
      </c>
      <c r="L1105" s="129" t="n">
        <v>12</v>
      </c>
      <c r="M1105" s="129" t="inlineStr">
        <is>
          <t>24 VDC DO</t>
        </is>
      </c>
      <c r="N1105" s="129" t="inlineStr">
        <is>
          <t>5069-OB16</t>
        </is>
      </c>
      <c r="O1105" s="139" t="n"/>
      <c r="P1105" s="127" t="n"/>
      <c r="Q1105" s="127" t="n"/>
      <c r="R1105" s="127" t="n"/>
      <c r="S1105" s="127" t="n"/>
      <c r="T1105" s="127" t="n"/>
      <c r="U1105" s="127" t="n"/>
      <c r="V1105" s="127" t="n"/>
      <c r="W1105" s="127" t="n"/>
      <c r="X1105" s="127" t="n"/>
      <c r="Y1105" s="127" t="n"/>
      <c r="Z1105" s="140" t="n"/>
    </row>
    <row r="1106">
      <c r="A1106" s="203">
        <f>ROW()-1</f>
        <v/>
      </c>
      <c r="B1106" s="128" t="n"/>
      <c r="C1106" s="263" t="n"/>
      <c r="D1106" s="262" t="n"/>
      <c r="E1106" s="128" t="n"/>
      <c r="F1106" s="138" t="inlineStr">
        <is>
          <t>SPARE</t>
        </is>
      </c>
      <c r="G1106" s="131" t="n"/>
      <c r="H1106" s="128" t="n"/>
      <c r="I1106" s="132" t="inlineStr">
        <is>
          <t>RL7-FAGC2-RIO1</t>
        </is>
      </c>
      <c r="J1106" s="133" t="n">
        <v>9</v>
      </c>
      <c r="K1106" s="129" t="n">
        <v>6</v>
      </c>
      <c r="L1106" s="129" t="n">
        <v>13</v>
      </c>
      <c r="M1106" s="129" t="inlineStr">
        <is>
          <t>24 VDC DO</t>
        </is>
      </c>
      <c r="N1106" s="129" t="inlineStr">
        <is>
          <t>5069-OB16</t>
        </is>
      </c>
      <c r="O1106" s="139" t="n"/>
      <c r="P1106" s="127" t="n"/>
      <c r="Q1106" s="127" t="n"/>
      <c r="R1106" s="127" t="n"/>
      <c r="S1106" s="127" t="n"/>
      <c r="T1106" s="127" t="n"/>
      <c r="U1106" s="127" t="n"/>
      <c r="V1106" s="127" t="n"/>
      <c r="W1106" s="127" t="n"/>
      <c r="X1106" s="127" t="n"/>
      <c r="Y1106" s="127" t="n"/>
      <c r="Z1106" s="140" t="n"/>
    </row>
    <row r="1107">
      <c r="A1107" s="203">
        <f>ROW()-1</f>
        <v/>
      </c>
      <c r="B1107" s="128" t="n"/>
      <c r="C1107" s="263" t="n"/>
      <c r="D1107" s="262" t="n"/>
      <c r="E1107" s="128" t="n"/>
      <c r="F1107" s="138" t="inlineStr">
        <is>
          <t>SPARE</t>
        </is>
      </c>
      <c r="G1107" s="131" t="n"/>
      <c r="H1107" s="128" t="n"/>
      <c r="I1107" s="132" t="inlineStr">
        <is>
          <t>RL7-FAGC2-RIO1</t>
        </is>
      </c>
      <c r="J1107" s="133" t="n">
        <v>9</v>
      </c>
      <c r="K1107" s="129" t="n">
        <v>6</v>
      </c>
      <c r="L1107" s="129" t="n">
        <v>14</v>
      </c>
      <c r="M1107" s="129" t="inlineStr">
        <is>
          <t>24 VDC DO</t>
        </is>
      </c>
      <c r="N1107" s="129" t="inlineStr">
        <is>
          <t>5069-OB16</t>
        </is>
      </c>
      <c r="O1107" s="139" t="n"/>
      <c r="P1107" s="127" t="n"/>
      <c r="Q1107" s="127" t="n"/>
      <c r="R1107" s="127" t="n"/>
      <c r="S1107" s="127" t="n"/>
      <c r="T1107" s="127" t="n"/>
      <c r="U1107" s="127" t="n"/>
      <c r="V1107" s="127" t="n"/>
      <c r="W1107" s="127" t="n"/>
      <c r="X1107" s="127" t="n"/>
      <c r="Y1107" s="127" t="n"/>
      <c r="Z1107" s="140" t="n"/>
    </row>
    <row r="1108">
      <c r="A1108" s="203">
        <f>ROW()-1</f>
        <v/>
      </c>
      <c r="B1108" s="128" t="n"/>
      <c r="C1108" s="263" t="n"/>
      <c r="D1108" s="262" t="n"/>
      <c r="E1108" s="128" t="n"/>
      <c r="F1108" s="138" t="inlineStr">
        <is>
          <t>SPARE</t>
        </is>
      </c>
      <c r="G1108" s="131" t="n"/>
      <c r="H1108" s="128" t="n"/>
      <c r="I1108" s="132" t="inlineStr">
        <is>
          <t>RL7-FAGC2-RIO1</t>
        </is>
      </c>
      <c r="J1108" s="133" t="n">
        <v>9</v>
      </c>
      <c r="K1108" s="129" t="n">
        <v>6</v>
      </c>
      <c r="L1108" s="129" t="n">
        <v>15</v>
      </c>
      <c r="M1108" s="129" t="inlineStr">
        <is>
          <t>24 VDC DO</t>
        </is>
      </c>
      <c r="N1108" s="129" t="inlineStr">
        <is>
          <t>5069-OB16</t>
        </is>
      </c>
      <c r="O1108" s="139" t="n"/>
      <c r="P1108" s="127" t="n"/>
      <c r="Q1108" s="127" t="n"/>
      <c r="R1108" s="127" t="n"/>
      <c r="S1108" s="127" t="n"/>
      <c r="T1108" s="127" t="n"/>
      <c r="U1108" s="127" t="n"/>
      <c r="V1108" s="127" t="n"/>
      <c r="W1108" s="127" t="n"/>
      <c r="X1108" s="127" t="n"/>
      <c r="Y1108" s="127" t="n"/>
      <c r="Z1108" s="140" t="n"/>
    </row>
    <row r="1109">
      <c r="A1109" s="203">
        <f>ROW()-1</f>
        <v/>
      </c>
      <c r="B1109" s="128" t="inlineStr">
        <is>
          <t>RL7-CNV-107-ZSS-01</t>
        </is>
      </c>
      <c r="C1109" s="263" t="n"/>
      <c r="D1109" s="262" t="n"/>
      <c r="E1109" s="128" t="n"/>
      <c r="F1109" s="141" t="inlineStr">
        <is>
          <t>SPARE</t>
        </is>
      </c>
      <c r="G1109" s="131" t="n"/>
      <c r="H1109" s="128" t="n"/>
      <c r="I1109" s="142" t="inlineStr">
        <is>
          <t>RL7-PRM-RIO1</t>
        </is>
      </c>
      <c r="J1109" s="133" t="n">
        <v>10</v>
      </c>
      <c r="K1109" s="129" t="n">
        <v>1</v>
      </c>
      <c r="L1109" s="129" t="n">
        <v>0</v>
      </c>
      <c r="M1109" s="129" t="inlineStr">
        <is>
          <t>24 VDC SI</t>
        </is>
      </c>
      <c r="N1109" s="129" t="inlineStr">
        <is>
          <t>5069-IB8S</t>
        </is>
      </c>
      <c r="O1109" s="139" t="n"/>
      <c r="P1109" s="127" t="n"/>
      <c r="Q1109" s="127" t="n"/>
      <c r="R1109" s="127" t="n"/>
      <c r="S1109" s="127" t="n"/>
      <c r="T1109" s="127" t="n"/>
      <c r="U1109" s="127" t="n"/>
      <c r="V1109" s="127" t="n"/>
      <c r="W1109" s="127" t="n"/>
      <c r="X1109" s="127" t="n"/>
      <c r="Y1109" s="127" t="n"/>
      <c r="Z1109" s="143" t="inlineStr">
        <is>
          <t>RESERVED FOR IPA3</t>
        </is>
      </c>
    </row>
    <row r="1110">
      <c r="A1110" s="203">
        <f>ROW()-1</f>
        <v/>
      </c>
      <c r="B1110" s="128" t="inlineStr">
        <is>
          <t>RL7-CNV-107-ZSS-01</t>
        </is>
      </c>
      <c r="C1110" s="263" t="n"/>
      <c r="D1110" s="262" t="n"/>
      <c r="E1110" s="128" t="n"/>
      <c r="F1110" s="141" t="inlineStr">
        <is>
          <t>SPARE</t>
        </is>
      </c>
      <c r="G1110" s="131" t="n"/>
      <c r="H1110" s="128" t="n"/>
      <c r="I1110" s="142" t="inlineStr">
        <is>
          <t>RL7-PRM-RIO1</t>
        </is>
      </c>
      <c r="J1110" s="133" t="n">
        <v>10</v>
      </c>
      <c r="K1110" s="129" t="n">
        <v>1</v>
      </c>
      <c r="L1110" s="129" t="n">
        <v>1</v>
      </c>
      <c r="M1110" s="129" t="inlineStr">
        <is>
          <t>24 VDC SI</t>
        </is>
      </c>
      <c r="N1110" s="129" t="inlineStr">
        <is>
          <t>5069-IB8S</t>
        </is>
      </c>
      <c r="O1110" s="139" t="n"/>
      <c r="P1110" s="127" t="n"/>
      <c r="Q1110" s="127" t="n"/>
      <c r="R1110" s="127" t="n"/>
      <c r="S1110" s="127" t="n"/>
      <c r="T1110" s="127" t="n"/>
      <c r="U1110" s="127" t="n"/>
      <c r="V1110" s="127" t="n"/>
      <c r="W1110" s="127" t="n"/>
      <c r="X1110" s="127" t="n"/>
      <c r="Y1110" s="127" t="n"/>
      <c r="Z1110" s="143" t="inlineStr">
        <is>
          <t>RESERVED FOR IPA3</t>
        </is>
      </c>
    </row>
    <row r="1111">
      <c r="A1111" s="203">
        <f>ROW()-1</f>
        <v/>
      </c>
      <c r="B1111" s="128" t="inlineStr">
        <is>
          <t>RL7-CNV-107-ZSS-03</t>
        </is>
      </c>
      <c r="C1111" s="263" t="n"/>
      <c r="D1111" s="262" t="n"/>
      <c r="E1111" s="128" t="n"/>
      <c r="F1111" s="141" t="inlineStr">
        <is>
          <t>SPARE</t>
        </is>
      </c>
      <c r="G1111" s="131" t="n"/>
      <c r="H1111" s="128" t="n"/>
      <c r="I1111" s="142" t="inlineStr">
        <is>
          <t>RL7-PRM-RIO1</t>
        </is>
      </c>
      <c r="J1111" s="133" t="n">
        <v>10</v>
      </c>
      <c r="K1111" s="129" t="n">
        <v>1</v>
      </c>
      <c r="L1111" s="129" t="n">
        <v>2</v>
      </c>
      <c r="M1111" s="129" t="inlineStr">
        <is>
          <t>24 VDC SI</t>
        </is>
      </c>
      <c r="N1111" s="129" t="inlineStr">
        <is>
          <t>5069-IB8S</t>
        </is>
      </c>
      <c r="O1111" s="139" t="n"/>
      <c r="P1111" s="127" t="n"/>
      <c r="Q1111" s="127" t="n"/>
      <c r="R1111" s="127" t="n"/>
      <c r="S1111" s="127" t="n"/>
      <c r="T1111" s="127" t="n"/>
      <c r="U1111" s="127" t="n"/>
      <c r="V1111" s="127" t="n"/>
      <c r="W1111" s="127" t="n"/>
      <c r="X1111" s="127" t="n"/>
      <c r="Y1111" s="127" t="n"/>
      <c r="Z1111" s="143" t="inlineStr">
        <is>
          <t>RESERVED FOR IPA3</t>
        </is>
      </c>
    </row>
    <row r="1112">
      <c r="A1112" s="203">
        <f>ROW()-1</f>
        <v/>
      </c>
      <c r="B1112" s="128" t="inlineStr">
        <is>
          <t>RL7-CNV-107-ZSS-03</t>
        </is>
      </c>
      <c r="C1112" s="263" t="n"/>
      <c r="D1112" s="262" t="n"/>
      <c r="E1112" s="128" t="n"/>
      <c r="F1112" s="141" t="inlineStr">
        <is>
          <t>SPARE</t>
        </is>
      </c>
      <c r="G1112" s="131" t="n"/>
      <c r="H1112" s="128" t="n"/>
      <c r="I1112" s="142" t="inlineStr">
        <is>
          <t>RL7-PRM-RIO1</t>
        </is>
      </c>
      <c r="J1112" s="133" t="n">
        <v>10</v>
      </c>
      <c r="K1112" s="129" t="n">
        <v>1</v>
      </c>
      <c r="L1112" s="129" t="n">
        <v>3</v>
      </c>
      <c r="M1112" s="129" t="inlineStr">
        <is>
          <t>24 VDC SI</t>
        </is>
      </c>
      <c r="N1112" s="129" t="inlineStr">
        <is>
          <t>5069-IB8S</t>
        </is>
      </c>
      <c r="O1112" s="139" t="n"/>
      <c r="P1112" s="127" t="n"/>
      <c r="Q1112" s="127" t="n"/>
      <c r="R1112" s="127" t="n"/>
      <c r="S1112" s="127" t="n"/>
      <c r="T1112" s="127" t="n"/>
      <c r="U1112" s="127" t="n"/>
      <c r="V1112" s="127" t="n"/>
      <c r="W1112" s="127" t="n"/>
      <c r="X1112" s="127" t="n"/>
      <c r="Y1112" s="127" t="n"/>
      <c r="Z1112" s="143" t="inlineStr">
        <is>
          <t>RESERVED FOR IPA3</t>
        </is>
      </c>
    </row>
    <row r="1113">
      <c r="A1113" s="203">
        <f>ROW()-1</f>
        <v/>
      </c>
      <c r="B1113" s="128" t="inlineStr">
        <is>
          <t>RL7-CNV-107-ZSS-04</t>
        </is>
      </c>
      <c r="C1113" s="263" t="n"/>
      <c r="D1113" s="262" t="n"/>
      <c r="E1113" s="128" t="n"/>
      <c r="F1113" s="141" t="inlineStr">
        <is>
          <t>SPARE</t>
        </is>
      </c>
      <c r="G1113" s="131" t="n"/>
      <c r="H1113" s="128" t="n"/>
      <c r="I1113" s="142" t="inlineStr">
        <is>
          <t>RL7-PRM-RIO1</t>
        </is>
      </c>
      <c r="J1113" s="133" t="n">
        <v>10</v>
      </c>
      <c r="K1113" s="129" t="n">
        <v>1</v>
      </c>
      <c r="L1113" s="129" t="n">
        <v>4</v>
      </c>
      <c r="M1113" s="129" t="inlineStr">
        <is>
          <t>24 VDC SI</t>
        </is>
      </c>
      <c r="N1113" s="129" t="inlineStr">
        <is>
          <t>5069-IB8S</t>
        </is>
      </c>
      <c r="O1113" s="139" t="n"/>
      <c r="P1113" s="127" t="n"/>
      <c r="Q1113" s="127" t="n"/>
      <c r="R1113" s="127" t="n"/>
      <c r="S1113" s="127" t="n"/>
      <c r="T1113" s="127" t="n"/>
      <c r="U1113" s="127" t="n"/>
      <c r="V1113" s="127" t="n"/>
      <c r="W1113" s="127" t="n"/>
      <c r="X1113" s="127" t="n"/>
      <c r="Y1113" s="127" t="n"/>
      <c r="Z1113" s="143" t="inlineStr">
        <is>
          <t>RESERVED FOR IPA3</t>
        </is>
      </c>
    </row>
    <row r="1114">
      <c r="A1114" s="203">
        <f>ROW()-1</f>
        <v/>
      </c>
      <c r="B1114" s="128" t="inlineStr">
        <is>
          <t>RL7-CNV-107-ZSS-04</t>
        </is>
      </c>
      <c r="C1114" s="263" t="n"/>
      <c r="D1114" s="262" t="n"/>
      <c r="E1114" s="128" t="n"/>
      <c r="F1114" s="141" t="inlineStr">
        <is>
          <t>SPARE</t>
        </is>
      </c>
      <c r="G1114" s="131" t="n"/>
      <c r="H1114" s="128" t="n"/>
      <c r="I1114" s="142" t="inlineStr">
        <is>
          <t>RL7-PRM-RIO1</t>
        </is>
      </c>
      <c r="J1114" s="133" t="n">
        <v>10</v>
      </c>
      <c r="K1114" s="129" t="n">
        <v>1</v>
      </c>
      <c r="L1114" s="129" t="n">
        <v>5</v>
      </c>
      <c r="M1114" s="129" t="inlineStr">
        <is>
          <t>24 VDC SI</t>
        </is>
      </c>
      <c r="N1114" s="129" t="inlineStr">
        <is>
          <t>5069-IB8S</t>
        </is>
      </c>
      <c r="O1114" s="139" t="n"/>
      <c r="P1114" s="127" t="n"/>
      <c r="Q1114" s="127" t="n"/>
      <c r="R1114" s="127" t="n"/>
      <c r="S1114" s="127" t="n"/>
      <c r="T1114" s="127" t="n"/>
      <c r="U1114" s="127" t="n"/>
      <c r="V1114" s="127" t="n"/>
      <c r="W1114" s="127" t="n"/>
      <c r="X1114" s="127" t="n"/>
      <c r="Y1114" s="127" t="n"/>
      <c r="Z1114" s="143" t="inlineStr">
        <is>
          <t>RESERVED FOR IPA3</t>
        </is>
      </c>
    </row>
    <row r="1115">
      <c r="A1115" s="203">
        <f>ROW()-1</f>
        <v/>
      </c>
      <c r="B1115" s="128" t="inlineStr">
        <is>
          <t>RL7-CNV-107-ZSS-05</t>
        </is>
      </c>
      <c r="C1115" s="263" t="n"/>
      <c r="D1115" s="262" t="n"/>
      <c r="E1115" s="128" t="n"/>
      <c r="F1115" s="141" t="inlineStr">
        <is>
          <t>SPARE</t>
        </is>
      </c>
      <c r="G1115" s="131" t="n"/>
      <c r="H1115" s="128" t="n"/>
      <c r="I1115" s="142" t="inlineStr">
        <is>
          <t>RL7-PRM-RIO1</t>
        </is>
      </c>
      <c r="J1115" s="133" t="n">
        <v>10</v>
      </c>
      <c r="K1115" s="129" t="n">
        <v>1</v>
      </c>
      <c r="L1115" s="129" t="n">
        <v>6</v>
      </c>
      <c r="M1115" s="129" t="inlineStr">
        <is>
          <t>24 VDC SI</t>
        </is>
      </c>
      <c r="N1115" s="129" t="inlineStr">
        <is>
          <t>5069-IB8S</t>
        </is>
      </c>
      <c r="O1115" s="139" t="n"/>
      <c r="P1115" s="127" t="n"/>
      <c r="Q1115" s="127" t="n"/>
      <c r="R1115" s="127" t="n"/>
      <c r="S1115" s="127" t="n"/>
      <c r="T1115" s="127" t="n"/>
      <c r="U1115" s="127" t="n"/>
      <c r="V1115" s="127" t="n"/>
      <c r="W1115" s="127" t="n"/>
      <c r="X1115" s="127" t="n"/>
      <c r="Y1115" s="127" t="n"/>
      <c r="Z1115" s="143" t="inlineStr">
        <is>
          <t>RESERVED FOR IPA3</t>
        </is>
      </c>
    </row>
    <row r="1116">
      <c r="A1116" s="203">
        <f>ROW()-1</f>
        <v/>
      </c>
      <c r="B1116" s="128" t="inlineStr">
        <is>
          <t>RL7-CNV-107-ZSS-05</t>
        </is>
      </c>
      <c r="C1116" s="263" t="n"/>
      <c r="D1116" s="262" t="n"/>
      <c r="E1116" s="128" t="n"/>
      <c r="F1116" s="141" t="inlineStr">
        <is>
          <t>SPARE</t>
        </is>
      </c>
      <c r="G1116" s="131" t="n"/>
      <c r="H1116" s="128" t="n"/>
      <c r="I1116" s="142" t="inlineStr">
        <is>
          <t>RL7-PRM-RIO1</t>
        </is>
      </c>
      <c r="J1116" s="133" t="n">
        <v>10</v>
      </c>
      <c r="K1116" s="129" t="n">
        <v>1</v>
      </c>
      <c r="L1116" s="129" t="n">
        <v>7</v>
      </c>
      <c r="M1116" s="129" t="inlineStr">
        <is>
          <t>24 VDC SI</t>
        </is>
      </c>
      <c r="N1116" s="129" t="inlineStr">
        <is>
          <t>5069-IB8S</t>
        </is>
      </c>
      <c r="O1116" s="139" t="n"/>
      <c r="P1116" s="127" t="n"/>
      <c r="Q1116" s="127" t="n"/>
      <c r="R1116" s="127" t="n"/>
      <c r="S1116" s="127" t="n"/>
      <c r="T1116" s="127" t="n"/>
      <c r="U1116" s="127" t="n"/>
      <c r="V1116" s="127" t="n"/>
      <c r="W1116" s="127" t="n"/>
      <c r="X1116" s="127" t="n"/>
      <c r="Y1116" s="127" t="n"/>
      <c r="Z1116" s="143" t="inlineStr">
        <is>
          <t>RESERVED FOR IPA3</t>
        </is>
      </c>
    </row>
    <row r="1117">
      <c r="A1117" s="203">
        <f>ROW()-1</f>
        <v/>
      </c>
      <c r="B1117" s="128" t="inlineStr">
        <is>
          <t>RL7-CNV-107-ZSS-02</t>
        </is>
      </c>
      <c r="C1117" s="263" t="n"/>
      <c r="D1117" s="262" t="n"/>
      <c r="E1117" s="128" t="n"/>
      <c r="F1117" s="141" t="inlineStr">
        <is>
          <t>SPARE</t>
        </is>
      </c>
      <c r="G1117" s="131" t="n"/>
      <c r="H1117" s="128" t="n"/>
      <c r="I1117" s="142" t="inlineStr">
        <is>
          <t>RL7-PRM-RIO1</t>
        </is>
      </c>
      <c r="J1117" s="133" t="n">
        <v>10</v>
      </c>
      <c r="K1117" s="129" t="n">
        <v>2</v>
      </c>
      <c r="L1117" s="129" t="n">
        <v>0</v>
      </c>
      <c r="M1117" s="129" t="inlineStr">
        <is>
          <t>24 VDC SI</t>
        </is>
      </c>
      <c r="N1117" s="129" t="inlineStr">
        <is>
          <t>5069-IB8S</t>
        </is>
      </c>
      <c r="O1117" s="139" t="n"/>
      <c r="P1117" s="127" t="n"/>
      <c r="Q1117" s="127" t="n"/>
      <c r="R1117" s="127" t="n"/>
      <c r="S1117" s="127" t="n"/>
      <c r="T1117" s="127" t="n"/>
      <c r="U1117" s="127" t="n"/>
      <c r="V1117" s="127" t="n"/>
      <c r="W1117" s="127" t="n"/>
      <c r="X1117" s="127" t="n"/>
      <c r="Y1117" s="127" t="n"/>
      <c r="Z1117" s="143" t="inlineStr">
        <is>
          <t>RESERVED FOR IPA3</t>
        </is>
      </c>
    </row>
    <row r="1118">
      <c r="A1118" s="203">
        <f>ROW()-1</f>
        <v/>
      </c>
      <c r="B1118" s="128" t="inlineStr">
        <is>
          <t>RL7-CNV-107-ZSS-02</t>
        </is>
      </c>
      <c r="C1118" s="263" t="n"/>
      <c r="D1118" s="262" t="n"/>
      <c r="E1118" s="128" t="n"/>
      <c r="F1118" s="141" t="inlineStr">
        <is>
          <t>SPARE</t>
        </is>
      </c>
      <c r="G1118" s="131" t="n"/>
      <c r="H1118" s="128" t="n"/>
      <c r="I1118" s="142" t="inlineStr">
        <is>
          <t>RL7-PRM-RIO1</t>
        </is>
      </c>
      <c r="J1118" s="133" t="n">
        <v>10</v>
      </c>
      <c r="K1118" s="129" t="n">
        <v>2</v>
      </c>
      <c r="L1118" s="129" t="n">
        <v>1</v>
      </c>
      <c r="M1118" s="129" t="inlineStr">
        <is>
          <t>24 VDC SI</t>
        </is>
      </c>
      <c r="N1118" s="129" t="inlineStr">
        <is>
          <t>5069-IB8S</t>
        </is>
      </c>
      <c r="O1118" s="139" t="n"/>
      <c r="P1118" s="127" t="n"/>
      <c r="Q1118" s="127" t="n"/>
      <c r="R1118" s="127" t="n"/>
      <c r="S1118" s="127" t="n"/>
      <c r="T1118" s="127" t="n"/>
      <c r="U1118" s="127" t="n"/>
      <c r="V1118" s="127" t="n"/>
      <c r="W1118" s="127" t="n"/>
      <c r="X1118" s="127" t="n"/>
      <c r="Y1118" s="127" t="n"/>
      <c r="Z1118" s="143" t="inlineStr">
        <is>
          <t>RESERVED FOR IPA3</t>
        </is>
      </c>
    </row>
    <row r="1119">
      <c r="A1119" s="203">
        <f>ROW()-1</f>
        <v/>
      </c>
      <c r="B1119" s="128" t="inlineStr">
        <is>
          <t>RL7-CNV-107-ZSS-06</t>
        </is>
      </c>
      <c r="C1119" s="263" t="n"/>
      <c r="D1119" s="262" t="n"/>
      <c r="E1119" s="128" t="n"/>
      <c r="F1119" s="141" t="inlineStr">
        <is>
          <t>SPARE</t>
        </is>
      </c>
      <c r="G1119" s="131" t="n"/>
      <c r="H1119" s="128" t="n"/>
      <c r="I1119" s="142" t="inlineStr">
        <is>
          <t>RL7-PRM-RIO1</t>
        </is>
      </c>
      <c r="J1119" s="133" t="n">
        <v>10</v>
      </c>
      <c r="K1119" s="129" t="n">
        <v>2</v>
      </c>
      <c r="L1119" s="129" t="n">
        <v>2</v>
      </c>
      <c r="M1119" s="129" t="inlineStr">
        <is>
          <t>24 VDC SI</t>
        </is>
      </c>
      <c r="N1119" s="129" t="inlineStr">
        <is>
          <t>5069-IB8S</t>
        </is>
      </c>
      <c r="O1119" s="139" t="n"/>
      <c r="P1119" s="127" t="n"/>
      <c r="Q1119" s="127" t="n"/>
      <c r="R1119" s="127" t="n"/>
      <c r="S1119" s="127" t="n"/>
      <c r="T1119" s="127" t="n"/>
      <c r="U1119" s="127" t="n"/>
      <c r="V1119" s="127" t="n"/>
      <c r="W1119" s="127" t="n"/>
      <c r="X1119" s="127" t="n"/>
      <c r="Y1119" s="127" t="n"/>
      <c r="Z1119" s="143" t="inlineStr">
        <is>
          <t>RESERVED FOR IPA3</t>
        </is>
      </c>
    </row>
    <row r="1120">
      <c r="A1120" s="203">
        <f>ROW()-1</f>
        <v/>
      </c>
      <c r="B1120" s="128" t="inlineStr">
        <is>
          <t>RL7-CNV-107-ZSS-06</t>
        </is>
      </c>
      <c r="C1120" s="263" t="n"/>
      <c r="D1120" s="262" t="n"/>
      <c r="E1120" s="128" t="n"/>
      <c r="F1120" s="141" t="inlineStr">
        <is>
          <t>SPARE</t>
        </is>
      </c>
      <c r="G1120" s="131" t="n"/>
      <c r="H1120" s="128" t="n"/>
      <c r="I1120" s="142" t="inlineStr">
        <is>
          <t>RL7-PRM-RIO1</t>
        </is>
      </c>
      <c r="J1120" s="133" t="n">
        <v>10</v>
      </c>
      <c r="K1120" s="129" t="n">
        <v>2</v>
      </c>
      <c r="L1120" s="129" t="n">
        <v>3</v>
      </c>
      <c r="M1120" s="129" t="inlineStr">
        <is>
          <t>24 VDC SI</t>
        </is>
      </c>
      <c r="N1120" s="129" t="inlineStr">
        <is>
          <t>5069-IB8S</t>
        </is>
      </c>
      <c r="O1120" s="139" t="n"/>
      <c r="P1120" s="127" t="n"/>
      <c r="Q1120" s="127" t="n"/>
      <c r="R1120" s="127" t="n"/>
      <c r="S1120" s="127" t="n"/>
      <c r="T1120" s="127" t="n"/>
      <c r="U1120" s="127" t="n"/>
      <c r="V1120" s="127" t="n"/>
      <c r="W1120" s="127" t="n"/>
      <c r="X1120" s="127" t="n"/>
      <c r="Y1120" s="127" t="n"/>
      <c r="Z1120" s="143" t="inlineStr">
        <is>
          <t>RESERVED FOR IPA3</t>
        </is>
      </c>
    </row>
    <row r="1121">
      <c r="A1121" s="203">
        <f>ROW()-1</f>
        <v/>
      </c>
      <c r="B1121" s="128" t="inlineStr">
        <is>
          <t>RL7-CNV-107-ZSS-07</t>
        </is>
      </c>
      <c r="C1121" s="263" t="n"/>
      <c r="D1121" s="262" t="n"/>
      <c r="E1121" s="133" t="n"/>
      <c r="F1121" s="141" t="inlineStr">
        <is>
          <t>SPARE</t>
        </is>
      </c>
      <c r="G1121" s="131" t="n"/>
      <c r="H1121" s="128" t="n"/>
      <c r="I1121" s="142" t="inlineStr">
        <is>
          <t>RL7-PRM-RIO1</t>
        </is>
      </c>
      <c r="J1121" s="133" t="n">
        <v>10</v>
      </c>
      <c r="K1121" s="129" t="n">
        <v>2</v>
      </c>
      <c r="L1121" s="129" t="n">
        <v>4</v>
      </c>
      <c r="M1121" s="129" t="inlineStr">
        <is>
          <t>24 VDC SI</t>
        </is>
      </c>
      <c r="N1121" s="129" t="inlineStr">
        <is>
          <t>5069-IB8S</t>
        </is>
      </c>
      <c r="O1121" s="139" t="n"/>
      <c r="P1121" s="127" t="n"/>
      <c r="Q1121" s="127" t="n"/>
      <c r="R1121" s="127" t="n"/>
      <c r="S1121" s="127" t="n"/>
      <c r="T1121" s="127" t="n"/>
      <c r="U1121" s="127" t="n"/>
      <c r="V1121" s="127" t="n"/>
      <c r="W1121" s="127" t="n"/>
      <c r="X1121" s="127" t="n"/>
      <c r="Y1121" s="127" t="n"/>
      <c r="Z1121" s="143" t="inlineStr">
        <is>
          <t>RESERVED FOR IPA3</t>
        </is>
      </c>
    </row>
    <row r="1122">
      <c r="A1122" s="203">
        <f>ROW()-1</f>
        <v/>
      </c>
      <c r="B1122" s="128" t="inlineStr">
        <is>
          <t>RL7-CNV-107-ZSS-07</t>
        </is>
      </c>
      <c r="C1122" s="263" t="n"/>
      <c r="D1122" s="262" t="n"/>
      <c r="E1122" s="133" t="n"/>
      <c r="F1122" s="141" t="inlineStr">
        <is>
          <t>SPARE</t>
        </is>
      </c>
      <c r="G1122" s="131" t="n"/>
      <c r="H1122" s="128" t="n"/>
      <c r="I1122" s="142" t="inlineStr">
        <is>
          <t>RL7-PRM-RIO1</t>
        </is>
      </c>
      <c r="J1122" s="133" t="n">
        <v>10</v>
      </c>
      <c r="K1122" s="129" t="n">
        <v>2</v>
      </c>
      <c r="L1122" s="129" t="n">
        <v>5</v>
      </c>
      <c r="M1122" s="129" t="inlineStr">
        <is>
          <t>24 VDC SI</t>
        </is>
      </c>
      <c r="N1122" s="129" t="inlineStr">
        <is>
          <t>5069-IB8S</t>
        </is>
      </c>
      <c r="O1122" s="139" t="n"/>
      <c r="P1122" s="127" t="n"/>
      <c r="Q1122" s="127" t="n"/>
      <c r="R1122" s="127" t="n"/>
      <c r="S1122" s="127" t="n"/>
      <c r="T1122" s="127" t="n"/>
      <c r="U1122" s="127" t="n"/>
      <c r="V1122" s="127" t="n"/>
      <c r="W1122" s="127" t="n"/>
      <c r="X1122" s="127" t="n"/>
      <c r="Y1122" s="127" t="n"/>
      <c r="Z1122" s="143" t="inlineStr">
        <is>
          <t>RESERVED FOR IPA3</t>
        </is>
      </c>
    </row>
    <row r="1123">
      <c r="A1123" s="203">
        <f>ROW()-1</f>
        <v/>
      </c>
      <c r="B1123" s="133" t="n"/>
      <c r="C1123" s="263" t="n"/>
      <c r="D1123" s="264" t="n"/>
      <c r="E1123" s="133" t="n"/>
      <c r="F1123" s="141" t="inlineStr">
        <is>
          <t>SPARE</t>
        </is>
      </c>
      <c r="G1123" s="129" t="n"/>
      <c r="H1123" s="133" t="n"/>
      <c r="I1123" s="142" t="inlineStr">
        <is>
          <t>RL7-PRM-RIO1</t>
        </is>
      </c>
      <c r="J1123" s="133" t="n">
        <v>10</v>
      </c>
      <c r="K1123" s="129" t="n">
        <v>2</v>
      </c>
      <c r="L1123" s="129" t="n">
        <v>6</v>
      </c>
      <c r="M1123" s="129" t="inlineStr">
        <is>
          <t>24 VDC SI</t>
        </is>
      </c>
      <c r="N1123" s="129" t="inlineStr">
        <is>
          <t>5069-IB8S</t>
        </is>
      </c>
      <c r="O1123" s="146" t="n"/>
      <c r="P1123" s="146" t="n"/>
      <c r="Q1123" s="146" t="n"/>
      <c r="R1123" s="146" t="n"/>
      <c r="S1123" s="146" t="n"/>
      <c r="T1123" s="146" t="n"/>
      <c r="U1123" s="146" t="n"/>
      <c r="V1123" s="146" t="n"/>
      <c r="W1123" s="146" t="n"/>
      <c r="X1123" s="146" t="n"/>
      <c r="Y1123" s="146" t="n"/>
      <c r="Z1123" s="143" t="n"/>
    </row>
    <row r="1124">
      <c r="A1124" s="203">
        <f>ROW()-1</f>
        <v/>
      </c>
      <c r="B1124" s="133" t="n"/>
      <c r="C1124" s="263" t="n"/>
      <c r="D1124" s="264" t="n"/>
      <c r="E1124" s="133" t="n"/>
      <c r="F1124" s="141" t="inlineStr">
        <is>
          <t>SPARE</t>
        </is>
      </c>
      <c r="G1124" s="129" t="n"/>
      <c r="H1124" s="133" t="n"/>
      <c r="I1124" s="142" t="inlineStr">
        <is>
          <t>RL7-PRM-RIO1</t>
        </is>
      </c>
      <c r="J1124" s="133" t="n">
        <v>10</v>
      </c>
      <c r="K1124" s="129" t="n">
        <v>2</v>
      </c>
      <c r="L1124" s="129" t="n">
        <v>7</v>
      </c>
      <c r="M1124" s="129" t="inlineStr">
        <is>
          <t>24 VDC SI</t>
        </is>
      </c>
      <c r="N1124" s="129" t="inlineStr">
        <is>
          <t>5069-IB8S</t>
        </is>
      </c>
      <c r="O1124" s="146" t="n"/>
      <c r="P1124" s="146" t="n"/>
      <c r="Q1124" s="146" t="n"/>
      <c r="R1124" s="146" t="n"/>
      <c r="S1124" s="146" t="n"/>
      <c r="T1124" s="146" t="n"/>
      <c r="U1124" s="146" t="n"/>
      <c r="V1124" s="146" t="n"/>
      <c r="W1124" s="146" t="n"/>
      <c r="X1124" s="146" t="n"/>
      <c r="Y1124" s="146" t="n"/>
      <c r="Z1124" s="143" t="n"/>
    </row>
    <row r="1125">
      <c r="A1125" s="203">
        <f>ROW()-1</f>
        <v/>
      </c>
      <c r="B1125" s="133" t="n"/>
      <c r="C1125" s="263" t="n"/>
      <c r="D1125" s="264" t="n"/>
      <c r="E1125" s="133" t="n"/>
      <c r="F1125" s="141" t="inlineStr">
        <is>
          <t>SPARE</t>
        </is>
      </c>
      <c r="G1125" s="129" t="n"/>
      <c r="H1125" s="133" t="n"/>
      <c r="I1125" s="142" t="inlineStr">
        <is>
          <t>RL7-PRM-RIO1</t>
        </is>
      </c>
      <c r="J1125" s="133" t="n">
        <v>10</v>
      </c>
      <c r="K1125" s="129" t="n">
        <v>4</v>
      </c>
      <c r="L1125" s="129" t="n">
        <v>6</v>
      </c>
      <c r="M1125" s="129" t="inlineStr">
        <is>
          <t>24 VDC SI</t>
        </is>
      </c>
      <c r="N1125" s="129" t="inlineStr">
        <is>
          <t>5069-IB8S</t>
        </is>
      </c>
      <c r="O1125" s="146" t="n"/>
      <c r="P1125" s="146" t="n"/>
      <c r="Q1125" s="146" t="n"/>
      <c r="R1125" s="146" t="n"/>
      <c r="S1125" s="146" t="n"/>
      <c r="T1125" s="146" t="n"/>
      <c r="U1125" s="146" t="n"/>
      <c r="V1125" s="146" t="n"/>
      <c r="W1125" s="146" t="n"/>
      <c r="X1125" s="146" t="n"/>
      <c r="Y1125" s="146" t="n"/>
      <c r="Z1125" s="143" t="n"/>
    </row>
    <row r="1126">
      <c r="A1126" s="203">
        <f>ROW()-1</f>
        <v/>
      </c>
      <c r="B1126" s="133" t="n"/>
      <c r="C1126" s="263" t="n"/>
      <c r="D1126" s="264" t="n"/>
      <c r="E1126" s="133" t="n"/>
      <c r="F1126" s="141" t="inlineStr">
        <is>
          <t>SPARE</t>
        </is>
      </c>
      <c r="G1126" s="129" t="n"/>
      <c r="H1126" s="133" t="n"/>
      <c r="I1126" s="142" t="inlineStr">
        <is>
          <t>RL7-PRM-RIO1</t>
        </is>
      </c>
      <c r="J1126" s="133" t="n">
        <v>10</v>
      </c>
      <c r="K1126" s="129" t="n">
        <v>4</v>
      </c>
      <c r="L1126" s="129" t="n">
        <v>7</v>
      </c>
      <c r="M1126" s="129" t="inlineStr">
        <is>
          <t>24 VDC SI</t>
        </is>
      </c>
      <c r="N1126" s="129" t="inlineStr">
        <is>
          <t>5069-IB8S</t>
        </is>
      </c>
      <c r="O1126" s="146" t="n"/>
      <c r="P1126" s="146" t="n"/>
      <c r="Q1126" s="146" t="n"/>
      <c r="R1126" s="146" t="n"/>
      <c r="S1126" s="146" t="n"/>
      <c r="T1126" s="146" t="n"/>
      <c r="U1126" s="146" t="n"/>
      <c r="V1126" s="146" t="n"/>
      <c r="W1126" s="146" t="n"/>
      <c r="X1126" s="146" t="n"/>
      <c r="Y1126" s="146" t="n"/>
      <c r="Z1126" s="143" t="n"/>
    </row>
    <row r="1127">
      <c r="A1127" s="203">
        <f>ROW()-1</f>
        <v/>
      </c>
      <c r="B1127" s="133" t="n"/>
      <c r="C1127" s="263" t="n"/>
      <c r="D1127" s="264" t="n"/>
      <c r="E1127" s="133" t="n"/>
      <c r="F1127" s="141" t="inlineStr">
        <is>
          <t>SPARE</t>
        </is>
      </c>
      <c r="G1127" s="129" t="n"/>
      <c r="H1127" s="133" t="n"/>
      <c r="I1127" s="142" t="inlineStr">
        <is>
          <t>RL7-PRM-RIO1</t>
        </is>
      </c>
      <c r="J1127" s="133" t="n">
        <v>10</v>
      </c>
      <c r="K1127" s="129" t="n">
        <v>5</v>
      </c>
      <c r="L1127" s="129" t="n">
        <v>6</v>
      </c>
      <c r="M1127" s="129" t="inlineStr">
        <is>
          <t>24 VDC SI</t>
        </is>
      </c>
      <c r="N1127" s="129" t="inlineStr">
        <is>
          <t>5069-IB8S</t>
        </is>
      </c>
      <c r="O1127" s="146" t="n"/>
      <c r="P1127" s="146" t="n"/>
      <c r="Q1127" s="146" t="n"/>
      <c r="R1127" s="146" t="n"/>
      <c r="S1127" s="146" t="n"/>
      <c r="T1127" s="146" t="n"/>
      <c r="U1127" s="146" t="n"/>
      <c r="V1127" s="146" t="n"/>
      <c r="W1127" s="146" t="n"/>
      <c r="X1127" s="146" t="n"/>
      <c r="Y1127" s="146" t="n"/>
      <c r="Z1127" s="143" t="n"/>
    </row>
    <row r="1128">
      <c r="A1128" s="203">
        <f>ROW()-1</f>
        <v/>
      </c>
      <c r="B1128" s="133" t="n"/>
      <c r="C1128" s="263" t="n"/>
      <c r="D1128" s="264" t="n"/>
      <c r="E1128" s="133" t="n"/>
      <c r="F1128" s="141" t="inlineStr">
        <is>
          <t>SPARE</t>
        </is>
      </c>
      <c r="G1128" s="129" t="n"/>
      <c r="H1128" s="133" t="n"/>
      <c r="I1128" s="142" t="inlineStr">
        <is>
          <t>RL7-PRM-RIO1</t>
        </is>
      </c>
      <c r="J1128" s="133" t="n">
        <v>10</v>
      </c>
      <c r="K1128" s="129" t="n">
        <v>5</v>
      </c>
      <c r="L1128" s="129" t="n">
        <v>7</v>
      </c>
      <c r="M1128" s="129" t="inlineStr">
        <is>
          <t>24 VDC SI</t>
        </is>
      </c>
      <c r="N1128" s="129" t="inlineStr">
        <is>
          <t>5069-IB8S</t>
        </is>
      </c>
      <c r="O1128" s="146" t="n"/>
      <c r="P1128" s="146" t="n"/>
      <c r="Q1128" s="146" t="n"/>
      <c r="R1128" s="146" t="n"/>
      <c r="S1128" s="146" t="n"/>
      <c r="T1128" s="146" t="n"/>
      <c r="U1128" s="146" t="n"/>
      <c r="V1128" s="146" t="n"/>
      <c r="W1128" s="146" t="n"/>
      <c r="X1128" s="146" t="n"/>
      <c r="Y1128" s="146" t="n"/>
      <c r="Z1128" s="143" t="n"/>
    </row>
    <row r="1129">
      <c r="A1129" s="203">
        <f>ROW()-1</f>
        <v/>
      </c>
      <c r="B1129" s="133" t="n"/>
      <c r="C1129" s="263" t="n"/>
      <c r="D1129" s="264" t="n"/>
      <c r="E1129" s="133" t="n"/>
      <c r="F1129" s="141" t="inlineStr">
        <is>
          <t>SPARE</t>
        </is>
      </c>
      <c r="G1129" s="131" t="n"/>
      <c r="H1129" s="133" t="n"/>
      <c r="I1129" s="142" t="inlineStr">
        <is>
          <t>RL7-PRM-RIO1</t>
        </is>
      </c>
      <c r="J1129" s="133" t="n">
        <v>10</v>
      </c>
      <c r="K1129" s="129" t="n">
        <v>6</v>
      </c>
      <c r="L1129" s="129" t="n">
        <v>2</v>
      </c>
      <c r="M1129" s="129" t="inlineStr">
        <is>
          <t>24 VDC SO</t>
        </is>
      </c>
      <c r="N1129" s="129" t="inlineStr">
        <is>
          <t>5069-OBV8S</t>
        </is>
      </c>
      <c r="O1129" s="146" t="n"/>
      <c r="P1129" s="146" t="n"/>
      <c r="Q1129" s="146" t="n"/>
      <c r="R1129" s="146" t="n"/>
      <c r="S1129" s="146" t="n"/>
      <c r="T1129" s="146" t="n"/>
      <c r="U1129" s="146" t="n"/>
      <c r="V1129" s="146" t="n"/>
      <c r="W1129" s="146" t="n"/>
      <c r="X1129" s="146" t="n"/>
      <c r="Y1129" s="146" t="n"/>
      <c r="Z1129" s="143" t="n"/>
    </row>
    <row r="1130">
      <c r="A1130" s="203">
        <f>ROW()-1</f>
        <v/>
      </c>
      <c r="B1130" s="133" t="n"/>
      <c r="C1130" s="263" t="n"/>
      <c r="D1130" s="264" t="n"/>
      <c r="E1130" s="133" t="n"/>
      <c r="F1130" s="141" t="inlineStr">
        <is>
          <t>SPARE</t>
        </is>
      </c>
      <c r="G1130" s="131" t="n"/>
      <c r="H1130" s="133" t="n"/>
      <c r="I1130" s="142" t="inlineStr">
        <is>
          <t>RL7-PRM-RIO1</t>
        </is>
      </c>
      <c r="J1130" s="133" t="n">
        <v>10</v>
      </c>
      <c r="K1130" s="129" t="n">
        <v>6</v>
      </c>
      <c r="L1130" s="129" t="n">
        <v>3</v>
      </c>
      <c r="M1130" s="129" t="inlineStr">
        <is>
          <t>24 VDC SO</t>
        </is>
      </c>
      <c r="N1130" s="129" t="inlineStr">
        <is>
          <t>5069-OBV8S</t>
        </is>
      </c>
      <c r="O1130" s="146" t="n"/>
      <c r="P1130" s="146" t="n"/>
      <c r="Q1130" s="146" t="n"/>
      <c r="R1130" s="146" t="n"/>
      <c r="S1130" s="146" t="n"/>
      <c r="T1130" s="146" t="n"/>
      <c r="U1130" s="146" t="n"/>
      <c r="V1130" s="146" t="n"/>
      <c r="W1130" s="146" t="n"/>
      <c r="X1130" s="146" t="n"/>
      <c r="Y1130" s="146" t="n"/>
      <c r="Z1130" s="143" t="n"/>
    </row>
    <row r="1131">
      <c r="A1131" s="203">
        <f>ROW()-1</f>
        <v/>
      </c>
      <c r="B1131" s="133" t="n"/>
      <c r="C1131" s="263" t="n"/>
      <c r="D1131" s="264" t="n"/>
      <c r="E1131" s="133" t="n"/>
      <c r="F1131" s="141" t="inlineStr">
        <is>
          <t>SPARE</t>
        </is>
      </c>
      <c r="G1131" s="131" t="n"/>
      <c r="H1131" s="133" t="n"/>
      <c r="I1131" s="142" t="inlineStr">
        <is>
          <t>RL7-PRM-RIO1</t>
        </is>
      </c>
      <c r="J1131" s="133" t="n">
        <v>10</v>
      </c>
      <c r="K1131" s="129" t="n">
        <v>6</v>
      </c>
      <c r="L1131" s="129" t="n">
        <v>4</v>
      </c>
      <c r="M1131" s="129" t="inlineStr">
        <is>
          <t>24 VDC SO</t>
        </is>
      </c>
      <c r="N1131" s="129" t="inlineStr">
        <is>
          <t>5069-OBV8S</t>
        </is>
      </c>
      <c r="O1131" s="146" t="n"/>
      <c r="P1131" s="146" t="n"/>
      <c r="Q1131" s="146" t="n"/>
      <c r="R1131" s="146" t="n"/>
      <c r="S1131" s="146" t="n"/>
      <c r="T1131" s="146" t="n"/>
      <c r="U1131" s="146" t="n"/>
      <c r="V1131" s="146" t="n"/>
      <c r="W1131" s="146" t="n"/>
      <c r="X1131" s="146" t="n"/>
      <c r="Y1131" s="146" t="n"/>
      <c r="Z1131" s="143" t="n"/>
    </row>
    <row r="1132">
      <c r="A1132" s="203">
        <f>ROW()-1</f>
        <v/>
      </c>
      <c r="B1132" s="133" t="n"/>
      <c r="C1132" s="263" t="n"/>
      <c r="D1132" s="264" t="n"/>
      <c r="E1132" s="133" t="n"/>
      <c r="F1132" s="141" t="inlineStr">
        <is>
          <t>SPARE</t>
        </is>
      </c>
      <c r="G1132" s="131" t="n"/>
      <c r="H1132" s="133" t="n"/>
      <c r="I1132" s="142" t="inlineStr">
        <is>
          <t>RL7-PRM-RIO1</t>
        </is>
      </c>
      <c r="J1132" s="133" t="n">
        <v>10</v>
      </c>
      <c r="K1132" s="129" t="n">
        <v>6</v>
      </c>
      <c r="L1132" s="129" t="n">
        <v>5</v>
      </c>
      <c r="M1132" s="129" t="inlineStr">
        <is>
          <t>24 VDC SO</t>
        </is>
      </c>
      <c r="N1132" s="129" t="inlineStr">
        <is>
          <t>5069-OBV8S</t>
        </is>
      </c>
      <c r="O1132" s="146" t="n"/>
      <c r="P1132" s="146" t="n"/>
      <c r="Q1132" s="146" t="n"/>
      <c r="R1132" s="146" t="n"/>
      <c r="S1132" s="146" t="n"/>
      <c r="T1132" s="146" t="n"/>
      <c r="U1132" s="146" t="n"/>
      <c r="V1132" s="146" t="n"/>
      <c r="W1132" s="146" t="n"/>
      <c r="X1132" s="146" t="n"/>
      <c r="Y1132" s="146" t="n"/>
      <c r="Z1132" s="143" t="n"/>
    </row>
    <row r="1133">
      <c r="A1133" s="203">
        <f>ROW()-1</f>
        <v/>
      </c>
      <c r="B1133" s="133" t="n"/>
      <c r="C1133" s="263" t="n"/>
      <c r="D1133" s="264" t="n"/>
      <c r="E1133" s="133" t="n"/>
      <c r="F1133" s="141" t="inlineStr">
        <is>
          <t>SPARE</t>
        </is>
      </c>
      <c r="G1133" s="131" t="n"/>
      <c r="H1133" s="133" t="n"/>
      <c r="I1133" s="142" t="inlineStr">
        <is>
          <t>RL7-PRM-RIO1</t>
        </is>
      </c>
      <c r="J1133" s="133" t="n">
        <v>10</v>
      </c>
      <c r="K1133" s="129" t="n">
        <v>6</v>
      </c>
      <c r="L1133" s="129" t="n">
        <v>6</v>
      </c>
      <c r="M1133" s="129" t="inlineStr">
        <is>
          <t>24 VDC SO</t>
        </is>
      </c>
      <c r="N1133" s="129" t="inlineStr">
        <is>
          <t>5069-OBV8S</t>
        </is>
      </c>
      <c r="O1133" s="146" t="n"/>
      <c r="P1133" s="146" t="n"/>
      <c r="Q1133" s="146" t="n"/>
      <c r="R1133" s="146" t="n"/>
      <c r="S1133" s="146" t="n"/>
      <c r="T1133" s="146" t="n"/>
      <c r="U1133" s="146" t="n"/>
      <c r="V1133" s="146" t="n"/>
      <c r="W1133" s="146" t="n"/>
      <c r="X1133" s="146" t="n"/>
      <c r="Y1133" s="146" t="n"/>
      <c r="Z1133" s="143" t="n"/>
    </row>
    <row r="1134">
      <c r="A1134" s="203">
        <f>ROW()-1</f>
        <v/>
      </c>
      <c r="B1134" s="133" t="n"/>
      <c r="C1134" s="263" t="n"/>
      <c r="D1134" s="264" t="n"/>
      <c r="E1134" s="133" t="n"/>
      <c r="F1134" s="141" t="inlineStr">
        <is>
          <t>SPARE</t>
        </is>
      </c>
      <c r="G1134" s="131" t="n"/>
      <c r="H1134" s="133" t="n"/>
      <c r="I1134" s="142" t="inlineStr">
        <is>
          <t>RL7-PRM-RIO1</t>
        </is>
      </c>
      <c r="J1134" s="133" t="n">
        <v>10</v>
      </c>
      <c r="K1134" s="129" t="n">
        <v>6</v>
      </c>
      <c r="L1134" s="129" t="n">
        <v>7</v>
      </c>
      <c r="M1134" s="129" t="inlineStr">
        <is>
          <t>24 VDC SO</t>
        </is>
      </c>
      <c r="N1134" s="129" t="inlineStr">
        <is>
          <t>5069-OBV8S</t>
        </is>
      </c>
      <c r="O1134" s="146" t="n"/>
      <c r="P1134" s="146" t="n"/>
      <c r="Q1134" s="146" t="n"/>
      <c r="R1134" s="146" t="n"/>
      <c r="S1134" s="146" t="n"/>
      <c r="T1134" s="146" t="n"/>
      <c r="U1134" s="146" t="n"/>
      <c r="V1134" s="146" t="n"/>
      <c r="W1134" s="146" t="n"/>
      <c r="X1134" s="146" t="n"/>
      <c r="Y1134" s="146" t="n"/>
      <c r="Z1134" s="143" t="n"/>
    </row>
    <row r="1135">
      <c r="A1135" s="203">
        <f>ROW()-1</f>
        <v/>
      </c>
      <c r="B1135" s="128" t="inlineStr">
        <is>
          <t>RL7-MLT-106-ZSC-02</t>
        </is>
      </c>
      <c r="C1135" s="263" t="n"/>
      <c r="D1135" s="262" t="n"/>
      <c r="E1135" s="128" t="n"/>
      <c r="F1135" s="141" t="inlineStr">
        <is>
          <t>SPARE</t>
        </is>
      </c>
      <c r="G1135" s="129" t="n"/>
      <c r="H1135" s="128" t="n"/>
      <c r="I1135" s="142" t="inlineStr">
        <is>
          <t>RL7-PRM-RIO1</t>
        </is>
      </c>
      <c r="J1135" s="133" t="n">
        <v>10</v>
      </c>
      <c r="K1135" s="129" t="n">
        <v>7</v>
      </c>
      <c r="L1135" s="129" t="n">
        <v>7</v>
      </c>
      <c r="M1135" s="129" t="inlineStr">
        <is>
          <t>24 VDC DI</t>
        </is>
      </c>
      <c r="N1135" s="129" t="inlineStr">
        <is>
          <t>5069-IB16</t>
        </is>
      </c>
      <c r="O1135" s="139" t="n"/>
      <c r="P1135" s="127" t="n"/>
      <c r="Q1135" s="127" t="n"/>
      <c r="R1135" s="127" t="n"/>
      <c r="S1135" s="127" t="n"/>
      <c r="T1135" s="127" t="n"/>
      <c r="U1135" s="127" t="n"/>
      <c r="V1135" s="127" t="n"/>
      <c r="W1135" s="127" t="n"/>
      <c r="X1135" s="127" t="n"/>
      <c r="Y1135" s="127" t="n"/>
      <c r="Z1135" s="140" t="n"/>
    </row>
    <row r="1136">
      <c r="A1136" s="203">
        <f>ROW()-1</f>
        <v/>
      </c>
      <c r="B1136" s="128" t="inlineStr">
        <is>
          <t>RL7-CNV-107-ZSC-06</t>
        </is>
      </c>
      <c r="C1136" s="263" t="n"/>
      <c r="D1136" s="262" t="n"/>
      <c r="E1136" s="128" t="n"/>
      <c r="F1136" s="141" t="inlineStr">
        <is>
          <t>SPARE</t>
        </is>
      </c>
      <c r="G1136" s="131" t="n"/>
      <c r="H1136" s="128" t="n"/>
      <c r="I1136" s="142" t="inlineStr">
        <is>
          <t>RL7-PRM-RIO1</t>
        </is>
      </c>
      <c r="J1136" s="133" t="n">
        <v>10</v>
      </c>
      <c r="K1136" s="129" t="n">
        <v>8</v>
      </c>
      <c r="L1136" s="129" t="n">
        <v>0</v>
      </c>
      <c r="M1136" s="129" t="inlineStr">
        <is>
          <t>24 VDC DI</t>
        </is>
      </c>
      <c r="N1136" s="129" t="inlineStr">
        <is>
          <t>5069-IB16</t>
        </is>
      </c>
      <c r="O1136" s="139" t="n"/>
      <c r="P1136" s="127" t="n"/>
      <c r="Q1136" s="127" t="n"/>
      <c r="R1136" s="127" t="n"/>
      <c r="S1136" s="127" t="n"/>
      <c r="T1136" s="127" t="n"/>
      <c r="U1136" s="127" t="n"/>
      <c r="V1136" s="127" t="n"/>
      <c r="W1136" s="127" t="n"/>
      <c r="X1136" s="127" t="n"/>
      <c r="Y1136" s="127" t="n"/>
      <c r="Z1136" s="143" t="inlineStr">
        <is>
          <t>RESERVED FOR IPA3</t>
        </is>
      </c>
    </row>
    <row r="1137">
      <c r="A1137" s="203">
        <f>ROW()-1</f>
        <v/>
      </c>
      <c r="B1137" s="128" t="inlineStr">
        <is>
          <t>RL7-CNV-107-ZSC-03</t>
        </is>
      </c>
      <c r="C1137" s="263" t="n"/>
      <c r="D1137" s="262" t="n"/>
      <c r="E1137" s="128" t="n"/>
      <c r="F1137" s="141" t="inlineStr">
        <is>
          <t>SPARE</t>
        </is>
      </c>
      <c r="G1137" s="131" t="n"/>
      <c r="H1137" s="128" t="n"/>
      <c r="I1137" s="142" t="inlineStr">
        <is>
          <t>RL7-PRM-RIO1</t>
        </is>
      </c>
      <c r="J1137" s="133" t="n">
        <v>10</v>
      </c>
      <c r="K1137" s="129" t="n">
        <v>8</v>
      </c>
      <c r="L1137" s="129" t="n">
        <v>1</v>
      </c>
      <c r="M1137" s="129" t="inlineStr">
        <is>
          <t>24 VDC DI</t>
        </is>
      </c>
      <c r="N1137" s="129" t="inlineStr">
        <is>
          <t>5069-IB16</t>
        </is>
      </c>
      <c r="O1137" s="139" t="n"/>
      <c r="P1137" s="127" t="n"/>
      <c r="Q1137" s="127" t="n"/>
      <c r="R1137" s="127" t="n"/>
      <c r="S1137" s="127" t="n"/>
      <c r="T1137" s="127" t="n"/>
      <c r="U1137" s="127" t="n"/>
      <c r="V1137" s="127" t="n"/>
      <c r="W1137" s="127" t="n"/>
      <c r="X1137" s="127" t="n"/>
      <c r="Y1137" s="127" t="n"/>
      <c r="Z1137" s="143" t="inlineStr">
        <is>
          <t>RESERVED FOR IPA3</t>
        </is>
      </c>
    </row>
    <row r="1138">
      <c r="A1138" s="203">
        <f>ROW()-1</f>
        <v/>
      </c>
      <c r="B1138" s="128" t="inlineStr">
        <is>
          <t>RL7-CNV-107-ZSC-04</t>
        </is>
      </c>
      <c r="C1138" s="263" t="n"/>
      <c r="D1138" s="262" t="n"/>
      <c r="E1138" s="128" t="n"/>
      <c r="F1138" s="141" t="inlineStr">
        <is>
          <t>SPARE</t>
        </is>
      </c>
      <c r="G1138" s="131" t="n"/>
      <c r="H1138" s="128" t="n"/>
      <c r="I1138" s="142" t="inlineStr">
        <is>
          <t>RL7-PRM-RIO1</t>
        </is>
      </c>
      <c r="J1138" s="133" t="n">
        <v>10</v>
      </c>
      <c r="K1138" s="129" t="n">
        <v>8</v>
      </c>
      <c r="L1138" s="129" t="n">
        <v>2</v>
      </c>
      <c r="M1138" s="129" t="inlineStr">
        <is>
          <t>24 VDC DI</t>
        </is>
      </c>
      <c r="N1138" s="129" t="inlineStr">
        <is>
          <t>5069-IB16</t>
        </is>
      </c>
      <c r="O1138" s="139" t="n"/>
      <c r="P1138" s="127" t="n"/>
      <c r="Q1138" s="127" t="n"/>
      <c r="R1138" s="127" t="n"/>
      <c r="S1138" s="127" t="n"/>
      <c r="T1138" s="127" t="n"/>
      <c r="U1138" s="127" t="n"/>
      <c r="V1138" s="127" t="n"/>
      <c r="W1138" s="127" t="n"/>
      <c r="X1138" s="127" t="n"/>
      <c r="Y1138" s="127" t="n"/>
      <c r="Z1138" s="143" t="inlineStr">
        <is>
          <t>RESERVED FOR IPA3</t>
        </is>
      </c>
    </row>
    <row r="1139">
      <c r="A1139" s="203">
        <f>ROW()-1</f>
        <v/>
      </c>
      <c r="B1139" s="128" t="inlineStr">
        <is>
          <t>RL7-CNV-107-ZSC-02</t>
        </is>
      </c>
      <c r="C1139" s="263" t="n"/>
      <c r="D1139" s="262" t="n"/>
      <c r="E1139" s="128" t="n"/>
      <c r="F1139" s="141" t="inlineStr">
        <is>
          <t>SPARE</t>
        </is>
      </c>
      <c r="G1139" s="131" t="n"/>
      <c r="H1139" s="128" t="n"/>
      <c r="I1139" s="142" t="inlineStr">
        <is>
          <t>RL7-PRM-RIO1</t>
        </is>
      </c>
      <c r="J1139" s="133" t="n">
        <v>10</v>
      </c>
      <c r="K1139" s="129" t="n">
        <v>8</v>
      </c>
      <c r="L1139" s="129" t="n">
        <v>3</v>
      </c>
      <c r="M1139" s="129" t="inlineStr">
        <is>
          <t>24 VDC DI</t>
        </is>
      </c>
      <c r="N1139" s="129" t="inlineStr">
        <is>
          <t>5069-IB16</t>
        </is>
      </c>
      <c r="O1139" s="139" t="n"/>
      <c r="P1139" s="127" t="n"/>
      <c r="Q1139" s="127" t="n"/>
      <c r="R1139" s="127" t="n"/>
      <c r="S1139" s="127" t="n"/>
      <c r="T1139" s="127" t="n"/>
      <c r="U1139" s="127" t="n"/>
      <c r="V1139" s="127" t="n"/>
      <c r="W1139" s="127" t="n"/>
      <c r="X1139" s="127" t="n"/>
      <c r="Y1139" s="127" t="n"/>
      <c r="Z1139" s="143" t="inlineStr">
        <is>
          <t>RESERVED FOR IPA3</t>
        </is>
      </c>
    </row>
    <row r="1140">
      <c r="A1140" s="203">
        <f>ROW()-1</f>
        <v/>
      </c>
      <c r="B1140" s="128" t="inlineStr">
        <is>
          <t>RL7-CNV-107-ZSC-05</t>
        </is>
      </c>
      <c r="C1140" s="263" t="n"/>
      <c r="D1140" s="262" t="n"/>
      <c r="E1140" s="128" t="n"/>
      <c r="F1140" s="141" t="inlineStr">
        <is>
          <t>SPARE</t>
        </is>
      </c>
      <c r="G1140" s="131" t="n"/>
      <c r="H1140" s="128" t="n"/>
      <c r="I1140" s="142" t="inlineStr">
        <is>
          <t>RL7-PRM-RIO1</t>
        </is>
      </c>
      <c r="J1140" s="133" t="n">
        <v>10</v>
      </c>
      <c r="K1140" s="129" t="n">
        <v>8</v>
      </c>
      <c r="L1140" s="129" t="n">
        <v>4</v>
      </c>
      <c r="M1140" s="129" t="inlineStr">
        <is>
          <t>24 VDC DI</t>
        </is>
      </c>
      <c r="N1140" s="129" t="inlineStr">
        <is>
          <t>5069-IB16</t>
        </is>
      </c>
      <c r="O1140" s="139" t="n"/>
      <c r="P1140" s="127" t="n"/>
      <c r="Q1140" s="127" t="n"/>
      <c r="R1140" s="127" t="n"/>
      <c r="S1140" s="127" t="n"/>
      <c r="T1140" s="127" t="n"/>
      <c r="U1140" s="127" t="n"/>
      <c r="V1140" s="127" t="n"/>
      <c r="W1140" s="127" t="n"/>
      <c r="X1140" s="127" t="n"/>
      <c r="Y1140" s="127" t="n"/>
      <c r="Z1140" s="143" t="inlineStr">
        <is>
          <t>RESERVED FOR IPA3</t>
        </is>
      </c>
    </row>
    <row r="1141">
      <c r="A1141" s="203">
        <f>ROW()-1</f>
        <v/>
      </c>
      <c r="B1141" s="128" t="inlineStr">
        <is>
          <t>RL7-CNV-107-ZSC-07</t>
        </is>
      </c>
      <c r="C1141" s="263" t="n"/>
      <c r="D1141" s="262" t="n"/>
      <c r="E1141" s="128" t="n"/>
      <c r="F1141" s="141" t="inlineStr">
        <is>
          <t>SPARE</t>
        </is>
      </c>
      <c r="G1141" s="131" t="n"/>
      <c r="H1141" s="128" t="n"/>
      <c r="I1141" s="142" t="inlineStr">
        <is>
          <t>RL7-PRM-RIO1</t>
        </is>
      </c>
      <c r="J1141" s="133" t="n">
        <v>10</v>
      </c>
      <c r="K1141" s="129" t="n">
        <v>8</v>
      </c>
      <c r="L1141" s="129" t="n">
        <v>5</v>
      </c>
      <c r="M1141" s="129" t="inlineStr">
        <is>
          <t>24 VDC DI</t>
        </is>
      </c>
      <c r="N1141" s="129" t="inlineStr">
        <is>
          <t>5069-IB16</t>
        </is>
      </c>
      <c r="O1141" s="139" t="n"/>
      <c r="P1141" s="127" t="n"/>
      <c r="Q1141" s="127" t="n"/>
      <c r="R1141" s="127" t="n"/>
      <c r="S1141" s="127" t="n"/>
      <c r="T1141" s="127" t="n"/>
      <c r="U1141" s="127" t="n"/>
      <c r="V1141" s="127" t="n"/>
      <c r="W1141" s="127" t="n"/>
      <c r="X1141" s="127" t="n"/>
      <c r="Y1141" s="127" t="n"/>
      <c r="Z1141" s="143" t="inlineStr">
        <is>
          <t>RESERVED FOR IPA3</t>
        </is>
      </c>
    </row>
    <row r="1142">
      <c r="A1142" s="203">
        <f>ROW()-1</f>
        <v/>
      </c>
      <c r="B1142" s="133" t="n"/>
      <c r="C1142" s="263" t="n"/>
      <c r="D1142" s="264" t="n"/>
      <c r="E1142" s="133" t="n"/>
      <c r="F1142" s="141" t="inlineStr">
        <is>
          <t>SPARE</t>
        </is>
      </c>
      <c r="G1142" s="129" t="n"/>
      <c r="H1142" s="133" t="n"/>
      <c r="I1142" s="142" t="inlineStr">
        <is>
          <t>RL7-PRM-RIO1</t>
        </is>
      </c>
      <c r="J1142" s="133" t="n">
        <v>10</v>
      </c>
      <c r="K1142" s="129" t="n">
        <v>8</v>
      </c>
      <c r="L1142" s="129" t="n">
        <v>13</v>
      </c>
      <c r="M1142" s="129" t="inlineStr">
        <is>
          <t>24 VDC DI</t>
        </is>
      </c>
      <c r="N1142" s="129" t="inlineStr">
        <is>
          <t>5069-IB16</t>
        </is>
      </c>
      <c r="O1142" s="146" t="n"/>
      <c r="P1142" s="146" t="n"/>
      <c r="Q1142" s="146" t="n"/>
      <c r="R1142" s="146" t="n"/>
      <c r="S1142" s="146" t="n"/>
      <c r="T1142" s="146" t="n"/>
      <c r="U1142" s="146" t="n"/>
      <c r="V1142" s="146" t="n"/>
      <c r="W1142" s="146" t="n"/>
      <c r="X1142" s="146" t="n"/>
      <c r="Y1142" s="146" t="n"/>
      <c r="Z1142" s="143" t="n"/>
    </row>
    <row r="1143">
      <c r="A1143" s="203">
        <f>ROW()-1</f>
        <v/>
      </c>
      <c r="B1143" s="133" t="n"/>
      <c r="C1143" s="263" t="n"/>
      <c r="D1143" s="264" t="n"/>
      <c r="E1143" s="133" t="n"/>
      <c r="F1143" s="141" t="inlineStr">
        <is>
          <t>SPARE</t>
        </is>
      </c>
      <c r="G1143" s="129" t="n"/>
      <c r="H1143" s="133" t="n"/>
      <c r="I1143" s="142" t="inlineStr">
        <is>
          <t>RL7-PRM-RIO1</t>
        </is>
      </c>
      <c r="J1143" s="133" t="n">
        <v>10</v>
      </c>
      <c r="K1143" s="129" t="n">
        <v>8</v>
      </c>
      <c r="L1143" s="129" t="n">
        <v>14</v>
      </c>
      <c r="M1143" s="129" t="inlineStr">
        <is>
          <t>24 VDC DI</t>
        </is>
      </c>
      <c r="N1143" s="129" t="inlineStr">
        <is>
          <t>5069-IB16</t>
        </is>
      </c>
      <c r="O1143" s="146" t="n"/>
      <c r="P1143" s="146" t="n"/>
      <c r="Q1143" s="146" t="n"/>
      <c r="R1143" s="146" t="n"/>
      <c r="S1143" s="146" t="n"/>
      <c r="T1143" s="146" t="n"/>
      <c r="U1143" s="146" t="n"/>
      <c r="V1143" s="146" t="n"/>
      <c r="W1143" s="146" t="n"/>
      <c r="X1143" s="146" t="n"/>
      <c r="Y1143" s="146" t="n"/>
      <c r="Z1143" s="143" t="n"/>
    </row>
    <row r="1144">
      <c r="A1144" s="203">
        <f>ROW()-1</f>
        <v/>
      </c>
      <c r="B1144" s="133" t="n"/>
      <c r="C1144" s="263" t="n"/>
      <c r="D1144" s="264" t="n"/>
      <c r="E1144" s="133" t="n"/>
      <c r="F1144" s="141" t="inlineStr">
        <is>
          <t>SPARE</t>
        </is>
      </c>
      <c r="G1144" s="129" t="n"/>
      <c r="H1144" s="133" t="n"/>
      <c r="I1144" s="142" t="inlineStr">
        <is>
          <t>RL7-PRM-RIO1</t>
        </is>
      </c>
      <c r="J1144" s="133" t="n">
        <v>10</v>
      </c>
      <c r="K1144" s="129" t="n">
        <v>8</v>
      </c>
      <c r="L1144" s="129" t="n">
        <v>15</v>
      </c>
      <c r="M1144" s="129" t="inlineStr">
        <is>
          <t>24 VDC DI</t>
        </is>
      </c>
      <c r="N1144" s="129" t="inlineStr">
        <is>
          <t>5069-IB16</t>
        </is>
      </c>
      <c r="O1144" s="146" t="n"/>
      <c r="P1144" s="146" t="n"/>
      <c r="Q1144" s="146" t="n"/>
      <c r="R1144" s="146" t="n"/>
      <c r="S1144" s="146" t="n"/>
      <c r="T1144" s="146" t="n"/>
      <c r="U1144" s="146" t="n"/>
      <c r="V1144" s="146" t="n"/>
      <c r="W1144" s="146" t="n"/>
      <c r="X1144" s="146" t="n"/>
      <c r="Y1144" s="146" t="n"/>
      <c r="Z1144" s="143" t="n"/>
    </row>
    <row r="1145">
      <c r="A1145" s="203">
        <f>ROW()-1</f>
        <v/>
      </c>
      <c r="B1145" s="128" t="inlineStr">
        <is>
          <t>RL7-CNV-107-XY-01</t>
        </is>
      </c>
      <c r="C1145" s="263" t="n"/>
      <c r="D1145" s="262" t="n"/>
      <c r="E1145" s="128" t="n"/>
      <c r="F1145" s="141" t="inlineStr">
        <is>
          <t>SPARE</t>
        </is>
      </c>
      <c r="G1145" s="131" t="n"/>
      <c r="H1145" s="128" t="n"/>
      <c r="I1145" s="142" t="inlineStr">
        <is>
          <t>RL7-PRM-RIO1</t>
        </is>
      </c>
      <c r="J1145" s="133" t="n">
        <v>10</v>
      </c>
      <c r="K1145" s="129" t="n">
        <v>9</v>
      </c>
      <c r="L1145" s="129" t="n">
        <v>0</v>
      </c>
      <c r="M1145" s="129" t="inlineStr">
        <is>
          <t>24 VDC DO</t>
        </is>
      </c>
      <c r="N1145" s="129" t="inlineStr">
        <is>
          <t>5069-OB16</t>
        </is>
      </c>
      <c r="O1145" s="139" t="n"/>
      <c r="P1145" s="127" t="n"/>
      <c r="Q1145" s="127" t="n"/>
      <c r="R1145" s="127" t="n"/>
      <c r="S1145" s="127" t="n"/>
      <c r="T1145" s="127" t="n"/>
      <c r="U1145" s="127" t="n"/>
      <c r="V1145" s="127" t="n"/>
      <c r="W1145" s="127" t="n"/>
      <c r="X1145" s="127" t="n"/>
      <c r="Y1145" s="127" t="n"/>
      <c r="Z1145" s="143" t="inlineStr">
        <is>
          <t>RESERVED FOR IPA3</t>
        </is>
      </c>
    </row>
    <row r="1146">
      <c r="A1146" s="203">
        <f>ROW()-1</f>
        <v/>
      </c>
      <c r="B1146" s="128" t="inlineStr">
        <is>
          <t>RL7-CNV-107-XY-02</t>
        </is>
      </c>
      <c r="C1146" s="263" t="n"/>
      <c r="D1146" s="262" t="n"/>
      <c r="E1146" s="128" t="n"/>
      <c r="F1146" s="141" t="inlineStr">
        <is>
          <t>SPARE</t>
        </is>
      </c>
      <c r="G1146" s="131" t="n"/>
      <c r="H1146" s="128" t="n"/>
      <c r="I1146" s="142" t="inlineStr">
        <is>
          <t>RL7-PRM-RIO1</t>
        </is>
      </c>
      <c r="J1146" s="133" t="n">
        <v>10</v>
      </c>
      <c r="K1146" s="129" t="n">
        <v>9</v>
      </c>
      <c r="L1146" s="129" t="n">
        <v>1</v>
      </c>
      <c r="M1146" s="129" t="inlineStr">
        <is>
          <t>24 VDC DO</t>
        </is>
      </c>
      <c r="N1146" s="129" t="inlineStr">
        <is>
          <t>5069-OB16</t>
        </is>
      </c>
      <c r="O1146" s="139" t="n"/>
      <c r="P1146" s="127" t="n"/>
      <c r="Q1146" s="127" t="n"/>
      <c r="R1146" s="127" t="n"/>
      <c r="S1146" s="127" t="n"/>
      <c r="T1146" s="127" t="n"/>
      <c r="U1146" s="127" t="n"/>
      <c r="V1146" s="127" t="n"/>
      <c r="W1146" s="127" t="n"/>
      <c r="X1146" s="127" t="n"/>
      <c r="Y1146" s="127" t="n"/>
      <c r="Z1146" s="143" t="inlineStr">
        <is>
          <t>RESERVED FOR IPA3</t>
        </is>
      </c>
    </row>
    <row r="1147">
      <c r="A1147" s="203">
        <f>ROW()-1</f>
        <v/>
      </c>
      <c r="B1147" s="133" t="n"/>
      <c r="C1147" s="263" t="n"/>
      <c r="D1147" s="264" t="n"/>
      <c r="E1147" s="133" t="n"/>
      <c r="F1147" s="141" t="inlineStr">
        <is>
          <t>SPARE</t>
        </is>
      </c>
      <c r="G1147" s="129" t="n"/>
      <c r="H1147" s="133" t="n"/>
      <c r="I1147" s="142" t="inlineStr">
        <is>
          <t>RL7-PRM-RIO1</t>
        </is>
      </c>
      <c r="J1147" s="133" t="n">
        <v>10</v>
      </c>
      <c r="K1147" s="129" t="n">
        <v>9</v>
      </c>
      <c r="L1147" s="129" t="n">
        <v>15</v>
      </c>
      <c r="M1147" s="129" t="inlineStr">
        <is>
          <t>24 VDC DO</t>
        </is>
      </c>
      <c r="N1147" s="129" t="inlineStr">
        <is>
          <t>5069-OB16</t>
        </is>
      </c>
      <c r="O1147" s="146" t="n"/>
      <c r="P1147" s="146" t="n"/>
      <c r="Q1147" s="146" t="n"/>
      <c r="R1147" s="146" t="n"/>
      <c r="S1147" s="146" t="n"/>
      <c r="T1147" s="146" t="n"/>
      <c r="U1147" s="146" t="n"/>
      <c r="V1147" s="146" t="n"/>
      <c r="W1147" s="146" t="n"/>
      <c r="X1147" s="146" t="n"/>
      <c r="Y1147" s="146" t="n"/>
      <c r="Z1147" s="143" t="n"/>
    </row>
    <row r="1148">
      <c r="A1148" s="203">
        <f>ROW()-1</f>
        <v/>
      </c>
      <c r="B1148" s="128" t="n"/>
      <c r="C1148" s="263" t="n"/>
      <c r="D1148" s="264" t="n"/>
      <c r="E1148" s="133" t="n"/>
      <c r="F1148" s="141" t="inlineStr">
        <is>
          <t>SPARE</t>
        </is>
      </c>
      <c r="G1148" s="142" t="n"/>
      <c r="H1148" s="133" t="n"/>
      <c r="I1148" s="142" t="inlineStr">
        <is>
          <t>RL7-PRM-RIO1</t>
        </is>
      </c>
      <c r="J1148" s="133" t="n">
        <v>10</v>
      </c>
      <c r="K1148" s="133" t="n">
        <v>10</v>
      </c>
      <c r="L1148" s="133" t="n">
        <v>2</v>
      </c>
      <c r="M1148" s="129" t="inlineStr">
        <is>
          <t>4-20 mA AI</t>
        </is>
      </c>
      <c r="N1148" s="129" t="inlineStr">
        <is>
          <t>5069-IF8</t>
        </is>
      </c>
      <c r="O1148" s="139" t="n"/>
      <c r="P1148" s="127" t="n"/>
      <c r="Q1148" s="127" t="n"/>
      <c r="R1148" s="127" t="n"/>
      <c r="S1148" s="127" t="n"/>
      <c r="T1148" s="127" t="n"/>
      <c r="U1148" s="127" t="n"/>
      <c r="V1148" s="127" t="n"/>
      <c r="W1148" s="127" t="n"/>
      <c r="X1148" s="127" t="n"/>
      <c r="Y1148" s="127" t="n"/>
      <c r="Z1148" s="140" t="n"/>
    </row>
    <row r="1149">
      <c r="A1149" s="203">
        <f>ROW()-1</f>
        <v/>
      </c>
      <c r="B1149" s="128" t="n"/>
      <c r="C1149" s="263" t="n"/>
      <c r="D1149" s="264" t="n"/>
      <c r="E1149" s="133" t="n"/>
      <c r="F1149" s="141" t="inlineStr">
        <is>
          <t>SPARE</t>
        </is>
      </c>
      <c r="G1149" s="142" t="n"/>
      <c r="H1149" s="133" t="n"/>
      <c r="I1149" s="142" t="inlineStr">
        <is>
          <t>RL7-PRM-RIO1</t>
        </is>
      </c>
      <c r="J1149" s="133" t="n">
        <v>10</v>
      </c>
      <c r="K1149" s="133" t="n">
        <v>10</v>
      </c>
      <c r="L1149" s="133" t="n">
        <v>3</v>
      </c>
      <c r="M1149" s="129" t="inlineStr">
        <is>
          <t>4-20 mA AI</t>
        </is>
      </c>
      <c r="N1149" s="129" t="inlineStr">
        <is>
          <t>5069-IF8</t>
        </is>
      </c>
      <c r="O1149" s="139" t="n"/>
      <c r="P1149" s="127" t="n"/>
      <c r="Q1149" s="127" t="n"/>
      <c r="R1149" s="127" t="n"/>
      <c r="S1149" s="127" t="n"/>
      <c r="T1149" s="127" t="n"/>
      <c r="U1149" s="127" t="n"/>
      <c r="V1149" s="127" t="n"/>
      <c r="W1149" s="127" t="n"/>
      <c r="X1149" s="127" t="n"/>
      <c r="Y1149" s="127" t="n"/>
      <c r="Z1149" s="140" t="n"/>
    </row>
    <row r="1150">
      <c r="A1150" s="203">
        <f>ROW()-1</f>
        <v/>
      </c>
      <c r="B1150" s="128" t="n"/>
      <c r="C1150" s="263" t="n"/>
      <c r="D1150" s="264" t="n"/>
      <c r="E1150" s="133" t="n"/>
      <c r="F1150" s="141" t="inlineStr">
        <is>
          <t>SPARE</t>
        </is>
      </c>
      <c r="G1150" s="142" t="n"/>
      <c r="H1150" s="133" t="n"/>
      <c r="I1150" s="142" t="inlineStr">
        <is>
          <t>RL7-PRM-RIO1</t>
        </is>
      </c>
      <c r="J1150" s="133" t="n">
        <v>10</v>
      </c>
      <c r="K1150" s="133" t="n">
        <v>10</v>
      </c>
      <c r="L1150" s="133" t="n">
        <v>4</v>
      </c>
      <c r="M1150" s="129" t="inlineStr">
        <is>
          <t>4-20 mA AI</t>
        </is>
      </c>
      <c r="N1150" s="129" t="inlineStr">
        <is>
          <t>5069-IF8</t>
        </is>
      </c>
      <c r="O1150" s="139" t="n"/>
      <c r="P1150" s="127" t="n"/>
      <c r="Q1150" s="127" t="n"/>
      <c r="R1150" s="127" t="n"/>
      <c r="S1150" s="127" t="n"/>
      <c r="T1150" s="127" t="n"/>
      <c r="U1150" s="127" t="n"/>
      <c r="V1150" s="127" t="n"/>
      <c r="W1150" s="127" t="n"/>
      <c r="X1150" s="127" t="n"/>
      <c r="Y1150" s="127" t="n"/>
      <c r="Z1150" s="140" t="n"/>
    </row>
    <row r="1151">
      <c r="A1151" s="203">
        <f>ROW()-1</f>
        <v/>
      </c>
      <c r="B1151" s="128" t="n"/>
      <c r="C1151" s="263" t="n"/>
      <c r="D1151" s="264" t="n"/>
      <c r="E1151" s="133" t="n"/>
      <c r="F1151" s="141" t="inlineStr">
        <is>
          <t>SPARE</t>
        </is>
      </c>
      <c r="G1151" s="142" t="n"/>
      <c r="H1151" s="133" t="n"/>
      <c r="I1151" s="142" t="inlineStr">
        <is>
          <t>RL7-PRM-RIO1</t>
        </is>
      </c>
      <c r="J1151" s="133" t="n">
        <v>10</v>
      </c>
      <c r="K1151" s="133" t="n">
        <v>10</v>
      </c>
      <c r="L1151" s="133" t="n">
        <v>5</v>
      </c>
      <c r="M1151" s="129" t="inlineStr">
        <is>
          <t>4-20 mA AI</t>
        </is>
      </c>
      <c r="N1151" s="129" t="inlineStr">
        <is>
          <t>5069-IF8</t>
        </is>
      </c>
      <c r="O1151" s="139" t="n"/>
      <c r="P1151" s="127" t="n"/>
      <c r="Q1151" s="127" t="n"/>
      <c r="R1151" s="127" t="n"/>
      <c r="S1151" s="127" t="n"/>
      <c r="T1151" s="127" t="n"/>
      <c r="U1151" s="127" t="n"/>
      <c r="V1151" s="127" t="n"/>
      <c r="W1151" s="127" t="n"/>
      <c r="X1151" s="127" t="n"/>
      <c r="Y1151" s="127" t="n"/>
      <c r="Z1151" s="140" t="n"/>
    </row>
    <row r="1152">
      <c r="A1152" s="203">
        <f>ROW()-1</f>
        <v/>
      </c>
      <c r="B1152" s="128" t="n"/>
      <c r="C1152" s="263" t="n"/>
      <c r="D1152" s="264" t="n"/>
      <c r="E1152" s="133" t="n"/>
      <c r="F1152" s="141" t="inlineStr">
        <is>
          <t>SPARE</t>
        </is>
      </c>
      <c r="G1152" s="142" t="n"/>
      <c r="H1152" s="133" t="n"/>
      <c r="I1152" s="142" t="inlineStr">
        <is>
          <t>RL7-PRM-RIO1</t>
        </is>
      </c>
      <c r="J1152" s="133" t="n">
        <v>10</v>
      </c>
      <c r="K1152" s="133" t="n">
        <v>10</v>
      </c>
      <c r="L1152" s="133" t="n">
        <v>6</v>
      </c>
      <c r="M1152" s="129" t="inlineStr">
        <is>
          <t>4-20 mA AI</t>
        </is>
      </c>
      <c r="N1152" s="129" t="inlineStr">
        <is>
          <t>5069-IF8</t>
        </is>
      </c>
      <c r="O1152" s="139" t="n"/>
      <c r="P1152" s="127" t="n"/>
      <c r="Q1152" s="127" t="n"/>
      <c r="R1152" s="127" t="n"/>
      <c r="S1152" s="127" t="n"/>
      <c r="T1152" s="127" t="n"/>
      <c r="U1152" s="127" t="n"/>
      <c r="V1152" s="127" t="n"/>
      <c r="W1152" s="127" t="n"/>
      <c r="X1152" s="127" t="n"/>
      <c r="Y1152" s="127" t="n"/>
      <c r="Z1152" s="140" t="n"/>
    </row>
    <row r="1153">
      <c r="A1153" s="203">
        <f>ROW()-1</f>
        <v/>
      </c>
      <c r="B1153" s="128" t="n"/>
      <c r="C1153" s="263" t="n"/>
      <c r="D1153" s="264" t="n"/>
      <c r="E1153" s="133" t="n"/>
      <c r="F1153" s="141" t="inlineStr">
        <is>
          <t>SPARE</t>
        </is>
      </c>
      <c r="G1153" s="142" t="n"/>
      <c r="H1153" s="133" t="n"/>
      <c r="I1153" s="142" t="inlineStr">
        <is>
          <t>RL7-PRM-RIO1</t>
        </is>
      </c>
      <c r="J1153" s="133" t="n">
        <v>10</v>
      </c>
      <c r="K1153" s="133" t="n">
        <v>10</v>
      </c>
      <c r="L1153" s="133" t="n">
        <v>7</v>
      </c>
      <c r="M1153" s="129" t="inlineStr">
        <is>
          <t>4-20 mA AI</t>
        </is>
      </c>
      <c r="N1153" s="129" t="inlineStr">
        <is>
          <t>5069-IF8</t>
        </is>
      </c>
      <c r="O1153" s="139" t="n"/>
      <c r="P1153" s="127" t="n"/>
      <c r="Q1153" s="127" t="n"/>
      <c r="R1153" s="127" t="n"/>
      <c r="S1153" s="127" t="n"/>
      <c r="T1153" s="127" t="n"/>
      <c r="U1153" s="127" t="n"/>
      <c r="V1153" s="127" t="n"/>
      <c r="W1153" s="127" t="n"/>
      <c r="X1153" s="127" t="n"/>
      <c r="Y1153" s="127" t="n"/>
      <c r="Z1153" s="140" t="n"/>
    </row>
    <row r="1154">
      <c r="A1154" s="203">
        <f>ROW()-1</f>
        <v/>
      </c>
      <c r="B1154" s="128" t="n"/>
      <c r="C1154" s="263" t="n"/>
      <c r="D1154" s="264" t="n"/>
      <c r="E1154" s="133" t="n"/>
      <c r="F1154" s="141" t="inlineStr">
        <is>
          <t>SPARE</t>
        </is>
      </c>
      <c r="G1154" s="142" t="n"/>
      <c r="H1154" s="133" t="n"/>
      <c r="I1154" s="142" t="inlineStr">
        <is>
          <t>RL7-PRM-RIO1</t>
        </is>
      </c>
      <c r="J1154" s="133" t="n">
        <v>10</v>
      </c>
      <c r="K1154" s="133" t="n">
        <v>11</v>
      </c>
      <c r="L1154" s="133" t="n">
        <v>1</v>
      </c>
      <c r="M1154" s="129" t="inlineStr">
        <is>
          <t>4-20 mA AO</t>
        </is>
      </c>
      <c r="N1154" s="129" t="inlineStr">
        <is>
          <t>5069-OF8</t>
        </is>
      </c>
      <c r="O1154" s="139" t="n"/>
      <c r="P1154" s="127" t="n"/>
      <c r="Q1154" s="127" t="n"/>
      <c r="R1154" s="127" t="n"/>
      <c r="S1154" s="127" t="n"/>
      <c r="T1154" s="127" t="n"/>
      <c r="U1154" s="127" t="n"/>
      <c r="V1154" s="127" t="n"/>
      <c r="W1154" s="127" t="n"/>
      <c r="X1154" s="127" t="n"/>
      <c r="Y1154" s="127" t="n"/>
      <c r="Z1154" s="140" t="n"/>
    </row>
    <row r="1155">
      <c r="A1155" s="203">
        <f>ROW()-1</f>
        <v/>
      </c>
      <c r="B1155" s="128" t="n"/>
      <c r="C1155" s="263" t="n"/>
      <c r="D1155" s="264" t="n"/>
      <c r="E1155" s="133" t="n"/>
      <c r="F1155" s="141" t="inlineStr">
        <is>
          <t>SPARE</t>
        </is>
      </c>
      <c r="G1155" s="142" t="n"/>
      <c r="H1155" s="133" t="n"/>
      <c r="I1155" s="142" t="inlineStr">
        <is>
          <t>RL7-PRM-RIO1</t>
        </is>
      </c>
      <c r="J1155" s="133" t="n">
        <v>10</v>
      </c>
      <c r="K1155" s="133" t="n">
        <v>11</v>
      </c>
      <c r="L1155" s="133" t="n">
        <v>2</v>
      </c>
      <c r="M1155" s="129" t="inlineStr">
        <is>
          <t>4-20 mA AO</t>
        </is>
      </c>
      <c r="N1155" s="129" t="inlineStr">
        <is>
          <t>5069-OF8</t>
        </is>
      </c>
      <c r="O1155" s="139" t="n"/>
      <c r="P1155" s="127" t="n"/>
      <c r="Q1155" s="127" t="n"/>
      <c r="R1155" s="127" t="n"/>
      <c r="S1155" s="127" t="n"/>
      <c r="T1155" s="127" t="n"/>
      <c r="U1155" s="127" t="n"/>
      <c r="V1155" s="127" t="n"/>
      <c r="W1155" s="127" t="n"/>
      <c r="X1155" s="127" t="n"/>
      <c r="Y1155" s="127" t="n"/>
      <c r="Z1155" s="140" t="n"/>
    </row>
    <row r="1156">
      <c r="A1156" s="203">
        <f>ROW()-1</f>
        <v/>
      </c>
      <c r="B1156" s="128" t="n"/>
      <c r="C1156" s="263" t="n"/>
      <c r="D1156" s="264" t="n"/>
      <c r="E1156" s="133" t="n"/>
      <c r="F1156" s="141" t="inlineStr">
        <is>
          <t>SPARE</t>
        </is>
      </c>
      <c r="G1156" s="142" t="n"/>
      <c r="H1156" s="133" t="n"/>
      <c r="I1156" s="142" t="inlineStr">
        <is>
          <t>RL7-PRM-RIO1</t>
        </is>
      </c>
      <c r="J1156" s="133" t="n">
        <v>10</v>
      </c>
      <c r="K1156" s="133" t="n">
        <v>11</v>
      </c>
      <c r="L1156" s="133" t="n">
        <v>3</v>
      </c>
      <c r="M1156" s="129" t="inlineStr">
        <is>
          <t>4-20 mA AO</t>
        </is>
      </c>
      <c r="N1156" s="129" t="inlineStr">
        <is>
          <t>5069-OF8</t>
        </is>
      </c>
      <c r="O1156" s="139" t="n"/>
      <c r="P1156" s="127" t="n"/>
      <c r="Q1156" s="127" t="n"/>
      <c r="R1156" s="127" t="n"/>
      <c r="S1156" s="127" t="n"/>
      <c r="T1156" s="127" t="n"/>
      <c r="U1156" s="127" t="n"/>
      <c r="V1156" s="127" t="n"/>
      <c r="W1156" s="127" t="n"/>
      <c r="X1156" s="127" t="n"/>
      <c r="Y1156" s="127" t="n"/>
      <c r="Z1156" s="140" t="n"/>
    </row>
    <row r="1157">
      <c r="A1157" s="203">
        <f>ROW()-1</f>
        <v/>
      </c>
      <c r="B1157" s="128" t="n"/>
      <c r="C1157" s="263" t="n"/>
      <c r="D1157" s="264" t="n"/>
      <c r="E1157" s="133" t="n"/>
      <c r="F1157" s="141" t="inlineStr">
        <is>
          <t>SPARE</t>
        </is>
      </c>
      <c r="G1157" s="142" t="n"/>
      <c r="H1157" s="133" t="n"/>
      <c r="I1157" s="142" t="inlineStr">
        <is>
          <t>RL7-PRM-RIO1</t>
        </is>
      </c>
      <c r="J1157" s="133" t="n">
        <v>10</v>
      </c>
      <c r="K1157" s="133" t="n">
        <v>11</v>
      </c>
      <c r="L1157" s="133" t="n">
        <v>4</v>
      </c>
      <c r="M1157" s="129" t="inlineStr">
        <is>
          <t>4-20 mA AO</t>
        </is>
      </c>
      <c r="N1157" s="129" t="inlineStr">
        <is>
          <t>5069-OF8</t>
        </is>
      </c>
      <c r="O1157" s="139" t="n"/>
      <c r="P1157" s="127" t="n"/>
      <c r="Q1157" s="127" t="n"/>
      <c r="R1157" s="127" t="n"/>
      <c r="S1157" s="127" t="n"/>
      <c r="T1157" s="127" t="n"/>
      <c r="U1157" s="127" t="n"/>
      <c r="V1157" s="127" t="n"/>
      <c r="W1157" s="127" t="n"/>
      <c r="X1157" s="127" t="n"/>
      <c r="Y1157" s="127" t="n"/>
      <c r="Z1157" s="140" t="n"/>
    </row>
    <row r="1158">
      <c r="A1158" s="203">
        <f>ROW()-1</f>
        <v/>
      </c>
      <c r="B1158" s="128" t="n"/>
      <c r="C1158" s="263" t="n"/>
      <c r="D1158" s="264" t="n"/>
      <c r="E1158" s="133" t="n"/>
      <c r="F1158" s="141" t="inlineStr">
        <is>
          <t>SPARE</t>
        </is>
      </c>
      <c r="G1158" s="142" t="n"/>
      <c r="H1158" s="133" t="n"/>
      <c r="I1158" s="142" t="inlineStr">
        <is>
          <t>RL7-PRM-RIO1</t>
        </is>
      </c>
      <c r="J1158" s="133" t="n">
        <v>10</v>
      </c>
      <c r="K1158" s="133" t="n">
        <v>11</v>
      </c>
      <c r="L1158" s="133" t="n">
        <v>5</v>
      </c>
      <c r="M1158" s="129" t="inlineStr">
        <is>
          <t>4-20 mA AO</t>
        </is>
      </c>
      <c r="N1158" s="129" t="inlineStr">
        <is>
          <t>5069-OF8</t>
        </is>
      </c>
      <c r="O1158" s="139" t="n"/>
      <c r="P1158" s="127" t="n"/>
      <c r="Q1158" s="127" t="n"/>
      <c r="R1158" s="127" t="n"/>
      <c r="S1158" s="127" t="n"/>
      <c r="T1158" s="127" t="n"/>
      <c r="U1158" s="127" t="n"/>
      <c r="V1158" s="127" t="n"/>
      <c r="W1158" s="127" t="n"/>
      <c r="X1158" s="127" t="n"/>
      <c r="Y1158" s="127" t="n"/>
      <c r="Z1158" s="140" t="n"/>
    </row>
    <row r="1159">
      <c r="A1159" s="203">
        <f>ROW()-1</f>
        <v/>
      </c>
      <c r="B1159" s="128" t="n"/>
      <c r="C1159" s="263" t="n"/>
      <c r="D1159" s="264" t="n"/>
      <c r="E1159" s="133" t="n"/>
      <c r="F1159" s="141" t="inlineStr">
        <is>
          <t>SPARE</t>
        </is>
      </c>
      <c r="G1159" s="142" t="n"/>
      <c r="H1159" s="133" t="n"/>
      <c r="I1159" s="142" t="inlineStr">
        <is>
          <t>RL7-PRM-RIO1</t>
        </is>
      </c>
      <c r="J1159" s="133" t="n">
        <v>10</v>
      </c>
      <c r="K1159" s="133" t="n">
        <v>11</v>
      </c>
      <c r="L1159" s="133" t="n">
        <v>6</v>
      </c>
      <c r="M1159" s="129" t="inlineStr">
        <is>
          <t>4-20 mA AO</t>
        </is>
      </c>
      <c r="N1159" s="129" t="inlineStr">
        <is>
          <t>5069-OF8</t>
        </is>
      </c>
      <c r="O1159" s="139" t="n"/>
      <c r="P1159" s="127" t="n"/>
      <c r="Q1159" s="127" t="n"/>
      <c r="R1159" s="127" t="n"/>
      <c r="S1159" s="127" t="n"/>
      <c r="T1159" s="127" t="n"/>
      <c r="U1159" s="127" t="n"/>
      <c r="V1159" s="127" t="n"/>
      <c r="W1159" s="127" t="n"/>
      <c r="X1159" s="127" t="n"/>
      <c r="Y1159" s="127" t="n"/>
      <c r="Z1159" s="140" t="n"/>
    </row>
    <row r="1160">
      <c r="A1160" s="203">
        <f>ROW()-1</f>
        <v/>
      </c>
      <c r="B1160" s="128" t="n"/>
      <c r="C1160" s="263" t="n"/>
      <c r="D1160" s="264" t="n"/>
      <c r="E1160" s="133" t="n"/>
      <c r="F1160" s="141" t="inlineStr">
        <is>
          <t>SPARE</t>
        </is>
      </c>
      <c r="G1160" s="142" t="n"/>
      <c r="H1160" s="133" t="n"/>
      <c r="I1160" s="142" t="inlineStr">
        <is>
          <t>RL7-PRM-RIO1</t>
        </is>
      </c>
      <c r="J1160" s="133" t="n">
        <v>10</v>
      </c>
      <c r="K1160" s="133" t="n">
        <v>11</v>
      </c>
      <c r="L1160" s="133" t="n">
        <v>7</v>
      </c>
      <c r="M1160" s="129" t="inlineStr">
        <is>
          <t>4-20 mA AO</t>
        </is>
      </c>
      <c r="N1160" s="129" t="inlineStr">
        <is>
          <t>5069-OF8</t>
        </is>
      </c>
      <c r="O1160" s="139" t="n"/>
      <c r="P1160" s="127" t="n"/>
      <c r="Q1160" s="127" t="n"/>
      <c r="R1160" s="127" t="n"/>
      <c r="S1160" s="127" t="n"/>
      <c r="T1160" s="127" t="n"/>
      <c r="U1160" s="127" t="n"/>
      <c r="V1160" s="127" t="n"/>
      <c r="W1160" s="127" t="n"/>
      <c r="X1160" s="127" t="n"/>
      <c r="Y1160" s="127" t="n"/>
      <c r="Z1160" s="140" t="n"/>
    </row>
    <row r="1161">
      <c r="A1161" s="203">
        <f>ROW()-1</f>
        <v/>
      </c>
      <c r="B1161" s="128" t="n"/>
      <c r="C1161" s="263" t="n"/>
      <c r="D1161" s="262" t="n"/>
      <c r="E1161" s="128" t="n"/>
      <c r="F1161" s="138" t="inlineStr">
        <is>
          <t>SPARE</t>
        </is>
      </c>
      <c r="G1161" s="131" t="n"/>
      <c r="H1161" s="128" t="n"/>
      <c r="I1161" s="132" t="inlineStr">
        <is>
          <t>RL7-BRED-RIO1</t>
        </is>
      </c>
      <c r="J1161" s="133" t="n">
        <v>11</v>
      </c>
      <c r="K1161" s="129" t="n">
        <v>1</v>
      </c>
      <c r="L1161" s="129" t="n">
        <v>6</v>
      </c>
      <c r="M1161" s="129" t="inlineStr">
        <is>
          <t>24 VDC SI</t>
        </is>
      </c>
      <c r="N1161" s="129" t="inlineStr">
        <is>
          <t>5069-IB8S</t>
        </is>
      </c>
      <c r="O1161" s="139" t="n"/>
      <c r="P1161" s="127" t="n"/>
      <c r="Q1161" s="127" t="n"/>
      <c r="R1161" s="127" t="n"/>
      <c r="S1161" s="127" t="n"/>
      <c r="T1161" s="127" t="n"/>
      <c r="U1161" s="127" t="n"/>
      <c r="V1161" s="127" t="n"/>
      <c r="W1161" s="127" t="n"/>
      <c r="X1161" s="127" t="n"/>
      <c r="Y1161" s="127" t="n"/>
      <c r="Z1161" s="140" t="n"/>
    </row>
    <row r="1162">
      <c r="A1162" s="203">
        <f>ROW()-1</f>
        <v/>
      </c>
      <c r="B1162" s="128" t="n"/>
      <c r="C1162" s="263" t="n"/>
      <c r="D1162" s="262" t="n"/>
      <c r="E1162" s="128" t="n"/>
      <c r="F1162" s="138" t="inlineStr">
        <is>
          <t>SPARE</t>
        </is>
      </c>
      <c r="G1162" s="131" t="n"/>
      <c r="H1162" s="128" t="n"/>
      <c r="I1162" s="132" t="inlineStr">
        <is>
          <t>RL7-BRED-RIO1</t>
        </is>
      </c>
      <c r="J1162" s="133" t="n">
        <v>11</v>
      </c>
      <c r="K1162" s="129" t="n">
        <v>1</v>
      </c>
      <c r="L1162" s="129" t="n">
        <v>7</v>
      </c>
      <c r="M1162" s="129" t="inlineStr">
        <is>
          <t>24 VDC SI</t>
        </is>
      </c>
      <c r="N1162" s="129" t="inlineStr">
        <is>
          <t>5069-IB8S</t>
        </is>
      </c>
      <c r="O1162" s="139" t="n"/>
      <c r="P1162" s="127" t="n"/>
      <c r="Q1162" s="127" t="n"/>
      <c r="R1162" s="127" t="n"/>
      <c r="S1162" s="127" t="n"/>
      <c r="T1162" s="127" t="n"/>
      <c r="U1162" s="127" t="n"/>
      <c r="V1162" s="127" t="n"/>
      <c r="W1162" s="127" t="n"/>
      <c r="X1162" s="127" t="n"/>
      <c r="Y1162" s="127" t="n"/>
      <c r="Z1162" s="140" t="n"/>
    </row>
    <row r="1163">
      <c r="A1163" s="203">
        <f>ROW()-1</f>
        <v/>
      </c>
      <c r="B1163" s="128" t="n"/>
      <c r="C1163" s="263" t="n"/>
      <c r="D1163" s="262" t="n"/>
      <c r="E1163" s="128" t="n"/>
      <c r="F1163" s="138" t="inlineStr">
        <is>
          <t>ADDRESS RESERVE MODULE</t>
        </is>
      </c>
      <c r="G1163" s="131" t="n"/>
      <c r="H1163" s="128" t="n"/>
      <c r="I1163" s="132" t="inlineStr">
        <is>
          <t>RL7-BRED-RIO1</t>
        </is>
      </c>
      <c r="J1163" s="133" t="n">
        <v>11</v>
      </c>
      <c r="K1163" s="129" t="n">
        <v>2</v>
      </c>
      <c r="L1163" s="129" t="n">
        <v>0</v>
      </c>
      <c r="M1163" s="129" t="inlineStr">
        <is>
          <t>ARM</t>
        </is>
      </c>
      <c r="N1163" s="129" t="inlineStr">
        <is>
          <t>5069-ARM</t>
        </is>
      </c>
      <c r="O1163" s="139" t="n"/>
      <c r="P1163" s="127" t="n"/>
      <c r="Q1163" s="127" t="n"/>
      <c r="R1163" s="127" t="n"/>
      <c r="S1163" s="127" t="n"/>
      <c r="T1163" s="127" t="n"/>
      <c r="U1163" s="127" t="n"/>
      <c r="V1163" s="127" t="n"/>
      <c r="W1163" s="127" t="n"/>
      <c r="X1163" s="127" t="n"/>
      <c r="Y1163" s="127" t="n"/>
      <c r="Z1163" s="140" t="n"/>
    </row>
    <row r="1164">
      <c r="A1164" s="203">
        <f>ROW()-1</f>
        <v/>
      </c>
      <c r="B1164" s="128" t="n"/>
      <c r="C1164" s="263" t="n"/>
      <c r="D1164" s="262" t="n"/>
      <c r="E1164" s="128" t="n"/>
      <c r="F1164" s="138" t="inlineStr">
        <is>
          <t>SPARE</t>
        </is>
      </c>
      <c r="G1164" s="131" t="n"/>
      <c r="H1164" s="128" t="n"/>
      <c r="I1164" s="132" t="inlineStr">
        <is>
          <t>RL7-BRED-RIO1</t>
        </is>
      </c>
      <c r="J1164" s="133" t="n">
        <v>11</v>
      </c>
      <c r="K1164" s="129" t="n">
        <v>3</v>
      </c>
      <c r="L1164" s="129" t="n">
        <v>12</v>
      </c>
      <c r="M1164" s="129" t="inlineStr">
        <is>
          <t>24 VDC DI</t>
        </is>
      </c>
      <c r="N1164" s="129" t="inlineStr">
        <is>
          <t>5069-IB16</t>
        </is>
      </c>
      <c r="O1164" s="139" t="n"/>
      <c r="P1164" s="127" t="n"/>
      <c r="Q1164" s="127" t="n"/>
      <c r="R1164" s="127" t="n"/>
      <c r="S1164" s="127" t="n"/>
      <c r="T1164" s="127" t="n"/>
      <c r="U1164" s="127" t="n"/>
      <c r="V1164" s="127" t="n"/>
      <c r="W1164" s="127" t="n"/>
      <c r="X1164" s="127" t="n"/>
      <c r="Y1164" s="127" t="n"/>
      <c r="Z1164" s="140" t="n"/>
    </row>
    <row r="1165">
      <c r="A1165" s="203">
        <f>ROW()-1</f>
        <v/>
      </c>
      <c r="B1165" s="128" t="n"/>
      <c r="C1165" s="263" t="n"/>
      <c r="D1165" s="262" t="n"/>
      <c r="E1165" s="128" t="n"/>
      <c r="F1165" s="138" t="inlineStr">
        <is>
          <t>SPARE</t>
        </is>
      </c>
      <c r="G1165" s="131" t="n"/>
      <c r="H1165" s="128" t="n"/>
      <c r="I1165" s="132" t="inlineStr">
        <is>
          <t>RL7-BRED-RIO1</t>
        </is>
      </c>
      <c r="J1165" s="133" t="n">
        <v>11</v>
      </c>
      <c r="K1165" s="129" t="n">
        <v>3</v>
      </c>
      <c r="L1165" s="129" t="n">
        <v>13</v>
      </c>
      <c r="M1165" s="129" t="inlineStr">
        <is>
          <t>24 VDC DI</t>
        </is>
      </c>
      <c r="N1165" s="129" t="inlineStr">
        <is>
          <t>5069-IB16</t>
        </is>
      </c>
      <c r="O1165" s="139" t="n"/>
      <c r="P1165" s="127" t="n"/>
      <c r="Q1165" s="127" t="n"/>
      <c r="R1165" s="127" t="n"/>
      <c r="S1165" s="127" t="n"/>
      <c r="T1165" s="127" t="n"/>
      <c r="U1165" s="127" t="n"/>
      <c r="V1165" s="127" t="n"/>
      <c r="W1165" s="127" t="n"/>
      <c r="X1165" s="127" t="n"/>
      <c r="Y1165" s="127" t="n"/>
      <c r="Z1165" s="140" t="n"/>
    </row>
    <row r="1166">
      <c r="A1166" s="203">
        <f>ROW()-1</f>
        <v/>
      </c>
      <c r="B1166" s="128" t="n"/>
      <c r="C1166" s="263" t="n"/>
      <c r="D1166" s="262" t="n"/>
      <c r="E1166" s="128" t="n"/>
      <c r="F1166" s="138" t="inlineStr">
        <is>
          <t>SPARE</t>
        </is>
      </c>
      <c r="G1166" s="131" t="n"/>
      <c r="H1166" s="128" t="n"/>
      <c r="I1166" s="132" t="inlineStr">
        <is>
          <t>RL7-BRED-RIO1</t>
        </is>
      </c>
      <c r="J1166" s="133" t="n">
        <v>11</v>
      </c>
      <c r="K1166" s="129" t="n">
        <v>3</v>
      </c>
      <c r="L1166" s="129" t="n">
        <v>14</v>
      </c>
      <c r="M1166" s="129" t="inlineStr">
        <is>
          <t>24 VDC DI</t>
        </is>
      </c>
      <c r="N1166" s="129" t="inlineStr">
        <is>
          <t>5069-IB16</t>
        </is>
      </c>
      <c r="O1166" s="139" t="n"/>
      <c r="P1166" s="127" t="n"/>
      <c r="Q1166" s="127" t="n"/>
      <c r="R1166" s="127" t="n"/>
      <c r="S1166" s="127" t="n"/>
      <c r="T1166" s="127" t="n"/>
      <c r="U1166" s="127" t="n"/>
      <c r="V1166" s="127" t="n"/>
      <c r="W1166" s="127" t="n"/>
      <c r="X1166" s="127" t="n"/>
      <c r="Y1166" s="127" t="n"/>
      <c r="Z1166" s="140" t="n"/>
    </row>
    <row r="1167">
      <c r="A1167" s="203">
        <f>ROW()-1</f>
        <v/>
      </c>
      <c r="B1167" s="128" t="n"/>
      <c r="C1167" s="263" t="n"/>
      <c r="D1167" s="262" t="n"/>
      <c r="E1167" s="128" t="n"/>
      <c r="F1167" s="138" t="inlineStr">
        <is>
          <t>SPARE</t>
        </is>
      </c>
      <c r="G1167" s="131" t="n"/>
      <c r="H1167" s="128" t="n"/>
      <c r="I1167" s="132" t="inlineStr">
        <is>
          <t>RL7-BRED-RIO1</t>
        </is>
      </c>
      <c r="J1167" s="133" t="n">
        <v>11</v>
      </c>
      <c r="K1167" s="129" t="n">
        <v>3</v>
      </c>
      <c r="L1167" s="129" t="n">
        <v>15</v>
      </c>
      <c r="M1167" s="129" t="inlineStr">
        <is>
          <t>24 VDC DI</t>
        </is>
      </c>
      <c r="N1167" s="129" t="inlineStr">
        <is>
          <t>5069-IB16</t>
        </is>
      </c>
      <c r="O1167" s="139" t="n"/>
      <c r="P1167" s="127" t="n"/>
      <c r="Q1167" s="127" t="n"/>
      <c r="R1167" s="127" t="n"/>
      <c r="S1167" s="127" t="n"/>
      <c r="T1167" s="127" t="n"/>
      <c r="U1167" s="127" t="n"/>
      <c r="V1167" s="127" t="n"/>
      <c r="W1167" s="127" t="n"/>
      <c r="X1167" s="127" t="n"/>
      <c r="Y1167" s="127" t="n"/>
      <c r="Z1167" s="140" t="n"/>
    </row>
    <row r="1168">
      <c r="A1168" s="203">
        <f>ROW()-1</f>
        <v/>
      </c>
      <c r="B1168" s="128" t="n"/>
      <c r="C1168" s="263" t="n"/>
      <c r="D1168" s="262" t="n"/>
      <c r="E1168" s="128" t="n"/>
      <c r="F1168" s="138" t="inlineStr">
        <is>
          <t>SPARE</t>
        </is>
      </c>
      <c r="G1168" s="131" t="n"/>
      <c r="H1168" s="128" t="n"/>
      <c r="I1168" s="132" t="inlineStr">
        <is>
          <t>RL7-BRED-RIO1</t>
        </is>
      </c>
      <c r="J1168" s="133" t="n">
        <v>11</v>
      </c>
      <c r="K1168" s="129" t="n">
        <v>4</v>
      </c>
      <c r="L1168" s="129" t="n">
        <v>0</v>
      </c>
      <c r="M1168" s="129" t="inlineStr">
        <is>
          <t>24 VDC DI</t>
        </is>
      </c>
      <c r="N1168" s="129" t="inlineStr">
        <is>
          <t>5069-IB16</t>
        </is>
      </c>
      <c r="O1168" s="139" t="n"/>
      <c r="P1168" s="127" t="n"/>
      <c r="Q1168" s="127" t="n"/>
      <c r="R1168" s="127" t="n"/>
      <c r="S1168" s="127" t="n"/>
      <c r="T1168" s="127" t="n"/>
      <c r="U1168" s="127" t="n"/>
      <c r="V1168" s="127" t="n"/>
      <c r="W1168" s="127" t="n"/>
      <c r="X1168" s="127" t="n"/>
      <c r="Y1168" s="127" t="n"/>
      <c r="Z1168" s="154" t="n"/>
    </row>
    <row r="1169">
      <c r="A1169" s="203">
        <f>ROW()-1</f>
        <v/>
      </c>
      <c r="B1169" s="128" t="n"/>
      <c r="C1169" s="263" t="n"/>
      <c r="D1169" s="262" t="n"/>
      <c r="E1169" s="128" t="n"/>
      <c r="F1169" s="138" t="inlineStr">
        <is>
          <t>SPARE</t>
        </is>
      </c>
      <c r="G1169" s="131" t="n"/>
      <c r="H1169" s="128" t="n"/>
      <c r="I1169" s="132" t="inlineStr">
        <is>
          <t>RL7-BRED-RIO1</t>
        </is>
      </c>
      <c r="J1169" s="133" t="n">
        <v>11</v>
      </c>
      <c r="K1169" s="129" t="n">
        <v>4</v>
      </c>
      <c r="L1169" s="129" t="n">
        <v>1</v>
      </c>
      <c r="M1169" s="129" t="inlineStr">
        <is>
          <t>24 VDC DI</t>
        </is>
      </c>
      <c r="N1169" s="129" t="inlineStr">
        <is>
          <t>5069-IB16</t>
        </is>
      </c>
      <c r="O1169" s="139" t="n"/>
      <c r="P1169" s="127" t="n"/>
      <c r="Q1169" s="127" t="n"/>
      <c r="R1169" s="127" t="n"/>
      <c r="S1169" s="127" t="n"/>
      <c r="T1169" s="127" t="n"/>
      <c r="U1169" s="127" t="n"/>
      <c r="V1169" s="127" t="n"/>
      <c r="W1169" s="127" t="n"/>
      <c r="X1169" s="127" t="n"/>
      <c r="Y1169" s="127" t="n"/>
      <c r="Z1169" s="140" t="n"/>
    </row>
    <row r="1170">
      <c r="A1170" s="203">
        <f>ROW()-1</f>
        <v/>
      </c>
      <c r="B1170" s="128" t="n"/>
      <c r="C1170" s="263" t="n"/>
      <c r="D1170" s="262" t="n"/>
      <c r="E1170" s="128" t="n"/>
      <c r="F1170" s="138" t="inlineStr">
        <is>
          <t>SPARE</t>
        </is>
      </c>
      <c r="G1170" s="131" t="n"/>
      <c r="H1170" s="128" t="n"/>
      <c r="I1170" s="132" t="inlineStr">
        <is>
          <t>RL7-BRED-RIO1</t>
        </is>
      </c>
      <c r="J1170" s="133" t="n">
        <v>11</v>
      </c>
      <c r="K1170" s="129" t="n">
        <v>4</v>
      </c>
      <c r="L1170" s="129" t="n">
        <v>2</v>
      </c>
      <c r="M1170" s="129" t="inlineStr">
        <is>
          <t>24 VDC DI</t>
        </is>
      </c>
      <c r="N1170" s="129" t="inlineStr">
        <is>
          <t>5069-IB16</t>
        </is>
      </c>
      <c r="O1170" s="139" t="n"/>
      <c r="P1170" s="127" t="n"/>
      <c r="Q1170" s="127" t="n"/>
      <c r="R1170" s="127" t="n"/>
      <c r="S1170" s="127" t="n"/>
      <c r="T1170" s="127" t="n"/>
      <c r="U1170" s="127" t="n"/>
      <c r="V1170" s="127" t="n"/>
      <c r="W1170" s="127" t="n"/>
      <c r="X1170" s="127" t="n"/>
      <c r="Y1170" s="127" t="n"/>
      <c r="Z1170" s="140" t="n"/>
    </row>
    <row r="1171">
      <c r="A1171" s="203">
        <f>ROW()-1</f>
        <v/>
      </c>
      <c r="B1171" s="128" t="n"/>
      <c r="C1171" s="263" t="n"/>
      <c r="D1171" s="262" t="n"/>
      <c r="E1171" s="128" t="n"/>
      <c r="F1171" s="138" t="inlineStr">
        <is>
          <t>SPARE</t>
        </is>
      </c>
      <c r="G1171" s="131" t="n"/>
      <c r="H1171" s="128" t="n"/>
      <c r="I1171" s="132" t="inlineStr">
        <is>
          <t>RL7-BRED-RIO1</t>
        </is>
      </c>
      <c r="J1171" s="133" t="n">
        <v>11</v>
      </c>
      <c r="K1171" s="129" t="n">
        <v>4</v>
      </c>
      <c r="L1171" s="129" t="n">
        <v>3</v>
      </c>
      <c r="M1171" s="129" t="inlineStr">
        <is>
          <t>24 VDC DI</t>
        </is>
      </c>
      <c r="N1171" s="129" t="inlineStr">
        <is>
          <t>5069-IB16</t>
        </is>
      </c>
      <c r="O1171" s="139" t="n"/>
      <c r="P1171" s="127" t="n"/>
      <c r="Q1171" s="127" t="n"/>
      <c r="R1171" s="127" t="n"/>
      <c r="S1171" s="127" t="n"/>
      <c r="T1171" s="127" t="n"/>
      <c r="U1171" s="127" t="n"/>
      <c r="V1171" s="127" t="n"/>
      <c r="W1171" s="127" t="n"/>
      <c r="X1171" s="127" t="n"/>
      <c r="Y1171" s="127" t="n"/>
      <c r="Z1171" s="140" t="n"/>
    </row>
    <row r="1172">
      <c r="A1172" s="203">
        <f>ROW()-1</f>
        <v/>
      </c>
      <c r="B1172" s="128" t="n"/>
      <c r="C1172" s="263" t="n"/>
      <c r="D1172" s="262" t="n"/>
      <c r="E1172" s="128" t="n"/>
      <c r="F1172" s="138" t="inlineStr">
        <is>
          <t>SPARE</t>
        </is>
      </c>
      <c r="G1172" s="131" t="n"/>
      <c r="H1172" s="128" t="n"/>
      <c r="I1172" s="132" t="inlineStr">
        <is>
          <t>RL7-BRED-RIO1</t>
        </is>
      </c>
      <c r="J1172" s="133" t="n">
        <v>11</v>
      </c>
      <c r="K1172" s="129" t="n">
        <v>4</v>
      </c>
      <c r="L1172" s="129" t="n">
        <v>4</v>
      </c>
      <c r="M1172" s="129" t="inlineStr">
        <is>
          <t>24 VDC DI</t>
        </is>
      </c>
      <c r="N1172" s="129" t="inlineStr">
        <is>
          <t>5069-IB16</t>
        </is>
      </c>
      <c r="O1172" s="139" t="n"/>
      <c r="P1172" s="127" t="n"/>
      <c r="Q1172" s="127" t="n"/>
      <c r="R1172" s="127" t="n"/>
      <c r="S1172" s="127" t="n"/>
      <c r="T1172" s="127" t="n"/>
      <c r="U1172" s="127" t="n"/>
      <c r="V1172" s="127" t="n"/>
      <c r="W1172" s="127" t="n"/>
      <c r="X1172" s="127" t="n"/>
      <c r="Y1172" s="127" t="n"/>
      <c r="Z1172" s="140" t="n"/>
    </row>
    <row r="1173">
      <c r="A1173" s="203">
        <f>ROW()-1</f>
        <v/>
      </c>
      <c r="B1173" s="128" t="n"/>
      <c r="C1173" s="263" t="n"/>
      <c r="D1173" s="262" t="n"/>
      <c r="E1173" s="128" t="n"/>
      <c r="F1173" s="138" t="inlineStr">
        <is>
          <t>SPARE</t>
        </is>
      </c>
      <c r="G1173" s="131" t="n"/>
      <c r="H1173" s="128" t="n"/>
      <c r="I1173" s="132" t="inlineStr">
        <is>
          <t>RL7-BRED-RIO1</t>
        </is>
      </c>
      <c r="J1173" s="133" t="n">
        <v>11</v>
      </c>
      <c r="K1173" s="129" t="n">
        <v>4</v>
      </c>
      <c r="L1173" s="129" t="n">
        <v>13</v>
      </c>
      <c r="M1173" s="129" t="inlineStr">
        <is>
          <t>24 VDC DI</t>
        </is>
      </c>
      <c r="N1173" s="129" t="inlineStr">
        <is>
          <t>5069-IB16</t>
        </is>
      </c>
      <c r="O1173" s="139" t="n"/>
      <c r="P1173" s="127" t="n"/>
      <c r="Q1173" s="127" t="n"/>
      <c r="R1173" s="127" t="n"/>
      <c r="S1173" s="127" t="n"/>
      <c r="T1173" s="127" t="n"/>
      <c r="U1173" s="127" t="n"/>
      <c r="V1173" s="127" t="n"/>
      <c r="W1173" s="127" t="n"/>
      <c r="X1173" s="127" t="n"/>
      <c r="Y1173" s="127" t="n"/>
      <c r="Z1173" s="140" t="n"/>
    </row>
    <row r="1174">
      <c r="A1174" s="203">
        <f>ROW()-1</f>
        <v/>
      </c>
      <c r="B1174" s="128" t="n"/>
      <c r="C1174" s="263" t="n"/>
      <c r="D1174" s="262" t="n"/>
      <c r="E1174" s="128" t="n"/>
      <c r="F1174" s="138" t="inlineStr">
        <is>
          <t>SPARE</t>
        </is>
      </c>
      <c r="G1174" s="131" t="n"/>
      <c r="H1174" s="128" t="n"/>
      <c r="I1174" s="132" t="inlineStr">
        <is>
          <t>RL7-BRED-RIO1</t>
        </is>
      </c>
      <c r="J1174" s="133" t="n">
        <v>11</v>
      </c>
      <c r="K1174" s="129" t="n">
        <v>4</v>
      </c>
      <c r="L1174" s="129" t="n">
        <v>14</v>
      </c>
      <c r="M1174" s="129" t="inlineStr">
        <is>
          <t>24 VDC DI</t>
        </is>
      </c>
      <c r="N1174" s="129" t="inlineStr">
        <is>
          <t>5069-IB16</t>
        </is>
      </c>
      <c r="O1174" s="139" t="n"/>
      <c r="P1174" s="127" t="n"/>
      <c r="Q1174" s="127" t="n"/>
      <c r="R1174" s="127" t="n"/>
      <c r="S1174" s="127" t="n"/>
      <c r="T1174" s="127" t="n"/>
      <c r="U1174" s="127" t="n"/>
      <c r="V1174" s="127" t="n"/>
      <c r="W1174" s="127" t="n"/>
      <c r="X1174" s="127" t="n"/>
      <c r="Y1174" s="127" t="n"/>
      <c r="Z1174" s="140" t="n"/>
    </row>
    <row r="1175">
      <c r="A1175" s="203">
        <f>ROW()-1</f>
        <v/>
      </c>
      <c r="B1175" s="128" t="n"/>
      <c r="C1175" s="263" t="n"/>
      <c r="D1175" s="262" t="n"/>
      <c r="E1175" s="128" t="n"/>
      <c r="F1175" s="138" t="inlineStr">
        <is>
          <t>SPARE</t>
        </is>
      </c>
      <c r="G1175" s="131" t="n"/>
      <c r="H1175" s="128" t="n"/>
      <c r="I1175" s="132" t="inlineStr">
        <is>
          <t>RL7-BRED-RIO1</t>
        </is>
      </c>
      <c r="J1175" s="133" t="n">
        <v>11</v>
      </c>
      <c r="K1175" s="129" t="n">
        <v>4</v>
      </c>
      <c r="L1175" s="129" t="n">
        <v>15</v>
      </c>
      <c r="M1175" s="129" t="inlineStr">
        <is>
          <t>24 VDC DI</t>
        </is>
      </c>
      <c r="N1175" s="129" t="inlineStr">
        <is>
          <t>5069-IB16</t>
        </is>
      </c>
      <c r="O1175" s="139" t="n"/>
      <c r="P1175" s="127" t="n"/>
      <c r="Q1175" s="127" t="n"/>
      <c r="R1175" s="127" t="n"/>
      <c r="S1175" s="127" t="n"/>
      <c r="T1175" s="127" t="n"/>
      <c r="U1175" s="127" t="n"/>
      <c r="V1175" s="127" t="n"/>
      <c r="W1175" s="127" t="n"/>
      <c r="X1175" s="127" t="n"/>
      <c r="Y1175" s="127" t="n"/>
      <c r="Z1175" s="140" t="n"/>
    </row>
    <row r="1176">
      <c r="A1176" s="203">
        <f>ROW()-1</f>
        <v/>
      </c>
      <c r="B1176" s="128" t="n"/>
      <c r="C1176" s="263" t="n"/>
      <c r="D1176" s="262" t="n"/>
      <c r="E1176" s="128" t="n"/>
      <c r="F1176" s="138" t="inlineStr">
        <is>
          <t>SPARE</t>
        </is>
      </c>
      <c r="G1176" s="131" t="n"/>
      <c r="H1176" s="128" t="n"/>
      <c r="I1176" s="132" t="inlineStr">
        <is>
          <t>RL7-BRED-RIO1</t>
        </is>
      </c>
      <c r="J1176" s="133" t="n">
        <v>11</v>
      </c>
      <c r="K1176" s="129" t="n">
        <v>5</v>
      </c>
      <c r="L1176" s="129" t="n">
        <v>0</v>
      </c>
      <c r="M1176" s="129" t="inlineStr">
        <is>
          <t>24 VDC DI</t>
        </is>
      </c>
      <c r="N1176" s="129" t="inlineStr">
        <is>
          <t>5069-IB16</t>
        </is>
      </c>
      <c r="O1176" s="139" t="n"/>
      <c r="P1176" s="127" t="n"/>
      <c r="Q1176" s="127" t="n"/>
      <c r="R1176" s="127" t="n"/>
      <c r="S1176" s="127" t="n"/>
      <c r="T1176" s="127" t="n"/>
      <c r="U1176" s="127" t="n"/>
      <c r="V1176" s="127" t="n"/>
      <c r="W1176" s="127" t="n"/>
      <c r="X1176" s="127" t="n"/>
      <c r="Y1176" s="127" t="n"/>
      <c r="Z1176" s="140" t="n"/>
    </row>
    <row r="1177">
      <c r="A1177" s="203">
        <f>ROW()-1</f>
        <v/>
      </c>
      <c r="B1177" s="128" t="n"/>
      <c r="C1177" s="263" t="n"/>
      <c r="D1177" s="262" t="n"/>
      <c r="E1177" s="128" t="n"/>
      <c r="F1177" s="138" t="inlineStr">
        <is>
          <t>SPARE</t>
        </is>
      </c>
      <c r="G1177" s="131" t="n"/>
      <c r="H1177" s="128" t="n"/>
      <c r="I1177" s="132" t="inlineStr">
        <is>
          <t>RL7-BRED-RIO1</t>
        </is>
      </c>
      <c r="J1177" s="133" t="n">
        <v>11</v>
      </c>
      <c r="K1177" s="129" t="n">
        <v>5</v>
      </c>
      <c r="L1177" s="129" t="n">
        <v>1</v>
      </c>
      <c r="M1177" s="129" t="inlineStr">
        <is>
          <t>24 VDC DI</t>
        </is>
      </c>
      <c r="N1177" s="129" t="inlineStr">
        <is>
          <t>5069-IB16</t>
        </is>
      </c>
      <c r="O1177" s="139" t="n"/>
      <c r="P1177" s="127" t="n"/>
      <c r="Q1177" s="127" t="n"/>
      <c r="R1177" s="127" t="n"/>
      <c r="S1177" s="127" t="n"/>
      <c r="T1177" s="127" t="n"/>
      <c r="U1177" s="127" t="n"/>
      <c r="V1177" s="127" t="n"/>
      <c r="W1177" s="127" t="n"/>
      <c r="X1177" s="127" t="n"/>
      <c r="Y1177" s="127" t="n"/>
      <c r="Z1177" s="140" t="n"/>
    </row>
    <row r="1178">
      <c r="A1178" s="203">
        <f>ROW()-1</f>
        <v/>
      </c>
      <c r="B1178" s="128" t="n"/>
      <c r="C1178" s="263" t="n"/>
      <c r="D1178" s="262" t="n"/>
      <c r="E1178" s="128" t="n"/>
      <c r="F1178" s="138" t="inlineStr">
        <is>
          <t>SPARE</t>
        </is>
      </c>
      <c r="G1178" s="131" t="n"/>
      <c r="H1178" s="128" t="n"/>
      <c r="I1178" s="132" t="inlineStr">
        <is>
          <t>RL7-BRED-RIO1</t>
        </is>
      </c>
      <c r="J1178" s="133" t="n">
        <v>11</v>
      </c>
      <c r="K1178" s="129" t="n">
        <v>5</v>
      </c>
      <c r="L1178" s="129" t="n">
        <v>2</v>
      </c>
      <c r="M1178" s="129" t="inlineStr">
        <is>
          <t>24 VDC DI</t>
        </is>
      </c>
      <c r="N1178" s="129" t="inlineStr">
        <is>
          <t>5069-IB16</t>
        </is>
      </c>
      <c r="O1178" s="139" t="n"/>
      <c r="P1178" s="127" t="n"/>
      <c r="Q1178" s="127" t="n"/>
      <c r="R1178" s="127" t="n"/>
      <c r="S1178" s="127" t="n"/>
      <c r="T1178" s="127" t="n"/>
      <c r="U1178" s="127" t="n"/>
      <c r="V1178" s="127" t="n"/>
      <c r="W1178" s="127" t="n"/>
      <c r="X1178" s="127" t="n"/>
      <c r="Y1178" s="127" t="n"/>
      <c r="Z1178" s="140" t="n"/>
    </row>
    <row r="1179">
      <c r="A1179" s="203">
        <f>ROW()-1</f>
        <v/>
      </c>
      <c r="B1179" s="128" t="n"/>
      <c r="C1179" s="263" t="n"/>
      <c r="D1179" s="262" t="n"/>
      <c r="E1179" s="128" t="n"/>
      <c r="F1179" s="138" t="inlineStr">
        <is>
          <t>SPARE</t>
        </is>
      </c>
      <c r="G1179" s="131" t="n"/>
      <c r="H1179" s="128" t="n"/>
      <c r="I1179" s="132" t="inlineStr">
        <is>
          <t>RL7-BRED-RIO1</t>
        </is>
      </c>
      <c r="J1179" s="133" t="n">
        <v>11</v>
      </c>
      <c r="K1179" s="129" t="n">
        <v>5</v>
      </c>
      <c r="L1179" s="129" t="n">
        <v>3</v>
      </c>
      <c r="M1179" s="129" t="inlineStr">
        <is>
          <t>24 VDC DI</t>
        </is>
      </c>
      <c r="N1179" s="129" t="inlineStr">
        <is>
          <t>5069-IB16</t>
        </is>
      </c>
      <c r="O1179" s="139" t="n"/>
      <c r="P1179" s="127" t="n"/>
      <c r="Q1179" s="127" t="n"/>
      <c r="R1179" s="127" t="n"/>
      <c r="S1179" s="127" t="n"/>
      <c r="T1179" s="127" t="n"/>
      <c r="U1179" s="127" t="n"/>
      <c r="V1179" s="127" t="n"/>
      <c r="W1179" s="127" t="n"/>
      <c r="X1179" s="127" t="n"/>
      <c r="Y1179" s="127" t="n"/>
      <c r="Z1179" s="140" t="n"/>
    </row>
    <row r="1180">
      <c r="A1180" s="203">
        <f>ROW()-1</f>
        <v/>
      </c>
      <c r="B1180" s="128" t="n"/>
      <c r="C1180" s="263" t="n"/>
      <c r="D1180" s="262" t="n"/>
      <c r="E1180" s="128" t="n"/>
      <c r="F1180" s="138" t="inlineStr">
        <is>
          <t>SPARE</t>
        </is>
      </c>
      <c r="G1180" s="131" t="n"/>
      <c r="H1180" s="128" t="n"/>
      <c r="I1180" s="132" t="inlineStr">
        <is>
          <t>RL7-BRED-RIO1</t>
        </is>
      </c>
      <c r="J1180" s="133" t="n">
        <v>11</v>
      </c>
      <c r="K1180" s="129" t="n">
        <v>5</v>
      </c>
      <c r="L1180" s="129" t="n">
        <v>4</v>
      </c>
      <c r="M1180" s="129" t="inlineStr">
        <is>
          <t>24 VDC DI</t>
        </is>
      </c>
      <c r="N1180" s="129" t="inlineStr">
        <is>
          <t>5069-IB16</t>
        </is>
      </c>
      <c r="O1180" s="139" t="n"/>
      <c r="P1180" s="127" t="n"/>
      <c r="Q1180" s="127" t="n"/>
      <c r="R1180" s="127" t="n"/>
      <c r="S1180" s="127" t="n"/>
      <c r="T1180" s="127" t="n"/>
      <c r="U1180" s="127" t="n"/>
      <c r="V1180" s="127" t="n"/>
      <c r="W1180" s="127" t="n"/>
      <c r="X1180" s="127" t="n"/>
      <c r="Y1180" s="127" t="n"/>
      <c r="Z1180" s="140" t="n"/>
    </row>
    <row r="1181">
      <c r="A1181" s="203">
        <f>ROW()-1</f>
        <v/>
      </c>
      <c r="B1181" s="128" t="n"/>
      <c r="C1181" s="263" t="n"/>
      <c r="D1181" s="262" t="n"/>
      <c r="E1181" s="128" t="n"/>
      <c r="F1181" s="138" t="inlineStr">
        <is>
          <t>SPARE</t>
        </is>
      </c>
      <c r="G1181" s="131" t="n"/>
      <c r="H1181" s="128" t="n"/>
      <c r="I1181" s="132" t="inlineStr">
        <is>
          <t>RL7-BRED-RIO1</t>
        </is>
      </c>
      <c r="J1181" s="133" t="n">
        <v>11</v>
      </c>
      <c r="K1181" s="129" t="n">
        <v>5</v>
      </c>
      <c r="L1181" s="129" t="n">
        <v>5</v>
      </c>
      <c r="M1181" s="129" t="inlineStr">
        <is>
          <t>24 VDC DI</t>
        </is>
      </c>
      <c r="N1181" s="129" t="inlineStr">
        <is>
          <t>5069-IB16</t>
        </is>
      </c>
      <c r="O1181" s="139" t="n"/>
      <c r="P1181" s="127" t="n"/>
      <c r="Q1181" s="127" t="n"/>
      <c r="R1181" s="127" t="n"/>
      <c r="S1181" s="127" t="n"/>
      <c r="T1181" s="127" t="n"/>
      <c r="U1181" s="127" t="n"/>
      <c r="V1181" s="127" t="n"/>
      <c r="W1181" s="127" t="n"/>
      <c r="X1181" s="127" t="n"/>
      <c r="Y1181" s="127" t="n"/>
      <c r="Z1181" s="140" t="n"/>
    </row>
    <row r="1182">
      <c r="A1182" s="203">
        <f>ROW()-1</f>
        <v/>
      </c>
      <c r="B1182" s="128" t="n"/>
      <c r="C1182" s="263" t="n"/>
      <c r="D1182" s="262" t="n"/>
      <c r="E1182" s="128" t="n"/>
      <c r="F1182" s="138" t="inlineStr">
        <is>
          <t>SPARE</t>
        </is>
      </c>
      <c r="G1182" s="131" t="n"/>
      <c r="H1182" s="128" t="n"/>
      <c r="I1182" s="132" t="inlineStr">
        <is>
          <t>RL7-BRED-RIO1</t>
        </is>
      </c>
      <c r="J1182" s="133" t="n">
        <v>11</v>
      </c>
      <c r="K1182" s="129" t="n">
        <v>5</v>
      </c>
      <c r="L1182" s="129" t="n">
        <v>6</v>
      </c>
      <c r="M1182" s="129" t="inlineStr">
        <is>
          <t>24 VDC DI</t>
        </is>
      </c>
      <c r="N1182" s="129" t="inlineStr">
        <is>
          <t>5069-IB16</t>
        </is>
      </c>
      <c r="O1182" s="139" t="n"/>
      <c r="P1182" s="127" t="n"/>
      <c r="Q1182" s="127" t="n"/>
      <c r="R1182" s="127" t="n"/>
      <c r="S1182" s="127" t="n"/>
      <c r="T1182" s="127" t="n"/>
      <c r="U1182" s="127" t="n"/>
      <c r="V1182" s="127" t="n"/>
      <c r="W1182" s="127" t="n"/>
      <c r="X1182" s="127" t="n"/>
      <c r="Y1182" s="127" t="n"/>
      <c r="Z1182" s="140" t="n"/>
    </row>
    <row r="1183">
      <c r="A1183" s="203">
        <f>ROW()-1</f>
        <v/>
      </c>
      <c r="B1183" s="128" t="n"/>
      <c r="C1183" s="263" t="n"/>
      <c r="D1183" s="262" t="n"/>
      <c r="E1183" s="128" t="n"/>
      <c r="F1183" s="138" t="inlineStr">
        <is>
          <t>SPARE</t>
        </is>
      </c>
      <c r="G1183" s="131" t="n"/>
      <c r="H1183" s="128" t="n"/>
      <c r="I1183" s="132" t="inlineStr">
        <is>
          <t>RL7-BRED-RIO1</t>
        </is>
      </c>
      <c r="J1183" s="133" t="n">
        <v>11</v>
      </c>
      <c r="K1183" s="129" t="n">
        <v>5</v>
      </c>
      <c r="L1183" s="129" t="n">
        <v>7</v>
      </c>
      <c r="M1183" s="129" t="inlineStr">
        <is>
          <t>24 VDC DI</t>
        </is>
      </c>
      <c r="N1183" s="129" t="inlineStr">
        <is>
          <t>5069-IB16</t>
        </is>
      </c>
      <c r="O1183" s="139" t="n"/>
      <c r="P1183" s="127" t="n"/>
      <c r="Q1183" s="127" t="n"/>
      <c r="R1183" s="127" t="n"/>
      <c r="S1183" s="127" t="n"/>
      <c r="T1183" s="127" t="n"/>
      <c r="U1183" s="127" t="n"/>
      <c r="V1183" s="127" t="n"/>
      <c r="W1183" s="127" t="n"/>
      <c r="X1183" s="127" t="n"/>
      <c r="Y1183" s="127" t="n"/>
      <c r="Z1183" s="140" t="n"/>
    </row>
    <row r="1184">
      <c r="A1184" s="203">
        <f>ROW()-1</f>
        <v/>
      </c>
      <c r="B1184" s="128" t="n"/>
      <c r="C1184" s="263" t="n"/>
      <c r="D1184" s="262" t="n"/>
      <c r="E1184" s="128" t="n"/>
      <c r="F1184" s="138" t="inlineStr">
        <is>
          <t>SPARE</t>
        </is>
      </c>
      <c r="G1184" s="131" t="n"/>
      <c r="H1184" s="128" t="n"/>
      <c r="I1184" s="132" t="inlineStr">
        <is>
          <t>RL7-BRED-RIO1</t>
        </is>
      </c>
      <c r="J1184" s="133" t="n">
        <v>11</v>
      </c>
      <c r="K1184" s="129" t="n">
        <v>5</v>
      </c>
      <c r="L1184" s="129" t="n">
        <v>8</v>
      </c>
      <c r="M1184" s="129" t="inlineStr">
        <is>
          <t>24 VDC DI</t>
        </is>
      </c>
      <c r="N1184" s="129" t="inlineStr">
        <is>
          <t>5069-IB16</t>
        </is>
      </c>
      <c r="O1184" s="139" t="n"/>
      <c r="P1184" s="127" t="n"/>
      <c r="Q1184" s="127" t="n"/>
      <c r="R1184" s="127" t="n"/>
      <c r="S1184" s="127" t="n"/>
      <c r="T1184" s="127" t="n"/>
      <c r="U1184" s="127" t="n"/>
      <c r="V1184" s="127" t="n"/>
      <c r="W1184" s="127" t="n"/>
      <c r="X1184" s="127" t="n"/>
      <c r="Y1184" s="127" t="n"/>
      <c r="Z1184" s="140" t="n"/>
    </row>
    <row r="1185">
      <c r="A1185" s="203">
        <f>ROW()-1</f>
        <v/>
      </c>
      <c r="B1185" s="128" t="n"/>
      <c r="C1185" s="263" t="n"/>
      <c r="D1185" s="262" t="n"/>
      <c r="E1185" s="128" t="n"/>
      <c r="F1185" s="138" t="inlineStr">
        <is>
          <t>SPARE</t>
        </is>
      </c>
      <c r="G1185" s="131" t="n"/>
      <c r="H1185" s="128" t="n"/>
      <c r="I1185" s="132" t="inlineStr">
        <is>
          <t>RL7-BRED-RIO1</t>
        </is>
      </c>
      <c r="J1185" s="133" t="n">
        <v>11</v>
      </c>
      <c r="K1185" s="129" t="n">
        <v>5</v>
      </c>
      <c r="L1185" s="129" t="n">
        <v>9</v>
      </c>
      <c r="M1185" s="129" t="inlineStr">
        <is>
          <t>24 VDC DI</t>
        </is>
      </c>
      <c r="N1185" s="129" t="inlineStr">
        <is>
          <t>5069-IB16</t>
        </is>
      </c>
      <c r="O1185" s="139" t="n"/>
      <c r="P1185" s="127" t="n"/>
      <c r="Q1185" s="127" t="n"/>
      <c r="R1185" s="127" t="n"/>
      <c r="S1185" s="127" t="n"/>
      <c r="T1185" s="127" t="n"/>
      <c r="U1185" s="127" t="n"/>
      <c r="V1185" s="127" t="n"/>
      <c r="W1185" s="127" t="n"/>
      <c r="X1185" s="127" t="n"/>
      <c r="Y1185" s="127" t="n"/>
      <c r="Z1185" s="140" t="n"/>
    </row>
    <row r="1186">
      <c r="A1186" s="203">
        <f>ROW()-1</f>
        <v/>
      </c>
      <c r="B1186" s="128" t="n"/>
      <c r="C1186" s="263" t="n"/>
      <c r="D1186" s="262" t="n"/>
      <c r="E1186" s="128" t="n"/>
      <c r="F1186" s="138" t="inlineStr">
        <is>
          <t>SPARE</t>
        </is>
      </c>
      <c r="G1186" s="131" t="n"/>
      <c r="H1186" s="128" t="n"/>
      <c r="I1186" s="132" t="inlineStr">
        <is>
          <t>RL7-BRED-RIO1</t>
        </is>
      </c>
      <c r="J1186" s="133" t="n">
        <v>11</v>
      </c>
      <c r="K1186" s="129" t="n">
        <v>5</v>
      </c>
      <c r="L1186" s="129" t="n">
        <v>10</v>
      </c>
      <c r="M1186" s="129" t="inlineStr">
        <is>
          <t>24 VDC DI</t>
        </is>
      </c>
      <c r="N1186" s="129" t="inlineStr">
        <is>
          <t>5069-IB16</t>
        </is>
      </c>
      <c r="O1186" s="139" t="n"/>
      <c r="P1186" s="127" t="n"/>
      <c r="Q1186" s="127" t="n"/>
      <c r="R1186" s="127" t="n"/>
      <c r="S1186" s="127" t="n"/>
      <c r="T1186" s="127" t="n"/>
      <c r="U1186" s="127" t="n"/>
      <c r="V1186" s="127" t="n"/>
      <c r="W1186" s="127" t="n"/>
      <c r="X1186" s="127" t="n"/>
      <c r="Y1186" s="127" t="n"/>
      <c r="Z1186" s="140" t="n"/>
    </row>
    <row r="1187">
      <c r="A1187" s="203">
        <f>ROW()-1</f>
        <v/>
      </c>
      <c r="B1187" s="128" t="n"/>
      <c r="C1187" s="263" t="n"/>
      <c r="D1187" s="262" t="n"/>
      <c r="E1187" s="128" t="n"/>
      <c r="F1187" s="138" t="inlineStr">
        <is>
          <t>SPARE</t>
        </is>
      </c>
      <c r="G1187" s="131" t="n"/>
      <c r="H1187" s="128" t="n"/>
      <c r="I1187" s="132" t="inlineStr">
        <is>
          <t>RL7-BRED-RIO1</t>
        </is>
      </c>
      <c r="J1187" s="133" t="n">
        <v>11</v>
      </c>
      <c r="K1187" s="129" t="n">
        <v>5</v>
      </c>
      <c r="L1187" s="129" t="n">
        <v>11</v>
      </c>
      <c r="M1187" s="129" t="inlineStr">
        <is>
          <t>24 VDC DI</t>
        </is>
      </c>
      <c r="N1187" s="129" t="inlineStr">
        <is>
          <t>5069-IB16</t>
        </is>
      </c>
      <c r="O1187" s="139" t="n"/>
      <c r="P1187" s="127" t="n"/>
      <c r="Q1187" s="127" t="n"/>
      <c r="R1187" s="127" t="n"/>
      <c r="S1187" s="127" t="n"/>
      <c r="T1187" s="127" t="n"/>
      <c r="U1187" s="127" t="n"/>
      <c r="V1187" s="127" t="n"/>
      <c r="W1187" s="127" t="n"/>
      <c r="X1187" s="127" t="n"/>
      <c r="Y1187" s="127" t="n"/>
      <c r="Z1187" s="140" t="n"/>
    </row>
    <row r="1188">
      <c r="A1188" s="203">
        <f>ROW()-1</f>
        <v/>
      </c>
      <c r="B1188" s="128" t="n"/>
      <c r="C1188" s="263" t="n"/>
      <c r="D1188" s="262" t="n"/>
      <c r="E1188" s="128" t="n"/>
      <c r="F1188" s="138" t="inlineStr">
        <is>
          <t>SPARE</t>
        </is>
      </c>
      <c r="G1188" s="131" t="n"/>
      <c r="H1188" s="128" t="n"/>
      <c r="I1188" s="132" t="inlineStr">
        <is>
          <t>RL7-BRED-RIO1</t>
        </is>
      </c>
      <c r="J1188" s="133" t="n">
        <v>11</v>
      </c>
      <c r="K1188" s="129" t="n">
        <v>5</v>
      </c>
      <c r="L1188" s="129" t="n">
        <v>12</v>
      </c>
      <c r="M1188" s="129" t="inlineStr">
        <is>
          <t>24 VDC DI</t>
        </is>
      </c>
      <c r="N1188" s="129" t="inlineStr">
        <is>
          <t>5069-IB16</t>
        </is>
      </c>
      <c r="O1188" s="139" t="n"/>
      <c r="P1188" s="127" t="n"/>
      <c r="Q1188" s="127" t="n"/>
      <c r="R1188" s="127" t="n"/>
      <c r="S1188" s="127" t="n"/>
      <c r="T1188" s="127" t="n"/>
      <c r="U1188" s="127" t="n"/>
      <c r="V1188" s="127" t="n"/>
      <c r="W1188" s="127" t="n"/>
      <c r="X1188" s="127" t="n"/>
      <c r="Y1188" s="127" t="n"/>
      <c r="Z1188" s="140" t="n"/>
    </row>
    <row r="1189">
      <c r="A1189" s="203">
        <f>ROW()-1</f>
        <v/>
      </c>
      <c r="B1189" s="128" t="n"/>
      <c r="C1189" s="263" t="n"/>
      <c r="D1189" s="262" t="n"/>
      <c r="E1189" s="128" t="n"/>
      <c r="F1189" s="138" t="inlineStr">
        <is>
          <t>SPARE</t>
        </is>
      </c>
      <c r="G1189" s="131" t="n"/>
      <c r="H1189" s="128" t="n"/>
      <c r="I1189" s="132" t="inlineStr">
        <is>
          <t>RL7-BRED-RIO1</t>
        </is>
      </c>
      <c r="J1189" s="133" t="n">
        <v>11</v>
      </c>
      <c r="K1189" s="129" t="n">
        <v>5</v>
      </c>
      <c r="L1189" s="129" t="n">
        <v>13</v>
      </c>
      <c r="M1189" s="129" t="inlineStr">
        <is>
          <t>24 VDC DI</t>
        </is>
      </c>
      <c r="N1189" s="129" t="inlineStr">
        <is>
          <t>5069-IB16</t>
        </is>
      </c>
      <c r="O1189" s="139" t="n"/>
      <c r="P1189" s="127" t="n"/>
      <c r="Q1189" s="127" t="n"/>
      <c r="R1189" s="127" t="n"/>
      <c r="S1189" s="127" t="n"/>
      <c r="T1189" s="127" t="n"/>
      <c r="U1189" s="127" t="n"/>
      <c r="V1189" s="127" t="n"/>
      <c r="W1189" s="127" t="n"/>
      <c r="X1189" s="127" t="n"/>
      <c r="Y1189" s="127" t="n"/>
      <c r="Z1189" s="140" t="n"/>
    </row>
    <row r="1190">
      <c r="A1190" s="203">
        <f>ROW()-1</f>
        <v/>
      </c>
      <c r="B1190" s="128" t="n"/>
      <c r="C1190" s="263" t="n"/>
      <c r="D1190" s="262" t="n"/>
      <c r="E1190" s="128" t="n"/>
      <c r="F1190" s="138" t="inlineStr">
        <is>
          <t>SPARE</t>
        </is>
      </c>
      <c r="G1190" s="131" t="n"/>
      <c r="H1190" s="128" t="n"/>
      <c r="I1190" s="132" t="inlineStr">
        <is>
          <t>RL7-BRED-RIO1</t>
        </is>
      </c>
      <c r="J1190" s="133" t="n">
        <v>11</v>
      </c>
      <c r="K1190" s="129" t="n">
        <v>5</v>
      </c>
      <c r="L1190" s="129" t="n">
        <v>14</v>
      </c>
      <c r="M1190" s="129" t="inlineStr">
        <is>
          <t>24 VDC DI</t>
        </is>
      </c>
      <c r="N1190" s="129" t="inlineStr">
        <is>
          <t>5069-IB16</t>
        </is>
      </c>
      <c r="O1190" s="139" t="n"/>
      <c r="P1190" s="127" t="n"/>
      <c r="Q1190" s="127" t="n"/>
      <c r="R1190" s="127" t="n"/>
      <c r="S1190" s="127" t="n"/>
      <c r="T1190" s="127" t="n"/>
      <c r="U1190" s="127" t="n"/>
      <c r="V1190" s="127" t="n"/>
      <c r="W1190" s="127" t="n"/>
      <c r="X1190" s="127" t="n"/>
      <c r="Y1190" s="127" t="n"/>
      <c r="Z1190" s="140" t="n"/>
    </row>
    <row r="1191">
      <c r="A1191" s="203">
        <f>ROW()-1</f>
        <v/>
      </c>
      <c r="B1191" s="128" t="n"/>
      <c r="C1191" s="263" t="n"/>
      <c r="D1191" s="262" t="n"/>
      <c r="E1191" s="128" t="n"/>
      <c r="F1191" s="138" t="inlineStr">
        <is>
          <t>SPARE</t>
        </is>
      </c>
      <c r="G1191" s="131" t="n"/>
      <c r="H1191" s="128" t="n"/>
      <c r="I1191" s="132" t="inlineStr">
        <is>
          <t>RL7-BRED-RIO1</t>
        </is>
      </c>
      <c r="J1191" s="133" t="n">
        <v>11</v>
      </c>
      <c r="K1191" s="129" t="n">
        <v>5</v>
      </c>
      <c r="L1191" s="129" t="n">
        <v>15</v>
      </c>
      <c r="M1191" s="129" t="inlineStr">
        <is>
          <t>24 VDC DI</t>
        </is>
      </c>
      <c r="N1191" s="129" t="inlineStr">
        <is>
          <t>5069-IB16</t>
        </is>
      </c>
      <c r="O1191" s="139" t="n"/>
      <c r="P1191" s="127" t="n"/>
      <c r="Q1191" s="127" t="n"/>
      <c r="R1191" s="127" t="n"/>
      <c r="S1191" s="127" t="n"/>
      <c r="T1191" s="127" t="n"/>
      <c r="U1191" s="127" t="n"/>
      <c r="V1191" s="127" t="n"/>
      <c r="W1191" s="127" t="n"/>
      <c r="X1191" s="127" t="n"/>
      <c r="Y1191" s="127" t="n"/>
      <c r="Z1191" s="140" t="n"/>
    </row>
    <row r="1192">
      <c r="A1192" s="203">
        <f>ROW()-1</f>
        <v/>
      </c>
      <c r="B1192" s="128" t="n"/>
      <c r="C1192" s="263" t="n"/>
      <c r="D1192" s="262" t="n"/>
      <c r="E1192" s="128" t="n"/>
      <c r="F1192" s="138" t="inlineStr">
        <is>
          <t>SPARE</t>
        </is>
      </c>
      <c r="G1192" s="131" t="n"/>
      <c r="H1192" s="128" t="n"/>
      <c r="I1192" s="132" t="inlineStr">
        <is>
          <t>RL7-BRED-RIO1</t>
        </is>
      </c>
      <c r="J1192" s="133" t="n">
        <v>11</v>
      </c>
      <c r="K1192" s="129" t="n">
        <v>6</v>
      </c>
      <c r="L1192" s="129" t="n">
        <v>5</v>
      </c>
      <c r="M1192" s="129" t="inlineStr">
        <is>
          <t>24 VDC DO</t>
        </is>
      </c>
      <c r="N1192" s="129" t="inlineStr">
        <is>
          <t>5069-OB16</t>
        </is>
      </c>
      <c r="O1192" s="139" t="n"/>
      <c r="P1192" s="127" t="n"/>
      <c r="Q1192" s="127" t="n"/>
      <c r="R1192" s="127" t="n"/>
      <c r="S1192" s="127" t="n"/>
      <c r="T1192" s="127" t="n"/>
      <c r="U1192" s="127" t="n"/>
      <c r="V1192" s="127" t="n"/>
      <c r="W1192" s="127" t="n"/>
      <c r="X1192" s="127" t="n"/>
      <c r="Y1192" s="127" t="n"/>
      <c r="Z1192" s="140" t="n"/>
    </row>
    <row r="1193">
      <c r="A1193" s="203">
        <f>ROW()-1</f>
        <v/>
      </c>
      <c r="B1193" s="128" t="n"/>
      <c r="C1193" s="263" t="n"/>
      <c r="D1193" s="262" t="n"/>
      <c r="E1193" s="128" t="n"/>
      <c r="F1193" s="138" t="inlineStr">
        <is>
          <t>SPARE</t>
        </is>
      </c>
      <c r="G1193" s="131" t="n"/>
      <c r="H1193" s="128" t="n"/>
      <c r="I1193" s="132" t="inlineStr">
        <is>
          <t>RL7-BRED-RIO1</t>
        </is>
      </c>
      <c r="J1193" s="133" t="n">
        <v>11</v>
      </c>
      <c r="K1193" s="129" t="n">
        <v>6</v>
      </c>
      <c r="L1193" s="129" t="n">
        <v>6</v>
      </c>
      <c r="M1193" s="129" t="inlineStr">
        <is>
          <t>24 VDC DO</t>
        </is>
      </c>
      <c r="N1193" s="129" t="inlineStr">
        <is>
          <t>5069-OB16</t>
        </is>
      </c>
      <c r="O1193" s="139" t="n"/>
      <c r="P1193" s="127" t="n"/>
      <c r="Q1193" s="127" t="n"/>
      <c r="R1193" s="127" t="n"/>
      <c r="S1193" s="127" t="n"/>
      <c r="T1193" s="127" t="n"/>
      <c r="U1193" s="127" t="n"/>
      <c r="V1193" s="127" t="n"/>
      <c r="W1193" s="127" t="n"/>
      <c r="X1193" s="127" t="n"/>
      <c r="Y1193" s="127" t="n"/>
      <c r="Z1193" s="140" t="n"/>
    </row>
    <row r="1194">
      <c r="A1194" s="203">
        <f>ROW()-1</f>
        <v/>
      </c>
      <c r="B1194" s="128" t="n"/>
      <c r="C1194" s="263" t="n"/>
      <c r="D1194" s="262" t="n"/>
      <c r="E1194" s="128" t="n"/>
      <c r="F1194" s="138" t="inlineStr">
        <is>
          <t>SPARE</t>
        </is>
      </c>
      <c r="G1194" s="131" t="n"/>
      <c r="H1194" s="128" t="n"/>
      <c r="I1194" s="132" t="inlineStr">
        <is>
          <t>RL7-BRED-RIO1</t>
        </is>
      </c>
      <c r="J1194" s="133" t="n">
        <v>11</v>
      </c>
      <c r="K1194" s="129" t="n">
        <v>6</v>
      </c>
      <c r="L1194" s="129" t="n">
        <v>7</v>
      </c>
      <c r="M1194" s="129" t="inlineStr">
        <is>
          <t>24 VDC DO</t>
        </is>
      </c>
      <c r="N1194" s="129" t="inlineStr">
        <is>
          <t>5069-OB16</t>
        </is>
      </c>
      <c r="O1194" s="139" t="n"/>
      <c r="P1194" s="127" t="n"/>
      <c r="Q1194" s="127" t="n"/>
      <c r="R1194" s="127" t="n"/>
      <c r="S1194" s="127" t="n"/>
      <c r="T1194" s="127" t="n"/>
      <c r="U1194" s="127" t="n"/>
      <c r="V1194" s="127" t="n"/>
      <c r="W1194" s="127" t="n"/>
      <c r="X1194" s="127" t="n"/>
      <c r="Y1194" s="127" t="n"/>
      <c r="Z1194" s="140" t="n"/>
    </row>
    <row r="1195">
      <c r="A1195" s="203">
        <f>ROW()-1</f>
        <v/>
      </c>
      <c r="B1195" s="128" t="n"/>
      <c r="C1195" s="263" t="n"/>
      <c r="D1195" s="262" t="n"/>
      <c r="E1195" s="128" t="n"/>
      <c r="F1195" s="138" t="inlineStr">
        <is>
          <t>SPARE</t>
        </is>
      </c>
      <c r="G1195" s="131" t="n"/>
      <c r="H1195" s="128" t="n"/>
      <c r="I1195" s="132" t="inlineStr">
        <is>
          <t>RL7-BRED-RIO1</t>
        </is>
      </c>
      <c r="J1195" s="133" t="n">
        <v>11</v>
      </c>
      <c r="K1195" s="129" t="n">
        <v>6</v>
      </c>
      <c r="L1195" s="129" t="n">
        <v>8</v>
      </c>
      <c r="M1195" s="129" t="inlineStr">
        <is>
          <t>24 VDC DO</t>
        </is>
      </c>
      <c r="N1195" s="129" t="inlineStr">
        <is>
          <t>5069-OB16</t>
        </is>
      </c>
      <c r="O1195" s="139" t="n"/>
      <c r="P1195" s="127" t="n"/>
      <c r="Q1195" s="127" t="n"/>
      <c r="R1195" s="127" t="n"/>
      <c r="S1195" s="127" t="n"/>
      <c r="T1195" s="127" t="n"/>
      <c r="U1195" s="127" t="n"/>
      <c r="V1195" s="127" t="n"/>
      <c r="W1195" s="127" t="n"/>
      <c r="X1195" s="127" t="n"/>
      <c r="Y1195" s="127" t="n"/>
      <c r="Z1195" s="140" t="n"/>
    </row>
    <row r="1196">
      <c r="A1196" s="203">
        <f>ROW()-1</f>
        <v/>
      </c>
      <c r="B1196" s="128" t="n"/>
      <c r="C1196" s="263" t="n"/>
      <c r="D1196" s="262" t="n"/>
      <c r="E1196" s="128" t="n"/>
      <c r="F1196" s="138" t="inlineStr">
        <is>
          <t>SPARE</t>
        </is>
      </c>
      <c r="G1196" s="131" t="n"/>
      <c r="H1196" s="128" t="n"/>
      <c r="I1196" s="132" t="inlineStr">
        <is>
          <t>RL7-BRED-RIO1</t>
        </is>
      </c>
      <c r="J1196" s="133" t="n">
        <v>11</v>
      </c>
      <c r="K1196" s="129" t="n">
        <v>6</v>
      </c>
      <c r="L1196" s="129" t="n">
        <v>13</v>
      </c>
      <c r="M1196" s="129" t="inlineStr">
        <is>
          <t>24 VDC DO</t>
        </is>
      </c>
      <c r="N1196" s="129" t="inlineStr">
        <is>
          <t>5069-OB16</t>
        </is>
      </c>
      <c r="O1196" s="139" t="n"/>
      <c r="P1196" s="127" t="n"/>
      <c r="Q1196" s="127" t="n"/>
      <c r="R1196" s="127" t="n"/>
      <c r="S1196" s="127" t="n"/>
      <c r="T1196" s="127" t="n"/>
      <c r="U1196" s="127" t="n"/>
      <c r="V1196" s="127" t="n"/>
      <c r="W1196" s="127" t="n"/>
      <c r="X1196" s="127" t="n"/>
      <c r="Y1196" s="127" t="n"/>
      <c r="Z1196" s="140" t="n"/>
    </row>
    <row r="1197">
      <c r="A1197" s="203">
        <f>ROW()-1</f>
        <v/>
      </c>
      <c r="B1197" s="128" t="n"/>
      <c r="C1197" s="263" t="n"/>
      <c r="D1197" s="262" t="n"/>
      <c r="E1197" s="128" t="n"/>
      <c r="F1197" s="138" t="inlineStr">
        <is>
          <t>SPARE</t>
        </is>
      </c>
      <c r="G1197" s="131" t="n"/>
      <c r="H1197" s="128" t="n"/>
      <c r="I1197" s="132" t="inlineStr">
        <is>
          <t>RL7-BRED-RIO1</t>
        </is>
      </c>
      <c r="J1197" s="133" t="n">
        <v>11</v>
      </c>
      <c r="K1197" s="129" t="n">
        <v>6</v>
      </c>
      <c r="L1197" s="129" t="n">
        <v>14</v>
      </c>
      <c r="M1197" s="129" t="inlineStr">
        <is>
          <t>24 VDC DO</t>
        </is>
      </c>
      <c r="N1197" s="129" t="inlineStr">
        <is>
          <t>5069-OB16</t>
        </is>
      </c>
      <c r="O1197" s="139" t="n"/>
      <c r="P1197" s="127" t="n"/>
      <c r="Q1197" s="127" t="n"/>
      <c r="R1197" s="127" t="n"/>
      <c r="S1197" s="127" t="n"/>
      <c r="T1197" s="127" t="n"/>
      <c r="U1197" s="127" t="n"/>
      <c r="V1197" s="127" t="n"/>
      <c r="W1197" s="127" t="n"/>
      <c r="X1197" s="127" t="n"/>
      <c r="Y1197" s="127" t="n"/>
      <c r="Z1197" s="140" t="n"/>
    </row>
    <row r="1198">
      <c r="A1198" s="203">
        <f>ROW()-1</f>
        <v/>
      </c>
      <c r="B1198" s="128" t="n"/>
      <c r="C1198" s="263" t="n"/>
      <c r="D1198" s="262" t="n"/>
      <c r="E1198" s="128" t="n"/>
      <c r="F1198" s="138" t="inlineStr">
        <is>
          <t>SPARE</t>
        </is>
      </c>
      <c r="G1198" s="131" t="n"/>
      <c r="H1198" s="128" t="n"/>
      <c r="I1198" s="132" t="inlineStr">
        <is>
          <t>RL7-BRED-RIO1</t>
        </is>
      </c>
      <c r="J1198" s="133" t="n">
        <v>11</v>
      </c>
      <c r="K1198" s="129" t="n">
        <v>6</v>
      </c>
      <c r="L1198" s="129" t="n">
        <v>15</v>
      </c>
      <c r="M1198" s="129" t="inlineStr">
        <is>
          <t>24 VDC DO</t>
        </is>
      </c>
      <c r="N1198" s="129" t="inlineStr">
        <is>
          <t>5069-OB16</t>
        </is>
      </c>
      <c r="O1198" s="139" t="n"/>
      <c r="P1198" s="127" t="n"/>
      <c r="Q1198" s="127" t="n"/>
      <c r="R1198" s="127" t="n"/>
      <c r="S1198" s="127" t="n"/>
      <c r="T1198" s="127" t="n"/>
      <c r="U1198" s="127" t="n"/>
      <c r="V1198" s="127" t="n"/>
      <c r="W1198" s="127" t="n"/>
      <c r="X1198" s="127" t="n"/>
      <c r="Y1198" s="127" t="n"/>
      <c r="Z1198" s="140" t="n"/>
    </row>
    <row r="1199">
      <c r="A1199" s="203">
        <f>ROW()-1</f>
        <v/>
      </c>
      <c r="B1199" s="128" t="n"/>
      <c r="C1199" s="263" t="n"/>
      <c r="D1199" s="262" t="n"/>
      <c r="E1199" s="128" t="n"/>
      <c r="F1199" s="138" t="inlineStr">
        <is>
          <t>SPARE</t>
        </is>
      </c>
      <c r="G1199" s="131" t="n"/>
      <c r="H1199" s="128" t="n"/>
      <c r="I1199" s="132" t="inlineStr">
        <is>
          <t>RL7-BRED-RIO1</t>
        </is>
      </c>
      <c r="J1199" s="133" t="n">
        <v>11</v>
      </c>
      <c r="K1199" s="129" t="n">
        <v>7</v>
      </c>
      <c r="L1199" s="129" t="n">
        <v>0</v>
      </c>
      <c r="M1199" s="129" t="inlineStr">
        <is>
          <t>24 VDC DO</t>
        </is>
      </c>
      <c r="N1199" s="129" t="inlineStr">
        <is>
          <t>5069-OB16</t>
        </is>
      </c>
      <c r="O1199" s="139" t="n"/>
      <c r="P1199" s="127" t="n"/>
      <c r="Q1199" s="127" t="n"/>
      <c r="R1199" s="127" t="n"/>
      <c r="S1199" s="127" t="n"/>
      <c r="T1199" s="127" t="n"/>
      <c r="U1199" s="127" t="n"/>
      <c r="V1199" s="127" t="n"/>
      <c r="W1199" s="127" t="n"/>
      <c r="X1199" s="127" t="n"/>
      <c r="Y1199" s="127" t="n"/>
      <c r="Z1199" s="140" t="n"/>
    </row>
    <row r="1200">
      <c r="A1200" s="203">
        <f>ROW()-1</f>
        <v/>
      </c>
      <c r="B1200" s="128" t="n"/>
      <c r="C1200" s="263" t="n"/>
      <c r="D1200" s="262" t="n"/>
      <c r="E1200" s="128" t="n"/>
      <c r="F1200" s="138" t="inlineStr">
        <is>
          <t>SPARE</t>
        </is>
      </c>
      <c r="G1200" s="131" t="n"/>
      <c r="H1200" s="128" t="n"/>
      <c r="I1200" s="132" t="inlineStr">
        <is>
          <t>RL7-BRED-RIO1</t>
        </is>
      </c>
      <c r="J1200" s="133" t="n">
        <v>11</v>
      </c>
      <c r="K1200" s="129" t="n">
        <v>7</v>
      </c>
      <c r="L1200" s="129" t="n">
        <v>13</v>
      </c>
      <c r="M1200" s="129" t="inlineStr">
        <is>
          <t>24 VDC DO</t>
        </is>
      </c>
      <c r="N1200" s="129" t="inlineStr">
        <is>
          <t>5069-OB16</t>
        </is>
      </c>
      <c r="O1200" s="139" t="n"/>
      <c r="P1200" s="127" t="n"/>
      <c r="Q1200" s="127" t="n"/>
      <c r="R1200" s="127" t="n"/>
      <c r="S1200" s="127" t="n"/>
      <c r="T1200" s="127" t="n"/>
      <c r="U1200" s="127" t="n"/>
      <c r="V1200" s="127" t="n"/>
      <c r="W1200" s="127" t="n"/>
      <c r="X1200" s="127" t="n"/>
      <c r="Y1200" s="127" t="n"/>
      <c r="Z1200" s="140" t="n"/>
    </row>
    <row r="1201">
      <c r="A1201" s="203">
        <f>ROW()-1</f>
        <v/>
      </c>
      <c r="B1201" s="128" t="n"/>
      <c r="C1201" s="263" t="n"/>
      <c r="D1201" s="262" t="n"/>
      <c r="E1201" s="128" t="n"/>
      <c r="F1201" s="138" t="inlineStr">
        <is>
          <t>SPARE</t>
        </is>
      </c>
      <c r="G1201" s="131" t="n"/>
      <c r="H1201" s="128" t="n"/>
      <c r="I1201" s="132" t="inlineStr">
        <is>
          <t>RL7-BRED-RIO1</t>
        </is>
      </c>
      <c r="J1201" s="133" t="n">
        <v>11</v>
      </c>
      <c r="K1201" s="129" t="n">
        <v>7</v>
      </c>
      <c r="L1201" s="129" t="n">
        <v>14</v>
      </c>
      <c r="M1201" s="129" t="inlineStr">
        <is>
          <t>24 VDC DO</t>
        </is>
      </c>
      <c r="N1201" s="129" t="inlineStr">
        <is>
          <t>5069-OB16</t>
        </is>
      </c>
      <c r="O1201" s="139" t="n"/>
      <c r="P1201" s="127" t="n"/>
      <c r="Q1201" s="127" t="n"/>
      <c r="R1201" s="127" t="n"/>
      <c r="S1201" s="127" t="n"/>
      <c r="T1201" s="127" t="n"/>
      <c r="U1201" s="127" t="n"/>
      <c r="V1201" s="127" t="n"/>
      <c r="W1201" s="127" t="n"/>
      <c r="X1201" s="127" t="n"/>
      <c r="Y1201" s="127" t="n"/>
      <c r="Z1201" s="140" t="n"/>
    </row>
    <row r="1202">
      <c r="A1202" s="203">
        <f>ROW()-1</f>
        <v/>
      </c>
      <c r="B1202" s="128" t="n"/>
      <c r="C1202" s="263" t="n"/>
      <c r="D1202" s="262" t="n"/>
      <c r="E1202" s="128" t="n"/>
      <c r="F1202" s="138" t="inlineStr">
        <is>
          <t>SPARE</t>
        </is>
      </c>
      <c r="G1202" s="131" t="n"/>
      <c r="H1202" s="128" t="n"/>
      <c r="I1202" s="132" t="inlineStr">
        <is>
          <t>RL7-BRED-RIO1</t>
        </is>
      </c>
      <c r="J1202" s="133" t="n">
        <v>11</v>
      </c>
      <c r="K1202" s="129" t="n">
        <v>7</v>
      </c>
      <c r="L1202" s="129" t="n">
        <v>15</v>
      </c>
      <c r="M1202" s="129" t="inlineStr">
        <is>
          <t>24 VDC DO</t>
        </is>
      </c>
      <c r="N1202" s="129" t="inlineStr">
        <is>
          <t>5069-OB16</t>
        </is>
      </c>
      <c r="O1202" s="139" t="n"/>
      <c r="P1202" s="127" t="n"/>
      <c r="Q1202" s="127" t="n"/>
      <c r="R1202" s="127" t="n"/>
      <c r="S1202" s="127" t="n"/>
      <c r="T1202" s="127" t="n"/>
      <c r="U1202" s="127" t="n"/>
      <c r="V1202" s="127" t="n"/>
      <c r="W1202" s="127" t="n"/>
      <c r="X1202" s="127" t="n"/>
      <c r="Y1202" s="127" t="n"/>
      <c r="Z1202" s="140" t="n"/>
    </row>
    <row r="1203">
      <c r="A1203" s="203">
        <f>ROW()-1</f>
        <v/>
      </c>
      <c r="B1203" s="128" t="n"/>
      <c r="C1203" s="263" t="n"/>
      <c r="D1203" s="262" t="n"/>
      <c r="E1203" s="128" t="n"/>
      <c r="F1203" s="138" t="inlineStr">
        <is>
          <t>ADDRESS RESERVE MODULE</t>
        </is>
      </c>
      <c r="G1203" s="131" t="n"/>
      <c r="H1203" s="128" t="n"/>
      <c r="I1203" s="132" t="inlineStr">
        <is>
          <t>RL7-BRED-RIO1</t>
        </is>
      </c>
      <c r="J1203" s="133" t="n">
        <v>11</v>
      </c>
      <c r="K1203" s="129" t="n">
        <v>8</v>
      </c>
      <c r="L1203" s="129" t="n">
        <v>0</v>
      </c>
      <c r="M1203" s="129" t="inlineStr">
        <is>
          <t>ARM</t>
        </is>
      </c>
      <c r="N1203" s="129" t="inlineStr">
        <is>
          <t>5069-ARM</t>
        </is>
      </c>
      <c r="O1203" s="139" t="n"/>
      <c r="P1203" s="127" t="n"/>
      <c r="Q1203" s="127" t="n"/>
      <c r="R1203" s="127" t="n"/>
      <c r="S1203" s="127" t="n"/>
      <c r="T1203" s="127" t="n"/>
      <c r="U1203" s="127" t="n"/>
      <c r="V1203" s="127" t="n"/>
      <c r="W1203" s="127" t="n"/>
      <c r="X1203" s="127" t="n"/>
      <c r="Y1203" s="127" t="n"/>
      <c r="Z1203" s="140" t="n"/>
    </row>
    <row r="1204">
      <c r="A1204" s="203">
        <f>ROW()-1</f>
        <v/>
      </c>
      <c r="B1204" s="128" t="n"/>
      <c r="C1204" s="263" t="n"/>
      <c r="D1204" s="262" t="n"/>
      <c r="E1204" s="128" t="n"/>
      <c r="F1204" s="138" t="inlineStr">
        <is>
          <t>SPARE</t>
        </is>
      </c>
      <c r="G1204" s="131" t="n"/>
      <c r="H1204" s="128" t="n"/>
      <c r="I1204" s="132" t="inlineStr">
        <is>
          <t>RL7-BRED-RIO1</t>
        </is>
      </c>
      <c r="J1204" s="133" t="n">
        <v>11</v>
      </c>
      <c r="K1204" s="129" t="n">
        <v>9</v>
      </c>
      <c r="L1204" s="129" t="n">
        <v>2</v>
      </c>
      <c r="M1204" s="129" t="inlineStr">
        <is>
          <t>4-20 mA AI</t>
        </is>
      </c>
      <c r="N1204" s="129" t="inlineStr">
        <is>
          <t>5069-IF8</t>
        </is>
      </c>
      <c r="O1204" s="139" t="n"/>
      <c r="P1204" s="127" t="n"/>
      <c r="Q1204" s="127" t="n"/>
      <c r="R1204" s="127" t="n"/>
      <c r="S1204" s="127" t="n"/>
      <c r="T1204" s="127" t="n"/>
      <c r="U1204" s="127" t="n"/>
      <c r="V1204" s="127" t="n"/>
      <c r="W1204" s="127" t="n"/>
      <c r="X1204" s="127" t="n"/>
      <c r="Y1204" s="127" t="n"/>
      <c r="Z1204" s="140" t="n"/>
    </row>
    <row r="1205">
      <c r="A1205" s="203">
        <f>ROW()-1</f>
        <v/>
      </c>
      <c r="B1205" s="128" t="n"/>
      <c r="C1205" s="263" t="n"/>
      <c r="D1205" s="262" t="n"/>
      <c r="E1205" s="128" t="n"/>
      <c r="F1205" s="138" t="inlineStr">
        <is>
          <t>SPARE</t>
        </is>
      </c>
      <c r="G1205" s="131" t="n"/>
      <c r="H1205" s="128" t="n"/>
      <c r="I1205" s="132" t="inlineStr">
        <is>
          <t>RL7-BRED-RIO1</t>
        </is>
      </c>
      <c r="J1205" s="133" t="n">
        <v>11</v>
      </c>
      <c r="K1205" s="129" t="n">
        <v>9</v>
      </c>
      <c r="L1205" s="129" t="n">
        <v>3</v>
      </c>
      <c r="M1205" s="129" t="inlineStr">
        <is>
          <t>4-20 mA AI</t>
        </is>
      </c>
      <c r="N1205" s="129" t="inlineStr">
        <is>
          <t>5069-IF8</t>
        </is>
      </c>
      <c r="O1205" s="139" t="n"/>
      <c r="P1205" s="127" t="n"/>
      <c r="Q1205" s="127" t="n"/>
      <c r="R1205" s="127" t="n"/>
      <c r="S1205" s="127" t="n"/>
      <c r="T1205" s="127" t="n"/>
      <c r="U1205" s="127" t="n"/>
      <c r="V1205" s="127" t="n"/>
      <c r="W1205" s="127" t="n"/>
      <c r="X1205" s="127" t="n"/>
      <c r="Y1205" s="127" t="n"/>
      <c r="Z1205" s="140" t="n"/>
    </row>
    <row r="1206">
      <c r="A1206" s="203">
        <f>ROW()-1</f>
        <v/>
      </c>
      <c r="B1206" s="128" t="n"/>
      <c r="C1206" s="263" t="n"/>
      <c r="D1206" s="262" t="n"/>
      <c r="E1206" s="128" t="n"/>
      <c r="F1206" s="138" t="inlineStr">
        <is>
          <t>SPARE</t>
        </is>
      </c>
      <c r="G1206" s="131" t="n"/>
      <c r="H1206" s="128" t="n"/>
      <c r="I1206" s="132" t="inlineStr">
        <is>
          <t>RL7-BRED-RIO1</t>
        </is>
      </c>
      <c r="J1206" s="133" t="n">
        <v>11</v>
      </c>
      <c r="K1206" s="129" t="n">
        <v>9</v>
      </c>
      <c r="L1206" s="129" t="n">
        <v>4</v>
      </c>
      <c r="M1206" s="129" t="inlineStr">
        <is>
          <t>4-20 mA AI</t>
        </is>
      </c>
      <c r="N1206" s="129" t="inlineStr">
        <is>
          <t>5069-IF8</t>
        </is>
      </c>
      <c r="O1206" s="139" t="n"/>
      <c r="P1206" s="127" t="n"/>
      <c r="Q1206" s="127" t="n"/>
      <c r="R1206" s="127" t="n"/>
      <c r="S1206" s="127" t="n"/>
      <c r="T1206" s="127" t="n"/>
      <c r="U1206" s="127" t="n"/>
      <c r="V1206" s="127" t="n"/>
      <c r="W1206" s="127" t="n"/>
      <c r="X1206" s="127" t="n"/>
      <c r="Y1206" s="127" t="n"/>
      <c r="Z1206" s="140" t="n"/>
    </row>
    <row r="1207">
      <c r="A1207" s="203">
        <f>ROW()-1</f>
        <v/>
      </c>
      <c r="B1207" s="128" t="n"/>
      <c r="C1207" s="263" t="n"/>
      <c r="D1207" s="262" t="n"/>
      <c r="E1207" s="128" t="n"/>
      <c r="F1207" s="138" t="inlineStr">
        <is>
          <t>SPARE</t>
        </is>
      </c>
      <c r="G1207" s="131" t="n"/>
      <c r="H1207" s="128" t="n"/>
      <c r="I1207" s="132" t="inlineStr">
        <is>
          <t>RL7-BRED-RIO1</t>
        </is>
      </c>
      <c r="J1207" s="133" t="n">
        <v>11</v>
      </c>
      <c r="K1207" s="129" t="n">
        <v>9</v>
      </c>
      <c r="L1207" s="129" t="n">
        <v>5</v>
      </c>
      <c r="M1207" s="129" t="inlineStr">
        <is>
          <t>4-20 mA AI</t>
        </is>
      </c>
      <c r="N1207" s="129" t="inlineStr">
        <is>
          <t>5069-IF8</t>
        </is>
      </c>
      <c r="O1207" s="139" t="n"/>
      <c r="P1207" s="127" t="n"/>
      <c r="Q1207" s="127" t="n"/>
      <c r="R1207" s="127" t="n"/>
      <c r="S1207" s="127" t="n"/>
      <c r="T1207" s="127" t="n"/>
      <c r="U1207" s="127" t="n"/>
      <c r="V1207" s="127" t="n"/>
      <c r="W1207" s="127" t="n"/>
      <c r="X1207" s="127" t="n"/>
      <c r="Y1207" s="127" t="n"/>
      <c r="Z1207" s="140" t="n"/>
    </row>
    <row r="1208">
      <c r="A1208" s="203">
        <f>ROW()-1</f>
        <v/>
      </c>
      <c r="B1208" s="128" t="n"/>
      <c r="C1208" s="263" t="n"/>
      <c r="D1208" s="262" t="n"/>
      <c r="E1208" s="128" t="n"/>
      <c r="F1208" s="138" t="inlineStr">
        <is>
          <t>SPARE</t>
        </is>
      </c>
      <c r="G1208" s="131" t="n"/>
      <c r="H1208" s="128" t="n"/>
      <c r="I1208" s="132" t="inlineStr">
        <is>
          <t>RL7-BRED-RIO1</t>
        </is>
      </c>
      <c r="J1208" s="133" t="n">
        <v>11</v>
      </c>
      <c r="K1208" s="129" t="n">
        <v>9</v>
      </c>
      <c r="L1208" s="129" t="n">
        <v>6</v>
      </c>
      <c r="M1208" s="129" t="inlineStr">
        <is>
          <t>4-20 mA AI</t>
        </is>
      </c>
      <c r="N1208" s="129" t="inlineStr">
        <is>
          <t>5069-IF8</t>
        </is>
      </c>
      <c r="O1208" s="139" t="n"/>
      <c r="P1208" s="127" t="n"/>
      <c r="Q1208" s="127" t="n"/>
      <c r="R1208" s="127" t="n"/>
      <c r="S1208" s="127" t="n"/>
      <c r="T1208" s="127" t="n"/>
      <c r="U1208" s="127" t="n"/>
      <c r="V1208" s="127" t="n"/>
      <c r="W1208" s="127" t="n"/>
      <c r="X1208" s="127" t="n"/>
      <c r="Y1208" s="127" t="n"/>
      <c r="Z1208" s="140" t="n"/>
    </row>
    <row r="1209">
      <c r="A1209" s="203">
        <f>ROW()-1</f>
        <v/>
      </c>
      <c r="B1209" s="128" t="n"/>
      <c r="C1209" s="263" t="n"/>
      <c r="D1209" s="262" t="n"/>
      <c r="E1209" s="128" t="n"/>
      <c r="F1209" s="138" t="inlineStr">
        <is>
          <t>SPARE</t>
        </is>
      </c>
      <c r="G1209" s="131" t="n"/>
      <c r="H1209" s="128" t="n"/>
      <c r="I1209" s="132" t="inlineStr">
        <is>
          <t>RL7-BRED-RIO1</t>
        </is>
      </c>
      <c r="J1209" s="133" t="n">
        <v>11</v>
      </c>
      <c r="K1209" s="129" t="n">
        <v>9</v>
      </c>
      <c r="L1209" s="129" t="n">
        <v>7</v>
      </c>
      <c r="M1209" s="129" t="inlineStr">
        <is>
          <t>4-20 mA AI</t>
        </is>
      </c>
      <c r="N1209" s="129" t="inlineStr">
        <is>
          <t>5069-IF8</t>
        </is>
      </c>
      <c r="O1209" s="139" t="n"/>
      <c r="P1209" s="127" t="n"/>
      <c r="Q1209" s="127" t="n"/>
      <c r="R1209" s="127" t="n"/>
      <c r="S1209" s="127" t="n"/>
      <c r="T1209" s="127" t="n"/>
      <c r="U1209" s="127" t="n"/>
      <c r="V1209" s="127" t="n"/>
      <c r="W1209" s="127" t="n"/>
      <c r="X1209" s="127" t="n"/>
      <c r="Y1209" s="127" t="n"/>
      <c r="Z1209" s="140" t="n"/>
    </row>
    <row r="1210">
      <c r="A1210" s="203">
        <f>ROW()-1</f>
        <v/>
      </c>
      <c r="B1210" s="128" t="n"/>
      <c r="C1210" s="263" t="n"/>
      <c r="D1210" s="262" t="n"/>
      <c r="E1210" s="128" t="n"/>
      <c r="F1210" s="138" t="inlineStr">
        <is>
          <t>SPARE</t>
        </is>
      </c>
      <c r="G1210" s="131" t="n"/>
      <c r="H1210" s="128" t="n"/>
      <c r="I1210" s="132" t="inlineStr">
        <is>
          <t>RL7-BRED-RIO1</t>
        </is>
      </c>
      <c r="J1210" s="133" t="n">
        <v>11</v>
      </c>
      <c r="K1210" s="129" t="n">
        <v>10</v>
      </c>
      <c r="L1210" s="129" t="n">
        <v>1</v>
      </c>
      <c r="M1210" s="129" t="inlineStr">
        <is>
          <t>4-20 mA AO</t>
        </is>
      </c>
      <c r="N1210" s="129" t="inlineStr">
        <is>
          <t>5069-OF8</t>
        </is>
      </c>
      <c r="O1210" s="139" t="n"/>
      <c r="P1210" s="127" t="n"/>
      <c r="Q1210" s="127" t="n"/>
      <c r="R1210" s="127" t="n"/>
      <c r="S1210" s="127" t="n"/>
      <c r="T1210" s="127" t="n"/>
      <c r="U1210" s="127" t="n"/>
      <c r="V1210" s="127" t="n"/>
      <c r="W1210" s="127" t="n"/>
      <c r="X1210" s="127" t="n"/>
      <c r="Y1210" s="127" t="n"/>
      <c r="Z1210" s="140" t="n"/>
    </row>
    <row r="1211">
      <c r="A1211" s="203">
        <f>ROW()-1</f>
        <v/>
      </c>
      <c r="B1211" s="128" t="n"/>
      <c r="C1211" s="263" t="n"/>
      <c r="D1211" s="262" t="n"/>
      <c r="E1211" s="128" t="n"/>
      <c r="F1211" s="138" t="inlineStr">
        <is>
          <t>SPARE</t>
        </is>
      </c>
      <c r="G1211" s="131" t="n"/>
      <c r="H1211" s="128" t="n"/>
      <c r="I1211" s="132" t="inlineStr">
        <is>
          <t>RL7-BRED-RIO1</t>
        </is>
      </c>
      <c r="J1211" s="133" t="n">
        <v>11</v>
      </c>
      <c r="K1211" s="129" t="n">
        <v>10</v>
      </c>
      <c r="L1211" s="129" t="n">
        <v>2</v>
      </c>
      <c r="M1211" s="129" t="inlineStr">
        <is>
          <t>4-20 mA AO</t>
        </is>
      </c>
      <c r="N1211" s="129" t="inlineStr">
        <is>
          <t>5069-OF8</t>
        </is>
      </c>
      <c r="O1211" s="139" t="n"/>
      <c r="P1211" s="127" t="n"/>
      <c r="Q1211" s="127" t="n"/>
      <c r="R1211" s="127" t="n"/>
      <c r="S1211" s="127" t="n"/>
      <c r="T1211" s="127" t="n"/>
      <c r="U1211" s="127" t="n"/>
      <c r="V1211" s="127" t="n"/>
      <c r="W1211" s="127" t="n"/>
      <c r="X1211" s="127" t="n"/>
      <c r="Y1211" s="127" t="n"/>
      <c r="Z1211" s="140" t="n"/>
    </row>
    <row r="1212">
      <c r="A1212" s="203">
        <f>ROW()-1</f>
        <v/>
      </c>
      <c r="B1212" s="128" t="n"/>
      <c r="C1212" s="263" t="n"/>
      <c r="D1212" s="262" t="n"/>
      <c r="E1212" s="128" t="n"/>
      <c r="F1212" s="138" t="inlineStr">
        <is>
          <t>SPARE</t>
        </is>
      </c>
      <c r="G1212" s="131" t="n"/>
      <c r="H1212" s="128" t="n"/>
      <c r="I1212" s="132" t="inlineStr">
        <is>
          <t>RL7-BRED-RIO1</t>
        </is>
      </c>
      <c r="J1212" s="133" t="n">
        <v>11</v>
      </c>
      <c r="K1212" s="129" t="n">
        <v>10</v>
      </c>
      <c r="L1212" s="129" t="n">
        <v>3</v>
      </c>
      <c r="M1212" s="129" t="inlineStr">
        <is>
          <t>4-20 mA AO</t>
        </is>
      </c>
      <c r="N1212" s="129" t="inlineStr">
        <is>
          <t>5069-OF8</t>
        </is>
      </c>
      <c r="O1212" s="139" t="n"/>
      <c r="P1212" s="127" t="n"/>
      <c r="Q1212" s="127" t="n"/>
      <c r="R1212" s="127" t="n"/>
      <c r="S1212" s="127" t="n"/>
      <c r="T1212" s="127" t="n"/>
      <c r="U1212" s="127" t="n"/>
      <c r="V1212" s="127" t="n"/>
      <c r="W1212" s="127" t="n"/>
      <c r="X1212" s="127" t="n"/>
      <c r="Y1212" s="127" t="n"/>
      <c r="Z1212" s="140" t="n"/>
    </row>
    <row r="1213">
      <c r="A1213" s="203">
        <f>ROW()-1</f>
        <v/>
      </c>
      <c r="B1213" s="128" t="n"/>
      <c r="C1213" s="263" t="n"/>
      <c r="D1213" s="262" t="n"/>
      <c r="E1213" s="128" t="n"/>
      <c r="F1213" s="138" t="inlineStr">
        <is>
          <t>SPARE</t>
        </is>
      </c>
      <c r="G1213" s="131" t="n"/>
      <c r="H1213" s="128" t="n"/>
      <c r="I1213" s="132" t="inlineStr">
        <is>
          <t>RL7-BRED-RIO1</t>
        </is>
      </c>
      <c r="J1213" s="133" t="n">
        <v>11</v>
      </c>
      <c r="K1213" s="129" t="n">
        <v>10</v>
      </c>
      <c r="L1213" s="129" t="n">
        <v>4</v>
      </c>
      <c r="M1213" s="129" t="inlineStr">
        <is>
          <t>4-20 mA AO</t>
        </is>
      </c>
      <c r="N1213" s="129" t="inlineStr">
        <is>
          <t>5069-OF8</t>
        </is>
      </c>
      <c r="O1213" s="139" t="n"/>
      <c r="P1213" s="127" t="n"/>
      <c r="Q1213" s="127" t="n"/>
      <c r="R1213" s="127" t="n"/>
      <c r="S1213" s="127" t="n"/>
      <c r="T1213" s="127" t="n"/>
      <c r="U1213" s="127" t="n"/>
      <c r="V1213" s="127" t="n"/>
      <c r="W1213" s="127" t="n"/>
      <c r="X1213" s="127" t="n"/>
      <c r="Y1213" s="127" t="n"/>
      <c r="Z1213" s="140" t="n"/>
    </row>
    <row r="1214">
      <c r="A1214" s="203">
        <f>ROW()-1</f>
        <v/>
      </c>
      <c r="B1214" s="128" t="n"/>
      <c r="C1214" s="263" t="n"/>
      <c r="D1214" s="262" t="n"/>
      <c r="E1214" s="128" t="n"/>
      <c r="F1214" s="138" t="inlineStr">
        <is>
          <t>SPARE</t>
        </is>
      </c>
      <c r="G1214" s="131" t="n"/>
      <c r="H1214" s="128" t="n"/>
      <c r="I1214" s="132" t="inlineStr">
        <is>
          <t>RL7-BRED-RIO1</t>
        </is>
      </c>
      <c r="J1214" s="133" t="n">
        <v>11</v>
      </c>
      <c r="K1214" s="129" t="n">
        <v>10</v>
      </c>
      <c r="L1214" s="129" t="n">
        <v>5</v>
      </c>
      <c r="M1214" s="129" t="inlineStr">
        <is>
          <t>4-20 mA AO</t>
        </is>
      </c>
      <c r="N1214" s="129" t="inlineStr">
        <is>
          <t>5069-OF8</t>
        </is>
      </c>
      <c r="O1214" s="139" t="n"/>
      <c r="P1214" s="127" t="n"/>
      <c r="Q1214" s="127" t="n"/>
      <c r="R1214" s="127" t="n"/>
      <c r="S1214" s="127" t="n"/>
      <c r="T1214" s="127" t="n"/>
      <c r="U1214" s="127" t="n"/>
      <c r="V1214" s="127" t="n"/>
      <c r="W1214" s="127" t="n"/>
      <c r="X1214" s="127" t="n"/>
      <c r="Y1214" s="127" t="n"/>
      <c r="Z1214" s="140" t="n"/>
    </row>
    <row r="1215">
      <c r="A1215" s="203">
        <f>ROW()-1</f>
        <v/>
      </c>
      <c r="B1215" s="128" t="n"/>
      <c r="C1215" s="263" t="n"/>
      <c r="D1215" s="262" t="n"/>
      <c r="E1215" s="128" t="n"/>
      <c r="F1215" s="138" t="inlineStr">
        <is>
          <t>SPARE</t>
        </is>
      </c>
      <c r="G1215" s="131" t="n"/>
      <c r="H1215" s="128" t="n"/>
      <c r="I1215" s="132" t="inlineStr">
        <is>
          <t>RL7-BRED-RIO1</t>
        </is>
      </c>
      <c r="J1215" s="133" t="n">
        <v>11</v>
      </c>
      <c r="K1215" s="129" t="n">
        <v>10</v>
      </c>
      <c r="L1215" s="129" t="n">
        <v>6</v>
      </c>
      <c r="M1215" s="129" t="inlineStr">
        <is>
          <t>4-20 mA AO</t>
        </is>
      </c>
      <c r="N1215" s="129" t="inlineStr">
        <is>
          <t>5069-OF8</t>
        </is>
      </c>
      <c r="O1215" s="139" t="n"/>
      <c r="P1215" s="127" t="n"/>
      <c r="Q1215" s="127" t="n"/>
      <c r="R1215" s="127" t="n"/>
      <c r="S1215" s="127" t="n"/>
      <c r="T1215" s="127" t="n"/>
      <c r="U1215" s="127" t="n"/>
      <c r="V1215" s="127" t="n"/>
      <c r="W1215" s="127" t="n"/>
      <c r="X1215" s="127" t="n"/>
      <c r="Y1215" s="127" t="n"/>
      <c r="Z1215" s="140" t="n"/>
    </row>
    <row r="1216">
      <c r="A1216" s="203">
        <f>ROW()-1</f>
        <v/>
      </c>
      <c r="B1216" s="128" t="n"/>
      <c r="C1216" s="263" t="n"/>
      <c r="D1216" s="262" t="n"/>
      <c r="E1216" s="128" t="n"/>
      <c r="F1216" s="138" t="inlineStr">
        <is>
          <t>SPARE</t>
        </is>
      </c>
      <c r="G1216" s="131" t="n"/>
      <c r="H1216" s="128" t="n"/>
      <c r="I1216" s="132" t="inlineStr">
        <is>
          <t>RL7-BRED-RIO1</t>
        </is>
      </c>
      <c r="J1216" s="133" t="n">
        <v>11</v>
      </c>
      <c r="K1216" s="129" t="n">
        <v>10</v>
      </c>
      <c r="L1216" s="129" t="n">
        <v>7</v>
      </c>
      <c r="M1216" s="129" t="inlineStr">
        <is>
          <t>4-20 mA AO</t>
        </is>
      </c>
      <c r="N1216" s="129" t="inlineStr">
        <is>
          <t>5069-OF8</t>
        </is>
      </c>
      <c r="O1216" s="139" t="n"/>
      <c r="P1216" s="127" t="n"/>
      <c r="Q1216" s="127" t="n"/>
      <c r="R1216" s="127" t="n"/>
      <c r="S1216" s="127" t="n"/>
      <c r="T1216" s="127" t="n"/>
      <c r="U1216" s="127" t="n"/>
      <c r="V1216" s="127" t="n"/>
      <c r="W1216" s="127" t="n"/>
      <c r="X1216" s="127" t="n"/>
      <c r="Y1216" s="127" t="n"/>
      <c r="Z1216" s="140" t="n"/>
    </row>
    <row r="1217">
      <c r="A1217" s="203">
        <f>ROW()-1</f>
        <v/>
      </c>
      <c r="B1217" s="128" t="n"/>
      <c r="C1217" s="263" t="n"/>
      <c r="D1217" s="262" t="n"/>
      <c r="E1217" s="128" t="n"/>
      <c r="F1217" s="138" t="inlineStr">
        <is>
          <t>SPARE</t>
        </is>
      </c>
      <c r="G1217" s="131" t="n"/>
      <c r="H1217" s="128" t="n"/>
      <c r="I1217" s="132" t="inlineStr">
        <is>
          <t>RL7-CKR1-RIO1</t>
        </is>
      </c>
      <c r="J1217" s="133" t="n">
        <v>12</v>
      </c>
      <c r="K1217" s="129" t="n">
        <v>1</v>
      </c>
      <c r="L1217" s="129" t="n">
        <v>2</v>
      </c>
      <c r="M1217" s="129" t="inlineStr">
        <is>
          <t>24 VDC SI</t>
        </is>
      </c>
      <c r="N1217" s="129" t="inlineStr">
        <is>
          <t>5069-IB8S</t>
        </is>
      </c>
      <c r="O1217" s="139" t="n"/>
      <c r="P1217" s="127" t="n"/>
      <c r="Q1217" s="127" t="n"/>
      <c r="R1217" s="127" t="n"/>
      <c r="S1217" s="127" t="n"/>
      <c r="T1217" s="127" t="n"/>
      <c r="U1217" s="127" t="n"/>
      <c r="V1217" s="127" t="n"/>
      <c r="W1217" s="127" t="n"/>
      <c r="X1217" s="127" t="n"/>
      <c r="Y1217" s="127" t="n"/>
      <c r="Z1217" s="140" t="n"/>
    </row>
    <row r="1218">
      <c r="A1218" s="203">
        <f>ROW()-1</f>
        <v/>
      </c>
      <c r="B1218" s="128" t="n"/>
      <c r="C1218" s="263" t="n"/>
      <c r="D1218" s="262" t="n"/>
      <c r="E1218" s="128" t="n"/>
      <c r="F1218" s="138" t="inlineStr">
        <is>
          <t>SPARE</t>
        </is>
      </c>
      <c r="G1218" s="131" t="n"/>
      <c r="H1218" s="128" t="n"/>
      <c r="I1218" s="132" t="inlineStr">
        <is>
          <t>RL7-CKR1-RIO1</t>
        </is>
      </c>
      <c r="J1218" s="133" t="n">
        <v>12</v>
      </c>
      <c r="K1218" s="129" t="n">
        <v>1</v>
      </c>
      <c r="L1218" s="129" t="n">
        <v>3</v>
      </c>
      <c r="M1218" s="129" t="inlineStr">
        <is>
          <t>24 VDC SI</t>
        </is>
      </c>
      <c r="N1218" s="129" t="inlineStr">
        <is>
          <t>5069-IB8S</t>
        </is>
      </c>
      <c r="O1218" s="139" t="n"/>
      <c r="P1218" s="127" t="n"/>
      <c r="Q1218" s="127" t="n"/>
      <c r="R1218" s="127" t="n"/>
      <c r="S1218" s="127" t="n"/>
      <c r="T1218" s="127" t="n"/>
      <c r="U1218" s="127" t="n"/>
      <c r="V1218" s="127" t="n"/>
      <c r="W1218" s="127" t="n"/>
      <c r="X1218" s="127" t="n"/>
      <c r="Y1218" s="127" t="n"/>
      <c r="Z1218" s="140" t="n"/>
    </row>
    <row r="1219">
      <c r="A1219" s="203">
        <f>ROW()-1</f>
        <v/>
      </c>
      <c r="B1219" s="128" t="n"/>
      <c r="C1219" s="263" t="n"/>
      <c r="D1219" s="262" t="n"/>
      <c r="E1219" s="128" t="n"/>
      <c r="F1219" s="138" t="inlineStr">
        <is>
          <t>SPARE</t>
        </is>
      </c>
      <c r="G1219" s="131" t="n"/>
      <c r="H1219" s="128" t="n"/>
      <c r="I1219" s="132" t="inlineStr">
        <is>
          <t>RL7-CKR1-RIO1</t>
        </is>
      </c>
      <c r="J1219" s="133" t="n">
        <v>12</v>
      </c>
      <c r="K1219" s="129" t="n">
        <v>1</v>
      </c>
      <c r="L1219" s="129" t="n">
        <v>6</v>
      </c>
      <c r="M1219" s="129" t="inlineStr">
        <is>
          <t>24 VDC SI</t>
        </is>
      </c>
      <c r="N1219" s="129" t="inlineStr">
        <is>
          <t>5069-IB8S</t>
        </is>
      </c>
      <c r="O1219" s="139" t="n"/>
      <c r="P1219" s="127" t="n"/>
      <c r="Q1219" s="127" t="n"/>
      <c r="R1219" s="127" t="n"/>
      <c r="S1219" s="127" t="n"/>
      <c r="T1219" s="127" t="n"/>
      <c r="U1219" s="127" t="n"/>
      <c r="V1219" s="127" t="n"/>
      <c r="W1219" s="127" t="n"/>
      <c r="X1219" s="127" t="n"/>
      <c r="Y1219" s="127" t="n"/>
      <c r="Z1219" s="140" t="n"/>
    </row>
    <row r="1220">
      <c r="A1220" s="203">
        <f>ROW()-1</f>
        <v/>
      </c>
      <c r="B1220" s="128" t="n"/>
      <c r="C1220" s="263" t="n"/>
      <c r="D1220" s="262" t="n"/>
      <c r="E1220" s="128" t="n"/>
      <c r="F1220" s="138" t="inlineStr">
        <is>
          <t>SPARE</t>
        </is>
      </c>
      <c r="G1220" s="131" t="n"/>
      <c r="H1220" s="128" t="n"/>
      <c r="I1220" s="132" t="inlineStr">
        <is>
          <t>RL7-CKR1-RIO1</t>
        </is>
      </c>
      <c r="J1220" s="133" t="n">
        <v>12</v>
      </c>
      <c r="K1220" s="129" t="n">
        <v>1</v>
      </c>
      <c r="L1220" s="129" t="n">
        <v>7</v>
      </c>
      <c r="M1220" s="129" t="inlineStr">
        <is>
          <t>24 VDC SI</t>
        </is>
      </c>
      <c r="N1220" s="129" t="inlineStr">
        <is>
          <t>5069-IB8S</t>
        </is>
      </c>
      <c r="O1220" s="139" t="n"/>
      <c r="P1220" s="127" t="n"/>
      <c r="Q1220" s="127" t="n"/>
      <c r="R1220" s="127" t="n"/>
      <c r="S1220" s="127" t="n"/>
      <c r="T1220" s="127" t="n"/>
      <c r="U1220" s="127" t="n"/>
      <c r="V1220" s="127" t="n"/>
      <c r="W1220" s="127" t="n"/>
      <c r="X1220" s="127" t="n"/>
      <c r="Y1220" s="127" t="n"/>
      <c r="Z1220" s="140" t="n"/>
    </row>
    <row r="1221">
      <c r="A1221" s="203">
        <f>ROW()-1</f>
        <v/>
      </c>
      <c r="B1221" s="128" t="n"/>
      <c r="C1221" s="264" t="n"/>
      <c r="D1221" s="264" t="n"/>
      <c r="E1221" s="133" t="n"/>
      <c r="F1221" s="141" t="inlineStr">
        <is>
          <t>SPARE</t>
        </is>
      </c>
      <c r="G1221" s="142" t="n"/>
      <c r="H1221" s="133" t="n"/>
      <c r="I1221" s="142" t="inlineStr">
        <is>
          <t>RL7-CKR1-RIO1</t>
        </is>
      </c>
      <c r="J1221" s="133" t="n">
        <v>12</v>
      </c>
      <c r="K1221" s="133" t="n">
        <v>3</v>
      </c>
      <c r="L1221" s="133" t="n">
        <v>6</v>
      </c>
      <c r="M1221" s="133" t="inlineStr">
        <is>
          <t>24 VDC SI</t>
        </is>
      </c>
      <c r="N1221" s="133" t="inlineStr">
        <is>
          <t>5069-IB8S</t>
        </is>
      </c>
      <c r="O1221" s="139" t="n"/>
      <c r="P1221" s="127" t="n"/>
      <c r="Q1221" s="127" t="n"/>
      <c r="R1221" s="127" t="n"/>
      <c r="S1221" s="127" t="n"/>
      <c r="T1221" s="127" t="n"/>
      <c r="U1221" s="127" t="n"/>
      <c r="V1221" s="127" t="n"/>
      <c r="W1221" s="127" t="n"/>
      <c r="X1221" s="127" t="n"/>
      <c r="Y1221" s="127" t="n"/>
      <c r="Z1221" s="140" t="n"/>
    </row>
    <row r="1222">
      <c r="A1222" s="203">
        <f>ROW()-1</f>
        <v/>
      </c>
      <c r="B1222" s="128" t="n"/>
      <c r="C1222" s="264" t="n"/>
      <c r="D1222" s="264" t="n"/>
      <c r="E1222" s="133" t="n"/>
      <c r="F1222" s="141" t="inlineStr">
        <is>
          <t>SPARE</t>
        </is>
      </c>
      <c r="G1222" s="142" t="n"/>
      <c r="H1222" s="133" t="n"/>
      <c r="I1222" s="142" t="inlineStr">
        <is>
          <t>RL7-CKR1-RIO1</t>
        </is>
      </c>
      <c r="J1222" s="133" t="n">
        <v>12</v>
      </c>
      <c r="K1222" s="133" t="n">
        <v>3</v>
      </c>
      <c r="L1222" s="133" t="n">
        <v>7</v>
      </c>
      <c r="M1222" s="133" t="inlineStr">
        <is>
          <t>24 VDC SI</t>
        </is>
      </c>
      <c r="N1222" s="133" t="inlineStr">
        <is>
          <t>5069-IB8S</t>
        </is>
      </c>
      <c r="O1222" s="139" t="n"/>
      <c r="P1222" s="127" t="n"/>
      <c r="Q1222" s="127" t="n"/>
      <c r="R1222" s="127" t="n"/>
      <c r="S1222" s="127" t="n"/>
      <c r="T1222" s="127" t="n"/>
      <c r="U1222" s="127" t="n"/>
      <c r="V1222" s="127" t="n"/>
      <c r="W1222" s="127" t="n"/>
      <c r="X1222" s="127" t="n"/>
      <c r="Y1222" s="127" t="n"/>
      <c r="Z1222" s="140" t="n"/>
    </row>
    <row r="1223">
      <c r="A1223" s="203">
        <f>ROW()-1</f>
        <v/>
      </c>
      <c r="B1223" s="128" t="n"/>
      <c r="C1223" s="263" t="n"/>
      <c r="D1223" s="262" t="n"/>
      <c r="E1223" s="128" t="n"/>
      <c r="F1223" s="138" t="inlineStr">
        <is>
          <t>SPARE</t>
        </is>
      </c>
      <c r="G1223" s="131" t="n"/>
      <c r="H1223" s="128" t="n"/>
      <c r="I1223" s="132" t="inlineStr">
        <is>
          <t>RL7-CKR1-RIO1</t>
        </is>
      </c>
      <c r="J1223" s="133" t="n">
        <v>12</v>
      </c>
      <c r="K1223" s="129" t="n">
        <v>4</v>
      </c>
      <c r="L1223" s="129" t="n">
        <v>2</v>
      </c>
      <c r="M1223" s="129" t="inlineStr">
        <is>
          <t>24 VDC SO</t>
        </is>
      </c>
      <c r="N1223" s="129" t="inlineStr">
        <is>
          <t>5069-OBV8S</t>
        </is>
      </c>
      <c r="O1223" s="139" t="n"/>
      <c r="P1223" s="127" t="n"/>
      <c r="Q1223" s="127" t="n"/>
      <c r="R1223" s="127" t="n"/>
      <c r="S1223" s="127" t="n"/>
      <c r="T1223" s="127" t="n"/>
      <c r="U1223" s="127" t="n"/>
      <c r="V1223" s="127" t="n"/>
      <c r="W1223" s="127" t="n"/>
      <c r="X1223" s="127" t="n"/>
      <c r="Y1223" s="127" t="n"/>
      <c r="Z1223" s="140" t="n"/>
    </row>
    <row r="1224">
      <c r="A1224" s="203">
        <f>ROW()-1</f>
        <v/>
      </c>
      <c r="B1224" s="128" t="n"/>
      <c r="C1224" s="263" t="n"/>
      <c r="D1224" s="262" t="n"/>
      <c r="E1224" s="128" t="n"/>
      <c r="F1224" s="138" t="inlineStr">
        <is>
          <t>SPARE</t>
        </is>
      </c>
      <c r="G1224" s="131" t="n"/>
      <c r="H1224" s="128" t="n"/>
      <c r="I1224" s="132" t="inlineStr">
        <is>
          <t>RL7-CKR1-RIO1</t>
        </is>
      </c>
      <c r="J1224" s="133" t="n">
        <v>12</v>
      </c>
      <c r="K1224" s="129" t="n">
        <v>4</v>
      </c>
      <c r="L1224" s="129" t="n">
        <v>3</v>
      </c>
      <c r="M1224" s="129" t="inlineStr">
        <is>
          <t>24 VDC SO</t>
        </is>
      </c>
      <c r="N1224" s="129" t="inlineStr">
        <is>
          <t>5069-OBV8S</t>
        </is>
      </c>
      <c r="O1224" s="139" t="n"/>
      <c r="P1224" s="127" t="n"/>
      <c r="Q1224" s="127" t="n"/>
      <c r="R1224" s="127" t="n"/>
      <c r="S1224" s="127" t="n"/>
      <c r="T1224" s="127" t="n"/>
      <c r="U1224" s="127" t="n"/>
      <c r="V1224" s="127" t="n"/>
      <c r="W1224" s="127" t="n"/>
      <c r="X1224" s="127" t="n"/>
      <c r="Y1224" s="127" t="n"/>
      <c r="Z1224" s="140" t="n"/>
    </row>
    <row r="1225">
      <c r="A1225" s="203">
        <f>ROW()-1</f>
        <v/>
      </c>
      <c r="B1225" s="128" t="n"/>
      <c r="C1225" s="263" t="n"/>
      <c r="D1225" s="262" t="n"/>
      <c r="E1225" s="128" t="n"/>
      <c r="F1225" s="138" t="inlineStr">
        <is>
          <t>SPARE</t>
        </is>
      </c>
      <c r="G1225" s="131" t="n"/>
      <c r="H1225" s="128" t="n"/>
      <c r="I1225" s="132" t="inlineStr">
        <is>
          <t>RL7-CKR1-RIO1</t>
        </is>
      </c>
      <c r="J1225" s="133" t="n">
        <v>12</v>
      </c>
      <c r="K1225" s="129" t="n">
        <v>4</v>
      </c>
      <c r="L1225" s="129" t="n">
        <v>4</v>
      </c>
      <c r="M1225" s="129" t="inlineStr">
        <is>
          <t>24 VDC SO</t>
        </is>
      </c>
      <c r="N1225" s="129" t="inlineStr">
        <is>
          <t>5069-OBV8S</t>
        </is>
      </c>
      <c r="O1225" s="139" t="n"/>
      <c r="P1225" s="127" t="n"/>
      <c r="Q1225" s="127" t="n"/>
      <c r="R1225" s="127" t="n"/>
      <c r="S1225" s="127" t="n"/>
      <c r="T1225" s="127" t="n"/>
      <c r="U1225" s="127" t="n"/>
      <c r="V1225" s="127" t="n"/>
      <c r="W1225" s="127" t="n"/>
      <c r="X1225" s="127" t="n"/>
      <c r="Y1225" s="127" t="n"/>
      <c r="Z1225" s="140" t="n"/>
    </row>
    <row r="1226">
      <c r="A1226" s="203">
        <f>ROW()-1</f>
        <v/>
      </c>
      <c r="B1226" s="128" t="n"/>
      <c r="C1226" s="263" t="n"/>
      <c r="D1226" s="262" t="n"/>
      <c r="E1226" s="128" t="n"/>
      <c r="F1226" s="138" t="inlineStr">
        <is>
          <t>SPARE</t>
        </is>
      </c>
      <c r="G1226" s="131" t="n"/>
      <c r="H1226" s="128" t="n"/>
      <c r="I1226" s="132" t="inlineStr">
        <is>
          <t>RL7-CKR1-RIO1</t>
        </is>
      </c>
      <c r="J1226" s="133" t="n">
        <v>12</v>
      </c>
      <c r="K1226" s="129" t="n">
        <v>4</v>
      </c>
      <c r="L1226" s="129" t="n">
        <v>5</v>
      </c>
      <c r="M1226" s="129" t="inlineStr">
        <is>
          <t>24 VDC SO</t>
        </is>
      </c>
      <c r="N1226" s="129" t="inlineStr">
        <is>
          <t>5069-OBV8S</t>
        </is>
      </c>
      <c r="O1226" s="139" t="n"/>
      <c r="P1226" s="127" t="n"/>
      <c r="Q1226" s="127" t="n"/>
      <c r="R1226" s="127" t="n"/>
      <c r="S1226" s="127" t="n"/>
      <c r="T1226" s="127" t="n"/>
      <c r="U1226" s="127" t="n"/>
      <c r="V1226" s="127" t="n"/>
      <c r="W1226" s="127" t="n"/>
      <c r="X1226" s="127" t="n"/>
      <c r="Y1226" s="127" t="n"/>
      <c r="Z1226" s="140" t="n"/>
    </row>
    <row r="1227">
      <c r="A1227" s="203">
        <f>ROW()-1</f>
        <v/>
      </c>
      <c r="B1227" s="128" t="n"/>
      <c r="C1227" s="263" t="n"/>
      <c r="D1227" s="262" t="n"/>
      <c r="E1227" s="128" t="n"/>
      <c r="F1227" s="138" t="inlineStr">
        <is>
          <t>SPARE</t>
        </is>
      </c>
      <c r="G1227" s="131" t="n"/>
      <c r="H1227" s="128" t="n"/>
      <c r="I1227" s="132" t="inlineStr">
        <is>
          <t>RL7-CKR1-RIO1</t>
        </is>
      </c>
      <c r="J1227" s="133" t="n">
        <v>12</v>
      </c>
      <c r="K1227" s="129" t="n">
        <v>4</v>
      </c>
      <c r="L1227" s="129" t="n">
        <v>6</v>
      </c>
      <c r="M1227" s="129" t="inlineStr">
        <is>
          <t>24 VDC SO</t>
        </is>
      </c>
      <c r="N1227" s="129" t="inlineStr">
        <is>
          <t>5069-OBV8S</t>
        </is>
      </c>
      <c r="O1227" s="139" t="n"/>
      <c r="P1227" s="127" t="n"/>
      <c r="Q1227" s="127" t="n"/>
      <c r="R1227" s="127" t="n"/>
      <c r="S1227" s="127" t="n"/>
      <c r="T1227" s="127" t="n"/>
      <c r="U1227" s="127" t="n"/>
      <c r="V1227" s="127" t="n"/>
      <c r="W1227" s="127" t="n"/>
      <c r="X1227" s="127" t="n"/>
      <c r="Y1227" s="127" t="n"/>
      <c r="Z1227" s="140" t="n"/>
    </row>
    <row r="1228">
      <c r="A1228" s="203">
        <f>ROW()-1</f>
        <v/>
      </c>
      <c r="B1228" s="128" t="n"/>
      <c r="C1228" s="263" t="n"/>
      <c r="D1228" s="262" t="n"/>
      <c r="E1228" s="128" t="n"/>
      <c r="F1228" s="138" t="inlineStr">
        <is>
          <t>SPARE</t>
        </is>
      </c>
      <c r="G1228" s="131" t="n"/>
      <c r="H1228" s="128" t="n"/>
      <c r="I1228" s="132" t="inlineStr">
        <is>
          <t>RL7-CKR1-RIO1</t>
        </is>
      </c>
      <c r="J1228" s="133" t="n">
        <v>12</v>
      </c>
      <c r="K1228" s="129" t="n">
        <v>4</v>
      </c>
      <c r="L1228" s="129" t="n">
        <v>7</v>
      </c>
      <c r="M1228" s="129" t="inlineStr">
        <is>
          <t>24 VDC SO</t>
        </is>
      </c>
      <c r="N1228" s="129" t="inlineStr">
        <is>
          <t>5069-OBV8S</t>
        </is>
      </c>
      <c r="O1228" s="139" t="n"/>
      <c r="P1228" s="127" t="n"/>
      <c r="Q1228" s="127" t="n"/>
      <c r="R1228" s="127" t="n"/>
      <c r="S1228" s="127" t="n"/>
      <c r="T1228" s="127" t="n"/>
      <c r="U1228" s="127" t="n"/>
      <c r="V1228" s="127" t="n"/>
      <c r="W1228" s="127" t="n"/>
      <c r="X1228" s="127" t="n"/>
      <c r="Y1228" s="127" t="n"/>
      <c r="Z1228" s="140" t="n"/>
    </row>
    <row r="1229" customFormat="1" s="136">
      <c r="A1229" s="203">
        <f>ROW()-1</f>
        <v/>
      </c>
      <c r="B1229" s="128" t="n"/>
      <c r="C1229" s="263" t="n"/>
      <c r="D1229" s="262" t="n"/>
      <c r="E1229" s="128" t="n"/>
      <c r="F1229" s="138" t="inlineStr">
        <is>
          <t>SPARE</t>
        </is>
      </c>
      <c r="G1229" s="131" t="n"/>
      <c r="H1229" s="128" t="n"/>
      <c r="I1229" s="132" t="inlineStr">
        <is>
          <t>RL7-CKR1-RIO1</t>
        </is>
      </c>
      <c r="J1229" s="133" t="n">
        <v>12</v>
      </c>
      <c r="K1229" s="129" t="n">
        <v>5</v>
      </c>
      <c r="L1229" s="129" t="n">
        <v>9</v>
      </c>
      <c r="M1229" s="129" t="inlineStr">
        <is>
          <t>24 VDC DI</t>
        </is>
      </c>
      <c r="N1229" s="129" t="inlineStr">
        <is>
          <t>5069-IB16</t>
        </is>
      </c>
      <c r="O1229" s="139" t="n"/>
      <c r="P1229" s="127" t="n"/>
      <c r="Q1229" s="127" t="n"/>
      <c r="R1229" s="127" t="n"/>
      <c r="S1229" s="127" t="n"/>
      <c r="T1229" s="127" t="n"/>
      <c r="U1229" s="127" t="n"/>
      <c r="V1229" s="127" t="n"/>
      <c r="W1229" s="127" t="n"/>
      <c r="X1229" s="127" t="n"/>
      <c r="Y1229" s="127" t="n"/>
      <c r="Z1229" s="140" t="n"/>
    </row>
    <row r="1230">
      <c r="A1230" s="203">
        <f>ROW()-1</f>
        <v/>
      </c>
      <c r="B1230" s="128" t="n"/>
      <c r="C1230" s="263" t="n"/>
      <c r="D1230" s="262" t="n"/>
      <c r="E1230" s="128" t="n"/>
      <c r="F1230" s="138" t="inlineStr">
        <is>
          <t>SPARE</t>
        </is>
      </c>
      <c r="G1230" s="131" t="n"/>
      <c r="H1230" s="128" t="n"/>
      <c r="I1230" s="132" t="inlineStr">
        <is>
          <t>RL7-CKR1-RIO1</t>
        </is>
      </c>
      <c r="J1230" s="133" t="n">
        <v>12</v>
      </c>
      <c r="K1230" s="129" t="n">
        <v>5</v>
      </c>
      <c r="L1230" s="129" t="n">
        <v>10</v>
      </c>
      <c r="M1230" s="129" t="inlineStr">
        <is>
          <t>24 VDC DI</t>
        </is>
      </c>
      <c r="N1230" s="129" t="inlineStr">
        <is>
          <t>5069-IB16</t>
        </is>
      </c>
      <c r="O1230" s="139" t="n"/>
      <c r="P1230" s="127" t="n"/>
      <c r="Q1230" s="127" t="n"/>
      <c r="R1230" s="127" t="n"/>
      <c r="S1230" s="127" t="n"/>
      <c r="T1230" s="127" t="n"/>
      <c r="U1230" s="127" t="n"/>
      <c r="V1230" s="127" t="n"/>
      <c r="W1230" s="127" t="n"/>
      <c r="X1230" s="127" t="n"/>
      <c r="Y1230" s="127" t="n"/>
      <c r="Z1230" s="140" t="n"/>
    </row>
    <row r="1231">
      <c r="A1231" s="203">
        <f>ROW()-1</f>
        <v/>
      </c>
      <c r="B1231" s="128" t="n"/>
      <c r="C1231" s="263" t="n"/>
      <c r="D1231" s="262" t="n"/>
      <c r="E1231" s="128" t="n"/>
      <c r="F1231" s="138" t="inlineStr">
        <is>
          <t>SPARE</t>
        </is>
      </c>
      <c r="G1231" s="131" t="n"/>
      <c r="H1231" s="128" t="n"/>
      <c r="I1231" s="132" t="inlineStr">
        <is>
          <t>RL7-CKR1-RIO1</t>
        </is>
      </c>
      <c r="J1231" s="133" t="n">
        <v>12</v>
      </c>
      <c r="K1231" s="129" t="n">
        <v>5</v>
      </c>
      <c r="L1231" s="129" t="n">
        <v>11</v>
      </c>
      <c r="M1231" s="129" t="inlineStr">
        <is>
          <t>24 VDC DI</t>
        </is>
      </c>
      <c r="N1231" s="129" t="inlineStr">
        <is>
          <t>5069-IB16</t>
        </is>
      </c>
      <c r="O1231" s="139" t="n"/>
      <c r="P1231" s="127" t="n"/>
      <c r="Q1231" s="127" t="n"/>
      <c r="R1231" s="127" t="n"/>
      <c r="S1231" s="127" t="n"/>
      <c r="T1231" s="127" t="n"/>
      <c r="U1231" s="127" t="n"/>
      <c r="V1231" s="127" t="n"/>
      <c r="W1231" s="127" t="n"/>
      <c r="X1231" s="127" t="n"/>
      <c r="Y1231" s="127" t="n"/>
      <c r="Z1231" s="140" t="n"/>
    </row>
    <row r="1232">
      <c r="A1232" s="203">
        <f>ROW()-1</f>
        <v/>
      </c>
      <c r="B1232" s="128" t="n"/>
      <c r="C1232" s="263" t="n"/>
      <c r="D1232" s="262" t="n"/>
      <c r="E1232" s="128" t="n"/>
      <c r="F1232" s="138" t="inlineStr">
        <is>
          <t>SPARE</t>
        </is>
      </c>
      <c r="G1232" s="131" t="n"/>
      <c r="H1232" s="128" t="n"/>
      <c r="I1232" s="132" t="inlineStr">
        <is>
          <t>RL7-CKR1-RIO1</t>
        </is>
      </c>
      <c r="J1232" s="133" t="n">
        <v>12</v>
      </c>
      <c r="K1232" s="129" t="n">
        <v>5</v>
      </c>
      <c r="L1232" s="129" t="n">
        <v>12</v>
      </c>
      <c r="M1232" s="129" t="inlineStr">
        <is>
          <t>24 VDC DI</t>
        </is>
      </c>
      <c r="N1232" s="129" t="inlineStr">
        <is>
          <t>5069-IB16</t>
        </is>
      </c>
      <c r="O1232" s="139" t="n"/>
      <c r="P1232" s="127" t="n"/>
      <c r="Q1232" s="127" t="n"/>
      <c r="R1232" s="127" t="n"/>
      <c r="S1232" s="127" t="n"/>
      <c r="T1232" s="127" t="n"/>
      <c r="U1232" s="127" t="n"/>
      <c r="V1232" s="127" t="n"/>
      <c r="W1232" s="127" t="n"/>
      <c r="X1232" s="127" t="n"/>
      <c r="Y1232" s="127" t="n"/>
      <c r="Z1232" s="140" t="n"/>
    </row>
    <row r="1233">
      <c r="A1233" s="203">
        <f>ROW()-1</f>
        <v/>
      </c>
      <c r="B1233" s="128" t="n"/>
      <c r="C1233" s="263" t="n"/>
      <c r="D1233" s="262" t="n"/>
      <c r="E1233" s="128" t="n"/>
      <c r="F1233" s="138" t="inlineStr">
        <is>
          <t>SPARE</t>
        </is>
      </c>
      <c r="G1233" s="131" t="n"/>
      <c r="H1233" s="128" t="n"/>
      <c r="I1233" s="132" t="inlineStr">
        <is>
          <t>RL7-CKR1-RIO1</t>
        </is>
      </c>
      <c r="J1233" s="133" t="n">
        <v>12</v>
      </c>
      <c r="K1233" s="129" t="n">
        <v>5</v>
      </c>
      <c r="L1233" s="129" t="n">
        <v>13</v>
      </c>
      <c r="M1233" s="129" t="inlineStr">
        <is>
          <t>24 VDC DI</t>
        </is>
      </c>
      <c r="N1233" s="129" t="inlineStr">
        <is>
          <t>5069-IB16</t>
        </is>
      </c>
      <c r="O1233" s="139" t="n"/>
      <c r="P1233" s="127" t="n"/>
      <c r="Q1233" s="127" t="n"/>
      <c r="R1233" s="127" t="n"/>
      <c r="S1233" s="127" t="n"/>
      <c r="T1233" s="127" t="n"/>
      <c r="U1233" s="127" t="n"/>
      <c r="V1233" s="127" t="n"/>
      <c r="W1233" s="127" t="n"/>
      <c r="X1233" s="127" t="n"/>
      <c r="Y1233" s="127" t="n"/>
      <c r="Z1233" s="140" t="n"/>
    </row>
    <row r="1234">
      <c r="A1234" s="203">
        <f>ROW()-1</f>
        <v/>
      </c>
      <c r="B1234" s="128" t="n"/>
      <c r="C1234" s="263" t="n"/>
      <c r="D1234" s="262" t="n"/>
      <c r="E1234" s="128" t="n"/>
      <c r="F1234" s="138" t="inlineStr">
        <is>
          <t>SPARE</t>
        </is>
      </c>
      <c r="G1234" s="131" t="n"/>
      <c r="H1234" s="128" t="n"/>
      <c r="I1234" s="132" t="inlineStr">
        <is>
          <t>RL7-CKR1-RIO1</t>
        </is>
      </c>
      <c r="J1234" s="133" t="n">
        <v>12</v>
      </c>
      <c r="K1234" s="129" t="n">
        <v>5</v>
      </c>
      <c r="L1234" s="129" t="n">
        <v>14</v>
      </c>
      <c r="M1234" s="129" t="inlineStr">
        <is>
          <t>24 VDC DI</t>
        </is>
      </c>
      <c r="N1234" s="129" t="inlineStr">
        <is>
          <t>5069-IB16</t>
        </is>
      </c>
      <c r="O1234" s="139" t="n"/>
      <c r="P1234" s="127" t="n"/>
      <c r="Q1234" s="127" t="n"/>
      <c r="R1234" s="127" t="n"/>
      <c r="S1234" s="127" t="n"/>
      <c r="T1234" s="127" t="n"/>
      <c r="U1234" s="127" t="n"/>
      <c r="V1234" s="127" t="n"/>
      <c r="W1234" s="127" t="n"/>
      <c r="X1234" s="127" t="n"/>
      <c r="Y1234" s="127" t="n"/>
      <c r="Z1234" s="140" t="n"/>
    </row>
    <row r="1235">
      <c r="A1235" s="203">
        <f>ROW()-1</f>
        <v/>
      </c>
      <c r="B1235" s="128" t="n"/>
      <c r="C1235" s="263" t="n"/>
      <c r="D1235" s="262" t="n"/>
      <c r="E1235" s="128" t="n"/>
      <c r="F1235" s="138" t="inlineStr">
        <is>
          <t>SPARE</t>
        </is>
      </c>
      <c r="G1235" s="131" t="n"/>
      <c r="H1235" s="128" t="n"/>
      <c r="I1235" s="132" t="inlineStr">
        <is>
          <t>RL7-CKR1-RIO1</t>
        </is>
      </c>
      <c r="J1235" s="133" t="n">
        <v>12</v>
      </c>
      <c r="K1235" s="129" t="n">
        <v>5</v>
      </c>
      <c r="L1235" s="129" t="n">
        <v>15</v>
      </c>
      <c r="M1235" s="129" t="inlineStr">
        <is>
          <t>24 VDC DI</t>
        </is>
      </c>
      <c r="N1235" s="129" t="inlineStr">
        <is>
          <t>5069-IB16</t>
        </is>
      </c>
      <c r="O1235" s="139" t="n"/>
      <c r="P1235" s="127" t="n"/>
      <c r="Q1235" s="127" t="n"/>
      <c r="R1235" s="127" t="n"/>
      <c r="S1235" s="127" t="n"/>
      <c r="T1235" s="127" t="n"/>
      <c r="U1235" s="127" t="n"/>
      <c r="V1235" s="127" t="n"/>
      <c r="W1235" s="127" t="n"/>
      <c r="X1235" s="127" t="n"/>
      <c r="Y1235" s="127" t="n"/>
      <c r="Z1235" s="140" t="n"/>
    </row>
    <row r="1236">
      <c r="A1236" s="203">
        <f>ROW()-1</f>
        <v/>
      </c>
      <c r="B1236" s="128" t="n"/>
      <c r="C1236" s="263" t="n"/>
      <c r="D1236" s="262" t="n"/>
      <c r="E1236" s="128" t="n"/>
      <c r="F1236" s="138" t="inlineStr">
        <is>
          <t>SPARE</t>
        </is>
      </c>
      <c r="G1236" s="131" t="n"/>
      <c r="H1236" s="128" t="n"/>
      <c r="I1236" s="132" t="inlineStr">
        <is>
          <t>RL7-CKR1-RIO1</t>
        </is>
      </c>
      <c r="J1236" s="133" t="n">
        <v>12</v>
      </c>
      <c r="K1236" s="129" t="n">
        <v>6</v>
      </c>
      <c r="L1236" s="129" t="n">
        <v>5</v>
      </c>
      <c r="M1236" s="129" t="inlineStr">
        <is>
          <t>24 VDC DI</t>
        </is>
      </c>
      <c r="N1236" s="129" t="inlineStr">
        <is>
          <t>5069-IB16</t>
        </is>
      </c>
      <c r="O1236" s="139" t="n"/>
      <c r="P1236" s="127" t="n"/>
      <c r="Q1236" s="127" t="n"/>
      <c r="R1236" s="127" t="n"/>
      <c r="S1236" s="127" t="n"/>
      <c r="T1236" s="127" t="n"/>
      <c r="U1236" s="127" t="n"/>
      <c r="V1236" s="127" t="n"/>
      <c r="W1236" s="127" t="n"/>
      <c r="X1236" s="127" t="n"/>
      <c r="Y1236" s="127" t="n"/>
      <c r="Z1236" s="140" t="n"/>
    </row>
    <row r="1237">
      <c r="A1237" s="203">
        <f>ROW()-1</f>
        <v/>
      </c>
      <c r="B1237" s="128" t="n"/>
      <c r="C1237" s="263" t="n"/>
      <c r="D1237" s="262" t="n"/>
      <c r="E1237" s="128" t="n"/>
      <c r="F1237" s="138" t="inlineStr">
        <is>
          <t>SPARE</t>
        </is>
      </c>
      <c r="G1237" s="131" t="n"/>
      <c r="H1237" s="128" t="n"/>
      <c r="I1237" s="132" t="inlineStr">
        <is>
          <t>RL7-CKR1-RIO1</t>
        </is>
      </c>
      <c r="J1237" s="133" t="n">
        <v>12</v>
      </c>
      <c r="K1237" s="129" t="n">
        <v>6</v>
      </c>
      <c r="L1237" s="129" t="n">
        <v>10</v>
      </c>
      <c r="M1237" s="129" t="inlineStr">
        <is>
          <t>24 VDC DI</t>
        </is>
      </c>
      <c r="N1237" s="129" t="inlineStr">
        <is>
          <t>5069-IB16</t>
        </is>
      </c>
      <c r="O1237" s="139" t="n"/>
      <c r="P1237" s="127" t="n"/>
      <c r="Q1237" s="127" t="n"/>
      <c r="R1237" s="127" t="n"/>
      <c r="S1237" s="127" t="n"/>
      <c r="T1237" s="127" t="n"/>
      <c r="U1237" s="127" t="n"/>
      <c r="V1237" s="127" t="n"/>
      <c r="W1237" s="127" t="n"/>
      <c r="X1237" s="127" t="n"/>
      <c r="Y1237" s="127" t="n"/>
      <c r="Z1237" s="140" t="n"/>
    </row>
    <row r="1238">
      <c r="A1238" s="203">
        <f>ROW()-1</f>
        <v/>
      </c>
      <c r="B1238" s="128" t="n"/>
      <c r="C1238" s="263" t="n"/>
      <c r="D1238" s="262" t="n"/>
      <c r="E1238" s="128" t="n"/>
      <c r="F1238" s="138" t="inlineStr">
        <is>
          <t>SPARE</t>
        </is>
      </c>
      <c r="G1238" s="131" t="n"/>
      <c r="H1238" s="128" t="n"/>
      <c r="I1238" s="132" t="inlineStr">
        <is>
          <t>RL7-CKR1-RIO1</t>
        </is>
      </c>
      <c r="J1238" s="133" t="n">
        <v>12</v>
      </c>
      <c r="K1238" s="129" t="n">
        <v>6</v>
      </c>
      <c r="L1238" s="129" t="n">
        <v>11</v>
      </c>
      <c r="M1238" s="129" t="inlineStr">
        <is>
          <t>24 VDC DI</t>
        </is>
      </c>
      <c r="N1238" s="129" t="inlineStr">
        <is>
          <t>5069-IB16</t>
        </is>
      </c>
      <c r="O1238" s="139" t="n"/>
      <c r="P1238" s="127" t="n"/>
      <c r="Q1238" s="127" t="n"/>
      <c r="R1238" s="127" t="n"/>
      <c r="S1238" s="127" t="n"/>
      <c r="T1238" s="127" t="n"/>
      <c r="U1238" s="127" t="n"/>
      <c r="V1238" s="127" t="n"/>
      <c r="W1238" s="127" t="n"/>
      <c r="X1238" s="127" t="n"/>
      <c r="Y1238" s="127" t="n"/>
      <c r="Z1238" s="140" t="n"/>
    </row>
    <row r="1239">
      <c r="A1239" s="203">
        <f>ROW()-1</f>
        <v/>
      </c>
      <c r="B1239" s="128" t="n"/>
      <c r="C1239" s="263" t="n"/>
      <c r="D1239" s="262" t="n"/>
      <c r="E1239" s="128" t="n"/>
      <c r="F1239" s="138" t="inlineStr">
        <is>
          <t>SPARE</t>
        </is>
      </c>
      <c r="G1239" s="131" t="n"/>
      <c r="H1239" s="128" t="n"/>
      <c r="I1239" s="132" t="inlineStr">
        <is>
          <t>RL7-CKR1-RIO1</t>
        </is>
      </c>
      <c r="J1239" s="133" t="n">
        <v>12</v>
      </c>
      <c r="K1239" s="129" t="n">
        <v>6</v>
      </c>
      <c r="L1239" s="129" t="n">
        <v>12</v>
      </c>
      <c r="M1239" s="129" t="inlineStr">
        <is>
          <t>24 VDC DI</t>
        </is>
      </c>
      <c r="N1239" s="129" t="inlineStr">
        <is>
          <t>5069-IB16</t>
        </is>
      </c>
      <c r="O1239" s="139" t="n"/>
      <c r="P1239" s="127" t="n"/>
      <c r="Q1239" s="127" t="n"/>
      <c r="R1239" s="127" t="n"/>
      <c r="S1239" s="127" t="n"/>
      <c r="T1239" s="127" t="n"/>
      <c r="U1239" s="127" t="n"/>
      <c r="V1239" s="127" t="n"/>
      <c r="W1239" s="127" t="n"/>
      <c r="X1239" s="127" t="n"/>
      <c r="Y1239" s="127" t="n"/>
      <c r="Z1239" s="140" t="n"/>
    </row>
    <row r="1240">
      <c r="A1240" s="203">
        <f>ROW()-1</f>
        <v/>
      </c>
      <c r="B1240" s="128" t="n"/>
      <c r="C1240" s="263" t="n"/>
      <c r="D1240" s="262" t="n"/>
      <c r="E1240" s="128" t="n"/>
      <c r="F1240" s="138" t="inlineStr">
        <is>
          <t>SPARE</t>
        </is>
      </c>
      <c r="G1240" s="131" t="n"/>
      <c r="H1240" s="128" t="n"/>
      <c r="I1240" s="132" t="inlineStr">
        <is>
          <t>RL7-CKR1-RIO1</t>
        </is>
      </c>
      <c r="J1240" s="133" t="n">
        <v>12</v>
      </c>
      <c r="K1240" s="129" t="n">
        <v>6</v>
      </c>
      <c r="L1240" s="129" t="n">
        <v>13</v>
      </c>
      <c r="M1240" s="129" t="inlineStr">
        <is>
          <t>24 VDC DI</t>
        </is>
      </c>
      <c r="N1240" s="129" t="inlineStr">
        <is>
          <t>5069-IB16</t>
        </is>
      </c>
      <c r="O1240" s="139" t="n"/>
      <c r="P1240" s="127" t="n"/>
      <c r="Q1240" s="127" t="n"/>
      <c r="R1240" s="127" t="n"/>
      <c r="S1240" s="127" t="n"/>
      <c r="T1240" s="127" t="n"/>
      <c r="U1240" s="127" t="n"/>
      <c r="V1240" s="127" t="n"/>
      <c r="W1240" s="127" t="n"/>
      <c r="X1240" s="127" t="n"/>
      <c r="Y1240" s="127" t="n"/>
      <c r="Z1240" s="140" t="n"/>
    </row>
    <row r="1241">
      <c r="A1241" s="203">
        <f>ROW()-1</f>
        <v/>
      </c>
      <c r="B1241" s="128" t="n"/>
      <c r="C1241" s="263" t="n"/>
      <c r="D1241" s="262" t="n"/>
      <c r="E1241" s="128" t="n"/>
      <c r="F1241" s="138" t="inlineStr">
        <is>
          <t>SPARE</t>
        </is>
      </c>
      <c r="G1241" s="131" t="n"/>
      <c r="H1241" s="128" t="n"/>
      <c r="I1241" s="132" t="inlineStr">
        <is>
          <t>RL7-CKR1-RIO1</t>
        </is>
      </c>
      <c r="J1241" s="133" t="n">
        <v>12</v>
      </c>
      <c r="K1241" s="129" t="n">
        <v>6</v>
      </c>
      <c r="L1241" s="129" t="n">
        <v>14</v>
      </c>
      <c r="M1241" s="129" t="inlineStr">
        <is>
          <t>24 VDC DI</t>
        </is>
      </c>
      <c r="N1241" s="129" t="inlineStr">
        <is>
          <t>5069-IB16</t>
        </is>
      </c>
      <c r="O1241" s="139" t="n"/>
      <c r="P1241" s="127" t="n"/>
      <c r="Q1241" s="127" t="n"/>
      <c r="R1241" s="127" t="n"/>
      <c r="S1241" s="127" t="n"/>
      <c r="T1241" s="127" t="n"/>
      <c r="U1241" s="127" t="n"/>
      <c r="V1241" s="127" t="n"/>
      <c r="W1241" s="127" t="n"/>
      <c r="X1241" s="127" t="n"/>
      <c r="Y1241" s="127" t="n"/>
      <c r="Z1241" s="140" t="n"/>
    </row>
    <row r="1242">
      <c r="A1242" s="203">
        <f>ROW()-1</f>
        <v/>
      </c>
      <c r="B1242" s="128" t="n"/>
      <c r="C1242" s="263" t="n"/>
      <c r="D1242" s="262" t="n"/>
      <c r="E1242" s="128" t="n"/>
      <c r="F1242" s="138" t="inlineStr">
        <is>
          <t>SPARE</t>
        </is>
      </c>
      <c r="G1242" s="131" t="n"/>
      <c r="H1242" s="128" t="n"/>
      <c r="I1242" s="132" t="inlineStr">
        <is>
          <t>RL7-CKR1-RIO1</t>
        </is>
      </c>
      <c r="J1242" s="133" t="n">
        <v>12</v>
      </c>
      <c r="K1242" s="129" t="n">
        <v>6</v>
      </c>
      <c r="L1242" s="129" t="n">
        <v>15</v>
      </c>
      <c r="M1242" s="129" t="inlineStr">
        <is>
          <t>24 VDC DI</t>
        </is>
      </c>
      <c r="N1242" s="129" t="inlineStr">
        <is>
          <t>5069-IB16</t>
        </is>
      </c>
      <c r="O1242" s="139" t="n"/>
      <c r="P1242" s="127" t="n"/>
      <c r="Q1242" s="127" t="n"/>
      <c r="R1242" s="127" t="n"/>
      <c r="S1242" s="127" t="n"/>
      <c r="T1242" s="127" t="n"/>
      <c r="U1242" s="127" t="n"/>
      <c r="V1242" s="127" t="n"/>
      <c r="W1242" s="127" t="n"/>
      <c r="X1242" s="127" t="n"/>
      <c r="Y1242" s="127" t="n"/>
      <c r="Z1242" s="140" t="n"/>
    </row>
    <row r="1243">
      <c r="A1243" s="203">
        <f>ROW()-1</f>
        <v/>
      </c>
      <c r="B1243" s="128" t="n"/>
      <c r="C1243" s="263" t="n"/>
      <c r="D1243" s="262" t="n"/>
      <c r="E1243" s="128" t="n"/>
      <c r="F1243" s="138" t="inlineStr">
        <is>
          <t>ADDRESS RESERVE MODULE</t>
        </is>
      </c>
      <c r="G1243" s="131" t="n"/>
      <c r="H1243" s="128" t="n"/>
      <c r="I1243" s="132" t="inlineStr">
        <is>
          <t>RL7-CKR1-RIO1</t>
        </is>
      </c>
      <c r="J1243" s="133" t="n">
        <v>12</v>
      </c>
      <c r="K1243" s="129" t="n">
        <v>7</v>
      </c>
      <c r="L1243" s="129" t="n">
        <v>0</v>
      </c>
      <c r="M1243" s="129" t="inlineStr">
        <is>
          <t>ARM</t>
        </is>
      </c>
      <c r="N1243" s="129" t="inlineStr">
        <is>
          <t>5069-ARM</t>
        </is>
      </c>
      <c r="O1243" s="139" t="n"/>
      <c r="P1243" s="127" t="n"/>
      <c r="Q1243" s="127" t="n"/>
      <c r="R1243" s="127" t="n"/>
      <c r="S1243" s="127" t="n"/>
      <c r="T1243" s="127" t="n"/>
      <c r="U1243" s="127" t="n"/>
      <c r="V1243" s="127" t="n"/>
      <c r="W1243" s="127" t="n"/>
      <c r="X1243" s="127" t="n"/>
      <c r="Y1243" s="127" t="n"/>
      <c r="Z1243" s="140" t="n"/>
    </row>
    <row r="1244">
      <c r="A1244" s="203">
        <f>ROW()-1</f>
        <v/>
      </c>
      <c r="B1244" s="128" t="n"/>
      <c r="C1244" s="263" t="n"/>
      <c r="D1244" s="262" t="n"/>
      <c r="E1244" s="128" t="n"/>
      <c r="F1244" s="138" t="inlineStr">
        <is>
          <t>SPARE</t>
        </is>
      </c>
      <c r="G1244" s="131" t="n"/>
      <c r="H1244" s="128" t="n"/>
      <c r="I1244" s="132" t="inlineStr">
        <is>
          <t>RL7-CKR1-RIO1</t>
        </is>
      </c>
      <c r="J1244" s="133" t="n">
        <v>12</v>
      </c>
      <c r="K1244" s="129" t="n">
        <v>8</v>
      </c>
      <c r="L1244" s="129" t="n">
        <v>8</v>
      </c>
      <c r="M1244" s="129" t="inlineStr">
        <is>
          <t>24 VDC DO</t>
        </is>
      </c>
      <c r="N1244" s="129" t="inlineStr">
        <is>
          <t>5069-OB16</t>
        </is>
      </c>
      <c r="O1244" s="139" t="n"/>
      <c r="P1244" s="127" t="n"/>
      <c r="Q1244" s="127" t="n"/>
      <c r="R1244" s="127" t="n"/>
      <c r="S1244" s="127" t="n"/>
      <c r="T1244" s="127" t="n"/>
      <c r="U1244" s="127" t="n"/>
      <c r="V1244" s="127" t="n"/>
      <c r="W1244" s="127" t="n"/>
      <c r="X1244" s="127" t="n"/>
      <c r="Y1244" s="127" t="n"/>
      <c r="Z1244" s="140" t="n"/>
    </row>
    <row r="1245" customFormat="1" s="149">
      <c r="A1245" s="203">
        <f>ROW()-1</f>
        <v/>
      </c>
      <c r="B1245" s="128" t="n"/>
      <c r="C1245" s="263" t="n"/>
      <c r="D1245" s="262" t="n"/>
      <c r="E1245" s="128" t="n"/>
      <c r="F1245" s="138" t="inlineStr">
        <is>
          <t>SPARE</t>
        </is>
      </c>
      <c r="G1245" s="131" t="n"/>
      <c r="H1245" s="128" t="n"/>
      <c r="I1245" s="132" t="inlineStr">
        <is>
          <t>RL7-CKR1-RIO1</t>
        </is>
      </c>
      <c r="J1245" s="133" t="n">
        <v>12</v>
      </c>
      <c r="K1245" s="129" t="n">
        <v>8</v>
      </c>
      <c r="L1245" s="129" t="n">
        <v>9</v>
      </c>
      <c r="M1245" s="129" t="inlineStr">
        <is>
          <t>24 VDC DO</t>
        </is>
      </c>
      <c r="N1245" s="129" t="inlineStr">
        <is>
          <t>5069-OB16</t>
        </is>
      </c>
      <c r="O1245" s="139" t="n"/>
      <c r="P1245" s="127" t="n"/>
      <c r="Q1245" s="127" t="n"/>
      <c r="R1245" s="127" t="n"/>
      <c r="S1245" s="127" t="n"/>
      <c r="T1245" s="127" t="n"/>
      <c r="U1245" s="127" t="n"/>
      <c r="V1245" s="127" t="n"/>
      <c r="W1245" s="127" t="n"/>
      <c r="X1245" s="127" t="n"/>
      <c r="Y1245" s="127" t="n"/>
      <c r="Z1245" s="140" t="n"/>
    </row>
    <row r="1246" customFormat="1" s="149">
      <c r="A1246" s="203">
        <f>ROW()-1</f>
        <v/>
      </c>
      <c r="B1246" s="128" t="n"/>
      <c r="C1246" s="263" t="n"/>
      <c r="D1246" s="262" t="n"/>
      <c r="E1246" s="128" t="n"/>
      <c r="F1246" s="138" t="inlineStr">
        <is>
          <t>SPARE</t>
        </is>
      </c>
      <c r="G1246" s="131" t="n"/>
      <c r="H1246" s="128" t="n"/>
      <c r="I1246" s="132" t="inlineStr">
        <is>
          <t>RL7-CKR1-RIO1</t>
        </is>
      </c>
      <c r="J1246" s="133" t="n">
        <v>12</v>
      </c>
      <c r="K1246" s="129" t="n">
        <v>8</v>
      </c>
      <c r="L1246" s="129" t="n">
        <v>10</v>
      </c>
      <c r="M1246" s="129" t="inlineStr">
        <is>
          <t>24 VDC DO</t>
        </is>
      </c>
      <c r="N1246" s="129" t="inlineStr">
        <is>
          <t>5069-OB16</t>
        </is>
      </c>
      <c r="O1246" s="139" t="n"/>
      <c r="P1246" s="127" t="n"/>
      <c r="Q1246" s="127" t="n"/>
      <c r="R1246" s="127" t="n"/>
      <c r="S1246" s="127" t="n"/>
      <c r="T1246" s="127" t="n"/>
      <c r="U1246" s="127" t="n"/>
      <c r="V1246" s="127" t="n"/>
      <c r="W1246" s="127" t="n"/>
      <c r="X1246" s="127" t="n"/>
      <c r="Y1246" s="127" t="n"/>
      <c r="Z1246" s="140" t="n"/>
    </row>
    <row r="1247" customFormat="1" s="149">
      <c r="A1247" s="203">
        <f>ROW()-1</f>
        <v/>
      </c>
      <c r="B1247" s="128" t="n"/>
      <c r="C1247" s="263" t="n"/>
      <c r="D1247" s="262" t="n"/>
      <c r="E1247" s="128" t="n"/>
      <c r="F1247" s="138" t="inlineStr">
        <is>
          <t>SPARE</t>
        </is>
      </c>
      <c r="G1247" s="131" t="n"/>
      <c r="H1247" s="128" t="n"/>
      <c r="I1247" s="132" t="inlineStr">
        <is>
          <t>RL7-CKR1-RIO1</t>
        </is>
      </c>
      <c r="J1247" s="133" t="n">
        <v>12</v>
      </c>
      <c r="K1247" s="129" t="n">
        <v>8</v>
      </c>
      <c r="L1247" s="129" t="n">
        <v>11</v>
      </c>
      <c r="M1247" s="129" t="inlineStr">
        <is>
          <t>24 VDC DO</t>
        </is>
      </c>
      <c r="N1247" s="129" t="inlineStr">
        <is>
          <t>5069-OB16</t>
        </is>
      </c>
      <c r="O1247" s="139" t="n"/>
      <c r="P1247" s="127" t="n"/>
      <c r="Q1247" s="127" t="n"/>
      <c r="R1247" s="127" t="n"/>
      <c r="S1247" s="127" t="n"/>
      <c r="T1247" s="127" t="n"/>
      <c r="U1247" s="127" t="n"/>
      <c r="V1247" s="127" t="n"/>
      <c r="W1247" s="127" t="n"/>
      <c r="X1247" s="127" t="n"/>
      <c r="Y1247" s="127" t="n"/>
      <c r="Z1247" s="140" t="n"/>
    </row>
    <row r="1248" customFormat="1" s="149">
      <c r="A1248" s="203">
        <f>ROW()-1</f>
        <v/>
      </c>
      <c r="B1248" s="128" t="n"/>
      <c r="C1248" s="263" t="n"/>
      <c r="D1248" s="262" t="n"/>
      <c r="E1248" s="128" t="n"/>
      <c r="F1248" s="138" t="inlineStr">
        <is>
          <t>SPARE</t>
        </is>
      </c>
      <c r="G1248" s="131" t="n"/>
      <c r="H1248" s="128" t="n"/>
      <c r="I1248" s="132" t="inlineStr">
        <is>
          <t>RL7-CKR1-RIO1</t>
        </is>
      </c>
      <c r="J1248" s="133" t="n">
        <v>12</v>
      </c>
      <c r="K1248" s="129" t="n">
        <v>8</v>
      </c>
      <c r="L1248" s="129" t="n">
        <v>12</v>
      </c>
      <c r="M1248" s="129" t="inlineStr">
        <is>
          <t>24 VDC DO</t>
        </is>
      </c>
      <c r="N1248" s="129" t="inlineStr">
        <is>
          <t>5069-OB16</t>
        </is>
      </c>
      <c r="O1248" s="139" t="n"/>
      <c r="P1248" s="127" t="n"/>
      <c r="Q1248" s="127" t="n"/>
      <c r="R1248" s="127" t="n"/>
      <c r="S1248" s="127" t="n"/>
      <c r="T1248" s="127" t="n"/>
      <c r="U1248" s="127" t="n"/>
      <c r="V1248" s="127" t="n"/>
      <c r="W1248" s="127" t="n"/>
      <c r="X1248" s="127" t="n"/>
      <c r="Y1248" s="127" t="n"/>
      <c r="Z1248" s="140" t="n"/>
    </row>
    <row r="1249" customFormat="1" s="149">
      <c r="A1249" s="203">
        <f>ROW()-1</f>
        <v/>
      </c>
      <c r="B1249" s="128" t="n"/>
      <c r="C1249" s="263" t="n"/>
      <c r="D1249" s="262" t="n"/>
      <c r="E1249" s="128" t="n"/>
      <c r="F1249" s="138" t="inlineStr">
        <is>
          <t>SPARE</t>
        </is>
      </c>
      <c r="G1249" s="131" t="n"/>
      <c r="H1249" s="128" t="n"/>
      <c r="I1249" s="132" t="inlineStr">
        <is>
          <t>RL7-CKR1-RIO1</t>
        </is>
      </c>
      <c r="J1249" s="133" t="n">
        <v>12</v>
      </c>
      <c r="K1249" s="129" t="n">
        <v>8</v>
      </c>
      <c r="L1249" s="129" t="n">
        <v>13</v>
      </c>
      <c r="M1249" s="129" t="inlineStr">
        <is>
          <t>24 VDC DO</t>
        </is>
      </c>
      <c r="N1249" s="129" t="inlineStr">
        <is>
          <t>5069-OB16</t>
        </is>
      </c>
      <c r="O1249" s="139" t="n"/>
      <c r="P1249" s="127" t="n"/>
      <c r="Q1249" s="127" t="n"/>
      <c r="R1249" s="127" t="n"/>
      <c r="S1249" s="127" t="n"/>
      <c r="T1249" s="127" t="n"/>
      <c r="U1249" s="127" t="n"/>
      <c r="V1249" s="127" t="n"/>
      <c r="W1249" s="127" t="n"/>
      <c r="X1249" s="127" t="n"/>
      <c r="Y1249" s="127" t="n"/>
      <c r="Z1249" s="140" t="n"/>
    </row>
    <row r="1250" customFormat="1" s="149">
      <c r="A1250" s="203">
        <f>ROW()-1</f>
        <v/>
      </c>
      <c r="B1250" s="128" t="n"/>
      <c r="C1250" s="263" t="n"/>
      <c r="D1250" s="262" t="n"/>
      <c r="E1250" s="128" t="n"/>
      <c r="F1250" s="138" t="inlineStr">
        <is>
          <t>SPARE</t>
        </is>
      </c>
      <c r="G1250" s="131" t="n"/>
      <c r="H1250" s="128" t="n"/>
      <c r="I1250" s="132" t="inlineStr">
        <is>
          <t>RL7-CKR1-RIO1</t>
        </is>
      </c>
      <c r="J1250" s="133" t="n">
        <v>12</v>
      </c>
      <c r="K1250" s="129" t="n">
        <v>8</v>
      </c>
      <c r="L1250" s="129" t="n">
        <v>14</v>
      </c>
      <c r="M1250" s="129" t="inlineStr">
        <is>
          <t>24 VDC DO</t>
        </is>
      </c>
      <c r="N1250" s="129" t="inlineStr">
        <is>
          <t>5069-OB16</t>
        </is>
      </c>
      <c r="O1250" s="139" t="n"/>
      <c r="P1250" s="127" t="n"/>
      <c r="Q1250" s="127" t="n"/>
      <c r="R1250" s="127" t="n"/>
      <c r="S1250" s="127" t="n"/>
      <c r="T1250" s="127" t="n"/>
      <c r="U1250" s="127" t="n"/>
      <c r="V1250" s="127" t="n"/>
      <c r="W1250" s="127" t="n"/>
      <c r="X1250" s="127" t="n"/>
      <c r="Y1250" s="127" t="n"/>
      <c r="Z1250" s="140" t="n"/>
    </row>
    <row r="1251">
      <c r="A1251" s="203">
        <f>ROW()-1</f>
        <v/>
      </c>
      <c r="B1251" s="128" t="n"/>
      <c r="C1251" s="263" t="n"/>
      <c r="D1251" s="262" t="n"/>
      <c r="E1251" s="128" t="n"/>
      <c r="F1251" s="138" t="inlineStr">
        <is>
          <t>SPARE</t>
        </is>
      </c>
      <c r="G1251" s="131" t="n"/>
      <c r="H1251" s="128" t="n"/>
      <c r="I1251" s="132" t="inlineStr">
        <is>
          <t>RL7-CKR1-RIO1</t>
        </is>
      </c>
      <c r="J1251" s="133" t="n">
        <v>12</v>
      </c>
      <c r="K1251" s="129" t="n">
        <v>8</v>
      </c>
      <c r="L1251" s="129" t="n">
        <v>15</v>
      </c>
      <c r="M1251" s="129" t="inlineStr">
        <is>
          <t>24 VDC DO</t>
        </is>
      </c>
      <c r="N1251" s="129" t="inlineStr">
        <is>
          <t>5069-OB16</t>
        </is>
      </c>
      <c r="O1251" s="139" t="n"/>
      <c r="P1251" s="127" t="n"/>
      <c r="Q1251" s="127" t="n"/>
      <c r="R1251" s="127" t="n"/>
      <c r="S1251" s="127" t="n"/>
      <c r="T1251" s="127" t="n"/>
      <c r="U1251" s="127" t="n"/>
      <c r="V1251" s="127" t="n"/>
      <c r="W1251" s="127" t="n"/>
      <c r="X1251" s="127" t="n"/>
      <c r="Y1251" s="127" t="n"/>
      <c r="Z1251" s="140" t="n"/>
    </row>
    <row r="1252">
      <c r="A1252" s="203">
        <f>ROW()-1</f>
        <v/>
      </c>
      <c r="B1252" s="128" t="n"/>
      <c r="C1252" s="263" t="n"/>
      <c r="D1252" s="264" t="n"/>
      <c r="E1252" s="133" t="n"/>
      <c r="F1252" s="141" t="inlineStr">
        <is>
          <t>SPARE</t>
        </is>
      </c>
      <c r="G1252" s="142" t="n"/>
      <c r="H1252" s="133" t="n"/>
      <c r="I1252" s="132" t="inlineStr">
        <is>
          <t>RL7-CKR1-RIO1</t>
        </is>
      </c>
      <c r="J1252" s="133" t="n">
        <v>12</v>
      </c>
      <c r="K1252" s="129" t="n">
        <v>9</v>
      </c>
      <c r="L1252" s="129" t="n">
        <v>10</v>
      </c>
      <c r="M1252" s="129" t="inlineStr">
        <is>
          <t>24 VDC DO</t>
        </is>
      </c>
      <c r="N1252" s="129" t="inlineStr">
        <is>
          <t>5069-OB16</t>
        </is>
      </c>
      <c r="O1252" s="139" t="n"/>
      <c r="P1252" s="127" t="n"/>
      <c r="Q1252" s="127" t="n"/>
      <c r="R1252" s="127" t="n"/>
      <c r="S1252" s="127" t="n"/>
      <c r="T1252" s="127" t="n"/>
      <c r="U1252" s="127" t="n"/>
      <c r="V1252" s="127" t="n"/>
      <c r="W1252" s="127" t="n"/>
      <c r="X1252" s="127" t="n"/>
      <c r="Y1252" s="127" t="n"/>
      <c r="Z1252" s="140" t="n"/>
    </row>
    <row r="1253">
      <c r="A1253" s="203">
        <f>ROW()-1</f>
        <v/>
      </c>
      <c r="B1253" s="128" t="n"/>
      <c r="C1253" s="263" t="n"/>
      <c r="D1253" s="262" t="n"/>
      <c r="E1253" s="128" t="n"/>
      <c r="F1253" s="138" t="inlineStr">
        <is>
          <t>SPARE</t>
        </is>
      </c>
      <c r="G1253" s="131" t="n"/>
      <c r="H1253" s="128" t="n"/>
      <c r="I1253" s="132" t="inlineStr">
        <is>
          <t>RL7-CKR1-RIO1</t>
        </is>
      </c>
      <c r="J1253" s="133" t="n">
        <v>12</v>
      </c>
      <c r="K1253" s="129" t="n">
        <v>9</v>
      </c>
      <c r="L1253" s="129" t="n">
        <v>11</v>
      </c>
      <c r="M1253" s="129" t="inlineStr">
        <is>
          <t>24 VDC DO</t>
        </is>
      </c>
      <c r="N1253" s="129" t="inlineStr">
        <is>
          <t>5069-OB16</t>
        </is>
      </c>
      <c r="O1253" s="139" t="n"/>
      <c r="P1253" s="127" t="n"/>
      <c r="Q1253" s="127" t="n"/>
      <c r="R1253" s="127" t="n"/>
      <c r="S1253" s="127" t="n"/>
      <c r="T1253" s="127" t="n"/>
      <c r="U1253" s="127" t="n"/>
      <c r="V1253" s="127" t="n"/>
      <c r="W1253" s="127" t="n"/>
      <c r="X1253" s="127" t="n"/>
      <c r="Y1253" s="127" t="n"/>
      <c r="Z1253" s="140" t="n"/>
    </row>
    <row r="1254">
      <c r="A1254" s="203">
        <f>ROW()-1</f>
        <v/>
      </c>
      <c r="B1254" s="128" t="n"/>
      <c r="C1254" s="263" t="n"/>
      <c r="D1254" s="262" t="n"/>
      <c r="E1254" s="128" t="n"/>
      <c r="F1254" s="138" t="inlineStr">
        <is>
          <t>SPARE</t>
        </is>
      </c>
      <c r="G1254" s="131" t="n"/>
      <c r="H1254" s="128" t="n"/>
      <c r="I1254" s="132" t="inlineStr">
        <is>
          <t>RL7-CKR1-RIO1</t>
        </is>
      </c>
      <c r="J1254" s="133" t="n">
        <v>12</v>
      </c>
      <c r="K1254" s="129" t="n">
        <v>9</v>
      </c>
      <c r="L1254" s="129" t="n">
        <v>12</v>
      </c>
      <c r="M1254" s="129" t="inlineStr">
        <is>
          <t>24 VDC DO</t>
        </is>
      </c>
      <c r="N1254" s="129" t="inlineStr">
        <is>
          <t>5069-OB16</t>
        </is>
      </c>
      <c r="O1254" s="139" t="n"/>
      <c r="P1254" s="127" t="n"/>
      <c r="Q1254" s="127" t="n"/>
      <c r="R1254" s="127" t="n"/>
      <c r="S1254" s="127" t="n"/>
      <c r="T1254" s="127" t="n"/>
      <c r="U1254" s="127" t="n"/>
      <c r="V1254" s="127" t="n"/>
      <c r="W1254" s="127" t="n"/>
      <c r="X1254" s="127" t="n"/>
      <c r="Y1254" s="127" t="n"/>
      <c r="Z1254" s="140" t="n"/>
    </row>
    <row r="1255">
      <c r="A1255" s="203">
        <f>ROW()-1</f>
        <v/>
      </c>
      <c r="B1255" s="128" t="n"/>
      <c r="C1255" s="263" t="n"/>
      <c r="D1255" s="262" t="n"/>
      <c r="E1255" s="128" t="n"/>
      <c r="F1255" s="138" t="inlineStr">
        <is>
          <t>SPARE</t>
        </is>
      </c>
      <c r="G1255" s="131" t="n"/>
      <c r="H1255" s="128" t="n"/>
      <c r="I1255" s="132" t="inlineStr">
        <is>
          <t>RL7-CKR1-RIO1</t>
        </is>
      </c>
      <c r="J1255" s="133" t="n">
        <v>12</v>
      </c>
      <c r="K1255" s="129" t="n">
        <v>9</v>
      </c>
      <c r="L1255" s="129" t="n">
        <v>13</v>
      </c>
      <c r="M1255" s="129" t="inlineStr">
        <is>
          <t>24 VDC DO</t>
        </is>
      </c>
      <c r="N1255" s="129" t="inlineStr">
        <is>
          <t>5069-OB16</t>
        </is>
      </c>
      <c r="O1255" s="139" t="n"/>
      <c r="P1255" s="127" t="n"/>
      <c r="Q1255" s="127" t="n"/>
      <c r="R1255" s="127" t="n"/>
      <c r="S1255" s="127" t="n"/>
      <c r="T1255" s="127" t="n"/>
      <c r="U1255" s="127" t="n"/>
      <c r="V1255" s="127" t="n"/>
      <c r="W1255" s="127" t="n"/>
      <c r="X1255" s="127" t="n"/>
      <c r="Y1255" s="127" t="n"/>
      <c r="Z1255" s="140" t="n"/>
    </row>
    <row r="1256">
      <c r="A1256" s="203">
        <f>ROW()-1</f>
        <v/>
      </c>
      <c r="B1256" s="128" t="n"/>
      <c r="C1256" s="263" t="n"/>
      <c r="D1256" s="262" t="n"/>
      <c r="E1256" s="128" t="n"/>
      <c r="F1256" s="138" t="inlineStr">
        <is>
          <t>SPARE</t>
        </is>
      </c>
      <c r="G1256" s="131" t="n"/>
      <c r="H1256" s="128" t="n"/>
      <c r="I1256" s="132" t="inlineStr">
        <is>
          <t>RL7-CKR1-RIO1</t>
        </is>
      </c>
      <c r="J1256" s="133" t="n">
        <v>12</v>
      </c>
      <c r="K1256" s="129" t="n">
        <v>9</v>
      </c>
      <c r="L1256" s="129" t="n">
        <v>14</v>
      </c>
      <c r="M1256" s="129" t="inlineStr">
        <is>
          <t>24 VDC DO</t>
        </is>
      </c>
      <c r="N1256" s="129" t="inlineStr">
        <is>
          <t>5069-OB16</t>
        </is>
      </c>
      <c r="O1256" s="139" t="n"/>
      <c r="P1256" s="127" t="n"/>
      <c r="Q1256" s="127" t="n"/>
      <c r="R1256" s="127" t="n"/>
      <c r="S1256" s="127" t="n"/>
      <c r="T1256" s="127" t="n"/>
      <c r="U1256" s="127" t="n"/>
      <c r="V1256" s="127" t="n"/>
      <c r="W1256" s="127" t="n"/>
      <c r="X1256" s="127" t="n"/>
      <c r="Y1256" s="127" t="n"/>
      <c r="Z1256" s="140" t="n"/>
    </row>
    <row r="1257">
      <c r="A1257" s="203">
        <f>ROW()-1</f>
        <v/>
      </c>
      <c r="B1257" s="128" t="n"/>
      <c r="C1257" s="263" t="n"/>
      <c r="D1257" s="262" t="n"/>
      <c r="E1257" s="128" t="n"/>
      <c r="F1257" s="138" t="inlineStr">
        <is>
          <t>SPARE</t>
        </is>
      </c>
      <c r="G1257" s="129" t="n"/>
      <c r="H1257" s="128" t="n"/>
      <c r="I1257" s="132" t="inlineStr">
        <is>
          <t>RL7-CKR1-RIO1</t>
        </is>
      </c>
      <c r="J1257" s="133" t="n">
        <v>12</v>
      </c>
      <c r="K1257" s="129" t="n">
        <v>10</v>
      </c>
      <c r="L1257" s="129" t="n">
        <v>2</v>
      </c>
      <c r="M1257" s="129" t="inlineStr">
        <is>
          <t>4-20 mA AI</t>
        </is>
      </c>
      <c r="N1257" s="129" t="inlineStr">
        <is>
          <t>5069-IF8</t>
        </is>
      </c>
      <c r="O1257" s="139" t="n"/>
      <c r="P1257" s="127" t="n"/>
      <c r="Q1257" s="127" t="n"/>
      <c r="R1257" s="127" t="n"/>
      <c r="S1257" s="127" t="n"/>
      <c r="T1257" s="127" t="n"/>
      <c r="U1257" s="127" t="n"/>
      <c r="V1257" s="127" t="n"/>
      <c r="W1257" s="127" t="n"/>
      <c r="X1257" s="127" t="n"/>
      <c r="Y1257" s="127" t="n"/>
      <c r="Z1257" s="140" t="n"/>
    </row>
    <row r="1258">
      <c r="A1258" s="203">
        <f>ROW()-1</f>
        <v/>
      </c>
      <c r="B1258" s="128" t="n"/>
      <c r="C1258" s="263" t="n"/>
      <c r="D1258" s="262" t="n"/>
      <c r="E1258" s="128" t="n"/>
      <c r="F1258" s="138" t="inlineStr">
        <is>
          <t>SPARE</t>
        </is>
      </c>
      <c r="G1258" s="131" t="n"/>
      <c r="H1258" s="128" t="n"/>
      <c r="I1258" s="132" t="inlineStr">
        <is>
          <t>RL7-CKR1-RIO1</t>
        </is>
      </c>
      <c r="J1258" s="133" t="n">
        <v>12</v>
      </c>
      <c r="K1258" s="129" t="n">
        <v>10</v>
      </c>
      <c r="L1258" s="129" t="n">
        <v>3</v>
      </c>
      <c r="M1258" s="129" t="inlineStr">
        <is>
          <t>4-20 mA AI</t>
        </is>
      </c>
      <c r="N1258" s="129" t="inlineStr">
        <is>
          <t>5069-IF8</t>
        </is>
      </c>
      <c r="O1258" s="139" t="n"/>
      <c r="P1258" s="127" t="n"/>
      <c r="Q1258" s="127" t="n"/>
      <c r="R1258" s="127" t="n"/>
      <c r="S1258" s="127" t="n"/>
      <c r="T1258" s="127" t="n"/>
      <c r="U1258" s="127" t="n"/>
      <c r="V1258" s="127" t="n"/>
      <c r="W1258" s="127" t="n"/>
      <c r="X1258" s="127" t="n"/>
      <c r="Y1258" s="127" t="n"/>
      <c r="Z1258" s="140" t="n"/>
    </row>
    <row r="1259">
      <c r="A1259" s="203">
        <f>ROW()-1</f>
        <v/>
      </c>
      <c r="B1259" s="128" t="n"/>
      <c r="C1259" s="263" t="n"/>
      <c r="D1259" s="262" t="n"/>
      <c r="E1259" s="128" t="n"/>
      <c r="F1259" s="138" t="inlineStr">
        <is>
          <t>SPARE</t>
        </is>
      </c>
      <c r="G1259" s="131" t="n"/>
      <c r="H1259" s="128" t="n"/>
      <c r="I1259" s="132" t="inlineStr">
        <is>
          <t>RL7-CKR1-RIO1</t>
        </is>
      </c>
      <c r="J1259" s="133" t="n">
        <v>12</v>
      </c>
      <c r="K1259" s="129" t="n">
        <v>10</v>
      </c>
      <c r="L1259" s="129" t="n">
        <v>4</v>
      </c>
      <c r="M1259" s="129" t="inlineStr">
        <is>
          <t>4-20 mA AI</t>
        </is>
      </c>
      <c r="N1259" s="129" t="inlineStr">
        <is>
          <t>5069-IF8</t>
        </is>
      </c>
      <c r="O1259" s="139" t="n"/>
      <c r="P1259" s="127" t="n"/>
      <c r="Q1259" s="127" t="n"/>
      <c r="R1259" s="127" t="n"/>
      <c r="S1259" s="127" t="n"/>
      <c r="T1259" s="127" t="n"/>
      <c r="U1259" s="127" t="n"/>
      <c r="V1259" s="127" t="n"/>
      <c r="W1259" s="127" t="n"/>
      <c r="X1259" s="127" t="n"/>
      <c r="Y1259" s="127" t="n"/>
      <c r="Z1259" s="140" t="n"/>
    </row>
    <row r="1260">
      <c r="A1260" s="203">
        <f>ROW()-1</f>
        <v/>
      </c>
      <c r="B1260" s="128" t="n"/>
      <c r="C1260" s="263" t="n"/>
      <c r="D1260" s="262" t="n"/>
      <c r="E1260" s="128" t="n"/>
      <c r="F1260" s="138" t="inlineStr">
        <is>
          <t>SPARE</t>
        </is>
      </c>
      <c r="G1260" s="131" t="n"/>
      <c r="H1260" s="128" t="n"/>
      <c r="I1260" s="132" t="inlineStr">
        <is>
          <t>RL7-CKR1-RIO1</t>
        </is>
      </c>
      <c r="J1260" s="133" t="n">
        <v>12</v>
      </c>
      <c r="K1260" s="129" t="n">
        <v>10</v>
      </c>
      <c r="L1260" s="129" t="n">
        <v>5</v>
      </c>
      <c r="M1260" s="129" t="inlineStr">
        <is>
          <t>4-20 mA AI</t>
        </is>
      </c>
      <c r="N1260" s="129" t="inlineStr">
        <is>
          <t>5069-IF8</t>
        </is>
      </c>
      <c r="O1260" s="139" t="n"/>
      <c r="P1260" s="127" t="n"/>
      <c r="Q1260" s="127" t="n"/>
      <c r="R1260" s="127" t="n"/>
      <c r="S1260" s="127" t="n"/>
      <c r="T1260" s="127" t="n"/>
      <c r="U1260" s="127" t="n"/>
      <c r="V1260" s="127" t="n"/>
      <c r="W1260" s="127" t="n"/>
      <c r="X1260" s="127" t="n"/>
      <c r="Y1260" s="127" t="n"/>
      <c r="Z1260" s="140" t="n"/>
    </row>
    <row r="1261" customFormat="1" s="149">
      <c r="A1261" s="203">
        <f>ROW()-1</f>
        <v/>
      </c>
      <c r="B1261" s="128" t="n"/>
      <c r="C1261" s="263" t="n"/>
      <c r="D1261" s="262" t="n"/>
      <c r="E1261" s="128" t="n"/>
      <c r="F1261" s="138" t="inlineStr">
        <is>
          <t>SPARE</t>
        </is>
      </c>
      <c r="G1261" s="131" t="n"/>
      <c r="H1261" s="128" t="n"/>
      <c r="I1261" s="132" t="inlineStr">
        <is>
          <t>RL7-CKR1-RIO1</t>
        </is>
      </c>
      <c r="J1261" s="133" t="n">
        <v>12</v>
      </c>
      <c r="K1261" s="129" t="n">
        <v>10</v>
      </c>
      <c r="L1261" s="129" t="n">
        <v>6</v>
      </c>
      <c r="M1261" s="129" t="inlineStr">
        <is>
          <t>4-20 mA AI</t>
        </is>
      </c>
      <c r="N1261" s="129" t="inlineStr">
        <is>
          <t>5069-IF8</t>
        </is>
      </c>
      <c r="O1261" s="139" t="n"/>
      <c r="P1261" s="127" t="n"/>
      <c r="Q1261" s="127" t="n"/>
      <c r="R1261" s="127" t="n"/>
      <c r="S1261" s="127" t="n"/>
      <c r="T1261" s="127" t="n"/>
      <c r="U1261" s="127" t="n"/>
      <c r="V1261" s="127" t="n"/>
      <c r="W1261" s="127" t="n"/>
      <c r="X1261" s="127" t="n"/>
      <c r="Y1261" s="127" t="n"/>
      <c r="Z1261" s="140" t="n"/>
    </row>
    <row r="1262" customFormat="1" s="149">
      <c r="A1262" s="203">
        <f>ROW()-1</f>
        <v/>
      </c>
      <c r="B1262" s="128" t="n"/>
      <c r="C1262" s="263" t="n"/>
      <c r="D1262" s="262" t="n"/>
      <c r="E1262" s="128" t="n"/>
      <c r="F1262" s="138" t="inlineStr">
        <is>
          <t>SPARE</t>
        </is>
      </c>
      <c r="G1262" s="131" t="n"/>
      <c r="H1262" s="128" t="n"/>
      <c r="I1262" s="132" t="inlineStr">
        <is>
          <t>RL7-CKR1-RIO1</t>
        </is>
      </c>
      <c r="J1262" s="133" t="n">
        <v>12</v>
      </c>
      <c r="K1262" s="129" t="n">
        <v>10</v>
      </c>
      <c r="L1262" s="129" t="n">
        <v>7</v>
      </c>
      <c r="M1262" s="129" t="inlineStr">
        <is>
          <t>4-20 mA AI</t>
        </is>
      </c>
      <c r="N1262" s="129" t="inlineStr">
        <is>
          <t>5069-IF8</t>
        </is>
      </c>
      <c r="O1262" s="139" t="n"/>
      <c r="P1262" s="127" t="n"/>
      <c r="Q1262" s="127" t="n"/>
      <c r="R1262" s="127" t="n"/>
      <c r="S1262" s="127" t="n"/>
      <c r="T1262" s="127" t="n"/>
      <c r="U1262" s="127" t="n"/>
      <c r="V1262" s="127" t="n"/>
      <c r="W1262" s="127" t="n"/>
      <c r="X1262" s="127" t="n"/>
      <c r="Y1262" s="127" t="n"/>
      <c r="Z1262" s="140" t="n"/>
    </row>
    <row r="1263" customFormat="1" s="149">
      <c r="A1263" s="203">
        <f>ROW()-1</f>
        <v/>
      </c>
      <c r="B1263" s="128" t="n"/>
      <c r="C1263" s="263" t="n"/>
      <c r="D1263" s="262" t="n"/>
      <c r="E1263" s="128" t="n"/>
      <c r="F1263" s="138" t="inlineStr">
        <is>
          <t>SPARE</t>
        </is>
      </c>
      <c r="G1263" s="131" t="n"/>
      <c r="H1263" s="128" t="n"/>
      <c r="I1263" s="132" t="inlineStr">
        <is>
          <t>RL7-CKR2-RIO1</t>
        </is>
      </c>
      <c r="J1263" s="133" t="n">
        <v>13</v>
      </c>
      <c r="K1263" s="129" t="n">
        <v>1</v>
      </c>
      <c r="L1263" s="129" t="n">
        <v>6</v>
      </c>
      <c r="M1263" s="129" t="inlineStr">
        <is>
          <t>24 VDC SI</t>
        </is>
      </c>
      <c r="N1263" s="129" t="inlineStr">
        <is>
          <t>5069-IB8S</t>
        </is>
      </c>
      <c r="O1263" s="139" t="n"/>
      <c r="P1263" s="127" t="n"/>
      <c r="Q1263" s="127" t="n"/>
      <c r="R1263" s="127" t="n"/>
      <c r="S1263" s="127" t="n"/>
      <c r="T1263" s="127" t="n"/>
      <c r="U1263" s="127" t="n"/>
      <c r="V1263" s="127" t="n"/>
      <c r="W1263" s="127" t="n"/>
      <c r="X1263" s="127" t="n"/>
      <c r="Y1263" s="127" t="n"/>
      <c r="Z1263" s="140" t="n"/>
    </row>
    <row r="1264" customFormat="1" s="149">
      <c r="A1264" s="203">
        <f>ROW()-1</f>
        <v/>
      </c>
      <c r="B1264" s="128" t="n"/>
      <c r="C1264" s="263" t="n"/>
      <c r="D1264" s="262" t="n"/>
      <c r="E1264" s="128" t="n"/>
      <c r="F1264" s="138" t="inlineStr">
        <is>
          <t>SPARE</t>
        </is>
      </c>
      <c r="G1264" s="131" t="n"/>
      <c r="H1264" s="128" t="n"/>
      <c r="I1264" s="132" t="inlineStr">
        <is>
          <t>RL7-CKR2-RIO1</t>
        </is>
      </c>
      <c r="J1264" s="133" t="n">
        <v>13</v>
      </c>
      <c r="K1264" s="129" t="n">
        <v>1</v>
      </c>
      <c r="L1264" s="129" t="n">
        <v>7</v>
      </c>
      <c r="M1264" s="129" t="inlineStr">
        <is>
          <t>24 VDC SI</t>
        </is>
      </c>
      <c r="N1264" s="129" t="inlineStr">
        <is>
          <t>5069-IB8S</t>
        </is>
      </c>
      <c r="O1264" s="139" t="n"/>
      <c r="P1264" s="127" t="n"/>
      <c r="Q1264" s="127" t="n"/>
      <c r="R1264" s="127" t="n"/>
      <c r="S1264" s="127" t="n"/>
      <c r="T1264" s="127" t="n"/>
      <c r="U1264" s="127" t="n"/>
      <c r="V1264" s="127" t="n"/>
      <c r="W1264" s="127" t="n"/>
      <c r="X1264" s="127" t="n"/>
      <c r="Y1264" s="127" t="n"/>
      <c r="Z1264" s="140" t="n"/>
    </row>
    <row r="1265" customFormat="1" s="149">
      <c r="A1265" s="203">
        <f>ROW()-1</f>
        <v/>
      </c>
      <c r="B1265" s="128" t="n"/>
      <c r="C1265" s="263" t="n"/>
      <c r="D1265" s="262" t="n"/>
      <c r="E1265" s="128" t="n"/>
      <c r="F1265" s="141" t="inlineStr">
        <is>
          <t>SPARE</t>
        </is>
      </c>
      <c r="G1265" s="131" t="n"/>
      <c r="H1265" s="128" t="n"/>
      <c r="I1265" s="142" t="inlineStr">
        <is>
          <t>RL7-CKR2-RIO1</t>
        </is>
      </c>
      <c r="J1265" s="133" t="n">
        <v>13</v>
      </c>
      <c r="K1265" s="133" t="n">
        <v>3</v>
      </c>
      <c r="L1265" s="133" t="n">
        <v>6</v>
      </c>
      <c r="M1265" s="133" t="inlineStr">
        <is>
          <t>24 VDC SI</t>
        </is>
      </c>
      <c r="N1265" s="129" t="inlineStr">
        <is>
          <t>5069-IB8S</t>
        </is>
      </c>
      <c r="O1265" s="139" t="n"/>
      <c r="P1265" s="127" t="n"/>
      <c r="Q1265" s="127" t="n"/>
      <c r="R1265" s="127" t="n"/>
      <c r="S1265" s="127" t="n"/>
      <c r="T1265" s="127" t="n"/>
      <c r="U1265" s="127" t="n"/>
      <c r="V1265" s="127" t="n"/>
      <c r="W1265" s="127" t="n"/>
      <c r="X1265" s="127" t="n"/>
      <c r="Y1265" s="127" t="n"/>
      <c r="Z1265" s="140" t="n"/>
    </row>
    <row r="1266" customFormat="1" s="149">
      <c r="A1266" s="203">
        <f>ROW()-1</f>
        <v/>
      </c>
      <c r="B1266" s="128" t="n"/>
      <c r="C1266" s="263" t="n"/>
      <c r="D1266" s="262" t="n"/>
      <c r="E1266" s="128" t="n"/>
      <c r="F1266" s="141" t="inlineStr">
        <is>
          <t>SPARE</t>
        </is>
      </c>
      <c r="G1266" s="131" t="n"/>
      <c r="H1266" s="128" t="n"/>
      <c r="I1266" s="142" t="inlineStr">
        <is>
          <t>RL7-CKR2-RIO1</t>
        </is>
      </c>
      <c r="J1266" s="133" t="n">
        <v>13</v>
      </c>
      <c r="K1266" s="133" t="n">
        <v>3</v>
      </c>
      <c r="L1266" s="133" t="n">
        <v>7</v>
      </c>
      <c r="M1266" s="133" t="inlineStr">
        <is>
          <t>24 VDC SI</t>
        </is>
      </c>
      <c r="N1266" s="129" t="inlineStr">
        <is>
          <t>5069-IB8S</t>
        </is>
      </c>
      <c r="O1266" s="139" t="n"/>
      <c r="P1266" s="127" t="n"/>
      <c r="Q1266" s="127" t="n"/>
      <c r="R1266" s="127" t="n"/>
      <c r="S1266" s="127" t="n"/>
      <c r="T1266" s="127" t="n"/>
      <c r="U1266" s="127" t="n"/>
      <c r="V1266" s="127" t="n"/>
      <c r="W1266" s="127" t="n"/>
      <c r="X1266" s="127" t="n"/>
      <c r="Y1266" s="127" t="n"/>
      <c r="Z1266" s="140" t="n"/>
    </row>
    <row r="1267">
      <c r="A1267" s="203">
        <f>ROW()-1</f>
        <v/>
      </c>
      <c r="B1267" s="128" t="n"/>
      <c r="C1267" s="263" t="n"/>
      <c r="D1267" s="262" t="n"/>
      <c r="E1267" s="128" t="n"/>
      <c r="F1267" s="138" t="inlineStr">
        <is>
          <t>SPARE</t>
        </is>
      </c>
      <c r="G1267" s="131" t="n"/>
      <c r="H1267" s="128" t="n"/>
      <c r="I1267" s="132" t="inlineStr">
        <is>
          <t>RL7-CKR2-RIO1</t>
        </is>
      </c>
      <c r="J1267" s="133" t="n">
        <v>13</v>
      </c>
      <c r="K1267" s="129" t="n">
        <v>4</v>
      </c>
      <c r="L1267" s="129" t="n">
        <v>2</v>
      </c>
      <c r="M1267" s="129" t="inlineStr">
        <is>
          <t>24 VDC SO</t>
        </is>
      </c>
      <c r="N1267" s="129" t="inlineStr">
        <is>
          <t>5069-OBV8S</t>
        </is>
      </c>
      <c r="O1267" s="139" t="n"/>
      <c r="P1267" s="127" t="n"/>
      <c r="Q1267" s="127" t="n"/>
      <c r="R1267" s="127" t="n"/>
      <c r="S1267" s="127" t="n"/>
      <c r="T1267" s="127" t="n"/>
      <c r="U1267" s="127" t="n"/>
      <c r="V1267" s="127" t="n"/>
      <c r="W1267" s="127" t="n"/>
      <c r="X1267" s="127" t="n"/>
      <c r="Y1267" s="127" t="n"/>
      <c r="Z1267" s="140" t="n"/>
    </row>
    <row r="1268">
      <c r="A1268" s="203">
        <f>ROW()-1</f>
        <v/>
      </c>
      <c r="B1268" s="128" t="n"/>
      <c r="C1268" s="263" t="n"/>
      <c r="D1268" s="262" t="n"/>
      <c r="E1268" s="128" t="n"/>
      <c r="F1268" s="138" t="inlineStr">
        <is>
          <t>SPARE</t>
        </is>
      </c>
      <c r="G1268" s="131" t="n"/>
      <c r="H1268" s="128" t="n"/>
      <c r="I1268" s="132" t="inlineStr">
        <is>
          <t>RL7-CKR2-RIO1</t>
        </is>
      </c>
      <c r="J1268" s="133" t="n">
        <v>13</v>
      </c>
      <c r="K1268" s="129" t="n">
        <v>4</v>
      </c>
      <c r="L1268" s="129" t="n">
        <v>3</v>
      </c>
      <c r="M1268" s="129" t="inlineStr">
        <is>
          <t>24 VDC SO</t>
        </is>
      </c>
      <c r="N1268" s="129" t="inlineStr">
        <is>
          <t>5069-OBV8S</t>
        </is>
      </c>
      <c r="O1268" s="139" t="n"/>
      <c r="P1268" s="127" t="n"/>
      <c r="Q1268" s="127" t="n"/>
      <c r="R1268" s="127" t="n"/>
      <c r="S1268" s="127" t="n"/>
      <c r="T1268" s="127" t="n"/>
      <c r="U1268" s="127" t="n"/>
      <c r="V1268" s="127" t="n"/>
      <c r="W1268" s="127" t="n"/>
      <c r="X1268" s="127" t="n"/>
      <c r="Y1268" s="127" t="n"/>
      <c r="Z1268" s="140" t="n"/>
    </row>
    <row r="1269">
      <c r="A1269" s="203">
        <f>ROW()-1</f>
        <v/>
      </c>
      <c r="B1269" s="128" t="n"/>
      <c r="C1269" s="263" t="n"/>
      <c r="D1269" s="262" t="n"/>
      <c r="E1269" s="128" t="n"/>
      <c r="F1269" s="138" t="inlineStr">
        <is>
          <t>SPARE</t>
        </is>
      </c>
      <c r="G1269" s="131" t="n"/>
      <c r="H1269" s="128" t="n"/>
      <c r="I1269" s="132" t="inlineStr">
        <is>
          <t>RL7-CKR2-RIO1</t>
        </is>
      </c>
      <c r="J1269" s="133" t="n">
        <v>13</v>
      </c>
      <c r="K1269" s="129" t="n">
        <v>4</v>
      </c>
      <c r="L1269" s="129" t="n">
        <v>4</v>
      </c>
      <c r="M1269" s="129" t="inlineStr">
        <is>
          <t>24 VDC SO</t>
        </is>
      </c>
      <c r="N1269" s="129" t="inlineStr">
        <is>
          <t>5069-OBV8S</t>
        </is>
      </c>
      <c r="O1269" s="139" t="n"/>
      <c r="P1269" s="127" t="n"/>
      <c r="Q1269" s="127" t="n"/>
      <c r="R1269" s="127" t="n"/>
      <c r="S1269" s="127" t="n"/>
      <c r="T1269" s="127" t="n"/>
      <c r="U1269" s="127" t="n"/>
      <c r="V1269" s="127" t="n"/>
      <c r="W1269" s="127" t="n"/>
      <c r="X1269" s="127" t="n"/>
      <c r="Y1269" s="127" t="n"/>
      <c r="Z1269" s="140" t="n"/>
    </row>
    <row r="1270">
      <c r="A1270" s="203">
        <f>ROW()-1</f>
        <v/>
      </c>
      <c r="B1270" s="128" t="n"/>
      <c r="C1270" s="263" t="n"/>
      <c r="D1270" s="262" t="n"/>
      <c r="E1270" s="128" t="n"/>
      <c r="F1270" s="138" t="inlineStr">
        <is>
          <t>SPARE</t>
        </is>
      </c>
      <c r="G1270" s="131" t="n"/>
      <c r="H1270" s="128" t="n"/>
      <c r="I1270" s="132" t="inlineStr">
        <is>
          <t>RL7-CKR2-RIO1</t>
        </is>
      </c>
      <c r="J1270" s="133" t="n">
        <v>13</v>
      </c>
      <c r="K1270" s="129" t="n">
        <v>4</v>
      </c>
      <c r="L1270" s="129" t="n">
        <v>5</v>
      </c>
      <c r="M1270" s="129" t="inlineStr">
        <is>
          <t>24 VDC SO</t>
        </is>
      </c>
      <c r="N1270" s="129" t="inlineStr">
        <is>
          <t>5069-OBV8S</t>
        </is>
      </c>
      <c r="O1270" s="139" t="n"/>
      <c r="P1270" s="127" t="n"/>
      <c r="Q1270" s="127" t="n"/>
      <c r="R1270" s="127" t="n"/>
      <c r="S1270" s="127" t="n"/>
      <c r="T1270" s="127" t="n"/>
      <c r="U1270" s="127" t="n"/>
      <c r="V1270" s="127" t="n"/>
      <c r="W1270" s="127" t="n"/>
      <c r="X1270" s="127" t="n"/>
      <c r="Y1270" s="127" t="n"/>
      <c r="Z1270" s="140" t="n"/>
    </row>
    <row r="1271" customFormat="1" s="149">
      <c r="A1271" s="203">
        <f>ROW()-1</f>
        <v/>
      </c>
      <c r="B1271" s="128" t="n"/>
      <c r="C1271" s="263" t="n"/>
      <c r="D1271" s="262" t="n"/>
      <c r="E1271" s="128" t="n"/>
      <c r="F1271" s="138" t="inlineStr">
        <is>
          <t>SPARE</t>
        </is>
      </c>
      <c r="G1271" s="131" t="n"/>
      <c r="H1271" s="128" t="n"/>
      <c r="I1271" s="132" t="inlineStr">
        <is>
          <t>RL7-CKR2-RIO1</t>
        </is>
      </c>
      <c r="J1271" s="133" t="n">
        <v>13</v>
      </c>
      <c r="K1271" s="129" t="n">
        <v>4</v>
      </c>
      <c r="L1271" s="129" t="n">
        <v>6</v>
      </c>
      <c r="M1271" s="129" t="inlineStr">
        <is>
          <t>24 VDC SO</t>
        </is>
      </c>
      <c r="N1271" s="129" t="inlineStr">
        <is>
          <t>5069-OBV8S</t>
        </is>
      </c>
      <c r="O1271" s="139" t="n"/>
      <c r="P1271" s="127" t="n"/>
      <c r="Q1271" s="127" t="n"/>
      <c r="R1271" s="127" t="n"/>
      <c r="S1271" s="127" t="n"/>
      <c r="T1271" s="127" t="n"/>
      <c r="U1271" s="127" t="n"/>
      <c r="V1271" s="127" t="n"/>
      <c r="W1271" s="127" t="n"/>
      <c r="X1271" s="127" t="n"/>
      <c r="Y1271" s="127" t="n"/>
      <c r="Z1271" s="140" t="n"/>
    </row>
    <row r="1272" customFormat="1" s="149">
      <c r="A1272" s="203">
        <f>ROW()-1</f>
        <v/>
      </c>
      <c r="B1272" s="128" t="n"/>
      <c r="C1272" s="263" t="n"/>
      <c r="D1272" s="262" t="n"/>
      <c r="E1272" s="128" t="n"/>
      <c r="F1272" s="138" t="inlineStr">
        <is>
          <t>SPARE</t>
        </is>
      </c>
      <c r="G1272" s="131" t="n"/>
      <c r="H1272" s="128" t="n"/>
      <c r="I1272" s="132" t="inlineStr">
        <is>
          <t>RL7-CKR2-RIO1</t>
        </is>
      </c>
      <c r="J1272" s="133" t="n">
        <v>13</v>
      </c>
      <c r="K1272" s="129" t="n">
        <v>4</v>
      </c>
      <c r="L1272" s="129" t="n">
        <v>7</v>
      </c>
      <c r="M1272" s="129" t="inlineStr">
        <is>
          <t>24 VDC SO</t>
        </is>
      </c>
      <c r="N1272" s="129" t="inlineStr">
        <is>
          <t>5069-OBV8S</t>
        </is>
      </c>
      <c r="O1272" s="139" t="n"/>
      <c r="P1272" s="127" t="n"/>
      <c r="Q1272" s="127" t="n"/>
      <c r="R1272" s="127" t="n"/>
      <c r="S1272" s="127" t="n"/>
      <c r="T1272" s="127" t="n"/>
      <c r="U1272" s="127" t="n"/>
      <c r="V1272" s="127" t="n"/>
      <c r="W1272" s="127" t="n"/>
      <c r="X1272" s="127" t="n"/>
      <c r="Y1272" s="127" t="n"/>
      <c r="Z1272" s="140" t="n"/>
    </row>
    <row r="1273" customFormat="1" s="149">
      <c r="A1273" s="203">
        <f>ROW()-1</f>
        <v/>
      </c>
      <c r="B1273" s="128" t="n"/>
      <c r="C1273" s="263" t="n"/>
      <c r="D1273" s="262" t="n"/>
      <c r="E1273" s="128" t="n"/>
      <c r="F1273" s="138" t="inlineStr">
        <is>
          <t>SPARE</t>
        </is>
      </c>
      <c r="G1273" s="131" t="n"/>
      <c r="H1273" s="128" t="n"/>
      <c r="I1273" s="132" t="inlineStr">
        <is>
          <t>RL7-CKR2-RIO1</t>
        </is>
      </c>
      <c r="J1273" s="133" t="n">
        <v>13</v>
      </c>
      <c r="K1273" s="129" t="n">
        <v>5</v>
      </c>
      <c r="L1273" s="129" t="n">
        <v>9</v>
      </c>
      <c r="M1273" s="129" t="inlineStr">
        <is>
          <t>24 VDC DI</t>
        </is>
      </c>
      <c r="N1273" s="129" t="inlineStr">
        <is>
          <t>5069-IB16</t>
        </is>
      </c>
      <c r="O1273" s="139" t="n"/>
      <c r="P1273" s="127" t="n"/>
      <c r="Q1273" s="127" t="n"/>
      <c r="R1273" s="127" t="n"/>
      <c r="S1273" s="127" t="n"/>
      <c r="T1273" s="127" t="n"/>
      <c r="U1273" s="127" t="n"/>
      <c r="V1273" s="127" t="n"/>
      <c r="W1273" s="127" t="n"/>
      <c r="X1273" s="127" t="n"/>
      <c r="Y1273" s="127" t="n"/>
      <c r="Z1273" s="140" t="n"/>
    </row>
    <row r="1274" customFormat="1" s="149">
      <c r="A1274" s="203">
        <f>ROW()-1</f>
        <v/>
      </c>
      <c r="B1274" s="128" t="inlineStr">
        <is>
          <t>RL7-CNV-106-ZSO-08</t>
        </is>
      </c>
      <c r="C1274" s="263" t="n"/>
      <c r="D1274" s="262" t="n"/>
      <c r="E1274" s="128" t="n"/>
      <c r="F1274" s="138" t="inlineStr">
        <is>
          <t>SPARE</t>
        </is>
      </c>
      <c r="G1274" s="131" t="n"/>
      <c r="H1274" s="128" t="n"/>
      <c r="I1274" s="132" t="inlineStr">
        <is>
          <t>RL7-CKR2-RIO1</t>
        </is>
      </c>
      <c r="J1274" s="133" t="n">
        <v>13</v>
      </c>
      <c r="K1274" s="128" t="n">
        <v>5</v>
      </c>
      <c r="L1274" s="128" t="n">
        <v>10</v>
      </c>
      <c r="M1274" s="128" t="inlineStr">
        <is>
          <t>24 VDC DI</t>
        </is>
      </c>
      <c r="N1274" s="128" t="inlineStr">
        <is>
          <t>5069-IB16</t>
        </is>
      </c>
      <c r="O1274" s="139" t="n"/>
      <c r="P1274" s="127" t="n"/>
      <c r="Q1274" s="127" t="n"/>
      <c r="R1274" s="127" t="n"/>
      <c r="S1274" s="127" t="n"/>
      <c r="T1274" s="127" t="n"/>
      <c r="U1274" s="127" t="n"/>
      <c r="V1274" s="127" t="n"/>
      <c r="W1274" s="127" t="n"/>
      <c r="X1274" s="127" t="n"/>
      <c r="Y1274" s="127" t="n"/>
      <c r="Z1274" s="140" t="n"/>
    </row>
    <row r="1275" customFormat="1" s="149">
      <c r="A1275" s="203">
        <f>ROW()-1</f>
        <v/>
      </c>
      <c r="B1275" s="128" t="inlineStr">
        <is>
          <t>RL7-CNV-106-ZSC-08</t>
        </is>
      </c>
      <c r="C1275" s="263" t="n"/>
      <c r="D1275" s="262" t="n"/>
      <c r="E1275" s="128" t="n"/>
      <c r="F1275" s="138" t="inlineStr">
        <is>
          <t>SPARE</t>
        </is>
      </c>
      <c r="G1275" s="131" t="n"/>
      <c r="H1275" s="128" t="n"/>
      <c r="I1275" s="132" t="inlineStr">
        <is>
          <t>RL7-CKR2-RIO1</t>
        </is>
      </c>
      <c r="J1275" s="133" t="n">
        <v>13</v>
      </c>
      <c r="K1275" s="128" t="n">
        <v>5</v>
      </c>
      <c r="L1275" s="128" t="n">
        <v>11</v>
      </c>
      <c r="M1275" s="128" t="inlineStr">
        <is>
          <t>24 VDC DI</t>
        </is>
      </c>
      <c r="N1275" s="128" t="inlineStr">
        <is>
          <t>5069-IB16</t>
        </is>
      </c>
      <c r="O1275" s="139" t="n"/>
      <c r="P1275" s="127" t="n"/>
      <c r="Q1275" s="127" t="n"/>
      <c r="R1275" s="127" t="n"/>
      <c r="S1275" s="127" t="n"/>
      <c r="T1275" s="127" t="n"/>
      <c r="U1275" s="127" t="n"/>
      <c r="V1275" s="127" t="n"/>
      <c r="W1275" s="127" t="n"/>
      <c r="X1275" s="127" t="n"/>
      <c r="Y1275" s="127" t="n"/>
      <c r="Z1275" s="140" t="n"/>
    </row>
    <row r="1276" customFormat="1" s="149">
      <c r="A1276" s="203">
        <f>ROW()-1</f>
        <v/>
      </c>
      <c r="B1276" s="151" t="inlineStr">
        <is>
          <t>RL7-CNV-107-ZSO-08</t>
        </is>
      </c>
      <c r="C1276" s="313" t="inlineStr">
        <is>
          <t>RL7-CNV-107-ZSO-08</t>
        </is>
      </c>
      <c r="D1276" s="262" t="n"/>
      <c r="E1276" s="128" t="n"/>
      <c r="F1276" s="138" t="inlineStr">
        <is>
          <t>INCLINE PIVOT AUGER 3 SANITATION VALVE OPEN LIMIT SWITCH</t>
        </is>
      </c>
      <c r="G1276" s="131" t="n"/>
      <c r="H1276" s="128" t="inlineStr">
        <is>
          <t>PROC</t>
        </is>
      </c>
      <c r="I1276" s="132" t="inlineStr">
        <is>
          <t>RL7-CKR2-RIO1</t>
        </is>
      </c>
      <c r="J1276" s="133" t="n">
        <v>13</v>
      </c>
      <c r="K1276" s="128" t="n">
        <v>5</v>
      </c>
      <c r="L1276" s="128" t="n">
        <v>14</v>
      </c>
      <c r="M1276" s="128" t="inlineStr">
        <is>
          <t>24 VDC DI</t>
        </is>
      </c>
      <c r="N1276" s="128" t="inlineStr">
        <is>
          <t>5069-IB16</t>
        </is>
      </c>
      <c r="O1276" s="139" t="n"/>
      <c r="P1276" s="127" t="n"/>
      <c r="Q1276" s="127" t="n"/>
      <c r="R1276" s="127" t="n"/>
      <c r="S1276" s="127" t="n"/>
      <c r="T1276" s="127" t="n"/>
      <c r="U1276" s="127" t="n"/>
      <c r="V1276" s="127" t="n"/>
      <c r="W1276" s="127" t="n"/>
      <c r="X1276" s="127" t="n"/>
      <c r="Y1276" s="127" t="n"/>
      <c r="Z1276" s="140" t="n"/>
      <c r="AA1276" t="inlineStr">
        <is>
          <t>Not found in PDF</t>
        </is>
      </c>
      <c r="AC1276" t="inlineStr">
        <is>
          <t>Low</t>
        </is>
      </c>
      <c r="AM1276" t="inlineStr">
        <is>
          <t>all pages</t>
        </is>
      </c>
      <c r="AN1276" t="inlineStr">
        <is>
          <t>No</t>
        </is>
      </c>
      <c r="AO1276" t="inlineStr">
        <is>
          <t>no sheet column/value supplied</t>
        </is>
      </c>
    </row>
    <row r="1277" customFormat="1" s="149">
      <c r="A1277" s="203">
        <f>ROW()-1</f>
        <v/>
      </c>
      <c r="B1277" s="151" t="inlineStr">
        <is>
          <t>RL7-CNV-107-ZSC-08</t>
        </is>
      </c>
      <c r="C1277" s="313" t="inlineStr">
        <is>
          <t>RL7-CNV-107-ZSC-08</t>
        </is>
      </c>
      <c r="D1277" s="262" t="n"/>
      <c r="E1277" s="128" t="n"/>
      <c r="F1277" s="138" t="inlineStr">
        <is>
          <t>INCLINE PIVOT AUGER 3 SANITATION VALVE CLOSED LIMIT SWITCH</t>
        </is>
      </c>
      <c r="G1277" s="131" t="n"/>
      <c r="H1277" s="128" t="inlineStr">
        <is>
          <t>PROC</t>
        </is>
      </c>
      <c r="I1277" s="132" t="inlineStr">
        <is>
          <t>RL7-CKR2-RIO1</t>
        </is>
      </c>
      <c r="J1277" s="133" t="n">
        <v>13</v>
      </c>
      <c r="K1277" s="128" t="n">
        <v>5</v>
      </c>
      <c r="L1277" s="128" t="n">
        <v>15</v>
      </c>
      <c r="M1277" s="128" t="inlineStr">
        <is>
          <t>24 VDC DI</t>
        </is>
      </c>
      <c r="N1277" s="128" t="inlineStr">
        <is>
          <t>5069-IB16</t>
        </is>
      </c>
      <c r="O1277" s="139" t="n"/>
      <c r="P1277" s="127" t="n"/>
      <c r="Q1277" s="127" t="n"/>
      <c r="R1277" s="127" t="n"/>
      <c r="S1277" s="127" t="n"/>
      <c r="T1277" s="127" t="n"/>
      <c r="U1277" s="127" t="n"/>
      <c r="V1277" s="127" t="n"/>
      <c r="W1277" s="127" t="n"/>
      <c r="X1277" s="127" t="n"/>
      <c r="Y1277" s="127" t="n"/>
      <c r="Z1277" s="140" t="n"/>
      <c r="AA1277" t="inlineStr">
        <is>
          <t>Not found in PDF</t>
        </is>
      </c>
      <c r="AC1277" t="inlineStr">
        <is>
          <t>Low</t>
        </is>
      </c>
      <c r="AM1277" t="inlineStr">
        <is>
          <t>all pages</t>
        </is>
      </c>
      <c r="AN1277" t="inlineStr">
        <is>
          <t>No</t>
        </is>
      </c>
      <c r="AO1277" t="inlineStr">
        <is>
          <t>no sheet column/value supplied</t>
        </is>
      </c>
    </row>
    <row r="1278" customFormat="1" s="149">
      <c r="A1278" s="203">
        <f>ROW()-1</f>
        <v/>
      </c>
      <c r="B1278" s="128" t="n"/>
      <c r="C1278" s="263" t="n"/>
      <c r="D1278" s="262" t="n"/>
      <c r="E1278" s="128" t="n"/>
      <c r="F1278" s="138" t="inlineStr">
        <is>
          <t>SPARE</t>
        </is>
      </c>
      <c r="G1278" s="131" t="n"/>
      <c r="H1278" s="128" t="n"/>
      <c r="I1278" s="132" t="inlineStr">
        <is>
          <t>RL7-CKR2-RIO1</t>
        </is>
      </c>
      <c r="J1278" s="133" t="n">
        <v>13</v>
      </c>
      <c r="K1278" s="129" t="n">
        <v>6</v>
      </c>
      <c r="L1278" s="129" t="n">
        <v>5</v>
      </c>
      <c r="M1278" s="129" t="inlineStr">
        <is>
          <t>24 VDC DI</t>
        </is>
      </c>
      <c r="N1278" s="129" t="inlineStr">
        <is>
          <t>5069-IB16</t>
        </is>
      </c>
      <c r="O1278" s="139" t="n"/>
      <c r="P1278" s="127" t="n"/>
      <c r="Q1278" s="127" t="n"/>
      <c r="R1278" s="127" t="n"/>
      <c r="S1278" s="127" t="n"/>
      <c r="T1278" s="127" t="n"/>
      <c r="U1278" s="127" t="n"/>
      <c r="V1278" s="127" t="n"/>
      <c r="W1278" s="127" t="n"/>
      <c r="X1278" s="127" t="n"/>
      <c r="Y1278" s="127" t="n"/>
      <c r="Z1278" s="140" t="n"/>
    </row>
    <row r="1279" customFormat="1" s="149">
      <c r="A1279" s="203">
        <f>ROW()-1</f>
        <v/>
      </c>
      <c r="B1279" s="128" t="n"/>
      <c r="C1279" s="263" t="n"/>
      <c r="D1279" s="262" t="n"/>
      <c r="E1279" s="128" t="n"/>
      <c r="F1279" s="138" t="inlineStr">
        <is>
          <t>SPARE</t>
        </is>
      </c>
      <c r="G1279" s="131" t="n"/>
      <c r="H1279" s="128" t="n"/>
      <c r="I1279" s="132" t="inlineStr">
        <is>
          <t>RL7-CKR2-RIO1</t>
        </is>
      </c>
      <c r="J1279" s="133" t="n">
        <v>13</v>
      </c>
      <c r="K1279" s="129" t="n">
        <v>6</v>
      </c>
      <c r="L1279" s="129" t="n">
        <v>10</v>
      </c>
      <c r="M1279" s="129" t="inlineStr">
        <is>
          <t>24 VDC DI</t>
        </is>
      </c>
      <c r="N1279" s="129" t="inlineStr">
        <is>
          <t>5069-IB16</t>
        </is>
      </c>
      <c r="O1279" s="139" t="n"/>
      <c r="P1279" s="127" t="n"/>
      <c r="Q1279" s="127" t="n"/>
      <c r="R1279" s="127" t="n"/>
      <c r="S1279" s="127" t="n"/>
      <c r="T1279" s="127" t="n"/>
      <c r="U1279" s="127" t="n"/>
      <c r="V1279" s="127" t="n"/>
      <c r="W1279" s="127" t="n"/>
      <c r="X1279" s="127" t="n"/>
      <c r="Y1279" s="127" t="n"/>
      <c r="Z1279" s="140" t="n"/>
    </row>
    <row r="1280" customFormat="1" s="149">
      <c r="A1280" s="203">
        <f>ROW()-1</f>
        <v/>
      </c>
      <c r="B1280" s="128" t="n"/>
      <c r="C1280" s="263" t="n"/>
      <c r="D1280" s="262" t="n"/>
      <c r="E1280" s="128" t="n"/>
      <c r="F1280" s="138" t="inlineStr">
        <is>
          <t>SPARE</t>
        </is>
      </c>
      <c r="G1280" s="131" t="n"/>
      <c r="H1280" s="128" t="n"/>
      <c r="I1280" s="132" t="inlineStr">
        <is>
          <t>RL7-CKR2-RIO1</t>
        </is>
      </c>
      <c r="J1280" s="133" t="n">
        <v>13</v>
      </c>
      <c r="K1280" s="129" t="n">
        <v>6</v>
      </c>
      <c r="L1280" s="129" t="n">
        <v>11</v>
      </c>
      <c r="M1280" s="129" t="inlineStr">
        <is>
          <t>24 VDC DI</t>
        </is>
      </c>
      <c r="N1280" s="129" t="inlineStr">
        <is>
          <t>5069-IB16</t>
        </is>
      </c>
      <c r="O1280" s="139" t="n"/>
      <c r="P1280" s="127" t="n"/>
      <c r="Q1280" s="127" t="n"/>
      <c r="R1280" s="127" t="n"/>
      <c r="S1280" s="127" t="n"/>
      <c r="T1280" s="127" t="n"/>
      <c r="U1280" s="127" t="n"/>
      <c r="V1280" s="127" t="n"/>
      <c r="W1280" s="127" t="n"/>
      <c r="X1280" s="127" t="n"/>
      <c r="Y1280" s="127" t="n"/>
      <c r="Z1280" s="140" t="n"/>
    </row>
    <row r="1281" customFormat="1" s="149">
      <c r="A1281" s="203">
        <f>ROW()-1</f>
        <v/>
      </c>
      <c r="B1281" s="128" t="n"/>
      <c r="C1281" s="263" t="n"/>
      <c r="D1281" s="262" t="n"/>
      <c r="E1281" s="128" t="n"/>
      <c r="F1281" s="138" t="inlineStr">
        <is>
          <t>SPARE</t>
        </is>
      </c>
      <c r="G1281" s="131" t="n"/>
      <c r="H1281" s="128" t="n"/>
      <c r="I1281" s="132" t="inlineStr">
        <is>
          <t>RL7-CKR2-RIO1</t>
        </is>
      </c>
      <c r="J1281" s="133" t="n">
        <v>13</v>
      </c>
      <c r="K1281" s="129" t="n">
        <v>6</v>
      </c>
      <c r="L1281" s="129" t="n">
        <v>12</v>
      </c>
      <c r="M1281" s="129" t="inlineStr">
        <is>
          <t>24 VDC DI</t>
        </is>
      </c>
      <c r="N1281" s="129" t="inlineStr">
        <is>
          <t>5069-IB16</t>
        </is>
      </c>
      <c r="O1281" s="139" t="n"/>
      <c r="P1281" s="127" t="n"/>
      <c r="Q1281" s="127" t="n"/>
      <c r="R1281" s="127" t="n"/>
      <c r="S1281" s="127" t="n"/>
      <c r="T1281" s="127" t="n"/>
      <c r="U1281" s="127" t="n"/>
      <c r="V1281" s="127" t="n"/>
      <c r="W1281" s="127" t="n"/>
      <c r="X1281" s="127" t="n"/>
      <c r="Y1281" s="127" t="n"/>
      <c r="Z1281" s="140" t="n"/>
    </row>
    <row r="1282" customFormat="1" s="149">
      <c r="A1282" s="203">
        <f>ROW()-1</f>
        <v/>
      </c>
      <c r="B1282" s="128" t="n"/>
      <c r="C1282" s="263" t="n"/>
      <c r="D1282" s="262" t="n"/>
      <c r="E1282" s="128" t="n"/>
      <c r="F1282" s="138" t="inlineStr">
        <is>
          <t>SPARE</t>
        </is>
      </c>
      <c r="G1282" s="131" t="n"/>
      <c r="H1282" s="128" t="n"/>
      <c r="I1282" s="132" t="inlineStr">
        <is>
          <t>RL7-CKR2-RIO1</t>
        </is>
      </c>
      <c r="J1282" s="133" t="n">
        <v>13</v>
      </c>
      <c r="K1282" s="129" t="n">
        <v>6</v>
      </c>
      <c r="L1282" s="129" t="n">
        <v>13</v>
      </c>
      <c r="M1282" s="129" t="inlineStr">
        <is>
          <t>24 VDC DI</t>
        </is>
      </c>
      <c r="N1282" s="129" t="inlineStr">
        <is>
          <t>5069-IB16</t>
        </is>
      </c>
      <c r="O1282" s="139" t="n"/>
      <c r="P1282" s="127" t="n"/>
      <c r="Q1282" s="127" t="n"/>
      <c r="R1282" s="127" t="n"/>
      <c r="S1282" s="127" t="n"/>
      <c r="T1282" s="127" t="n"/>
      <c r="U1282" s="127" t="n"/>
      <c r="V1282" s="127" t="n"/>
      <c r="W1282" s="127" t="n"/>
      <c r="X1282" s="127" t="n"/>
      <c r="Y1282" s="127" t="n"/>
      <c r="Z1282" s="140" t="n"/>
    </row>
    <row r="1283">
      <c r="A1283" s="203">
        <f>ROW()-1</f>
        <v/>
      </c>
      <c r="B1283" s="128" t="n"/>
      <c r="C1283" s="263" t="n"/>
      <c r="D1283" s="262" t="n"/>
      <c r="E1283" s="128" t="n"/>
      <c r="F1283" s="138" t="inlineStr">
        <is>
          <t>SPARE</t>
        </is>
      </c>
      <c r="G1283" s="131" t="n"/>
      <c r="H1283" s="128" t="n"/>
      <c r="I1283" s="132" t="inlineStr">
        <is>
          <t>RL7-CKR2-RIO1</t>
        </is>
      </c>
      <c r="J1283" s="133" t="n">
        <v>13</v>
      </c>
      <c r="K1283" s="129" t="n">
        <v>6</v>
      </c>
      <c r="L1283" s="129" t="n">
        <v>14</v>
      </c>
      <c r="M1283" s="129" t="inlineStr">
        <is>
          <t>24 VDC DI</t>
        </is>
      </c>
      <c r="N1283" s="129" t="inlineStr">
        <is>
          <t>5069-IB16</t>
        </is>
      </c>
      <c r="O1283" s="139" t="n"/>
      <c r="P1283" s="127" t="n"/>
      <c r="Q1283" s="127" t="n"/>
      <c r="R1283" s="127" t="n"/>
      <c r="S1283" s="127" t="n"/>
      <c r="T1283" s="127" t="n"/>
      <c r="U1283" s="127" t="n"/>
      <c r="V1283" s="127" t="n"/>
      <c r="W1283" s="127" t="n"/>
      <c r="X1283" s="127" t="n"/>
      <c r="Y1283" s="127" t="n"/>
      <c r="Z1283" s="140" t="n"/>
    </row>
    <row r="1284">
      <c r="A1284" s="203">
        <f>ROW()-1</f>
        <v/>
      </c>
      <c r="B1284" s="128" t="n"/>
      <c r="C1284" s="263" t="n"/>
      <c r="D1284" s="262" t="n"/>
      <c r="E1284" s="128" t="n"/>
      <c r="F1284" s="138" t="inlineStr">
        <is>
          <t>SPARE</t>
        </is>
      </c>
      <c r="G1284" s="131" t="n"/>
      <c r="H1284" s="128" t="n"/>
      <c r="I1284" s="132" t="inlineStr">
        <is>
          <t>RL7-CKR2-RIO1</t>
        </is>
      </c>
      <c r="J1284" s="133" t="n">
        <v>13</v>
      </c>
      <c r="K1284" s="129" t="n">
        <v>6</v>
      </c>
      <c r="L1284" s="129" t="n">
        <v>15</v>
      </c>
      <c r="M1284" s="129" t="inlineStr">
        <is>
          <t>24 VDC DI</t>
        </is>
      </c>
      <c r="N1284" s="129" t="inlineStr">
        <is>
          <t>5069-IB16</t>
        </is>
      </c>
      <c r="O1284" s="139" t="n"/>
      <c r="P1284" s="127" t="n"/>
      <c r="Q1284" s="127" t="n"/>
      <c r="R1284" s="127" t="n"/>
      <c r="S1284" s="127" t="n"/>
      <c r="T1284" s="127" t="n"/>
      <c r="U1284" s="127" t="n"/>
      <c r="V1284" s="127" t="n"/>
      <c r="W1284" s="127" t="n"/>
      <c r="X1284" s="127" t="n"/>
      <c r="Y1284" s="127" t="n"/>
      <c r="Z1284" s="140" t="n"/>
    </row>
    <row r="1285">
      <c r="A1285" s="203">
        <f>ROW()-1</f>
        <v/>
      </c>
      <c r="B1285" s="128" t="n"/>
      <c r="C1285" s="263" t="n"/>
      <c r="D1285" s="262" t="n"/>
      <c r="E1285" s="128" t="n"/>
      <c r="F1285" s="138" t="inlineStr">
        <is>
          <t>ADDRESS RESERVE MODULE</t>
        </is>
      </c>
      <c r="G1285" s="131" t="n"/>
      <c r="H1285" s="128" t="n"/>
      <c r="I1285" s="132" t="inlineStr">
        <is>
          <t>RL7-CKR2-RIO1</t>
        </is>
      </c>
      <c r="J1285" s="133" t="n">
        <v>13</v>
      </c>
      <c r="K1285" s="129" t="n">
        <v>7</v>
      </c>
      <c r="L1285" s="129" t="n">
        <v>0</v>
      </c>
      <c r="M1285" s="129" t="inlineStr">
        <is>
          <t>ARM</t>
        </is>
      </c>
      <c r="N1285" s="129" t="inlineStr">
        <is>
          <t>5069-ARM</t>
        </is>
      </c>
      <c r="O1285" s="139" t="n"/>
      <c r="P1285" s="127" t="n"/>
      <c r="Q1285" s="127" t="n"/>
      <c r="R1285" s="127" t="n"/>
      <c r="S1285" s="127" t="n"/>
      <c r="T1285" s="127" t="n"/>
      <c r="U1285" s="127" t="n"/>
      <c r="V1285" s="127" t="n"/>
      <c r="W1285" s="127" t="n"/>
      <c r="X1285" s="127" t="n"/>
      <c r="Y1285" s="127" t="n"/>
      <c r="Z1285" s="140" t="n"/>
    </row>
    <row r="1286">
      <c r="A1286" s="203">
        <f>ROW()-1</f>
        <v/>
      </c>
      <c r="B1286" s="128" t="n"/>
      <c r="C1286" s="263" t="n"/>
      <c r="D1286" s="262" t="n"/>
      <c r="E1286" s="128" t="n"/>
      <c r="F1286" s="138" t="inlineStr">
        <is>
          <t>SPARE</t>
        </is>
      </c>
      <c r="G1286" s="131" t="n"/>
      <c r="H1286" s="128" t="n"/>
      <c r="I1286" s="132" t="inlineStr">
        <is>
          <t>RL7-CKR2-RIO1</t>
        </is>
      </c>
      <c r="J1286" s="133" t="n">
        <v>13</v>
      </c>
      <c r="K1286" s="129" t="n">
        <v>8</v>
      </c>
      <c r="L1286" s="129" t="n">
        <v>8</v>
      </c>
      <c r="M1286" s="129" t="inlineStr">
        <is>
          <t>24 VDC DO</t>
        </is>
      </c>
      <c r="N1286" s="129" t="inlineStr">
        <is>
          <t>5069-OB16</t>
        </is>
      </c>
      <c r="O1286" s="139" t="n"/>
      <c r="P1286" s="127" t="n"/>
      <c r="Q1286" s="127" t="n"/>
      <c r="R1286" s="127" t="n"/>
      <c r="S1286" s="127" t="n"/>
      <c r="T1286" s="127" t="n"/>
      <c r="U1286" s="127" t="n"/>
      <c r="V1286" s="127" t="n"/>
      <c r="W1286" s="127" t="n"/>
      <c r="X1286" s="127" t="n"/>
      <c r="Y1286" s="127" t="n"/>
      <c r="Z1286" s="140" t="n"/>
    </row>
    <row r="1287">
      <c r="A1287" s="203">
        <f>ROW()-1</f>
        <v/>
      </c>
      <c r="B1287" s="128" t="n"/>
      <c r="C1287" s="263" t="n"/>
      <c r="D1287" s="262" t="n"/>
      <c r="E1287" s="128" t="n"/>
      <c r="F1287" s="138" t="inlineStr">
        <is>
          <t>SPARE</t>
        </is>
      </c>
      <c r="G1287" s="131" t="n"/>
      <c r="H1287" s="128" t="n"/>
      <c r="I1287" s="132" t="inlineStr">
        <is>
          <t>RL7-CKR2-RIO1</t>
        </is>
      </c>
      <c r="J1287" s="133" t="n">
        <v>13</v>
      </c>
      <c r="K1287" s="129" t="n">
        <v>8</v>
      </c>
      <c r="L1287" s="129" t="n">
        <v>9</v>
      </c>
      <c r="M1287" s="129" t="inlineStr">
        <is>
          <t>24 VDC DO</t>
        </is>
      </c>
      <c r="N1287" s="129" t="inlineStr">
        <is>
          <t>5069-OB16</t>
        </is>
      </c>
      <c r="O1287" s="139" t="n"/>
      <c r="P1287" s="127" t="n"/>
      <c r="Q1287" s="127" t="n"/>
      <c r="R1287" s="127" t="n"/>
      <c r="S1287" s="127" t="n"/>
      <c r="T1287" s="127" t="n"/>
      <c r="U1287" s="127" t="n"/>
      <c r="V1287" s="127" t="n"/>
      <c r="W1287" s="127" t="n"/>
      <c r="X1287" s="127" t="n"/>
      <c r="Y1287" s="127" t="n"/>
      <c r="Z1287" s="140" t="n"/>
    </row>
    <row r="1288" customFormat="1" s="149">
      <c r="A1288" s="203">
        <f>ROW()-1</f>
        <v/>
      </c>
      <c r="B1288" s="128" t="n"/>
      <c r="C1288" s="263" t="n"/>
      <c r="D1288" s="262" t="n"/>
      <c r="E1288" s="128" t="n"/>
      <c r="F1288" s="138" t="inlineStr">
        <is>
          <t>SPARE</t>
        </is>
      </c>
      <c r="G1288" s="131" t="n"/>
      <c r="H1288" s="128" t="n"/>
      <c r="I1288" s="132" t="inlineStr">
        <is>
          <t>RL7-CKR2-RIO1</t>
        </is>
      </c>
      <c r="J1288" s="133" t="n">
        <v>13</v>
      </c>
      <c r="K1288" s="129" t="n">
        <v>8</v>
      </c>
      <c r="L1288" s="129" t="n">
        <v>10</v>
      </c>
      <c r="M1288" s="129" t="inlineStr">
        <is>
          <t>24 VDC DO</t>
        </is>
      </c>
      <c r="N1288" s="129" t="inlineStr">
        <is>
          <t>5069-OB16</t>
        </is>
      </c>
      <c r="O1288" s="139" t="n"/>
      <c r="P1288" s="127" t="n"/>
      <c r="Q1288" s="127" t="n"/>
      <c r="R1288" s="127" t="n"/>
      <c r="S1288" s="127" t="n"/>
      <c r="T1288" s="127" t="n"/>
      <c r="U1288" s="127" t="n"/>
      <c r="V1288" s="127" t="n"/>
      <c r="W1288" s="127" t="n"/>
      <c r="X1288" s="127" t="n"/>
      <c r="Y1288" s="127" t="n"/>
      <c r="Z1288" s="140" t="n"/>
    </row>
    <row r="1289" customFormat="1" s="149">
      <c r="A1289" s="203">
        <f>ROW()-1</f>
        <v/>
      </c>
      <c r="B1289" s="128" t="n"/>
      <c r="C1289" s="263" t="n"/>
      <c r="D1289" s="262" t="n"/>
      <c r="E1289" s="128" t="n"/>
      <c r="F1289" s="138" t="inlineStr">
        <is>
          <t>SPARE</t>
        </is>
      </c>
      <c r="G1289" s="131" t="n"/>
      <c r="H1289" s="128" t="n"/>
      <c r="I1289" s="132" t="inlineStr">
        <is>
          <t>RL7-CKR2-RIO1</t>
        </is>
      </c>
      <c r="J1289" s="133" t="n">
        <v>13</v>
      </c>
      <c r="K1289" s="129" t="n">
        <v>8</v>
      </c>
      <c r="L1289" s="129" t="n">
        <v>11</v>
      </c>
      <c r="M1289" s="129" t="inlineStr">
        <is>
          <t>24 VDC DO</t>
        </is>
      </c>
      <c r="N1289" s="129" t="inlineStr">
        <is>
          <t>5069-OB16</t>
        </is>
      </c>
      <c r="O1289" s="139" t="n"/>
      <c r="P1289" s="127" t="n"/>
      <c r="Q1289" s="127" t="n"/>
      <c r="R1289" s="127" t="n"/>
      <c r="S1289" s="127" t="n"/>
      <c r="T1289" s="127" t="n"/>
      <c r="U1289" s="127" t="n"/>
      <c r="V1289" s="127" t="n"/>
      <c r="W1289" s="127" t="n"/>
      <c r="X1289" s="127" t="n"/>
      <c r="Y1289" s="127" t="n"/>
      <c r="Z1289" s="140" t="n"/>
    </row>
    <row r="1290" customFormat="1" s="149">
      <c r="A1290" s="203">
        <f>ROW()-1</f>
        <v/>
      </c>
      <c r="B1290" s="128" t="n"/>
      <c r="C1290" s="263" t="n"/>
      <c r="D1290" s="262" t="n"/>
      <c r="E1290" s="128" t="n"/>
      <c r="F1290" s="138" t="inlineStr">
        <is>
          <t>SPARE</t>
        </is>
      </c>
      <c r="G1290" s="131" t="n"/>
      <c r="H1290" s="128" t="n"/>
      <c r="I1290" s="132" t="inlineStr">
        <is>
          <t>RL7-CKR2-RIO1</t>
        </is>
      </c>
      <c r="J1290" s="133" t="n">
        <v>13</v>
      </c>
      <c r="K1290" s="129" t="n">
        <v>8</v>
      </c>
      <c r="L1290" s="129" t="n">
        <v>12</v>
      </c>
      <c r="M1290" s="129" t="inlineStr">
        <is>
          <t>24 VDC DO</t>
        </is>
      </c>
      <c r="N1290" s="129" t="inlineStr">
        <is>
          <t>5069-OB16</t>
        </is>
      </c>
      <c r="O1290" s="139" t="n"/>
      <c r="P1290" s="127" t="n"/>
      <c r="Q1290" s="127" t="n"/>
      <c r="R1290" s="127" t="n"/>
      <c r="S1290" s="127" t="n"/>
      <c r="T1290" s="127" t="n"/>
      <c r="U1290" s="127" t="n"/>
      <c r="V1290" s="127" t="n"/>
      <c r="W1290" s="127" t="n"/>
      <c r="X1290" s="127" t="n"/>
      <c r="Y1290" s="127" t="n"/>
      <c r="Z1290" s="140" t="n"/>
    </row>
    <row r="1291" customFormat="1" s="149">
      <c r="A1291" s="203">
        <f>ROW()-1</f>
        <v/>
      </c>
      <c r="B1291" s="128" t="n"/>
      <c r="C1291" s="263" t="n"/>
      <c r="D1291" s="262" t="n"/>
      <c r="E1291" s="128" t="n"/>
      <c r="F1291" s="4" t="inlineStr">
        <is>
          <t>SPARE</t>
        </is>
      </c>
      <c r="G1291" s="142" t="n"/>
      <c r="H1291" s="133" t="n"/>
      <c r="I1291" s="132" t="inlineStr">
        <is>
          <t>RL7-CKR2-RIO1</t>
        </is>
      </c>
      <c r="J1291" s="133" t="n">
        <v>13</v>
      </c>
      <c r="K1291" s="129" t="n">
        <v>8</v>
      </c>
      <c r="L1291" s="129" t="n">
        <v>13</v>
      </c>
      <c r="M1291" s="129" t="inlineStr">
        <is>
          <t>24 VDC DO</t>
        </is>
      </c>
      <c r="N1291" s="129" t="inlineStr">
        <is>
          <t>5069-OB16</t>
        </is>
      </c>
      <c r="O1291" s="139" t="n"/>
      <c r="P1291" s="127" t="n"/>
      <c r="Q1291" s="127" t="n"/>
      <c r="R1291" s="127" t="n"/>
      <c r="S1291" s="127" t="n"/>
      <c r="T1291" s="127" t="n"/>
      <c r="U1291" s="127" t="n"/>
      <c r="V1291" s="127" t="n"/>
      <c r="W1291" s="127" t="n"/>
      <c r="X1291" s="127" t="n"/>
      <c r="Y1291" s="127" t="n"/>
      <c r="Z1291" s="140" t="n"/>
    </row>
    <row r="1292" customFormat="1" s="149">
      <c r="A1292" s="203">
        <f>ROW()-1</f>
        <v/>
      </c>
      <c r="B1292" s="128" t="n"/>
      <c r="C1292" s="263" t="n"/>
      <c r="D1292" s="262" t="n"/>
      <c r="E1292" s="128" t="n"/>
      <c r="F1292" s="138" t="inlineStr">
        <is>
          <t>SPARE</t>
        </is>
      </c>
      <c r="G1292" s="129" t="n"/>
      <c r="H1292" s="128" t="n"/>
      <c r="I1292" s="132" t="inlineStr">
        <is>
          <t>RL7-CKR2-RIO1</t>
        </is>
      </c>
      <c r="J1292" s="133" t="n">
        <v>13</v>
      </c>
      <c r="K1292" s="129" t="n">
        <v>8</v>
      </c>
      <c r="L1292" s="129" t="n">
        <v>15</v>
      </c>
      <c r="M1292" s="129" t="inlineStr">
        <is>
          <t>24 VDC DO</t>
        </is>
      </c>
      <c r="N1292" s="129" t="inlineStr">
        <is>
          <t>5069-OB16</t>
        </is>
      </c>
      <c r="O1292" s="139" t="n"/>
      <c r="P1292" s="127" t="n"/>
      <c r="Q1292" s="127" t="n"/>
      <c r="R1292" s="127" t="n"/>
      <c r="S1292" s="127" t="n"/>
      <c r="T1292" s="127" t="n"/>
      <c r="U1292" s="127" t="n"/>
      <c r="V1292" s="127" t="n"/>
      <c r="W1292" s="127" t="n"/>
      <c r="X1292" s="127" t="n"/>
      <c r="Y1292" s="127" t="n"/>
      <c r="Z1292" s="140" t="n"/>
    </row>
    <row r="1293" customFormat="1" s="149">
      <c r="A1293" s="203">
        <f>ROW()-1</f>
        <v/>
      </c>
      <c r="B1293" s="128" t="n"/>
      <c r="C1293" s="263" t="n"/>
      <c r="D1293" s="262" t="n"/>
      <c r="E1293" s="128" t="n"/>
      <c r="F1293" s="138" t="inlineStr">
        <is>
          <t>SPARE</t>
        </is>
      </c>
      <c r="G1293" s="131" t="n"/>
      <c r="H1293" s="128" t="n"/>
      <c r="I1293" s="132" t="inlineStr">
        <is>
          <t>RL7-CKR2-RIO1</t>
        </is>
      </c>
      <c r="J1293" s="133" t="n">
        <v>13</v>
      </c>
      <c r="K1293" s="129" t="n">
        <v>9</v>
      </c>
      <c r="L1293" s="129" t="n">
        <v>13</v>
      </c>
      <c r="M1293" s="129" t="inlineStr">
        <is>
          <t>24 VDC DO</t>
        </is>
      </c>
      <c r="N1293" s="129" t="inlineStr">
        <is>
          <t>5069-OB16</t>
        </is>
      </c>
      <c r="O1293" s="139" t="n"/>
      <c r="P1293" s="127" t="n"/>
      <c r="Q1293" s="127" t="n"/>
      <c r="R1293" s="127" t="n"/>
      <c r="S1293" s="127" t="n"/>
      <c r="T1293" s="127" t="n"/>
      <c r="U1293" s="127" t="n"/>
      <c r="V1293" s="127" t="n"/>
      <c r="W1293" s="127" t="n"/>
      <c r="X1293" s="127" t="n"/>
      <c r="Y1293" s="127" t="n"/>
      <c r="Z1293" s="140" t="n"/>
    </row>
    <row r="1294" customFormat="1" s="149">
      <c r="A1294" s="203">
        <f>ROW()-1</f>
        <v/>
      </c>
      <c r="B1294" s="128" t="n"/>
      <c r="C1294" s="263" t="n"/>
      <c r="D1294" s="262" t="n"/>
      <c r="E1294" s="128" t="n"/>
      <c r="F1294" s="138" t="inlineStr">
        <is>
          <t>SPARE</t>
        </is>
      </c>
      <c r="G1294" s="131" t="n"/>
      <c r="H1294" s="128" t="n"/>
      <c r="I1294" s="132" t="inlineStr">
        <is>
          <t>RL7-CKR2-RIO1</t>
        </is>
      </c>
      <c r="J1294" s="133" t="n">
        <v>13</v>
      </c>
      <c r="K1294" s="129" t="n">
        <v>9</v>
      </c>
      <c r="L1294" s="129" t="n">
        <v>14</v>
      </c>
      <c r="M1294" s="129" t="inlineStr">
        <is>
          <t>24 VDC DO</t>
        </is>
      </c>
      <c r="N1294" s="129" t="inlineStr">
        <is>
          <t>5069-OB16</t>
        </is>
      </c>
      <c r="O1294" s="139" t="n"/>
      <c r="P1294" s="127" t="n"/>
      <c r="Q1294" s="127" t="n"/>
      <c r="R1294" s="127" t="n"/>
      <c r="S1294" s="127" t="n"/>
      <c r="T1294" s="127" t="n"/>
      <c r="U1294" s="127" t="n"/>
      <c r="V1294" s="127" t="n"/>
      <c r="W1294" s="127" t="n"/>
      <c r="X1294" s="127" t="n"/>
      <c r="Y1294" s="127" t="n"/>
      <c r="Z1294" s="140" t="n"/>
    </row>
    <row r="1295" customFormat="1" s="149">
      <c r="A1295" s="203">
        <f>ROW()-1</f>
        <v/>
      </c>
      <c r="B1295" s="128" t="inlineStr">
        <is>
          <t>RL7-CKR-102-XY-24</t>
        </is>
      </c>
      <c r="C1295" s="263" t="n"/>
      <c r="D1295" s="262" t="n"/>
      <c r="E1295" s="128" t="n"/>
      <c r="F1295" s="138" t="n"/>
      <c r="G1295" s="131" t="n"/>
      <c r="H1295" s="128" t="n"/>
      <c r="I1295" s="132" t="inlineStr">
        <is>
          <t>RL7-CKR2-RIO1</t>
        </is>
      </c>
      <c r="J1295" s="133" t="n">
        <v>13</v>
      </c>
      <c r="K1295" s="129" t="n">
        <v>9</v>
      </c>
      <c r="L1295" s="129" t="n">
        <v>15</v>
      </c>
      <c r="M1295" s="129" t="inlineStr">
        <is>
          <t>24 VDC DO</t>
        </is>
      </c>
      <c r="N1295" s="129" t="inlineStr">
        <is>
          <t>5069-OB16</t>
        </is>
      </c>
      <c r="O1295" s="139" t="n"/>
      <c r="P1295" s="127" t="n"/>
      <c r="Q1295" s="127" t="n"/>
      <c r="R1295" s="127" t="n"/>
      <c r="S1295" s="127" t="n"/>
      <c r="T1295" s="127" t="n"/>
      <c r="U1295" s="127" t="n"/>
      <c r="V1295" s="127" t="n"/>
      <c r="W1295" s="127" t="n"/>
      <c r="X1295" s="127" t="n"/>
      <c r="Y1295" s="127" t="n"/>
      <c r="Z1295" s="140" t="n"/>
    </row>
    <row r="1296" customFormat="1" s="149">
      <c r="A1296" s="203">
        <f>ROW()-1</f>
        <v/>
      </c>
      <c r="B1296" s="128" t="n"/>
      <c r="C1296" s="263" t="n"/>
      <c r="D1296" s="262" t="n"/>
      <c r="E1296" s="128" t="n"/>
      <c r="F1296" s="138" t="inlineStr">
        <is>
          <t>SPARE</t>
        </is>
      </c>
      <c r="G1296" s="131" t="n"/>
      <c r="H1296" s="128" t="n"/>
      <c r="I1296" s="132" t="inlineStr">
        <is>
          <t>RL7-CKR2-RIO1</t>
        </is>
      </c>
      <c r="J1296" s="133" t="n">
        <v>13</v>
      </c>
      <c r="K1296" s="129" t="n">
        <v>10</v>
      </c>
      <c r="L1296" s="129" t="n">
        <v>2</v>
      </c>
      <c r="M1296" s="129" t="inlineStr">
        <is>
          <t>4-20 mA AI</t>
        </is>
      </c>
      <c r="N1296" s="129" t="inlineStr">
        <is>
          <t>5069-IF8</t>
        </is>
      </c>
      <c r="O1296" s="139" t="n"/>
      <c r="P1296" s="127" t="n"/>
      <c r="Q1296" s="127" t="n"/>
      <c r="R1296" s="127" t="n"/>
      <c r="S1296" s="127" t="n"/>
      <c r="T1296" s="127" t="n"/>
      <c r="U1296" s="127" t="n"/>
      <c r="V1296" s="127" t="n"/>
      <c r="W1296" s="127" t="n"/>
      <c r="X1296" s="127" t="n"/>
      <c r="Y1296" s="127" t="n"/>
      <c r="Z1296" s="140" t="n"/>
    </row>
    <row r="1297" customFormat="1" s="149">
      <c r="A1297" s="203">
        <f>ROW()-1</f>
        <v/>
      </c>
      <c r="B1297" s="128" t="n"/>
      <c r="C1297" s="263" t="n"/>
      <c r="D1297" s="262" t="n"/>
      <c r="E1297" s="128" t="n"/>
      <c r="F1297" s="138" t="inlineStr">
        <is>
          <t>SPARE</t>
        </is>
      </c>
      <c r="G1297" s="131" t="n"/>
      <c r="H1297" s="128" t="n"/>
      <c r="I1297" s="132" t="inlineStr">
        <is>
          <t>RL7-CKR2-RIO1</t>
        </is>
      </c>
      <c r="J1297" s="133" t="n">
        <v>13</v>
      </c>
      <c r="K1297" s="129" t="n">
        <v>10</v>
      </c>
      <c r="L1297" s="129" t="n">
        <v>3</v>
      </c>
      <c r="M1297" s="129" t="inlineStr">
        <is>
          <t>4-20 mA AI</t>
        </is>
      </c>
      <c r="N1297" s="129" t="inlineStr">
        <is>
          <t>5069-IF8</t>
        </is>
      </c>
      <c r="O1297" s="139" t="n"/>
      <c r="P1297" s="127" t="n"/>
      <c r="Q1297" s="127" t="n"/>
      <c r="R1297" s="127" t="n"/>
      <c r="S1297" s="127" t="n"/>
      <c r="T1297" s="127" t="n"/>
      <c r="U1297" s="127" t="n"/>
      <c r="V1297" s="127" t="n"/>
      <c r="W1297" s="127" t="n"/>
      <c r="X1297" s="127" t="n"/>
      <c r="Y1297" s="127" t="n"/>
      <c r="Z1297" s="140" t="n"/>
    </row>
    <row r="1298" customFormat="1" s="149">
      <c r="A1298" s="203">
        <f>ROW()-1</f>
        <v/>
      </c>
      <c r="B1298" s="128" t="n"/>
      <c r="C1298" s="263" t="n"/>
      <c r="D1298" s="262" t="n"/>
      <c r="E1298" s="128" t="n"/>
      <c r="F1298" s="138" t="inlineStr">
        <is>
          <t>SPARE</t>
        </is>
      </c>
      <c r="G1298" s="131" t="n"/>
      <c r="H1298" s="128" t="n"/>
      <c r="I1298" s="132" t="inlineStr">
        <is>
          <t>RL7-CKR2-RIO1</t>
        </is>
      </c>
      <c r="J1298" s="133" t="n">
        <v>13</v>
      </c>
      <c r="K1298" s="129" t="n">
        <v>10</v>
      </c>
      <c r="L1298" s="129" t="n">
        <v>4</v>
      </c>
      <c r="M1298" s="129" t="inlineStr">
        <is>
          <t>4-20 mA AI</t>
        </is>
      </c>
      <c r="N1298" s="129" t="inlineStr">
        <is>
          <t>5069-IF8</t>
        </is>
      </c>
      <c r="O1298" s="139" t="n"/>
      <c r="P1298" s="127" t="n"/>
      <c r="Q1298" s="127" t="n"/>
      <c r="R1298" s="127" t="n"/>
      <c r="S1298" s="127" t="n"/>
      <c r="T1298" s="127" t="n"/>
      <c r="U1298" s="127" t="n"/>
      <c r="V1298" s="127" t="n"/>
      <c r="W1298" s="127" t="n"/>
      <c r="X1298" s="127" t="n"/>
      <c r="Y1298" s="127" t="n"/>
      <c r="Z1298" s="140" t="n"/>
    </row>
    <row r="1299">
      <c r="A1299" s="203">
        <f>ROW()-1</f>
        <v/>
      </c>
      <c r="B1299" s="128" t="n"/>
      <c r="C1299" s="263" t="n"/>
      <c r="D1299" s="262" t="n"/>
      <c r="E1299" s="128" t="n"/>
      <c r="F1299" s="138" t="inlineStr">
        <is>
          <t>SPARE</t>
        </is>
      </c>
      <c r="G1299" s="131" t="n"/>
      <c r="H1299" s="128" t="n"/>
      <c r="I1299" s="132" t="inlineStr">
        <is>
          <t>RL7-CKR2-RIO1</t>
        </is>
      </c>
      <c r="J1299" s="133" t="n">
        <v>13</v>
      </c>
      <c r="K1299" s="129" t="n">
        <v>10</v>
      </c>
      <c r="L1299" s="129" t="n">
        <v>5</v>
      </c>
      <c r="M1299" s="129" t="inlineStr">
        <is>
          <t>4-20 mA AI</t>
        </is>
      </c>
      <c r="N1299" s="129" t="inlineStr">
        <is>
          <t>5069-IF8</t>
        </is>
      </c>
      <c r="O1299" s="139" t="n"/>
      <c r="P1299" s="127" t="n"/>
      <c r="Q1299" s="127" t="n"/>
      <c r="R1299" s="127" t="n"/>
      <c r="S1299" s="127" t="n"/>
      <c r="T1299" s="127" t="n"/>
      <c r="U1299" s="127" t="n"/>
      <c r="V1299" s="127" t="n"/>
      <c r="W1299" s="127" t="n"/>
      <c r="X1299" s="127" t="n"/>
      <c r="Y1299" s="127" t="n"/>
      <c r="Z1299" s="140" t="n"/>
    </row>
    <row r="1300">
      <c r="A1300" s="203">
        <f>ROW()-1</f>
        <v/>
      </c>
      <c r="B1300" s="128" t="n"/>
      <c r="C1300" s="263" t="n"/>
      <c r="D1300" s="262" t="n"/>
      <c r="E1300" s="128" t="n"/>
      <c r="F1300" s="138" t="inlineStr">
        <is>
          <t>SPARE</t>
        </is>
      </c>
      <c r="G1300" s="131" t="n"/>
      <c r="H1300" s="128" t="n"/>
      <c r="I1300" s="132" t="inlineStr">
        <is>
          <t>RL7-CKR2-RIO1</t>
        </is>
      </c>
      <c r="J1300" s="133" t="n">
        <v>13</v>
      </c>
      <c r="K1300" s="129" t="n">
        <v>10</v>
      </c>
      <c r="L1300" s="129" t="n">
        <v>6</v>
      </c>
      <c r="M1300" s="129" t="inlineStr">
        <is>
          <t>4-20 mA AI</t>
        </is>
      </c>
      <c r="N1300" s="129" t="inlineStr">
        <is>
          <t>5069-IF8</t>
        </is>
      </c>
      <c r="O1300" s="139" t="n"/>
      <c r="P1300" s="127" t="n"/>
      <c r="Q1300" s="127" t="n"/>
      <c r="R1300" s="127" t="n"/>
      <c r="S1300" s="127" t="n"/>
      <c r="T1300" s="127" t="n"/>
      <c r="U1300" s="127" t="n"/>
      <c r="V1300" s="127" t="n"/>
      <c r="W1300" s="127" t="n"/>
      <c r="X1300" s="127" t="n"/>
      <c r="Y1300" s="127" t="n"/>
      <c r="Z1300" s="140" t="n"/>
    </row>
    <row r="1301">
      <c r="A1301" s="203">
        <f>ROW()-1</f>
        <v/>
      </c>
      <c r="B1301" s="128" t="n"/>
      <c r="C1301" s="263" t="n"/>
      <c r="D1301" s="262" t="n"/>
      <c r="E1301" s="128" t="n"/>
      <c r="F1301" s="138" t="inlineStr">
        <is>
          <t>SPARE</t>
        </is>
      </c>
      <c r="G1301" s="131" t="n"/>
      <c r="H1301" s="128" t="n"/>
      <c r="I1301" s="132" t="inlineStr">
        <is>
          <t>RL7-CKR2-RIO1</t>
        </is>
      </c>
      <c r="J1301" s="133" t="n">
        <v>13</v>
      </c>
      <c r="K1301" s="129" t="n">
        <v>10</v>
      </c>
      <c r="L1301" s="129" t="n">
        <v>7</v>
      </c>
      <c r="M1301" s="129" t="inlineStr">
        <is>
          <t>4-20 mA AI</t>
        </is>
      </c>
      <c r="N1301" s="129" t="inlineStr">
        <is>
          <t>5069-IF8</t>
        </is>
      </c>
      <c r="O1301" s="139" t="n"/>
      <c r="P1301" s="127" t="n"/>
      <c r="Q1301" s="127" t="n"/>
      <c r="R1301" s="127" t="n"/>
      <c r="S1301" s="127" t="n"/>
      <c r="T1301" s="127" t="n"/>
      <c r="U1301" s="127" t="n"/>
      <c r="V1301" s="127" t="n"/>
      <c r="W1301" s="127" t="n"/>
      <c r="X1301" s="127" t="n"/>
      <c r="Y1301" s="127" t="n"/>
      <c r="Z1301" s="140" t="n"/>
    </row>
    <row r="1302">
      <c r="A1302" s="203">
        <f>ROW()-1</f>
        <v/>
      </c>
      <c r="B1302" s="128" t="n"/>
      <c r="C1302" s="263" t="n"/>
      <c r="D1302" s="264" t="n"/>
      <c r="E1302" s="133" t="n"/>
      <c r="F1302" s="141" t="inlineStr">
        <is>
          <t>SPARE</t>
        </is>
      </c>
      <c r="G1302" s="142" t="n"/>
      <c r="H1302" s="133" t="n"/>
      <c r="I1302" s="132" t="inlineStr">
        <is>
          <t>RL7-DAGC1-RIO1</t>
        </is>
      </c>
      <c r="J1302" s="133" t="n">
        <v>14</v>
      </c>
      <c r="K1302" s="128" t="n">
        <v>1</v>
      </c>
      <c r="L1302" s="128" t="n">
        <v>6</v>
      </c>
      <c r="M1302" s="128" t="inlineStr">
        <is>
          <t>24 VDC SI</t>
        </is>
      </c>
      <c r="N1302" s="128" t="inlineStr">
        <is>
          <t>5069-IB8S</t>
        </is>
      </c>
      <c r="O1302" s="139" t="n"/>
      <c r="P1302" s="127" t="n"/>
      <c r="Q1302" s="127" t="n"/>
      <c r="R1302" s="127" t="n"/>
      <c r="S1302" s="127" t="n"/>
      <c r="T1302" s="127" t="n"/>
      <c r="U1302" s="127" t="n"/>
      <c r="V1302" s="127" t="n"/>
      <c r="W1302" s="127" t="n"/>
      <c r="X1302" s="127" t="n"/>
      <c r="Y1302" s="127" t="n"/>
      <c r="Z1302" s="140" t="n"/>
    </row>
    <row r="1303">
      <c r="A1303" s="203">
        <f>ROW()-1</f>
        <v/>
      </c>
      <c r="B1303" s="128" t="n"/>
      <c r="C1303" s="263" t="n"/>
      <c r="D1303" s="264" t="n"/>
      <c r="E1303" s="133" t="n"/>
      <c r="F1303" s="141" t="inlineStr">
        <is>
          <t>SPARE</t>
        </is>
      </c>
      <c r="G1303" s="142" t="n"/>
      <c r="H1303" s="133" t="n"/>
      <c r="I1303" s="132" t="inlineStr">
        <is>
          <t>RL7-DAGC1-RIO1</t>
        </is>
      </c>
      <c r="J1303" s="133" t="n">
        <v>14</v>
      </c>
      <c r="K1303" s="128" t="n">
        <v>1</v>
      </c>
      <c r="L1303" s="128" t="n">
        <v>7</v>
      </c>
      <c r="M1303" s="128" t="inlineStr">
        <is>
          <t>24 VDC SI</t>
        </is>
      </c>
      <c r="N1303" s="128" t="inlineStr">
        <is>
          <t>5069-IB8S</t>
        </is>
      </c>
      <c r="O1303" s="139" t="n"/>
      <c r="P1303" s="127" t="n"/>
      <c r="Q1303" s="127" t="n"/>
      <c r="R1303" s="127" t="n"/>
      <c r="S1303" s="127" t="n"/>
      <c r="T1303" s="127" t="n"/>
      <c r="U1303" s="127" t="n"/>
      <c r="V1303" s="127" t="n"/>
      <c r="W1303" s="127" t="n"/>
      <c r="X1303" s="127" t="n"/>
      <c r="Y1303" s="127" t="n"/>
      <c r="Z1303" s="140" t="n"/>
    </row>
    <row r="1304">
      <c r="A1304" s="203">
        <f>ROW()-1</f>
        <v/>
      </c>
      <c r="B1304" s="128" t="n"/>
      <c r="C1304" s="263" t="n"/>
      <c r="D1304" s="262" t="n"/>
      <c r="E1304" s="128" t="n"/>
      <c r="F1304" s="138" t="inlineStr">
        <is>
          <t>SPARE</t>
        </is>
      </c>
      <c r="G1304" s="131" t="n"/>
      <c r="H1304" s="128" t="n"/>
      <c r="I1304" s="132" t="inlineStr">
        <is>
          <t>RL7-DAGC1-RIO1</t>
        </is>
      </c>
      <c r="J1304" s="133" t="n">
        <v>14</v>
      </c>
      <c r="K1304" s="129" t="n">
        <v>2</v>
      </c>
      <c r="L1304" s="129" t="n">
        <v>4</v>
      </c>
      <c r="M1304" s="129" t="inlineStr">
        <is>
          <t>24 VDC SI</t>
        </is>
      </c>
      <c r="N1304" s="129" t="inlineStr">
        <is>
          <t>5069-IB8S</t>
        </is>
      </c>
      <c r="O1304" s="139" t="n"/>
      <c r="P1304" s="127" t="n"/>
      <c r="Q1304" s="127" t="n"/>
      <c r="R1304" s="127" t="n"/>
      <c r="S1304" s="127" t="n"/>
      <c r="T1304" s="127" t="n"/>
      <c r="U1304" s="127" t="n"/>
      <c r="V1304" s="127" t="n"/>
      <c r="W1304" s="127" t="n"/>
      <c r="X1304" s="127" t="n"/>
      <c r="Y1304" s="127" t="n"/>
      <c r="Z1304" s="140" t="n"/>
    </row>
    <row r="1305">
      <c r="A1305" s="203">
        <f>ROW()-1</f>
        <v/>
      </c>
      <c r="B1305" s="128" t="n"/>
      <c r="C1305" s="263" t="n"/>
      <c r="D1305" s="262" t="n"/>
      <c r="E1305" s="128" t="n"/>
      <c r="F1305" s="138" t="inlineStr">
        <is>
          <t>SPARE</t>
        </is>
      </c>
      <c r="G1305" s="131" t="n"/>
      <c r="H1305" s="128" t="n"/>
      <c r="I1305" s="132" t="inlineStr">
        <is>
          <t>RL7-DAGC1-RIO1</t>
        </is>
      </c>
      <c r="J1305" s="133" t="n">
        <v>14</v>
      </c>
      <c r="K1305" s="129" t="n">
        <v>2</v>
      </c>
      <c r="L1305" s="129" t="n">
        <v>5</v>
      </c>
      <c r="M1305" s="129" t="inlineStr">
        <is>
          <t>24 VDC SI</t>
        </is>
      </c>
      <c r="N1305" s="129" t="inlineStr">
        <is>
          <t>5069-IB8S</t>
        </is>
      </c>
      <c r="O1305" s="139" t="n"/>
      <c r="P1305" s="127" t="n"/>
      <c r="Q1305" s="127" t="n"/>
      <c r="R1305" s="127" t="n"/>
      <c r="S1305" s="127" t="n"/>
      <c r="T1305" s="127" t="n"/>
      <c r="U1305" s="127" t="n"/>
      <c r="V1305" s="127" t="n"/>
      <c r="W1305" s="127" t="n"/>
      <c r="X1305" s="127" t="n"/>
      <c r="Y1305" s="127" t="n"/>
      <c r="Z1305" s="140" t="n"/>
    </row>
    <row r="1306" customFormat="1" s="149">
      <c r="A1306" s="203">
        <f>ROW()-1</f>
        <v/>
      </c>
      <c r="B1306" s="128" t="n"/>
      <c r="C1306" s="263" t="n"/>
      <c r="D1306" s="262" t="n"/>
      <c r="E1306" s="128" t="n"/>
      <c r="F1306" s="138" t="inlineStr">
        <is>
          <t>SPARE</t>
        </is>
      </c>
      <c r="G1306" s="131" t="n"/>
      <c r="H1306" s="128" t="n"/>
      <c r="I1306" s="132" t="inlineStr">
        <is>
          <t>RL7-DAGC1-RIO1</t>
        </is>
      </c>
      <c r="J1306" s="133" t="n">
        <v>14</v>
      </c>
      <c r="K1306" s="129" t="n">
        <v>2</v>
      </c>
      <c r="L1306" s="129" t="n">
        <v>6</v>
      </c>
      <c r="M1306" s="129" t="inlineStr">
        <is>
          <t>24 VDC SI</t>
        </is>
      </c>
      <c r="N1306" s="129" t="inlineStr">
        <is>
          <t>5069-IB8S</t>
        </is>
      </c>
      <c r="O1306" s="139" t="n"/>
      <c r="P1306" s="127" t="n"/>
      <c r="Q1306" s="127" t="n"/>
      <c r="R1306" s="127" t="n"/>
      <c r="S1306" s="127" t="n"/>
      <c r="T1306" s="127" t="n"/>
      <c r="U1306" s="127" t="n"/>
      <c r="V1306" s="127" t="n"/>
      <c r="W1306" s="127" t="n"/>
      <c r="X1306" s="127" t="n"/>
      <c r="Y1306" s="127" t="n"/>
      <c r="Z1306" s="140" t="n"/>
    </row>
    <row r="1307" customFormat="1" s="149">
      <c r="A1307" s="203">
        <f>ROW()-1</f>
        <v/>
      </c>
      <c r="B1307" s="128" t="n"/>
      <c r="C1307" s="263" t="n"/>
      <c r="D1307" s="262" t="n"/>
      <c r="E1307" s="128" t="n"/>
      <c r="F1307" s="138" t="inlineStr">
        <is>
          <t>SPARE</t>
        </is>
      </c>
      <c r="G1307" s="131" t="n"/>
      <c r="H1307" s="128" t="n"/>
      <c r="I1307" s="132" t="inlineStr">
        <is>
          <t>RL7-DAGC1-RIO1</t>
        </is>
      </c>
      <c r="J1307" s="133" t="n">
        <v>14</v>
      </c>
      <c r="K1307" s="129" t="n">
        <v>2</v>
      </c>
      <c r="L1307" s="129" t="n">
        <v>7</v>
      </c>
      <c r="M1307" s="129" t="inlineStr">
        <is>
          <t>24 VDC SI</t>
        </is>
      </c>
      <c r="N1307" s="129" t="inlineStr">
        <is>
          <t>5069-IB8S</t>
        </is>
      </c>
      <c r="O1307" s="139" t="n"/>
      <c r="P1307" s="127" t="n"/>
      <c r="Q1307" s="127" t="n"/>
      <c r="R1307" s="127" t="n"/>
      <c r="S1307" s="127" t="n"/>
      <c r="T1307" s="127" t="n"/>
      <c r="U1307" s="127" t="n"/>
      <c r="V1307" s="127" t="n"/>
      <c r="W1307" s="127" t="n"/>
      <c r="X1307" s="127" t="n"/>
      <c r="Y1307" s="127" t="n"/>
      <c r="Z1307" s="140" t="n"/>
    </row>
    <row r="1308">
      <c r="A1308" s="203">
        <f>ROW()-1</f>
        <v/>
      </c>
      <c r="B1308" s="128" t="n"/>
      <c r="C1308" s="263" t="n"/>
      <c r="D1308" s="262" t="n"/>
      <c r="E1308" s="128" t="n"/>
      <c r="F1308" s="138" t="inlineStr">
        <is>
          <t>SPARE</t>
        </is>
      </c>
      <c r="G1308" s="131" t="n"/>
      <c r="H1308" s="128" t="n"/>
      <c r="I1308" s="132" t="inlineStr">
        <is>
          <t>RL7-DAGC1-RIO1</t>
        </is>
      </c>
      <c r="J1308" s="133" t="n">
        <v>14</v>
      </c>
      <c r="K1308" s="129" t="n">
        <v>3</v>
      </c>
      <c r="L1308" s="129" t="n">
        <v>2</v>
      </c>
      <c r="M1308" s="129" t="inlineStr">
        <is>
          <t>24 VDC SO</t>
        </is>
      </c>
      <c r="N1308" s="129" t="inlineStr">
        <is>
          <t>5069-OBV8S</t>
        </is>
      </c>
      <c r="O1308" s="139" t="n"/>
      <c r="P1308" s="127" t="n"/>
      <c r="Q1308" s="127" t="n"/>
      <c r="R1308" s="127" t="n"/>
      <c r="S1308" s="127" t="n"/>
      <c r="T1308" s="127" t="n"/>
      <c r="U1308" s="127" t="n"/>
      <c r="V1308" s="127" t="n"/>
      <c r="W1308" s="127" t="n"/>
      <c r="X1308" s="127" t="n"/>
      <c r="Y1308" s="127" t="n"/>
      <c r="Z1308" s="140" t="n"/>
    </row>
    <row r="1309">
      <c r="A1309" s="203">
        <f>ROW()-1</f>
        <v/>
      </c>
      <c r="B1309" s="128" t="n"/>
      <c r="C1309" s="263" t="n"/>
      <c r="D1309" s="262" t="n"/>
      <c r="E1309" s="128" t="n"/>
      <c r="F1309" s="138" t="inlineStr">
        <is>
          <t>SPARE</t>
        </is>
      </c>
      <c r="G1309" s="131" t="n"/>
      <c r="H1309" s="128" t="n"/>
      <c r="I1309" s="132" t="inlineStr">
        <is>
          <t>RL7-DAGC1-RIO1</t>
        </is>
      </c>
      <c r="J1309" s="133" t="n">
        <v>14</v>
      </c>
      <c r="K1309" s="129" t="n">
        <v>3</v>
      </c>
      <c r="L1309" s="129" t="n">
        <v>3</v>
      </c>
      <c r="M1309" s="129" t="inlineStr">
        <is>
          <t>24 VDC SO</t>
        </is>
      </c>
      <c r="N1309" s="129" t="inlineStr">
        <is>
          <t>5069-OBV8S</t>
        </is>
      </c>
      <c r="O1309" s="139" t="n"/>
      <c r="P1309" s="127" t="n"/>
      <c r="Q1309" s="127" t="n"/>
      <c r="R1309" s="127" t="n"/>
      <c r="S1309" s="127" t="n"/>
      <c r="T1309" s="127" t="n"/>
      <c r="U1309" s="127" t="n"/>
      <c r="V1309" s="127" t="n"/>
      <c r="W1309" s="127" t="n"/>
      <c r="X1309" s="127" t="n"/>
      <c r="Y1309" s="127" t="n"/>
      <c r="Z1309" s="140" t="n"/>
    </row>
    <row r="1310">
      <c r="A1310" s="203">
        <f>ROW()-1</f>
        <v/>
      </c>
      <c r="B1310" s="128" t="n"/>
      <c r="C1310" s="263" t="n"/>
      <c r="D1310" s="262" t="n"/>
      <c r="E1310" s="128" t="n"/>
      <c r="F1310" s="138" t="inlineStr">
        <is>
          <t>SPARE</t>
        </is>
      </c>
      <c r="G1310" s="131" t="n"/>
      <c r="H1310" s="128" t="n"/>
      <c r="I1310" s="132" t="inlineStr">
        <is>
          <t>RL7-DAGC1-RIO1</t>
        </is>
      </c>
      <c r="J1310" s="133" t="n">
        <v>14</v>
      </c>
      <c r="K1310" s="129" t="n">
        <v>3</v>
      </c>
      <c r="L1310" s="129" t="n">
        <v>4</v>
      </c>
      <c r="M1310" s="129" t="inlineStr">
        <is>
          <t>24 VDC SO</t>
        </is>
      </c>
      <c r="N1310" s="129" t="inlineStr">
        <is>
          <t>5069-OBV8S</t>
        </is>
      </c>
      <c r="O1310" s="139" t="n"/>
      <c r="P1310" s="127" t="n"/>
      <c r="Q1310" s="127" t="n"/>
      <c r="R1310" s="127" t="n"/>
      <c r="S1310" s="127" t="n"/>
      <c r="T1310" s="127" t="n"/>
      <c r="U1310" s="127" t="n"/>
      <c r="V1310" s="127" t="n"/>
      <c r="W1310" s="127" t="n"/>
      <c r="X1310" s="127" t="n"/>
      <c r="Y1310" s="127" t="n"/>
      <c r="Z1310" s="140" t="n"/>
    </row>
    <row r="1311">
      <c r="A1311" s="203">
        <f>ROW()-1</f>
        <v/>
      </c>
      <c r="B1311" s="128" t="n"/>
      <c r="C1311" s="263" t="n"/>
      <c r="D1311" s="262" t="n"/>
      <c r="E1311" s="128" t="n"/>
      <c r="F1311" s="138" t="inlineStr">
        <is>
          <t>SPARE</t>
        </is>
      </c>
      <c r="G1311" s="131" t="n"/>
      <c r="H1311" s="128" t="n"/>
      <c r="I1311" s="132" t="inlineStr">
        <is>
          <t>RL7-DAGC1-RIO1</t>
        </is>
      </c>
      <c r="J1311" s="133" t="n">
        <v>14</v>
      </c>
      <c r="K1311" s="129" t="n">
        <v>3</v>
      </c>
      <c r="L1311" s="129" t="n">
        <v>5</v>
      </c>
      <c r="M1311" s="129" t="inlineStr">
        <is>
          <t>24 VDC SO</t>
        </is>
      </c>
      <c r="N1311" s="129" t="inlineStr">
        <is>
          <t>5069-OBV8S</t>
        </is>
      </c>
      <c r="O1311" s="139" t="n"/>
      <c r="P1311" s="127" t="n"/>
      <c r="Q1311" s="127" t="n"/>
      <c r="R1311" s="127" t="n"/>
      <c r="S1311" s="127" t="n"/>
      <c r="T1311" s="127" t="n"/>
      <c r="U1311" s="127" t="n"/>
      <c r="V1311" s="127" t="n"/>
      <c r="W1311" s="127" t="n"/>
      <c r="X1311" s="127" t="n"/>
      <c r="Y1311" s="127" t="n"/>
      <c r="Z1311" s="140" t="n"/>
    </row>
    <row r="1312">
      <c r="A1312" s="203">
        <f>ROW()-1</f>
        <v/>
      </c>
      <c r="B1312" s="128" t="n"/>
      <c r="C1312" s="263" t="n"/>
      <c r="D1312" s="262" t="n"/>
      <c r="E1312" s="128" t="n"/>
      <c r="F1312" s="138" t="inlineStr">
        <is>
          <t>SPARE</t>
        </is>
      </c>
      <c r="G1312" s="131" t="n"/>
      <c r="H1312" s="128" t="n"/>
      <c r="I1312" s="132" t="inlineStr">
        <is>
          <t>RL7-DAGC1-RIO1</t>
        </is>
      </c>
      <c r="J1312" s="133" t="n">
        <v>14</v>
      </c>
      <c r="K1312" s="129" t="n">
        <v>3</v>
      </c>
      <c r="L1312" s="129" t="n">
        <v>6</v>
      </c>
      <c r="M1312" s="129" t="inlineStr">
        <is>
          <t>24 VDC SO</t>
        </is>
      </c>
      <c r="N1312" s="129" t="inlineStr">
        <is>
          <t>5069-OBV8S</t>
        </is>
      </c>
      <c r="O1312" s="139" t="n"/>
      <c r="P1312" s="127" t="n"/>
      <c r="Q1312" s="127" t="n"/>
      <c r="R1312" s="127" t="n"/>
      <c r="S1312" s="127" t="n"/>
      <c r="T1312" s="127" t="n"/>
      <c r="U1312" s="127" t="n"/>
      <c r="V1312" s="127" t="n"/>
      <c r="W1312" s="127" t="n"/>
      <c r="X1312" s="127" t="n"/>
      <c r="Y1312" s="127" t="n"/>
      <c r="Z1312" s="140" t="n"/>
    </row>
    <row r="1313">
      <c r="A1313" s="203">
        <f>ROW()-1</f>
        <v/>
      </c>
      <c r="B1313" s="128" t="n"/>
      <c r="C1313" s="263" t="n"/>
      <c r="D1313" s="262" t="n"/>
      <c r="E1313" s="128" t="n"/>
      <c r="F1313" s="138" t="inlineStr">
        <is>
          <t>SPARE</t>
        </is>
      </c>
      <c r="G1313" s="131" t="n"/>
      <c r="H1313" s="128" t="n"/>
      <c r="I1313" s="132" t="inlineStr">
        <is>
          <t>RL7-DAGC1-RIO1</t>
        </is>
      </c>
      <c r="J1313" s="133" t="n">
        <v>14</v>
      </c>
      <c r="K1313" s="129" t="n">
        <v>3</v>
      </c>
      <c r="L1313" s="129" t="n">
        <v>7</v>
      </c>
      <c r="M1313" s="129" t="inlineStr">
        <is>
          <t>24 VDC SO</t>
        </is>
      </c>
      <c r="N1313" s="129" t="inlineStr">
        <is>
          <t>5069-OBV8S</t>
        </is>
      </c>
      <c r="O1313" s="139" t="n"/>
      <c r="P1313" s="127" t="n"/>
      <c r="Q1313" s="127" t="n"/>
      <c r="R1313" s="127" t="n"/>
      <c r="S1313" s="127" t="n"/>
      <c r="T1313" s="127" t="n"/>
      <c r="U1313" s="127" t="n"/>
      <c r="V1313" s="127" t="n"/>
      <c r="W1313" s="127" t="n"/>
      <c r="X1313" s="127" t="n"/>
      <c r="Y1313" s="127" t="n"/>
      <c r="Z1313" s="140" t="n"/>
    </row>
    <row r="1314" customFormat="1" s="149">
      <c r="A1314" s="203">
        <f>ROW()-1</f>
        <v/>
      </c>
      <c r="B1314" s="128" t="inlineStr">
        <is>
          <t>RL7-AGC-201-ZSC-03</t>
        </is>
      </c>
      <c r="C1314" s="263" t="n"/>
      <c r="D1314" s="262" t="n"/>
      <c r="E1314" s="128" t="n"/>
      <c r="F1314" s="141" t="inlineStr">
        <is>
          <t>SPARE</t>
        </is>
      </c>
      <c r="G1314" s="131" t="n"/>
      <c r="H1314" s="128" t="n"/>
      <c r="I1314" s="132" t="inlineStr">
        <is>
          <t>RL7-DAGC1-RIO1</t>
        </is>
      </c>
      <c r="J1314" s="133" t="n">
        <v>14</v>
      </c>
      <c r="K1314" s="129" t="n">
        <v>4</v>
      </c>
      <c r="L1314" s="129" t="n">
        <v>3</v>
      </c>
      <c r="M1314" s="129" t="inlineStr">
        <is>
          <t>24 VDC DI</t>
        </is>
      </c>
      <c r="N1314" s="129" t="inlineStr">
        <is>
          <t>5069-IB16</t>
        </is>
      </c>
      <c r="O1314" s="139" t="n"/>
      <c r="P1314" s="127" t="n"/>
      <c r="Q1314" s="127" t="n"/>
      <c r="R1314" s="127" t="n"/>
      <c r="S1314" s="127" t="n"/>
      <c r="T1314" s="127" t="n"/>
      <c r="U1314" s="127" t="n"/>
      <c r="V1314" s="127" t="n"/>
      <c r="W1314" s="127" t="n"/>
      <c r="X1314" s="127" t="n"/>
      <c r="Y1314" s="127" t="n"/>
      <c r="Z1314" s="140" t="n"/>
    </row>
    <row r="1315" customFormat="1" s="149">
      <c r="A1315" s="203">
        <f>ROW()-1</f>
        <v/>
      </c>
      <c r="B1315" s="128" t="inlineStr">
        <is>
          <t>RL7-AGC-201-ZSC-04</t>
        </is>
      </c>
      <c r="C1315" s="263" t="n"/>
      <c r="D1315" s="262" t="n"/>
      <c r="E1315" s="128" t="n"/>
      <c r="F1315" s="141" t="inlineStr">
        <is>
          <t>SPARE</t>
        </is>
      </c>
      <c r="G1315" s="131" t="n"/>
      <c r="H1315" s="128" t="n"/>
      <c r="I1315" s="132" t="inlineStr">
        <is>
          <t>RL7-DAGC1-RIO1</t>
        </is>
      </c>
      <c r="J1315" s="133" t="n">
        <v>14</v>
      </c>
      <c r="K1315" s="129" t="n">
        <v>4</v>
      </c>
      <c r="L1315" s="129" t="n">
        <v>4</v>
      </c>
      <c r="M1315" s="129" t="inlineStr">
        <is>
          <t>24 VDC DI</t>
        </is>
      </c>
      <c r="N1315" s="129" t="inlineStr">
        <is>
          <t>5069-IB16</t>
        </is>
      </c>
      <c r="O1315" s="139" t="n"/>
      <c r="P1315" s="127" t="n"/>
      <c r="Q1315" s="127" t="n"/>
      <c r="R1315" s="127" t="n"/>
      <c r="S1315" s="127" t="n"/>
      <c r="T1315" s="127" t="n"/>
      <c r="U1315" s="127" t="n"/>
      <c r="V1315" s="127" t="n"/>
      <c r="W1315" s="127" t="n"/>
      <c r="X1315" s="127" t="n"/>
      <c r="Y1315" s="127" t="n"/>
      <c r="Z1315" s="140" t="n"/>
    </row>
    <row r="1316">
      <c r="A1316" s="203">
        <f>ROW()-1</f>
        <v/>
      </c>
      <c r="B1316" s="128" t="n"/>
      <c r="C1316" s="263" t="n"/>
      <c r="D1316" s="264" t="n"/>
      <c r="E1316" s="133" t="n"/>
      <c r="F1316" s="141" t="inlineStr">
        <is>
          <t>SPARE</t>
        </is>
      </c>
      <c r="G1316" s="142" t="n"/>
      <c r="H1316" s="133" t="n"/>
      <c r="I1316" s="132" t="inlineStr">
        <is>
          <t>RL7-DAGC1-RIO1</t>
        </is>
      </c>
      <c r="J1316" s="133" t="n">
        <v>14</v>
      </c>
      <c r="K1316" s="129" t="n">
        <v>4</v>
      </c>
      <c r="L1316" s="129" t="n">
        <v>5</v>
      </c>
      <c r="M1316" s="129" t="inlineStr">
        <is>
          <t>24 VDC DI</t>
        </is>
      </c>
      <c r="N1316" s="129" t="inlineStr">
        <is>
          <t>5069-IB16</t>
        </is>
      </c>
      <c r="O1316" s="139" t="n"/>
      <c r="P1316" s="127" t="n"/>
      <c r="Q1316" s="127" t="n"/>
      <c r="R1316" s="127" t="n"/>
      <c r="S1316" s="127" t="n"/>
      <c r="T1316" s="127" t="n"/>
      <c r="U1316" s="127" t="n"/>
      <c r="V1316" s="127" t="n"/>
      <c r="W1316" s="127" t="n"/>
      <c r="X1316" s="127" t="n"/>
      <c r="Y1316" s="127" t="n"/>
      <c r="Z1316" s="140" t="n"/>
    </row>
    <row r="1317">
      <c r="A1317" s="203">
        <f>ROW()-1</f>
        <v/>
      </c>
      <c r="B1317" s="128" t="inlineStr">
        <is>
          <t>RL7-AGC-201-HS-01B</t>
        </is>
      </c>
      <c r="C1317" s="263" t="n"/>
      <c r="D1317" s="262" t="n"/>
      <c r="E1317" s="128" t="n"/>
      <c r="F1317" s="138" t="inlineStr">
        <is>
          <t>SPARE</t>
        </is>
      </c>
      <c r="G1317" s="131" t="n"/>
      <c r="H1317" s="128" t="n"/>
      <c r="I1317" s="132" t="inlineStr">
        <is>
          <t>RL7-DAGC1-RIO1</t>
        </is>
      </c>
      <c r="J1317" s="133" t="n">
        <v>14</v>
      </c>
      <c r="K1317" s="129" t="n">
        <v>4</v>
      </c>
      <c r="L1317" s="129" t="n">
        <v>9</v>
      </c>
      <c r="M1317" s="129" t="inlineStr">
        <is>
          <t>24 VDC DI</t>
        </is>
      </c>
      <c r="N1317" s="129" t="inlineStr">
        <is>
          <t>5069-IB16</t>
        </is>
      </c>
      <c r="O1317" s="139" t="n"/>
      <c r="P1317" s="127" t="n"/>
      <c r="Q1317" s="127" t="n"/>
      <c r="R1317" s="127" t="n"/>
      <c r="S1317" s="127" t="n"/>
      <c r="T1317" s="127" t="n"/>
      <c r="U1317" s="127" t="n"/>
      <c r="V1317" s="127" t="n"/>
      <c r="W1317" s="127" t="n"/>
      <c r="X1317" s="127" t="n"/>
      <c r="Y1317" s="127" t="n"/>
      <c r="Z1317" s="140" t="n"/>
    </row>
    <row r="1318">
      <c r="A1318" s="203">
        <f>ROW()-1</f>
        <v/>
      </c>
      <c r="B1318" s="128" t="inlineStr">
        <is>
          <t>RL7-AGC-201-PB-02</t>
        </is>
      </c>
      <c r="C1318" s="263" t="n"/>
      <c r="D1318" s="262" t="n"/>
      <c r="E1318" s="128" t="n"/>
      <c r="F1318" s="138" t="inlineStr">
        <is>
          <t>SPARE</t>
        </is>
      </c>
      <c r="G1318" s="131" t="n"/>
      <c r="H1318" s="128" t="n"/>
      <c r="I1318" s="132" t="inlineStr">
        <is>
          <t>RL7-DAGC1-RIO1</t>
        </is>
      </c>
      <c r="J1318" s="133" t="n">
        <v>14</v>
      </c>
      <c r="K1318" s="129" t="n">
        <v>4</v>
      </c>
      <c r="L1318" s="129" t="n">
        <v>10</v>
      </c>
      <c r="M1318" s="129" t="inlineStr">
        <is>
          <t>24 VDC DI</t>
        </is>
      </c>
      <c r="N1318" s="129" t="inlineStr">
        <is>
          <t>5069-IB16</t>
        </is>
      </c>
      <c r="O1318" s="139" t="n"/>
      <c r="P1318" s="127" t="n"/>
      <c r="Q1318" s="127" t="n"/>
      <c r="R1318" s="127" t="n"/>
      <c r="S1318" s="127" t="n"/>
      <c r="T1318" s="127" t="n"/>
      <c r="U1318" s="127" t="n"/>
      <c r="V1318" s="127" t="n"/>
      <c r="W1318" s="127" t="n"/>
      <c r="X1318" s="127" t="n"/>
      <c r="Y1318" s="127" t="n"/>
      <c r="Z1318" s="140" t="n"/>
    </row>
    <row r="1319" customFormat="1" s="149">
      <c r="A1319" s="203">
        <f>ROW()-1</f>
        <v/>
      </c>
      <c r="B1319" s="128" t="n"/>
      <c r="C1319" s="263" t="n"/>
      <c r="D1319" s="262" t="n"/>
      <c r="E1319" s="128" t="n"/>
      <c r="F1319" s="138" t="inlineStr">
        <is>
          <t>SPARE</t>
        </is>
      </c>
      <c r="G1319" s="131" t="n"/>
      <c r="H1319" s="128" t="n"/>
      <c r="I1319" s="132" t="inlineStr">
        <is>
          <t>RL7-DAGC1-RIO1</t>
        </is>
      </c>
      <c r="J1319" s="133" t="n">
        <v>14</v>
      </c>
      <c r="K1319" s="129" t="n">
        <v>4</v>
      </c>
      <c r="L1319" s="129" t="n">
        <v>11</v>
      </c>
      <c r="M1319" s="129" t="inlineStr">
        <is>
          <t>24 VDC DI</t>
        </is>
      </c>
      <c r="N1319" s="129" t="inlineStr">
        <is>
          <t>5069-IB16</t>
        </is>
      </c>
      <c r="O1319" s="139" t="n"/>
      <c r="P1319" s="127" t="n"/>
      <c r="Q1319" s="127" t="n"/>
      <c r="R1319" s="127" t="n"/>
      <c r="S1319" s="127" t="n"/>
      <c r="T1319" s="127" t="n"/>
      <c r="U1319" s="127" t="n"/>
      <c r="V1319" s="127" t="n"/>
      <c r="W1319" s="127" t="n"/>
      <c r="X1319" s="127" t="n"/>
      <c r="Y1319" s="127" t="n"/>
      <c r="Z1319" s="140" t="n"/>
    </row>
    <row r="1320" customFormat="1" s="149">
      <c r="A1320" s="203">
        <f>ROW()-1</f>
        <v/>
      </c>
      <c r="B1320" s="128" t="n"/>
      <c r="C1320" s="263" t="n"/>
      <c r="D1320" s="264" t="n"/>
      <c r="E1320" s="128" t="n"/>
      <c r="F1320" s="141" t="inlineStr">
        <is>
          <t>SPARE</t>
        </is>
      </c>
      <c r="G1320" s="142" t="n"/>
      <c r="H1320" s="133" t="n"/>
      <c r="I1320" s="132" t="inlineStr">
        <is>
          <t>RL7-DAGC1-RIO1</t>
        </is>
      </c>
      <c r="J1320" s="133" t="n">
        <v>14</v>
      </c>
      <c r="K1320" s="129" t="n">
        <v>4</v>
      </c>
      <c r="L1320" s="129" t="n">
        <v>12</v>
      </c>
      <c r="M1320" s="129" t="inlineStr">
        <is>
          <t>24 VDC DI</t>
        </is>
      </c>
      <c r="N1320" s="129" t="inlineStr">
        <is>
          <t>5069-IB16</t>
        </is>
      </c>
      <c r="O1320" s="139" t="n"/>
      <c r="P1320" s="127" t="n"/>
      <c r="Q1320" s="127" t="n"/>
      <c r="R1320" s="127" t="n"/>
      <c r="S1320" s="127" t="n"/>
      <c r="T1320" s="127" t="n"/>
      <c r="U1320" s="127" t="n"/>
      <c r="V1320" s="127" t="n"/>
      <c r="W1320" s="127" t="n"/>
      <c r="X1320" s="127" t="n"/>
      <c r="Y1320" s="127" t="n"/>
      <c r="Z1320" s="140" t="n"/>
    </row>
    <row r="1321" customFormat="1" s="149">
      <c r="A1321" s="203">
        <f>ROW()-1</f>
        <v/>
      </c>
      <c r="B1321" s="128" t="n"/>
      <c r="C1321" s="263" t="n"/>
      <c r="D1321" s="264" t="n"/>
      <c r="E1321" s="128" t="n"/>
      <c r="F1321" s="141" t="inlineStr">
        <is>
          <t>SPARE</t>
        </is>
      </c>
      <c r="G1321" s="142" t="n"/>
      <c r="H1321" s="133" t="n"/>
      <c r="I1321" s="132" t="inlineStr">
        <is>
          <t>RL7-DAGC1-RIO1</t>
        </is>
      </c>
      <c r="J1321" s="133" t="n">
        <v>14</v>
      </c>
      <c r="K1321" s="129" t="n">
        <v>4</v>
      </c>
      <c r="L1321" s="129" t="n">
        <v>13</v>
      </c>
      <c r="M1321" s="129" t="inlineStr">
        <is>
          <t>24 VDC DI</t>
        </is>
      </c>
      <c r="N1321" s="129" t="inlineStr">
        <is>
          <t>5069-IB16</t>
        </is>
      </c>
      <c r="O1321" s="139" t="n"/>
      <c r="P1321" s="127" t="n"/>
      <c r="Q1321" s="127" t="n"/>
      <c r="R1321" s="127" t="n"/>
      <c r="S1321" s="127" t="n"/>
      <c r="T1321" s="127" t="n"/>
      <c r="U1321" s="127" t="n"/>
      <c r="V1321" s="127" t="n"/>
      <c r="W1321" s="127" t="n"/>
      <c r="X1321" s="127" t="n"/>
      <c r="Y1321" s="127" t="n"/>
      <c r="Z1321" s="140" t="n"/>
    </row>
    <row r="1322" customFormat="1" s="149">
      <c r="A1322" s="203">
        <f>ROW()-1</f>
        <v/>
      </c>
      <c r="B1322" s="128" t="n"/>
      <c r="C1322" s="263" t="n"/>
      <c r="D1322" s="264" t="n"/>
      <c r="E1322" s="128" t="n"/>
      <c r="F1322" s="141" t="inlineStr">
        <is>
          <t>SPARE</t>
        </is>
      </c>
      <c r="G1322" s="142" t="n"/>
      <c r="H1322" s="133" t="n"/>
      <c r="I1322" s="132" t="inlineStr">
        <is>
          <t>RL7-DAGC1-RIO1</t>
        </is>
      </c>
      <c r="J1322" s="133" t="n">
        <v>14</v>
      </c>
      <c r="K1322" s="129" t="n">
        <v>4</v>
      </c>
      <c r="L1322" s="129" t="n">
        <v>14</v>
      </c>
      <c r="M1322" s="129" t="inlineStr">
        <is>
          <t>24 VDC DI</t>
        </is>
      </c>
      <c r="N1322" s="129" t="inlineStr">
        <is>
          <t>5069-IB16</t>
        </is>
      </c>
      <c r="O1322" s="139" t="n"/>
      <c r="P1322" s="127" t="n"/>
      <c r="Q1322" s="127" t="n"/>
      <c r="R1322" s="127" t="n"/>
      <c r="S1322" s="127" t="n"/>
      <c r="T1322" s="127" t="n"/>
      <c r="U1322" s="127" t="n"/>
      <c r="V1322" s="127" t="n"/>
      <c r="W1322" s="127" t="n"/>
      <c r="X1322" s="127" t="n"/>
      <c r="Y1322" s="127" t="n"/>
      <c r="Z1322" s="140" t="n"/>
    </row>
    <row r="1323" customFormat="1" s="149">
      <c r="A1323" s="203">
        <f>ROW()-1</f>
        <v/>
      </c>
      <c r="B1323" s="128" t="n"/>
      <c r="C1323" s="263" t="n"/>
      <c r="D1323" s="264" t="n"/>
      <c r="E1323" s="128" t="n"/>
      <c r="F1323" s="141" t="inlineStr">
        <is>
          <t>SPARE</t>
        </is>
      </c>
      <c r="G1323" s="142" t="n"/>
      <c r="H1323" s="133" t="n"/>
      <c r="I1323" s="132" t="inlineStr">
        <is>
          <t>RL7-DAGC1-RIO1</t>
        </is>
      </c>
      <c r="J1323" s="133" t="n">
        <v>14</v>
      </c>
      <c r="K1323" s="129" t="n">
        <v>4</v>
      </c>
      <c r="L1323" s="129" t="n">
        <v>15</v>
      </c>
      <c r="M1323" s="129" t="inlineStr">
        <is>
          <t>24 VDC DI</t>
        </is>
      </c>
      <c r="N1323" s="129" t="inlineStr">
        <is>
          <t>5069-IB16</t>
        </is>
      </c>
      <c r="O1323" s="139" t="n"/>
      <c r="P1323" s="127" t="n"/>
      <c r="Q1323" s="127" t="n"/>
      <c r="R1323" s="127" t="n"/>
      <c r="S1323" s="127" t="n"/>
      <c r="T1323" s="127" t="n"/>
      <c r="U1323" s="127" t="n"/>
      <c r="V1323" s="127" t="n"/>
      <c r="W1323" s="127" t="n"/>
      <c r="X1323" s="127" t="n"/>
      <c r="Y1323" s="127" t="n"/>
      <c r="Z1323" s="140" t="n"/>
    </row>
    <row r="1324">
      <c r="A1324" s="203">
        <f>ROW()-1</f>
        <v/>
      </c>
      <c r="B1324" s="133" t="inlineStr">
        <is>
          <t>RL7-AGC-201-PB-02</t>
        </is>
      </c>
      <c r="C1324" s="263" t="n"/>
      <c r="D1324" s="264" t="n"/>
      <c r="E1324" s="133" t="n"/>
      <c r="F1324" s="141" t="inlineStr">
        <is>
          <t>SPARE</t>
        </is>
      </c>
      <c r="G1324" s="142" t="n"/>
      <c r="H1324" s="133" t="n"/>
      <c r="I1324" s="142" t="inlineStr">
        <is>
          <t>RL7-DAGC1-RIO1</t>
        </is>
      </c>
      <c r="J1324" s="133" t="n">
        <v>14</v>
      </c>
      <c r="K1324" s="133" t="n">
        <v>5</v>
      </c>
      <c r="L1324" s="133" t="n">
        <v>10</v>
      </c>
      <c r="M1324" s="133" t="inlineStr">
        <is>
          <t>24 VDC DI</t>
        </is>
      </c>
      <c r="N1324" s="133" t="inlineStr">
        <is>
          <t>5069-IB16</t>
        </is>
      </c>
      <c r="O1324" s="139" t="n"/>
      <c r="P1324" s="127" t="n"/>
      <c r="Q1324" s="127" t="n"/>
      <c r="R1324" s="127" t="n"/>
      <c r="S1324" s="127" t="n"/>
      <c r="T1324" s="127" t="n"/>
      <c r="U1324" s="127" t="n"/>
      <c r="V1324" s="127" t="n"/>
      <c r="W1324" s="127" t="n"/>
      <c r="X1324" s="127" t="n"/>
      <c r="Y1324" s="127" t="n"/>
      <c r="Z1324" s="140" t="n"/>
    </row>
    <row r="1325">
      <c r="A1325" s="203">
        <f>ROW()-1</f>
        <v/>
      </c>
      <c r="B1325" s="133" t="n"/>
      <c r="C1325" s="263" t="n"/>
      <c r="D1325" s="264" t="n"/>
      <c r="E1325" s="133" t="n"/>
      <c r="F1325" s="141" t="inlineStr">
        <is>
          <t>SPARE</t>
        </is>
      </c>
      <c r="G1325" s="142" t="n"/>
      <c r="H1325" s="133" t="n"/>
      <c r="I1325" s="142" t="inlineStr">
        <is>
          <t>RL7-DAGC1-RIO1</t>
        </is>
      </c>
      <c r="J1325" s="133" t="n">
        <v>14</v>
      </c>
      <c r="K1325" s="133" t="n">
        <v>5</v>
      </c>
      <c r="L1325" s="133" t="n">
        <v>11</v>
      </c>
      <c r="M1325" s="133" t="inlineStr">
        <is>
          <t>24 VDC DI</t>
        </is>
      </c>
      <c r="N1325" s="133" t="inlineStr">
        <is>
          <t>5069-IB16</t>
        </is>
      </c>
      <c r="O1325" s="139" t="n"/>
      <c r="P1325" s="127" t="n"/>
      <c r="Q1325" s="127" t="n"/>
      <c r="R1325" s="127" t="n"/>
      <c r="S1325" s="127" t="n"/>
      <c r="T1325" s="127" t="n"/>
      <c r="U1325" s="127" t="n"/>
      <c r="V1325" s="127" t="n"/>
      <c r="W1325" s="127" t="n"/>
      <c r="X1325" s="127" t="n"/>
      <c r="Y1325" s="127" t="n"/>
      <c r="Z1325" s="140" t="n"/>
    </row>
    <row r="1326">
      <c r="A1326" s="203">
        <f>ROW()-1</f>
        <v/>
      </c>
      <c r="B1326" s="133" t="n"/>
      <c r="C1326" s="263" t="n"/>
      <c r="D1326" s="264" t="n"/>
      <c r="E1326" s="133" t="n"/>
      <c r="F1326" s="141" t="inlineStr">
        <is>
          <t>SPARE</t>
        </is>
      </c>
      <c r="G1326" s="142" t="n"/>
      <c r="H1326" s="133" t="n"/>
      <c r="I1326" s="142" t="inlineStr">
        <is>
          <t>RL7-DAGC1-RIO1</t>
        </is>
      </c>
      <c r="J1326" s="133" t="n">
        <v>14</v>
      </c>
      <c r="K1326" s="133" t="n">
        <v>5</v>
      </c>
      <c r="L1326" s="133" t="n">
        <v>12</v>
      </c>
      <c r="M1326" s="133" t="inlineStr">
        <is>
          <t>24 VDC DI</t>
        </is>
      </c>
      <c r="N1326" s="133" t="inlineStr">
        <is>
          <t>5069-IB16</t>
        </is>
      </c>
      <c r="O1326" s="139" t="n"/>
      <c r="P1326" s="127" t="n"/>
      <c r="Q1326" s="127" t="n"/>
      <c r="R1326" s="127" t="n"/>
      <c r="S1326" s="127" t="n"/>
      <c r="T1326" s="127" t="n"/>
      <c r="U1326" s="127" t="n"/>
      <c r="V1326" s="127" t="n"/>
      <c r="W1326" s="127" t="n"/>
      <c r="X1326" s="127" t="n"/>
      <c r="Y1326" s="127" t="n"/>
      <c r="Z1326" s="140" t="n"/>
    </row>
    <row r="1327">
      <c r="A1327" s="203">
        <f>ROW()-1</f>
        <v/>
      </c>
      <c r="B1327" s="133" t="n"/>
      <c r="C1327" s="263" t="n"/>
      <c r="D1327" s="264" t="n"/>
      <c r="E1327" s="133" t="n"/>
      <c r="F1327" s="141" t="inlineStr">
        <is>
          <t>SPARE</t>
        </is>
      </c>
      <c r="G1327" s="142" t="n"/>
      <c r="H1327" s="133" t="n"/>
      <c r="I1327" s="142" t="inlineStr">
        <is>
          <t>RL7-DAGC1-RIO1</t>
        </is>
      </c>
      <c r="J1327" s="133" t="n">
        <v>14</v>
      </c>
      <c r="K1327" s="133" t="n">
        <v>5</v>
      </c>
      <c r="L1327" s="133" t="n">
        <v>13</v>
      </c>
      <c r="M1327" s="133" t="inlineStr">
        <is>
          <t>24 VDC DI</t>
        </is>
      </c>
      <c r="N1327" s="133" t="inlineStr">
        <is>
          <t>5069-IB16</t>
        </is>
      </c>
      <c r="O1327" s="139" t="n"/>
      <c r="P1327" s="127" t="n"/>
      <c r="Q1327" s="127" t="n"/>
      <c r="R1327" s="127" t="n"/>
      <c r="S1327" s="127" t="n"/>
      <c r="T1327" s="127" t="n"/>
      <c r="U1327" s="127" t="n"/>
      <c r="V1327" s="127" t="n"/>
      <c r="W1327" s="127" t="n"/>
      <c r="X1327" s="127" t="n"/>
      <c r="Y1327" s="127" t="n"/>
      <c r="Z1327" s="140" t="n"/>
    </row>
    <row r="1328" customFormat="1" s="149">
      <c r="A1328" s="203">
        <f>ROW()-1</f>
        <v/>
      </c>
      <c r="B1328" s="133" t="n"/>
      <c r="C1328" s="263" t="n"/>
      <c r="D1328" s="264" t="n"/>
      <c r="E1328" s="133" t="n"/>
      <c r="F1328" s="141" t="inlineStr">
        <is>
          <t>SPARE</t>
        </is>
      </c>
      <c r="G1328" s="142" t="n"/>
      <c r="H1328" s="133" t="n"/>
      <c r="I1328" s="142" t="inlineStr">
        <is>
          <t>RL7-DAGC1-RIO1</t>
        </is>
      </c>
      <c r="J1328" s="133" t="n">
        <v>14</v>
      </c>
      <c r="K1328" s="133" t="n">
        <v>5</v>
      </c>
      <c r="L1328" s="133" t="n">
        <v>14</v>
      </c>
      <c r="M1328" s="133" t="inlineStr">
        <is>
          <t>24 VDC DI</t>
        </is>
      </c>
      <c r="N1328" s="133" t="inlineStr">
        <is>
          <t>5069-IB16</t>
        </is>
      </c>
      <c r="O1328" s="139" t="n"/>
      <c r="P1328" s="127" t="n"/>
      <c r="Q1328" s="127" t="n"/>
      <c r="R1328" s="127" t="n"/>
      <c r="S1328" s="127" t="n"/>
      <c r="T1328" s="127" t="n"/>
      <c r="U1328" s="127" t="n"/>
      <c r="V1328" s="127" t="n"/>
      <c r="W1328" s="127" t="n"/>
      <c r="X1328" s="127" t="n"/>
      <c r="Y1328" s="127" t="n"/>
      <c r="Z1328" s="140" t="n"/>
    </row>
    <row r="1329" customFormat="1" s="149">
      <c r="A1329" s="203">
        <f>ROW()-1</f>
        <v/>
      </c>
      <c r="B1329" s="133" t="n"/>
      <c r="C1329" s="263" t="n"/>
      <c r="D1329" s="264" t="n"/>
      <c r="E1329" s="133" t="n"/>
      <c r="F1329" s="141" t="inlineStr">
        <is>
          <t>SPARE</t>
        </is>
      </c>
      <c r="G1329" s="142" t="n"/>
      <c r="H1329" s="133" t="n"/>
      <c r="I1329" s="142" t="inlineStr">
        <is>
          <t>RL7-DAGC1-RIO1</t>
        </is>
      </c>
      <c r="J1329" s="133" t="n">
        <v>14</v>
      </c>
      <c r="K1329" s="133" t="n">
        <v>5</v>
      </c>
      <c r="L1329" s="133" t="n">
        <v>15</v>
      </c>
      <c r="M1329" s="133" t="inlineStr">
        <is>
          <t>24 VDC DI</t>
        </is>
      </c>
      <c r="N1329" s="133" t="inlineStr">
        <is>
          <t>5069-IB16</t>
        </is>
      </c>
      <c r="O1329" s="139" t="n"/>
      <c r="P1329" s="127" t="n"/>
      <c r="Q1329" s="127" t="n"/>
      <c r="R1329" s="127" t="n"/>
      <c r="S1329" s="127" t="n"/>
      <c r="T1329" s="127" t="n"/>
      <c r="U1329" s="127" t="n"/>
      <c r="V1329" s="127" t="n"/>
      <c r="W1329" s="127" t="n"/>
      <c r="X1329" s="127" t="n"/>
      <c r="Y1329" s="127" t="n"/>
      <c r="Z1329" s="140" t="n"/>
    </row>
    <row r="1330" customFormat="1" s="149">
      <c r="A1330" s="203">
        <f>ROW()-1</f>
        <v/>
      </c>
      <c r="B1330" s="133" t="n"/>
      <c r="C1330" s="263" t="n"/>
      <c r="D1330" s="264" t="n"/>
      <c r="E1330" s="133" t="n"/>
      <c r="F1330" s="141" t="inlineStr">
        <is>
          <t>ADDRESS RESERVE MODULE</t>
        </is>
      </c>
      <c r="G1330" s="142" t="n"/>
      <c r="H1330" s="133" t="n"/>
      <c r="I1330" s="142" t="inlineStr">
        <is>
          <t>RL7-DAGC1-RIO1</t>
        </is>
      </c>
      <c r="J1330" s="133" t="n">
        <v>14</v>
      </c>
      <c r="K1330" s="133" t="n">
        <v>6</v>
      </c>
      <c r="L1330" s="133" t="n">
        <v>0</v>
      </c>
      <c r="M1330" s="133" t="inlineStr">
        <is>
          <t>ARM</t>
        </is>
      </c>
      <c r="N1330" s="133" t="inlineStr">
        <is>
          <t>5069-ARM</t>
        </is>
      </c>
      <c r="O1330" s="139" t="n"/>
      <c r="P1330" s="127" t="n"/>
      <c r="Q1330" s="127" t="n"/>
      <c r="R1330" s="127" t="n"/>
      <c r="S1330" s="127" t="n"/>
      <c r="T1330" s="127" t="n"/>
      <c r="U1330" s="127" t="n"/>
      <c r="V1330" s="127" t="n"/>
      <c r="W1330" s="127" t="n"/>
      <c r="X1330" s="127" t="n"/>
      <c r="Y1330" s="127" t="n"/>
      <c r="Z1330" s="153" t="n"/>
    </row>
    <row r="1331" customFormat="1" s="149">
      <c r="A1331" s="203">
        <f>ROW()-1</f>
        <v/>
      </c>
      <c r="B1331" s="128" t="n"/>
      <c r="C1331" s="263" t="n"/>
      <c r="D1331" s="262" t="n"/>
      <c r="E1331" s="128" t="n"/>
      <c r="F1331" s="138" t="inlineStr">
        <is>
          <t>SPARE</t>
        </is>
      </c>
      <c r="G1331" s="131" t="n"/>
      <c r="H1331" s="128" t="n"/>
      <c r="I1331" s="132" t="inlineStr">
        <is>
          <t>RL7-DAGC1-RIO1</t>
        </is>
      </c>
      <c r="J1331" s="133" t="n">
        <v>14</v>
      </c>
      <c r="K1331" s="129" t="n">
        <v>7</v>
      </c>
      <c r="L1331" s="129" t="n">
        <v>1</v>
      </c>
      <c r="M1331" s="129" t="inlineStr">
        <is>
          <t>24 VDC DO</t>
        </is>
      </c>
      <c r="N1331" s="129" t="inlineStr">
        <is>
          <t>5069-OB16</t>
        </is>
      </c>
      <c r="O1331" s="139" t="n"/>
      <c r="P1331" s="127" t="n"/>
      <c r="Q1331" s="127" t="n"/>
      <c r="R1331" s="127" t="n"/>
      <c r="S1331" s="127" t="n"/>
      <c r="T1331" s="127" t="n"/>
      <c r="U1331" s="127" t="n"/>
      <c r="V1331" s="127" t="n"/>
      <c r="W1331" s="127" t="n"/>
      <c r="X1331" s="127" t="n"/>
      <c r="Y1331" s="127" t="n"/>
      <c r="Z1331" s="140" t="n"/>
    </row>
    <row r="1332">
      <c r="A1332" s="203">
        <f>ROW()-1</f>
        <v/>
      </c>
      <c r="B1332" s="128" t="n"/>
      <c r="C1332" s="263" t="n"/>
      <c r="D1332" s="262" t="n"/>
      <c r="E1332" s="128" t="n"/>
      <c r="F1332" s="138" t="inlineStr">
        <is>
          <t>SPARE</t>
        </is>
      </c>
      <c r="G1332" s="131" t="n"/>
      <c r="H1332" s="128" t="n"/>
      <c r="I1332" s="132" t="inlineStr">
        <is>
          <t>RL7-DAGC1-RIO1</t>
        </is>
      </c>
      <c r="J1332" s="133" t="n">
        <v>14</v>
      </c>
      <c r="K1332" s="129" t="n">
        <v>7</v>
      </c>
      <c r="L1332" s="129" t="n">
        <v>9</v>
      </c>
      <c r="M1332" s="129" t="inlineStr">
        <is>
          <t>24 VDC DO</t>
        </is>
      </c>
      <c r="N1332" s="129" t="inlineStr">
        <is>
          <t>5069-OB16</t>
        </is>
      </c>
      <c r="O1332" s="139" t="n"/>
      <c r="P1332" s="127" t="n"/>
      <c r="Q1332" s="127" t="n"/>
      <c r="R1332" s="127" t="n"/>
      <c r="S1332" s="127" t="n"/>
      <c r="T1332" s="127" t="n"/>
      <c r="U1332" s="127" t="n"/>
      <c r="V1332" s="127" t="n"/>
      <c r="W1332" s="127" t="n"/>
      <c r="X1332" s="127" t="n"/>
      <c r="Y1332" s="127" t="n"/>
      <c r="Z1332" s="140" t="n"/>
    </row>
    <row r="1333">
      <c r="A1333" s="203">
        <f>ROW()-1</f>
        <v/>
      </c>
      <c r="B1333" s="128" t="n"/>
      <c r="C1333" s="263" t="n"/>
      <c r="D1333" s="262" t="n"/>
      <c r="E1333" s="128" t="n"/>
      <c r="F1333" s="138" t="inlineStr">
        <is>
          <t>SPARE</t>
        </is>
      </c>
      <c r="G1333" s="131" t="n"/>
      <c r="H1333" s="128" t="n"/>
      <c r="I1333" s="132" t="inlineStr">
        <is>
          <t>RL7-DAGC1-RIO1</t>
        </is>
      </c>
      <c r="J1333" s="133" t="n">
        <v>14</v>
      </c>
      <c r="K1333" s="129" t="n">
        <v>7</v>
      </c>
      <c r="L1333" s="129" t="n">
        <v>10</v>
      </c>
      <c r="M1333" s="129" t="inlineStr">
        <is>
          <t>24 VDC DO</t>
        </is>
      </c>
      <c r="N1333" s="129" t="inlineStr">
        <is>
          <t>5069-OB16</t>
        </is>
      </c>
      <c r="O1333" s="139" t="n"/>
      <c r="P1333" s="127" t="n"/>
      <c r="Q1333" s="127" t="n"/>
      <c r="R1333" s="127" t="n"/>
      <c r="S1333" s="127" t="n"/>
      <c r="T1333" s="127" t="n"/>
      <c r="U1333" s="127" t="n"/>
      <c r="V1333" s="127" t="n"/>
      <c r="W1333" s="127" t="n"/>
      <c r="X1333" s="127" t="n"/>
      <c r="Y1333" s="127" t="n"/>
      <c r="Z1333" s="140" t="n"/>
    </row>
    <row r="1334">
      <c r="A1334" s="203">
        <f>ROW()-1</f>
        <v/>
      </c>
      <c r="B1334" s="128" t="n"/>
      <c r="C1334" s="263" t="n"/>
      <c r="D1334" s="262" t="n"/>
      <c r="E1334" s="128" t="n"/>
      <c r="F1334" s="138" t="inlineStr">
        <is>
          <t>SPARE</t>
        </is>
      </c>
      <c r="G1334" s="131" t="n"/>
      <c r="H1334" s="128" t="n"/>
      <c r="I1334" s="132" t="inlineStr">
        <is>
          <t>RL7-DAGC1-RIO1</t>
        </is>
      </c>
      <c r="J1334" s="133" t="n">
        <v>14</v>
      </c>
      <c r="K1334" s="129" t="n">
        <v>7</v>
      </c>
      <c r="L1334" s="129" t="n">
        <v>11</v>
      </c>
      <c r="M1334" s="129" t="inlineStr">
        <is>
          <t>24 VDC DO</t>
        </is>
      </c>
      <c r="N1334" s="129" t="inlineStr">
        <is>
          <t>5069-OB16</t>
        </is>
      </c>
      <c r="O1334" s="139" t="n"/>
      <c r="P1334" s="127" t="n"/>
      <c r="Q1334" s="127" t="n"/>
      <c r="R1334" s="127" t="n"/>
      <c r="S1334" s="127" t="n"/>
      <c r="T1334" s="127" t="n"/>
      <c r="U1334" s="127" t="n"/>
      <c r="V1334" s="127" t="n"/>
      <c r="W1334" s="127" t="n"/>
      <c r="X1334" s="127" t="n"/>
      <c r="Y1334" s="127" t="n"/>
      <c r="Z1334" s="140" t="n"/>
    </row>
    <row r="1335">
      <c r="A1335" s="203">
        <f>ROW()-1</f>
        <v/>
      </c>
      <c r="B1335" s="128" t="n"/>
      <c r="C1335" s="263" t="n"/>
      <c r="D1335" s="264" t="n"/>
      <c r="E1335" s="133" t="n"/>
      <c r="F1335" s="141" t="inlineStr">
        <is>
          <t>SPARE</t>
        </is>
      </c>
      <c r="G1335" s="142" t="n"/>
      <c r="H1335" s="133" t="n"/>
      <c r="I1335" s="132" t="inlineStr">
        <is>
          <t>RL7-DAGC1-RIO1</t>
        </is>
      </c>
      <c r="J1335" s="133" t="n">
        <v>14</v>
      </c>
      <c r="K1335" s="129" t="n">
        <v>8</v>
      </c>
      <c r="L1335" s="129" t="n">
        <v>4</v>
      </c>
      <c r="M1335" s="129" t="inlineStr">
        <is>
          <t>4-20 mA AI</t>
        </is>
      </c>
      <c r="N1335" s="129" t="inlineStr">
        <is>
          <t>5069-IF8</t>
        </is>
      </c>
      <c r="O1335" s="139" t="n"/>
      <c r="P1335" s="127" t="n"/>
      <c r="Q1335" s="127" t="n"/>
      <c r="R1335" s="127" t="n"/>
      <c r="S1335" s="127" t="n"/>
      <c r="T1335" s="127" t="n"/>
      <c r="U1335" s="127" t="n"/>
      <c r="V1335" s="127" t="n"/>
      <c r="W1335" s="127" t="n"/>
      <c r="X1335" s="127" t="n"/>
      <c r="Y1335" s="127" t="n"/>
      <c r="Z1335" s="140" t="n"/>
    </row>
    <row r="1336">
      <c r="A1336" s="203">
        <f>ROW()-1</f>
        <v/>
      </c>
      <c r="B1336" s="128" t="n"/>
      <c r="C1336" s="263" t="n"/>
      <c r="D1336" s="264" t="n"/>
      <c r="E1336" s="133" t="n"/>
      <c r="F1336" s="141" t="inlineStr">
        <is>
          <t>SPARE</t>
        </is>
      </c>
      <c r="G1336" s="142" t="n"/>
      <c r="H1336" s="133" t="n"/>
      <c r="I1336" s="132" t="inlineStr">
        <is>
          <t>RL7-DAGC1-RIO1</t>
        </is>
      </c>
      <c r="J1336" s="133" t="n">
        <v>14</v>
      </c>
      <c r="K1336" s="129" t="n">
        <v>8</v>
      </c>
      <c r="L1336" s="129" t="n">
        <v>5</v>
      </c>
      <c r="M1336" s="129" t="inlineStr">
        <is>
          <t>4-20 mA AI</t>
        </is>
      </c>
      <c r="N1336" s="129" t="inlineStr">
        <is>
          <t>5069-IF8</t>
        </is>
      </c>
      <c r="O1336" s="139" t="n"/>
      <c r="P1336" s="127" t="n"/>
      <c r="Q1336" s="127" t="n"/>
      <c r="R1336" s="127" t="n"/>
      <c r="S1336" s="127" t="n"/>
      <c r="T1336" s="127" t="n"/>
      <c r="U1336" s="127" t="n"/>
      <c r="V1336" s="127" t="n"/>
      <c r="W1336" s="127" t="n"/>
      <c r="X1336" s="127" t="n"/>
      <c r="Y1336" s="127" t="n"/>
      <c r="Z1336" s="140" t="n"/>
    </row>
    <row r="1337" customFormat="1" s="149">
      <c r="A1337" s="203">
        <f>ROW()-1</f>
        <v/>
      </c>
      <c r="B1337" s="128" t="n"/>
      <c r="C1337" s="263" t="n"/>
      <c r="D1337" s="262" t="n"/>
      <c r="E1337" s="128" t="n"/>
      <c r="F1337" s="138" t="inlineStr">
        <is>
          <t>SPARE</t>
        </is>
      </c>
      <c r="G1337" s="131" t="n"/>
      <c r="H1337" s="128" t="n"/>
      <c r="I1337" s="132" t="inlineStr">
        <is>
          <t>RL7-DAGC1-RIO1</t>
        </is>
      </c>
      <c r="J1337" s="133" t="n">
        <v>14</v>
      </c>
      <c r="K1337" s="129" t="n">
        <v>8</v>
      </c>
      <c r="L1337" s="129" t="n">
        <v>6</v>
      </c>
      <c r="M1337" s="129" t="inlineStr">
        <is>
          <t>4-20 mA AI</t>
        </is>
      </c>
      <c r="N1337" s="129" t="inlineStr">
        <is>
          <t>5069-IF8</t>
        </is>
      </c>
      <c r="O1337" s="139" t="n"/>
      <c r="P1337" s="127" t="n"/>
      <c r="Q1337" s="127" t="n"/>
      <c r="R1337" s="127" t="n"/>
      <c r="S1337" s="127" t="n"/>
      <c r="T1337" s="127" t="n"/>
      <c r="U1337" s="127" t="n"/>
      <c r="V1337" s="127" t="n"/>
      <c r="W1337" s="127" t="n"/>
      <c r="X1337" s="127" t="n"/>
      <c r="Y1337" s="127" t="n"/>
      <c r="Z1337" s="140" t="n"/>
    </row>
    <row r="1338" customFormat="1" s="149">
      <c r="A1338" s="203">
        <f>ROW()-1</f>
        <v/>
      </c>
      <c r="B1338" s="128" t="n"/>
      <c r="C1338" s="263" t="n"/>
      <c r="D1338" s="262" t="n"/>
      <c r="E1338" s="128" t="n"/>
      <c r="F1338" s="138" t="inlineStr">
        <is>
          <t>SPARE</t>
        </is>
      </c>
      <c r="G1338" s="131" t="n"/>
      <c r="H1338" s="128" t="n"/>
      <c r="I1338" s="132" t="inlineStr">
        <is>
          <t>RL7-DAGC1-RIO1</t>
        </is>
      </c>
      <c r="J1338" s="133" t="n">
        <v>14</v>
      </c>
      <c r="K1338" s="129" t="n">
        <v>8</v>
      </c>
      <c r="L1338" s="129" t="n">
        <v>7</v>
      </c>
      <c r="M1338" s="129" t="inlineStr">
        <is>
          <t>4-20 mA AI</t>
        </is>
      </c>
      <c r="N1338" s="129" t="inlineStr">
        <is>
          <t>5069-IF8</t>
        </is>
      </c>
      <c r="O1338" s="139" t="n"/>
      <c r="P1338" s="127" t="n"/>
      <c r="Q1338" s="127" t="n"/>
      <c r="R1338" s="127" t="n"/>
      <c r="S1338" s="127" t="n"/>
      <c r="T1338" s="127" t="n"/>
      <c r="U1338" s="127" t="n"/>
      <c r="V1338" s="127" t="n"/>
      <c r="W1338" s="127" t="n"/>
      <c r="X1338" s="127" t="n"/>
      <c r="Y1338" s="127" t="n"/>
      <c r="Z1338" s="140" t="n"/>
    </row>
    <row r="1339" customFormat="1" s="149">
      <c r="A1339" s="203">
        <f>ROW()-1</f>
        <v/>
      </c>
      <c r="B1339" s="128" t="n"/>
      <c r="C1339" s="263" t="n"/>
      <c r="D1339" s="262" t="n"/>
      <c r="E1339" s="128" t="n"/>
      <c r="F1339" s="138" t="inlineStr">
        <is>
          <t>SPARE</t>
        </is>
      </c>
      <c r="G1339" s="131" t="n"/>
      <c r="H1339" s="128" t="n"/>
      <c r="I1339" s="132" t="inlineStr">
        <is>
          <t>RL7-DAGC1-RIO1</t>
        </is>
      </c>
      <c r="J1339" s="133" t="n">
        <v>14</v>
      </c>
      <c r="K1339" s="129" t="n">
        <v>9</v>
      </c>
      <c r="L1339" s="129" t="n">
        <v>1</v>
      </c>
      <c r="M1339" s="129" t="inlineStr">
        <is>
          <t>4-20 mA AO</t>
        </is>
      </c>
      <c r="N1339" s="129" t="inlineStr">
        <is>
          <t>5069-OF8</t>
        </is>
      </c>
      <c r="O1339" s="139" t="n"/>
      <c r="P1339" s="127" t="n"/>
      <c r="Q1339" s="127" t="n"/>
      <c r="R1339" s="127" t="n"/>
      <c r="S1339" s="127" t="n"/>
      <c r="T1339" s="127" t="n"/>
      <c r="U1339" s="127" t="n"/>
      <c r="V1339" s="127" t="n"/>
      <c r="W1339" s="127" t="n"/>
      <c r="X1339" s="127" t="n"/>
      <c r="Y1339" s="127" t="n"/>
      <c r="Z1339" s="140" t="n"/>
    </row>
    <row r="1340">
      <c r="A1340" s="203">
        <f>ROW()-1</f>
        <v/>
      </c>
      <c r="B1340" s="128" t="n"/>
      <c r="C1340" s="263" t="n"/>
      <c r="D1340" s="262" t="n"/>
      <c r="E1340" s="128" t="n"/>
      <c r="F1340" s="138" t="inlineStr">
        <is>
          <t>SPARE</t>
        </is>
      </c>
      <c r="G1340" s="131" t="n"/>
      <c r="H1340" s="128" t="n"/>
      <c r="I1340" s="132" t="inlineStr">
        <is>
          <t>RL7-DAGC1-RIO1</t>
        </is>
      </c>
      <c r="J1340" s="133" t="n">
        <v>14</v>
      </c>
      <c r="K1340" s="129" t="n">
        <v>9</v>
      </c>
      <c r="L1340" s="129" t="n">
        <v>2</v>
      </c>
      <c r="M1340" s="129" t="inlineStr">
        <is>
          <t>4-20 mA AO</t>
        </is>
      </c>
      <c r="N1340" s="129" t="inlineStr">
        <is>
          <t>5069-OF8</t>
        </is>
      </c>
      <c r="O1340" s="139" t="n"/>
      <c r="P1340" s="127" t="n"/>
      <c r="Q1340" s="127" t="n"/>
      <c r="R1340" s="127" t="n"/>
      <c r="S1340" s="127" t="n"/>
      <c r="T1340" s="127" t="n"/>
      <c r="U1340" s="127" t="n"/>
      <c r="V1340" s="127" t="n"/>
      <c r="W1340" s="127" t="n"/>
      <c r="X1340" s="127" t="n"/>
      <c r="Y1340" s="127" t="n"/>
      <c r="Z1340" s="140" t="n"/>
    </row>
    <row r="1341">
      <c r="A1341" s="203">
        <f>ROW()-1</f>
        <v/>
      </c>
      <c r="B1341" s="128" t="n"/>
      <c r="C1341" s="263" t="n"/>
      <c r="D1341" s="262" t="n"/>
      <c r="E1341" s="128" t="n"/>
      <c r="F1341" s="138" t="inlineStr">
        <is>
          <t>SPARE</t>
        </is>
      </c>
      <c r="G1341" s="131" t="n"/>
      <c r="H1341" s="128" t="n"/>
      <c r="I1341" s="132" t="inlineStr">
        <is>
          <t>RL7-DAGC1-RIO1</t>
        </is>
      </c>
      <c r="J1341" s="133" t="n">
        <v>14</v>
      </c>
      <c r="K1341" s="129" t="n">
        <v>9</v>
      </c>
      <c r="L1341" s="129" t="n">
        <v>3</v>
      </c>
      <c r="M1341" s="129" t="inlineStr">
        <is>
          <t>4-20 mA AO</t>
        </is>
      </c>
      <c r="N1341" s="129" t="inlineStr">
        <is>
          <t>5069-OF8</t>
        </is>
      </c>
      <c r="O1341" s="139" t="n"/>
      <c r="P1341" s="127" t="n"/>
      <c r="Q1341" s="127" t="n"/>
      <c r="R1341" s="127" t="n"/>
      <c r="S1341" s="127" t="n"/>
      <c r="T1341" s="127" t="n"/>
      <c r="U1341" s="127" t="n"/>
      <c r="V1341" s="127" t="n"/>
      <c r="W1341" s="127" t="n"/>
      <c r="X1341" s="127" t="n"/>
      <c r="Y1341" s="127" t="n"/>
      <c r="Z1341" s="140" t="n"/>
    </row>
    <row r="1342">
      <c r="A1342" s="203">
        <f>ROW()-1</f>
        <v/>
      </c>
      <c r="B1342" s="128" t="n"/>
      <c r="C1342" s="263" t="n"/>
      <c r="D1342" s="262" t="n"/>
      <c r="E1342" s="128" t="n"/>
      <c r="F1342" s="138" t="inlineStr">
        <is>
          <t>SPARE</t>
        </is>
      </c>
      <c r="G1342" s="131" t="n"/>
      <c r="H1342" s="128" t="n"/>
      <c r="I1342" s="132" t="inlineStr">
        <is>
          <t>RL7-DAGC1-RIO1</t>
        </is>
      </c>
      <c r="J1342" s="133" t="n">
        <v>14</v>
      </c>
      <c r="K1342" s="129" t="n">
        <v>9</v>
      </c>
      <c r="L1342" s="129" t="n">
        <v>4</v>
      </c>
      <c r="M1342" s="129" t="inlineStr">
        <is>
          <t>4-20 mA AO</t>
        </is>
      </c>
      <c r="N1342" s="129" t="inlineStr">
        <is>
          <t>5069-OF8</t>
        </is>
      </c>
      <c r="O1342" s="139" t="n"/>
      <c r="P1342" s="127" t="n"/>
      <c r="Q1342" s="127" t="n"/>
      <c r="R1342" s="127" t="n"/>
      <c r="S1342" s="127" t="n"/>
      <c r="T1342" s="127" t="n"/>
      <c r="U1342" s="127" t="n"/>
      <c r="V1342" s="127" t="n"/>
      <c r="W1342" s="127" t="n"/>
      <c r="X1342" s="127" t="n"/>
      <c r="Y1342" s="127" t="n"/>
      <c r="Z1342" s="140" t="n"/>
    </row>
    <row r="1343">
      <c r="A1343" s="203">
        <f>ROW()-1</f>
        <v/>
      </c>
      <c r="B1343" s="128" t="n"/>
      <c r="C1343" s="263" t="n"/>
      <c r="D1343" s="262" t="n"/>
      <c r="E1343" s="128" t="n"/>
      <c r="F1343" s="138" t="inlineStr">
        <is>
          <t>SPARE</t>
        </is>
      </c>
      <c r="G1343" s="131" t="n"/>
      <c r="H1343" s="128" t="n"/>
      <c r="I1343" s="132" t="inlineStr">
        <is>
          <t>RL7-DAGC1-RIO1</t>
        </is>
      </c>
      <c r="J1343" s="133" t="n">
        <v>14</v>
      </c>
      <c r="K1343" s="129" t="n">
        <v>9</v>
      </c>
      <c r="L1343" s="129" t="n">
        <v>5</v>
      </c>
      <c r="M1343" s="129" t="inlineStr">
        <is>
          <t>4-20 mA AO</t>
        </is>
      </c>
      <c r="N1343" s="129" t="inlineStr">
        <is>
          <t>5069-OF8</t>
        </is>
      </c>
      <c r="O1343" s="139" t="n"/>
      <c r="P1343" s="127" t="n"/>
      <c r="Q1343" s="127" t="n"/>
      <c r="R1343" s="127" t="n"/>
      <c r="S1343" s="127" t="n"/>
      <c r="T1343" s="127" t="n"/>
      <c r="U1343" s="127" t="n"/>
      <c r="V1343" s="127" t="n"/>
      <c r="W1343" s="127" t="n"/>
      <c r="X1343" s="127" t="n"/>
      <c r="Y1343" s="127" t="n"/>
      <c r="Z1343" s="140" t="n"/>
    </row>
    <row r="1344">
      <c r="A1344" s="203">
        <f>ROW()-1</f>
        <v/>
      </c>
      <c r="B1344" s="128" t="n"/>
      <c r="C1344" s="263" t="n"/>
      <c r="D1344" s="262" t="n"/>
      <c r="E1344" s="128" t="n"/>
      <c r="F1344" s="138" t="inlineStr">
        <is>
          <t>SPARE</t>
        </is>
      </c>
      <c r="G1344" s="131" t="n"/>
      <c r="H1344" s="128" t="n"/>
      <c r="I1344" s="132" t="inlineStr">
        <is>
          <t>RL7-DAGC1-RIO1</t>
        </is>
      </c>
      <c r="J1344" s="133" t="n">
        <v>14</v>
      </c>
      <c r="K1344" s="129" t="n">
        <v>9</v>
      </c>
      <c r="L1344" s="129" t="n">
        <v>6</v>
      </c>
      <c r="M1344" s="129" t="inlineStr">
        <is>
          <t>4-20 mA AO</t>
        </is>
      </c>
      <c r="N1344" s="129" t="inlineStr">
        <is>
          <t>5069-OF8</t>
        </is>
      </c>
      <c r="O1344" s="139" t="n"/>
      <c r="P1344" s="127" t="n"/>
      <c r="Q1344" s="127" t="n"/>
      <c r="R1344" s="127" t="n"/>
      <c r="S1344" s="127" t="n"/>
      <c r="T1344" s="127" t="n"/>
      <c r="U1344" s="127" t="n"/>
      <c r="V1344" s="127" t="n"/>
      <c r="W1344" s="127" t="n"/>
      <c r="X1344" s="127" t="n"/>
      <c r="Y1344" s="127" t="n"/>
      <c r="Z1344" s="140" t="n"/>
    </row>
    <row r="1345" customFormat="1" s="149">
      <c r="A1345" s="203">
        <f>ROW()-1</f>
        <v/>
      </c>
      <c r="B1345" s="128" t="n"/>
      <c r="C1345" s="263" t="n"/>
      <c r="D1345" s="262" t="n"/>
      <c r="E1345" s="128" t="n"/>
      <c r="F1345" s="138" t="inlineStr">
        <is>
          <t>SPARE</t>
        </is>
      </c>
      <c r="G1345" s="131" t="n"/>
      <c r="H1345" s="128" t="n"/>
      <c r="I1345" s="132" t="inlineStr">
        <is>
          <t>RL7-DAGC1-RIO1</t>
        </is>
      </c>
      <c r="J1345" s="133" t="n">
        <v>14</v>
      </c>
      <c r="K1345" s="129" t="n">
        <v>9</v>
      </c>
      <c r="L1345" s="129" t="n">
        <v>7</v>
      </c>
      <c r="M1345" s="129" t="inlineStr">
        <is>
          <t>4-20 mA AO</t>
        </is>
      </c>
      <c r="N1345" s="129" t="inlineStr">
        <is>
          <t>5069-OF8</t>
        </is>
      </c>
      <c r="O1345" s="139" t="n"/>
      <c r="P1345" s="127" t="n"/>
      <c r="Q1345" s="127" t="n"/>
      <c r="R1345" s="127" t="n"/>
      <c r="S1345" s="127" t="n"/>
      <c r="T1345" s="127" t="n"/>
      <c r="U1345" s="127" t="n"/>
      <c r="V1345" s="127" t="n"/>
      <c r="W1345" s="127" t="n"/>
      <c r="X1345" s="127" t="n"/>
      <c r="Y1345" s="127" t="n"/>
      <c r="Z1345" s="140" t="n"/>
    </row>
    <row r="1346" customFormat="1" s="149">
      <c r="A1346" s="203">
        <f>ROW()-1</f>
        <v/>
      </c>
      <c r="B1346" s="128" t="n"/>
      <c r="C1346" s="263" t="n"/>
      <c r="D1346" s="262" t="n"/>
      <c r="E1346" s="128" t="n"/>
      <c r="F1346" s="138" t="inlineStr">
        <is>
          <t>SPARE</t>
        </is>
      </c>
      <c r="G1346" s="131" t="n"/>
      <c r="H1346" s="128" t="n"/>
      <c r="I1346" s="132" t="inlineStr">
        <is>
          <t>RL7-SERP-RIO1</t>
        </is>
      </c>
      <c r="J1346" s="133" t="n">
        <v>15</v>
      </c>
      <c r="K1346" s="129" t="n">
        <v>1</v>
      </c>
      <c r="L1346" s="129" t="n">
        <v>0</v>
      </c>
      <c r="M1346" s="129" t="inlineStr">
        <is>
          <t>24 VDC SI</t>
        </is>
      </c>
      <c r="N1346" s="129" t="inlineStr">
        <is>
          <t>5069-IB8S</t>
        </is>
      </c>
      <c r="O1346" s="139" t="n"/>
      <c r="P1346" s="127" t="n"/>
      <c r="Q1346" s="127" t="n"/>
      <c r="R1346" s="127" t="n"/>
      <c r="S1346" s="127" t="n"/>
      <c r="T1346" s="127" t="n"/>
      <c r="U1346" s="127" t="n"/>
      <c r="V1346" s="127" t="n"/>
      <c r="W1346" s="127" t="n"/>
      <c r="X1346" s="127" t="n"/>
      <c r="Y1346" s="127" t="n"/>
      <c r="Z1346" s="147" t="n"/>
    </row>
    <row r="1347" customFormat="1" s="149">
      <c r="A1347" s="203">
        <f>ROW()-1</f>
        <v/>
      </c>
      <c r="B1347" s="128" t="n"/>
      <c r="C1347" s="263" t="n"/>
      <c r="D1347" s="262" t="n"/>
      <c r="E1347" s="128" t="n"/>
      <c r="F1347" s="138" t="inlineStr">
        <is>
          <t>SPARE</t>
        </is>
      </c>
      <c r="G1347" s="131" t="n"/>
      <c r="H1347" s="128" t="n"/>
      <c r="I1347" s="132" t="inlineStr">
        <is>
          <t>RL7-SERP-RIO1</t>
        </is>
      </c>
      <c r="J1347" s="133" t="n">
        <v>15</v>
      </c>
      <c r="K1347" s="129" t="n">
        <v>1</v>
      </c>
      <c r="L1347" s="129" t="n">
        <v>1</v>
      </c>
      <c r="M1347" s="129" t="inlineStr">
        <is>
          <t>24 VDC SI</t>
        </is>
      </c>
      <c r="N1347" s="129" t="inlineStr">
        <is>
          <t>5069-IB8S</t>
        </is>
      </c>
      <c r="O1347" s="139" t="n"/>
      <c r="P1347" s="127" t="n"/>
      <c r="Q1347" s="127" t="n"/>
      <c r="R1347" s="127" t="n"/>
      <c r="S1347" s="127" t="n"/>
      <c r="T1347" s="127" t="n"/>
      <c r="U1347" s="127" t="n"/>
      <c r="V1347" s="127" t="n"/>
      <c r="W1347" s="127" t="n"/>
      <c r="X1347" s="127" t="n"/>
      <c r="Y1347" s="127" t="n"/>
      <c r="Z1347" s="147" t="n"/>
    </row>
    <row r="1348" customFormat="1" s="149">
      <c r="A1348" s="203">
        <f>ROW()-1</f>
        <v/>
      </c>
      <c r="B1348" s="128" t="n"/>
      <c r="C1348" s="263" t="n"/>
      <c r="D1348" s="262" t="n"/>
      <c r="E1348" s="128" t="n"/>
      <c r="F1348" s="138" t="inlineStr">
        <is>
          <t>SPARE</t>
        </is>
      </c>
      <c r="G1348" s="131" t="n"/>
      <c r="H1348" s="128" t="n"/>
      <c r="I1348" s="132" t="inlineStr">
        <is>
          <t>RL7-SERP-RIO1</t>
        </is>
      </c>
      <c r="J1348" s="133" t="n">
        <v>15</v>
      </c>
      <c r="K1348" s="129" t="n">
        <v>2</v>
      </c>
      <c r="L1348" s="129" t="n">
        <v>0</v>
      </c>
      <c r="M1348" s="129" t="inlineStr">
        <is>
          <t>24 VDC SI</t>
        </is>
      </c>
      <c r="N1348" s="129" t="inlineStr">
        <is>
          <t>5069-IB8S</t>
        </is>
      </c>
      <c r="O1348" s="139" t="n"/>
      <c r="P1348" s="127" t="n"/>
      <c r="Q1348" s="127" t="n"/>
      <c r="R1348" s="127" t="n"/>
      <c r="S1348" s="127" t="n"/>
      <c r="T1348" s="127" t="n"/>
      <c r="U1348" s="127" t="n"/>
      <c r="V1348" s="127" t="n"/>
      <c r="W1348" s="127" t="n"/>
      <c r="X1348" s="127" t="n"/>
      <c r="Y1348" s="127" t="n"/>
      <c r="Z1348" s="153" t="n"/>
    </row>
    <row r="1349">
      <c r="A1349" s="203">
        <f>ROW()-1</f>
        <v/>
      </c>
      <c r="B1349" s="128" t="n"/>
      <c r="C1349" s="263" t="n"/>
      <c r="D1349" s="262" t="n"/>
      <c r="E1349" s="128" t="n"/>
      <c r="F1349" s="138" t="inlineStr">
        <is>
          <t>SPARE</t>
        </is>
      </c>
      <c r="G1349" s="131" t="n"/>
      <c r="H1349" s="128" t="n"/>
      <c r="I1349" s="132" t="inlineStr">
        <is>
          <t>RL7-SERP-RIO1</t>
        </is>
      </c>
      <c r="J1349" s="133" t="n">
        <v>15</v>
      </c>
      <c r="K1349" s="129" t="n">
        <v>2</v>
      </c>
      <c r="L1349" s="129" t="n">
        <v>1</v>
      </c>
      <c r="M1349" s="129" t="inlineStr">
        <is>
          <t>24 VDC SI</t>
        </is>
      </c>
      <c r="N1349" s="129" t="inlineStr">
        <is>
          <t>5069-IB8S</t>
        </is>
      </c>
      <c r="O1349" s="139" t="n"/>
      <c r="P1349" s="127" t="n"/>
      <c r="Q1349" s="127" t="n"/>
      <c r="R1349" s="127" t="n"/>
      <c r="S1349" s="127" t="n"/>
      <c r="T1349" s="127" t="n"/>
      <c r="U1349" s="127" t="n"/>
      <c r="V1349" s="127" t="n"/>
      <c r="W1349" s="127" t="n"/>
      <c r="X1349" s="127" t="n"/>
      <c r="Y1349" s="127" t="n"/>
      <c r="Z1349" s="153" t="n"/>
    </row>
    <row r="1350">
      <c r="A1350" s="203">
        <f>ROW()-1</f>
        <v/>
      </c>
      <c r="B1350" s="128" t="n"/>
      <c r="C1350" s="263" t="n"/>
      <c r="D1350" s="262" t="n"/>
      <c r="E1350" s="128" t="n"/>
      <c r="F1350" s="138" t="inlineStr">
        <is>
          <t>SPARE</t>
        </is>
      </c>
      <c r="G1350" s="131" t="n"/>
      <c r="H1350" s="128" t="n"/>
      <c r="I1350" s="132" t="inlineStr">
        <is>
          <t>RL7-SERP-RIO1</t>
        </is>
      </c>
      <c r="J1350" s="133" t="n">
        <v>15</v>
      </c>
      <c r="K1350" s="129" t="n">
        <v>2</v>
      </c>
      <c r="L1350" s="129" t="n">
        <v>4</v>
      </c>
      <c r="M1350" s="129" t="inlineStr">
        <is>
          <t>24 VDC SI</t>
        </is>
      </c>
      <c r="N1350" s="129" t="inlineStr">
        <is>
          <t>5069-IB8S</t>
        </is>
      </c>
      <c r="O1350" s="139" t="n"/>
      <c r="P1350" s="127" t="n"/>
      <c r="Q1350" s="127" t="n"/>
      <c r="R1350" s="127" t="n"/>
      <c r="S1350" s="127" t="n"/>
      <c r="T1350" s="127" t="n"/>
      <c r="U1350" s="127" t="n"/>
      <c r="V1350" s="127" t="n"/>
      <c r="W1350" s="127" t="n"/>
      <c r="X1350" s="127" t="n"/>
      <c r="Y1350" s="127" t="n"/>
      <c r="Z1350" s="153" t="n"/>
    </row>
    <row r="1351">
      <c r="A1351" s="203">
        <f>ROW()-1</f>
        <v/>
      </c>
      <c r="B1351" s="128" t="n"/>
      <c r="C1351" s="263" t="n"/>
      <c r="D1351" s="262" t="n"/>
      <c r="E1351" s="128" t="n"/>
      <c r="F1351" s="138" t="inlineStr">
        <is>
          <t>SPARE</t>
        </is>
      </c>
      <c r="G1351" s="131" t="n"/>
      <c r="H1351" s="128" t="n"/>
      <c r="I1351" s="132" t="inlineStr">
        <is>
          <t>RL7-SERP-RIO1</t>
        </is>
      </c>
      <c r="J1351" s="133" t="n">
        <v>15</v>
      </c>
      <c r="K1351" s="129" t="n">
        <v>2</v>
      </c>
      <c r="L1351" s="129" t="n">
        <v>5</v>
      </c>
      <c r="M1351" s="129" t="inlineStr">
        <is>
          <t>24 VDC SI</t>
        </is>
      </c>
      <c r="N1351" s="129" t="inlineStr">
        <is>
          <t>5069-IB8S</t>
        </is>
      </c>
      <c r="O1351" s="139" t="n"/>
      <c r="P1351" s="127" t="n"/>
      <c r="Q1351" s="127" t="n"/>
      <c r="R1351" s="127" t="n"/>
      <c r="S1351" s="127" t="n"/>
      <c r="T1351" s="127" t="n"/>
      <c r="U1351" s="127" t="n"/>
      <c r="V1351" s="127" t="n"/>
      <c r="W1351" s="127" t="n"/>
      <c r="X1351" s="127" t="n"/>
      <c r="Y1351" s="127" t="n"/>
      <c r="Z1351" s="153" t="n"/>
    </row>
    <row r="1352">
      <c r="A1352" s="203">
        <f>ROW()-1</f>
        <v/>
      </c>
      <c r="B1352" s="128" t="n"/>
      <c r="C1352" s="263" t="n"/>
      <c r="D1352" s="262" t="n"/>
      <c r="E1352" s="128" t="n"/>
      <c r="F1352" s="138" t="inlineStr">
        <is>
          <t>SPARE</t>
        </is>
      </c>
      <c r="G1352" s="131" t="n"/>
      <c r="H1352" s="128" t="n"/>
      <c r="I1352" s="132" t="inlineStr">
        <is>
          <t>RL7-SERP-RIO1</t>
        </is>
      </c>
      <c r="J1352" s="133" t="n">
        <v>15</v>
      </c>
      <c r="K1352" s="129" t="n">
        <v>2</v>
      </c>
      <c r="L1352" s="129" t="n">
        <v>6</v>
      </c>
      <c r="M1352" s="129" t="inlineStr">
        <is>
          <t>24 VDC SI</t>
        </is>
      </c>
      <c r="N1352" s="129" t="inlineStr">
        <is>
          <t>5069-IB8S</t>
        </is>
      </c>
      <c r="O1352" s="139" t="n"/>
      <c r="P1352" s="127" t="n"/>
      <c r="Q1352" s="127" t="n"/>
      <c r="R1352" s="127" t="n"/>
      <c r="S1352" s="127" t="n"/>
      <c r="T1352" s="127" t="n"/>
      <c r="U1352" s="127" t="n"/>
      <c r="V1352" s="127" t="n"/>
      <c r="W1352" s="127" t="n"/>
      <c r="X1352" s="127" t="n"/>
      <c r="Y1352" s="127" t="n"/>
      <c r="Z1352" s="153" t="n"/>
    </row>
    <row r="1353" customFormat="1" s="149">
      <c r="A1353" s="203">
        <f>ROW()-1</f>
        <v/>
      </c>
      <c r="B1353" s="128" t="n"/>
      <c r="C1353" s="263" t="n"/>
      <c r="D1353" s="262" t="n"/>
      <c r="E1353" s="128" t="n"/>
      <c r="F1353" s="138" t="inlineStr">
        <is>
          <t>SPARE</t>
        </is>
      </c>
      <c r="G1353" s="131" t="n"/>
      <c r="H1353" s="128" t="n"/>
      <c r="I1353" s="132" t="inlineStr">
        <is>
          <t>RL7-SERP-RIO1</t>
        </is>
      </c>
      <c r="J1353" s="133" t="n">
        <v>15</v>
      </c>
      <c r="K1353" s="129" t="n">
        <v>2</v>
      </c>
      <c r="L1353" s="129" t="n">
        <v>7</v>
      </c>
      <c r="M1353" s="129" t="inlineStr">
        <is>
          <t>24 VDC SI</t>
        </is>
      </c>
      <c r="N1353" s="129" t="inlineStr">
        <is>
          <t>5069-IB8S</t>
        </is>
      </c>
      <c r="O1353" s="139" t="n"/>
      <c r="P1353" s="127" t="n"/>
      <c r="Q1353" s="127" t="n"/>
      <c r="R1353" s="127" t="n"/>
      <c r="S1353" s="127" t="n"/>
      <c r="T1353" s="127" t="n"/>
      <c r="U1353" s="127" t="n"/>
      <c r="V1353" s="127" t="n"/>
      <c r="W1353" s="127" t="n"/>
      <c r="X1353" s="127" t="n"/>
      <c r="Y1353" s="127" t="n"/>
      <c r="Z1353" s="153" t="n"/>
    </row>
    <row r="1354" customFormat="1" s="149">
      <c r="A1354" s="203">
        <f>ROW()-1</f>
        <v/>
      </c>
      <c r="B1354" s="128" t="n"/>
      <c r="C1354" s="263" t="n"/>
      <c r="D1354" s="262" t="n"/>
      <c r="E1354" s="128" t="n"/>
      <c r="F1354" s="138" t="inlineStr">
        <is>
          <t>SPARE</t>
        </is>
      </c>
      <c r="G1354" s="131" t="n"/>
      <c r="H1354" s="128" t="n"/>
      <c r="I1354" s="132" t="inlineStr">
        <is>
          <t>RL7-SERP-RIO1</t>
        </is>
      </c>
      <c r="J1354" s="133" t="n">
        <v>15</v>
      </c>
      <c r="K1354" s="129" t="n">
        <v>3</v>
      </c>
      <c r="L1354" s="129" t="n">
        <v>6</v>
      </c>
      <c r="M1354" s="129" t="inlineStr">
        <is>
          <t>24 VDC DI</t>
        </is>
      </c>
      <c r="N1354" s="129" t="inlineStr">
        <is>
          <t>5069-IB16</t>
        </is>
      </c>
      <c r="O1354" s="139" t="n"/>
      <c r="P1354" s="127" t="n"/>
      <c r="Q1354" s="127" t="n"/>
      <c r="R1354" s="127" t="n"/>
      <c r="S1354" s="127" t="n"/>
      <c r="T1354" s="127" t="n"/>
      <c r="U1354" s="127" t="n"/>
      <c r="V1354" s="127" t="n"/>
      <c r="W1354" s="127" t="n"/>
      <c r="X1354" s="127" t="n"/>
      <c r="Y1354" s="127" t="n"/>
      <c r="Z1354" s="153" t="n"/>
    </row>
    <row r="1355" customFormat="1" s="149">
      <c r="A1355" s="203">
        <f>ROW()-1</f>
        <v/>
      </c>
      <c r="B1355" s="128" t="n"/>
      <c r="C1355" s="263" t="n"/>
      <c r="D1355" s="262" t="n"/>
      <c r="E1355" s="128" t="n"/>
      <c r="F1355" s="138" t="inlineStr">
        <is>
          <t>SPARE</t>
        </is>
      </c>
      <c r="G1355" s="131" t="n"/>
      <c r="H1355" s="128" t="n"/>
      <c r="I1355" s="132" t="inlineStr">
        <is>
          <t>RL7-SERP-RIO1</t>
        </is>
      </c>
      <c r="J1355" s="133" t="n">
        <v>15</v>
      </c>
      <c r="K1355" s="129" t="n">
        <v>3</v>
      </c>
      <c r="L1355" s="129" t="n">
        <v>10</v>
      </c>
      <c r="M1355" s="129" t="inlineStr">
        <is>
          <t>24 VDC DI</t>
        </is>
      </c>
      <c r="N1355" s="129" t="inlineStr">
        <is>
          <t>5069-IB16</t>
        </is>
      </c>
      <c r="O1355" s="139" t="n"/>
      <c r="P1355" s="127" t="n"/>
      <c r="Q1355" s="127" t="n"/>
      <c r="R1355" s="127" t="n"/>
      <c r="S1355" s="127" t="n"/>
      <c r="T1355" s="127" t="n"/>
      <c r="U1355" s="127" t="n"/>
      <c r="V1355" s="127" t="n"/>
      <c r="W1355" s="127" t="n"/>
      <c r="X1355" s="127" t="n"/>
      <c r="Y1355" s="127" t="n"/>
      <c r="Z1355" s="153" t="n"/>
    </row>
    <row r="1356" customFormat="1" s="149">
      <c r="A1356" s="203">
        <f>ROW()-1</f>
        <v/>
      </c>
      <c r="B1356" s="128" t="n"/>
      <c r="C1356" s="263" t="n"/>
      <c r="D1356" s="262" t="n"/>
      <c r="E1356" s="128" t="n"/>
      <c r="F1356" s="138" t="inlineStr">
        <is>
          <t>SPARE</t>
        </is>
      </c>
      <c r="G1356" s="131" t="n"/>
      <c r="H1356" s="128" t="n"/>
      <c r="I1356" s="132" t="inlineStr">
        <is>
          <t>RL7-SERP-RIO1</t>
        </is>
      </c>
      <c r="J1356" s="133" t="n">
        <v>15</v>
      </c>
      <c r="K1356" s="129" t="n">
        <v>4</v>
      </c>
      <c r="L1356" s="129" t="n">
        <v>3</v>
      </c>
      <c r="M1356" s="129" t="inlineStr">
        <is>
          <t>24 VDC DI</t>
        </is>
      </c>
      <c r="N1356" s="129" t="inlineStr">
        <is>
          <t>5069-IB16</t>
        </is>
      </c>
      <c r="O1356" s="139" t="n"/>
      <c r="P1356" s="127" t="n"/>
      <c r="Q1356" s="127" t="n"/>
      <c r="R1356" s="127" t="n"/>
      <c r="S1356" s="127" t="n"/>
      <c r="T1356" s="127" t="n"/>
      <c r="U1356" s="127" t="n"/>
      <c r="V1356" s="127" t="n"/>
      <c r="W1356" s="127" t="n"/>
      <c r="X1356" s="127" t="n"/>
      <c r="Y1356" s="127" t="n"/>
      <c r="Z1356" s="153" t="n"/>
    </row>
    <row r="1357">
      <c r="A1357" s="203">
        <f>ROW()-1</f>
        <v/>
      </c>
      <c r="B1357" s="128" t="n"/>
      <c r="C1357" s="263" t="n"/>
      <c r="D1357" s="262" t="n"/>
      <c r="E1357" s="128" t="n"/>
      <c r="F1357" s="138" t="inlineStr">
        <is>
          <t>SPARE</t>
        </is>
      </c>
      <c r="G1357" s="131" t="n"/>
      <c r="H1357" s="128" t="n"/>
      <c r="I1357" s="132" t="inlineStr">
        <is>
          <t>RL7-SERP-RIO1</t>
        </is>
      </c>
      <c r="J1357" s="133" t="n">
        <v>15</v>
      </c>
      <c r="K1357" s="129" t="n">
        <v>4</v>
      </c>
      <c r="L1357" s="129" t="n">
        <v>4</v>
      </c>
      <c r="M1357" s="129" t="inlineStr">
        <is>
          <t>24 VDC DI</t>
        </is>
      </c>
      <c r="N1357" s="129" t="inlineStr">
        <is>
          <t>5069-IB16</t>
        </is>
      </c>
      <c r="O1357" s="139" t="n"/>
      <c r="P1357" s="127" t="n"/>
      <c r="Q1357" s="127" t="n"/>
      <c r="R1357" s="127" t="n"/>
      <c r="S1357" s="127" t="n"/>
      <c r="T1357" s="127" t="n"/>
      <c r="U1357" s="127" t="n"/>
      <c r="V1357" s="127" t="n"/>
      <c r="W1357" s="127" t="n"/>
      <c r="X1357" s="127" t="n"/>
      <c r="Y1357" s="127" t="n"/>
      <c r="Z1357" s="153" t="n"/>
    </row>
    <row r="1358">
      <c r="A1358" s="203">
        <f>ROW()-1</f>
        <v/>
      </c>
      <c r="B1358" s="128" t="n"/>
      <c r="C1358" s="263" t="n"/>
      <c r="D1358" s="262" t="n"/>
      <c r="E1358" s="128" t="n"/>
      <c r="F1358" s="138" t="inlineStr">
        <is>
          <t>SPARE</t>
        </is>
      </c>
      <c r="G1358" s="131" t="n"/>
      <c r="H1358" s="128" t="n"/>
      <c r="I1358" s="132" t="inlineStr">
        <is>
          <t>RL7-SERP-RIO1</t>
        </is>
      </c>
      <c r="J1358" s="133" t="n">
        <v>15</v>
      </c>
      <c r="K1358" s="129" t="n">
        <v>4</v>
      </c>
      <c r="L1358" s="129" t="n">
        <v>5</v>
      </c>
      <c r="M1358" s="129" t="inlineStr">
        <is>
          <t>24 VDC DI</t>
        </is>
      </c>
      <c r="N1358" s="129" t="inlineStr">
        <is>
          <t>5069-IB16</t>
        </is>
      </c>
      <c r="O1358" s="139" t="n"/>
      <c r="P1358" s="127" t="n"/>
      <c r="Q1358" s="127" t="n"/>
      <c r="R1358" s="127" t="n"/>
      <c r="S1358" s="127" t="n"/>
      <c r="T1358" s="127" t="n"/>
      <c r="U1358" s="127" t="n"/>
      <c r="V1358" s="127" t="n"/>
      <c r="W1358" s="127" t="n"/>
      <c r="X1358" s="127" t="n"/>
      <c r="Y1358" s="127" t="n"/>
      <c r="Z1358" s="153" t="n"/>
    </row>
    <row r="1359">
      <c r="A1359" s="203">
        <f>ROW()-1</f>
        <v/>
      </c>
      <c r="B1359" s="128" t="n"/>
      <c r="C1359" s="263" t="n"/>
      <c r="D1359" s="262" t="n"/>
      <c r="E1359" s="128" t="n"/>
      <c r="F1359" s="138" t="inlineStr">
        <is>
          <t>SPARE</t>
        </is>
      </c>
      <c r="G1359" s="131" t="n"/>
      <c r="H1359" s="128" t="n"/>
      <c r="I1359" s="132" t="inlineStr">
        <is>
          <t>RL7-SERP-RIO1</t>
        </is>
      </c>
      <c r="J1359" s="133" t="n">
        <v>15</v>
      </c>
      <c r="K1359" s="129" t="n">
        <v>4</v>
      </c>
      <c r="L1359" s="129" t="n">
        <v>6</v>
      </c>
      <c r="M1359" s="129" t="inlineStr">
        <is>
          <t>24 VDC DI</t>
        </is>
      </c>
      <c r="N1359" s="129" t="inlineStr">
        <is>
          <t>5069-IB16</t>
        </is>
      </c>
      <c r="O1359" s="139" t="n"/>
      <c r="P1359" s="127" t="n"/>
      <c r="Q1359" s="127" t="n"/>
      <c r="R1359" s="127" t="n"/>
      <c r="S1359" s="127" t="n"/>
      <c r="T1359" s="127" t="n"/>
      <c r="U1359" s="127" t="n"/>
      <c r="V1359" s="127" t="n"/>
      <c r="W1359" s="127" t="n"/>
      <c r="X1359" s="127" t="n"/>
      <c r="Y1359" s="127" t="n"/>
      <c r="Z1359" s="153" t="n"/>
    </row>
    <row r="1360">
      <c r="A1360" s="203">
        <f>ROW()-1</f>
        <v/>
      </c>
      <c r="B1360" s="128" t="n"/>
      <c r="C1360" s="263" t="n"/>
      <c r="D1360" s="262" t="n"/>
      <c r="E1360" s="128" t="n"/>
      <c r="F1360" s="138" t="inlineStr">
        <is>
          <t>SPARE</t>
        </is>
      </c>
      <c r="G1360" s="131" t="n"/>
      <c r="H1360" s="128" t="n"/>
      <c r="I1360" s="132" t="inlineStr">
        <is>
          <t>RL7-SERP-RIO1</t>
        </is>
      </c>
      <c r="J1360" s="133" t="n">
        <v>15</v>
      </c>
      <c r="K1360" s="129" t="n">
        <v>4</v>
      </c>
      <c r="L1360" s="129" t="n">
        <v>7</v>
      </c>
      <c r="M1360" s="129" t="inlineStr">
        <is>
          <t>24 VDC DI</t>
        </is>
      </c>
      <c r="N1360" s="129" t="inlineStr">
        <is>
          <t>5069-IB16</t>
        </is>
      </c>
      <c r="O1360" s="139" t="n"/>
      <c r="P1360" s="127" t="n"/>
      <c r="Q1360" s="127" t="n"/>
      <c r="R1360" s="127" t="n"/>
      <c r="S1360" s="127" t="n"/>
      <c r="T1360" s="127" t="n"/>
      <c r="U1360" s="127" t="n"/>
      <c r="V1360" s="127" t="n"/>
      <c r="W1360" s="127" t="n"/>
      <c r="X1360" s="127" t="n"/>
      <c r="Y1360" s="127" t="n"/>
      <c r="Z1360" s="153" t="n"/>
    </row>
    <row r="1361" customFormat="1" s="149">
      <c r="A1361" s="203">
        <f>ROW()-1</f>
        <v/>
      </c>
      <c r="B1361" s="128" t="n"/>
      <c r="C1361" s="263" t="n"/>
      <c r="D1361" s="262" t="n"/>
      <c r="E1361" s="128" t="n"/>
      <c r="F1361" s="138" t="inlineStr">
        <is>
          <t>SPARE</t>
        </is>
      </c>
      <c r="G1361" s="131" t="n"/>
      <c r="H1361" s="128" t="n"/>
      <c r="I1361" s="132" t="inlineStr">
        <is>
          <t>RL7-SERP-RIO1</t>
        </is>
      </c>
      <c r="J1361" s="133" t="n">
        <v>15</v>
      </c>
      <c r="K1361" s="129" t="n">
        <v>4</v>
      </c>
      <c r="L1361" s="129" t="n">
        <v>8</v>
      </c>
      <c r="M1361" s="129" t="inlineStr">
        <is>
          <t>24 VDC DI</t>
        </is>
      </c>
      <c r="N1361" s="129" t="inlineStr">
        <is>
          <t>5069-IB16</t>
        </is>
      </c>
      <c r="O1361" s="139" t="n"/>
      <c r="P1361" s="127" t="n"/>
      <c r="Q1361" s="127" t="n"/>
      <c r="R1361" s="127" t="n"/>
      <c r="S1361" s="127" t="n"/>
      <c r="T1361" s="127" t="n"/>
      <c r="U1361" s="127" t="n"/>
      <c r="V1361" s="127" t="n"/>
      <c r="W1361" s="127" t="n"/>
      <c r="X1361" s="127" t="n"/>
      <c r="Y1361" s="127" t="n"/>
      <c r="Z1361" s="153" t="n"/>
    </row>
    <row r="1362" customFormat="1" s="149">
      <c r="A1362" s="203">
        <f>ROW()-1</f>
        <v/>
      </c>
      <c r="B1362" s="128" t="n"/>
      <c r="C1362" s="263" t="n"/>
      <c r="D1362" s="262" t="n"/>
      <c r="E1362" s="128" t="n"/>
      <c r="F1362" s="138" t="inlineStr">
        <is>
          <t>SPARE</t>
        </is>
      </c>
      <c r="G1362" s="131" t="n"/>
      <c r="H1362" s="128" t="n"/>
      <c r="I1362" s="132" t="inlineStr">
        <is>
          <t>RL7-SERP-RIO1</t>
        </is>
      </c>
      <c r="J1362" s="133" t="n">
        <v>15</v>
      </c>
      <c r="K1362" s="129" t="n">
        <v>4</v>
      </c>
      <c r="L1362" s="129" t="n">
        <v>9</v>
      </c>
      <c r="M1362" s="129" t="inlineStr">
        <is>
          <t>24 VDC DI</t>
        </is>
      </c>
      <c r="N1362" s="129" t="inlineStr">
        <is>
          <t>5069-IB16</t>
        </is>
      </c>
      <c r="O1362" s="139" t="n"/>
      <c r="P1362" s="127" t="n"/>
      <c r="Q1362" s="127" t="n"/>
      <c r="R1362" s="127" t="n"/>
      <c r="S1362" s="127" t="n"/>
      <c r="T1362" s="127" t="n"/>
      <c r="U1362" s="127" t="n"/>
      <c r="V1362" s="127" t="n"/>
      <c r="W1362" s="127" t="n"/>
      <c r="X1362" s="127" t="n"/>
      <c r="Y1362" s="127" t="n"/>
      <c r="Z1362" s="153" t="n"/>
    </row>
    <row r="1363" customFormat="1" s="149">
      <c r="A1363" s="203">
        <f>ROW()-1</f>
        <v/>
      </c>
      <c r="B1363" s="128" t="n"/>
      <c r="C1363" s="263" t="n"/>
      <c r="D1363" s="262" t="n"/>
      <c r="E1363" s="128" t="n"/>
      <c r="F1363" s="138" t="inlineStr">
        <is>
          <t>SPARE</t>
        </is>
      </c>
      <c r="G1363" s="131" t="n"/>
      <c r="H1363" s="128" t="n"/>
      <c r="I1363" s="132" t="inlineStr">
        <is>
          <t>RL7-SERP-RIO1</t>
        </is>
      </c>
      <c r="J1363" s="133" t="n">
        <v>15</v>
      </c>
      <c r="K1363" s="129" t="n">
        <v>4</v>
      </c>
      <c r="L1363" s="129" t="n">
        <v>10</v>
      </c>
      <c r="M1363" s="129" t="inlineStr">
        <is>
          <t>24 VDC DI</t>
        </is>
      </c>
      <c r="N1363" s="129" t="inlineStr">
        <is>
          <t>5069-IB16</t>
        </is>
      </c>
      <c r="O1363" s="139" t="n"/>
      <c r="P1363" s="127" t="n"/>
      <c r="Q1363" s="127" t="n"/>
      <c r="R1363" s="127" t="n"/>
      <c r="S1363" s="127" t="n"/>
      <c r="T1363" s="127" t="n"/>
      <c r="U1363" s="127" t="n"/>
      <c r="V1363" s="127" t="n"/>
      <c r="W1363" s="127" t="n"/>
      <c r="X1363" s="127" t="n"/>
      <c r="Y1363" s="127" t="n"/>
      <c r="Z1363" s="153" t="n"/>
    </row>
    <row r="1364" customFormat="1" s="149">
      <c r="A1364" s="203">
        <f>ROW()-1</f>
        <v/>
      </c>
      <c r="B1364" s="128" t="n"/>
      <c r="C1364" s="263" t="n"/>
      <c r="D1364" s="262" t="n"/>
      <c r="E1364" s="128" t="n"/>
      <c r="F1364" s="138" t="inlineStr">
        <is>
          <t>SPARE</t>
        </is>
      </c>
      <c r="G1364" s="131" t="n"/>
      <c r="H1364" s="128" t="n"/>
      <c r="I1364" s="132" t="inlineStr">
        <is>
          <t>RL7-SERP-RIO1</t>
        </is>
      </c>
      <c r="J1364" s="133" t="n">
        <v>15</v>
      </c>
      <c r="K1364" s="129" t="n">
        <v>4</v>
      </c>
      <c r="L1364" s="129" t="n">
        <v>11</v>
      </c>
      <c r="M1364" s="129" t="inlineStr">
        <is>
          <t>24 VDC DI</t>
        </is>
      </c>
      <c r="N1364" s="129" t="inlineStr">
        <is>
          <t>5069-IB16</t>
        </is>
      </c>
      <c r="O1364" s="139" t="n"/>
      <c r="P1364" s="127" t="n"/>
      <c r="Q1364" s="127" t="n"/>
      <c r="R1364" s="127" t="n"/>
      <c r="S1364" s="127" t="n"/>
      <c r="T1364" s="127" t="n"/>
      <c r="U1364" s="127" t="n"/>
      <c r="V1364" s="127" t="n"/>
      <c r="W1364" s="127" t="n"/>
      <c r="X1364" s="127" t="n"/>
      <c r="Y1364" s="127" t="n"/>
      <c r="Z1364" s="153" t="n"/>
    </row>
    <row r="1365" customFormat="1" s="149">
      <c r="A1365" s="203">
        <f>ROW()-1</f>
        <v/>
      </c>
      <c r="B1365" s="128" t="n"/>
      <c r="C1365" s="263" t="n"/>
      <c r="D1365" s="262" t="n"/>
      <c r="E1365" s="128" t="n"/>
      <c r="F1365" s="138" t="inlineStr">
        <is>
          <t>SPARE</t>
        </is>
      </c>
      <c r="G1365" s="131" t="n"/>
      <c r="H1365" s="128" t="n"/>
      <c r="I1365" s="132" t="inlineStr">
        <is>
          <t>RL7-SERP-RIO1</t>
        </is>
      </c>
      <c r="J1365" s="133" t="n">
        <v>15</v>
      </c>
      <c r="K1365" s="129" t="n">
        <v>4</v>
      </c>
      <c r="L1365" s="129" t="n">
        <v>12</v>
      </c>
      <c r="M1365" s="129" t="inlineStr">
        <is>
          <t>24 VDC DI</t>
        </is>
      </c>
      <c r="N1365" s="129" t="inlineStr">
        <is>
          <t>5069-IB16</t>
        </is>
      </c>
      <c r="O1365" s="139" t="n"/>
      <c r="P1365" s="127" t="n"/>
      <c r="Q1365" s="127" t="n"/>
      <c r="R1365" s="127" t="n"/>
      <c r="S1365" s="127" t="n"/>
      <c r="T1365" s="127" t="n"/>
      <c r="U1365" s="127" t="n"/>
      <c r="V1365" s="127" t="n"/>
      <c r="W1365" s="127" t="n"/>
      <c r="X1365" s="127" t="n"/>
      <c r="Y1365" s="127" t="n"/>
      <c r="Z1365" s="153" t="n"/>
    </row>
    <row r="1366" customFormat="1" s="149">
      <c r="A1366" s="203">
        <f>ROW()-1</f>
        <v/>
      </c>
      <c r="B1366" s="128" t="n"/>
      <c r="C1366" s="263" t="n"/>
      <c r="D1366" s="262" t="n"/>
      <c r="E1366" s="128" t="n"/>
      <c r="F1366" s="138" t="inlineStr">
        <is>
          <t>SPARE</t>
        </is>
      </c>
      <c r="G1366" s="131" t="n"/>
      <c r="H1366" s="128" t="n"/>
      <c r="I1366" s="132" t="inlineStr">
        <is>
          <t>RL7-SERP-RIO1</t>
        </is>
      </c>
      <c r="J1366" s="133" t="n">
        <v>15</v>
      </c>
      <c r="K1366" s="129" t="n">
        <v>4</v>
      </c>
      <c r="L1366" s="129" t="n">
        <v>13</v>
      </c>
      <c r="M1366" s="129" t="inlineStr">
        <is>
          <t>24 VDC DI</t>
        </is>
      </c>
      <c r="N1366" s="129" t="inlineStr">
        <is>
          <t>5069-IB16</t>
        </is>
      </c>
      <c r="O1366" s="139" t="n"/>
      <c r="P1366" s="127" t="n"/>
      <c r="Q1366" s="127" t="n"/>
      <c r="R1366" s="127" t="n"/>
      <c r="S1366" s="127" t="n"/>
      <c r="T1366" s="127" t="n"/>
      <c r="U1366" s="127" t="n"/>
      <c r="V1366" s="127" t="n"/>
      <c r="W1366" s="127" t="n"/>
      <c r="X1366" s="127" t="n"/>
      <c r="Y1366" s="127" t="n"/>
      <c r="Z1366" s="153" t="n"/>
    </row>
    <row r="1367" customFormat="1" s="149">
      <c r="A1367" s="203">
        <f>ROW()-1</f>
        <v/>
      </c>
      <c r="B1367" s="128" t="n"/>
      <c r="C1367" s="263" t="n"/>
      <c r="D1367" s="262" t="n"/>
      <c r="E1367" s="128" t="n"/>
      <c r="F1367" s="138" t="inlineStr">
        <is>
          <t>SPARE</t>
        </is>
      </c>
      <c r="G1367" s="131" t="n"/>
      <c r="H1367" s="128" t="n"/>
      <c r="I1367" s="132" t="inlineStr">
        <is>
          <t>RL7-SERP-RIO1</t>
        </is>
      </c>
      <c r="J1367" s="133" t="n">
        <v>15</v>
      </c>
      <c r="K1367" s="129" t="n">
        <v>4</v>
      </c>
      <c r="L1367" s="129" t="n">
        <v>14</v>
      </c>
      <c r="M1367" s="129" t="inlineStr">
        <is>
          <t>24 VDC DI</t>
        </is>
      </c>
      <c r="N1367" s="129" t="inlineStr">
        <is>
          <t>5069-IB16</t>
        </is>
      </c>
      <c r="O1367" s="139" t="n"/>
      <c r="P1367" s="127" t="n"/>
      <c r="Q1367" s="127" t="n"/>
      <c r="R1367" s="127" t="n"/>
      <c r="S1367" s="127" t="n"/>
      <c r="T1367" s="127" t="n"/>
      <c r="U1367" s="127" t="n"/>
      <c r="V1367" s="127" t="n"/>
      <c r="W1367" s="127" t="n"/>
      <c r="X1367" s="127" t="n"/>
      <c r="Y1367" s="127" t="n"/>
      <c r="Z1367" s="153" t="n"/>
    </row>
    <row r="1368" customFormat="1" s="149">
      <c r="A1368" s="203">
        <f>ROW()-1</f>
        <v/>
      </c>
      <c r="B1368" s="128" t="n"/>
      <c r="C1368" s="263" t="n"/>
      <c r="D1368" s="262" t="n"/>
      <c r="E1368" s="128" t="n"/>
      <c r="F1368" s="138" t="inlineStr">
        <is>
          <t>SPARE</t>
        </is>
      </c>
      <c r="G1368" s="131" t="n"/>
      <c r="H1368" s="128" t="n"/>
      <c r="I1368" s="132" t="inlineStr">
        <is>
          <t>RL7-SERP-RIO1</t>
        </is>
      </c>
      <c r="J1368" s="133" t="n">
        <v>15</v>
      </c>
      <c r="K1368" s="129" t="n">
        <v>4</v>
      </c>
      <c r="L1368" s="129" t="n">
        <v>15</v>
      </c>
      <c r="M1368" s="129" t="inlineStr">
        <is>
          <t>24 VDC DI</t>
        </is>
      </c>
      <c r="N1368" s="129" t="inlineStr">
        <is>
          <t>5069-IB16</t>
        </is>
      </c>
      <c r="O1368" s="139" t="n"/>
      <c r="P1368" s="127" t="n"/>
      <c r="Q1368" s="127" t="n"/>
      <c r="R1368" s="127" t="n"/>
      <c r="S1368" s="127" t="n"/>
      <c r="T1368" s="127" t="n"/>
      <c r="U1368" s="127" t="n"/>
      <c r="V1368" s="127" t="n"/>
      <c r="W1368" s="127" t="n"/>
      <c r="X1368" s="127" t="n"/>
      <c r="Y1368" s="127" t="n"/>
      <c r="Z1368" s="153" t="n"/>
    </row>
    <row r="1369" customFormat="1" s="149">
      <c r="A1369" s="203">
        <f>ROW()-1</f>
        <v/>
      </c>
      <c r="B1369" s="128" t="n"/>
      <c r="C1369" s="263" t="n"/>
      <c r="D1369" s="262" t="n"/>
      <c r="E1369" s="128" t="n"/>
      <c r="F1369" s="138" t="inlineStr">
        <is>
          <t>SPARE</t>
        </is>
      </c>
      <c r="G1369" s="131" t="n"/>
      <c r="H1369" s="128" t="n"/>
      <c r="I1369" s="132" t="inlineStr">
        <is>
          <t>RL7-SERP-RIO1</t>
        </is>
      </c>
      <c r="J1369" s="133" t="n">
        <v>15</v>
      </c>
      <c r="K1369" s="129" t="n">
        <v>5</v>
      </c>
      <c r="L1369" s="129" t="n">
        <v>5</v>
      </c>
      <c r="M1369" s="129" t="inlineStr">
        <is>
          <t>24 VDC DO</t>
        </is>
      </c>
      <c r="N1369" s="129" t="inlineStr">
        <is>
          <t>5069-OB16</t>
        </is>
      </c>
      <c r="O1369" s="139" t="n"/>
      <c r="P1369" s="127" t="n"/>
      <c r="Q1369" s="127" t="n"/>
      <c r="R1369" s="127" t="n"/>
      <c r="S1369" s="127" t="n"/>
      <c r="T1369" s="127" t="n"/>
      <c r="U1369" s="127" t="n"/>
      <c r="V1369" s="127" t="n"/>
      <c r="W1369" s="127" t="n"/>
      <c r="X1369" s="127" t="n"/>
      <c r="Y1369" s="127" t="n"/>
      <c r="Z1369" s="153" t="n"/>
    </row>
    <row r="1370" customFormat="1" s="149">
      <c r="A1370" s="203">
        <f>ROW()-1</f>
        <v/>
      </c>
      <c r="B1370" s="129" t="n"/>
      <c r="C1370" s="263" t="n"/>
      <c r="D1370" s="263" t="n"/>
      <c r="E1370" s="129" t="n"/>
      <c r="F1370" s="4" t="inlineStr">
        <is>
          <t>SPARE</t>
        </is>
      </c>
      <c r="G1370" s="131" t="n"/>
      <c r="H1370" s="129" t="n"/>
      <c r="I1370" s="132" t="inlineStr">
        <is>
          <t>RL7-SERP-RIO1</t>
        </is>
      </c>
      <c r="J1370" s="133" t="n">
        <v>15</v>
      </c>
      <c r="K1370" s="129" t="n">
        <v>5</v>
      </c>
      <c r="L1370" s="129" t="n">
        <v>7</v>
      </c>
      <c r="M1370" s="129" t="inlineStr">
        <is>
          <t>24 VDC DO</t>
        </is>
      </c>
      <c r="N1370" s="129" t="inlineStr">
        <is>
          <t>5069-OB16</t>
        </is>
      </c>
      <c r="O1370" s="139" t="n"/>
      <c r="P1370" s="127" t="n"/>
      <c r="Q1370" s="127" t="n"/>
      <c r="R1370" s="127" t="n"/>
      <c r="S1370" s="127" t="n"/>
      <c r="T1370" s="127" t="n"/>
      <c r="U1370" s="127" t="n"/>
      <c r="V1370" s="127" t="n"/>
      <c r="W1370" s="127" t="n"/>
      <c r="X1370" s="127" t="n"/>
      <c r="Y1370" s="127" t="n"/>
      <c r="Z1370" s="143" t="n"/>
    </row>
    <row r="1371" customFormat="1" s="149">
      <c r="A1371" s="203">
        <f>ROW()-1</f>
        <v/>
      </c>
      <c r="B1371" s="128" t="n"/>
      <c r="C1371" s="263" t="n"/>
      <c r="D1371" s="262" t="n"/>
      <c r="E1371" s="128" t="n"/>
      <c r="F1371" s="138" t="inlineStr">
        <is>
          <t>SPARE</t>
        </is>
      </c>
      <c r="G1371" s="131" t="n"/>
      <c r="H1371" s="128" t="n"/>
      <c r="I1371" s="132" t="inlineStr">
        <is>
          <t>RL7-SERP-RIO1</t>
        </is>
      </c>
      <c r="J1371" s="133" t="n">
        <v>15</v>
      </c>
      <c r="K1371" s="129" t="n">
        <v>6</v>
      </c>
      <c r="L1371" s="129" t="n">
        <v>4</v>
      </c>
      <c r="M1371" s="129" t="inlineStr">
        <is>
          <t>24 VDC DO</t>
        </is>
      </c>
      <c r="N1371" s="129" t="inlineStr">
        <is>
          <t>5069-OB16</t>
        </is>
      </c>
      <c r="O1371" s="139" t="n"/>
      <c r="P1371" s="127" t="n"/>
      <c r="Q1371" s="127" t="n"/>
      <c r="R1371" s="127" t="n"/>
      <c r="S1371" s="127" t="n"/>
      <c r="T1371" s="127" t="n"/>
      <c r="U1371" s="127" t="n"/>
      <c r="V1371" s="127" t="n"/>
      <c r="W1371" s="127" t="n"/>
      <c r="X1371" s="127" t="n"/>
      <c r="Y1371" s="127" t="n"/>
      <c r="Z1371" s="153" t="n"/>
    </row>
    <row r="1372" customFormat="1" s="149">
      <c r="A1372" s="203">
        <f>ROW()-1</f>
        <v/>
      </c>
      <c r="B1372" s="133" t="n"/>
      <c r="C1372" s="263" t="n"/>
      <c r="D1372" s="262" t="n"/>
      <c r="E1372" s="128" t="n"/>
      <c r="F1372" s="138" t="inlineStr">
        <is>
          <t>SPARE</t>
        </is>
      </c>
      <c r="G1372" s="131" t="n"/>
      <c r="H1372" s="128" t="n"/>
      <c r="I1372" s="132" t="inlineStr">
        <is>
          <t>RL7-SERP-RIO1</t>
        </is>
      </c>
      <c r="J1372" s="133" t="n">
        <v>15</v>
      </c>
      <c r="K1372" s="129" t="n">
        <v>6</v>
      </c>
      <c r="L1372" s="129" t="n">
        <v>5</v>
      </c>
      <c r="M1372" s="129" t="inlineStr">
        <is>
          <t>24 VDC DO</t>
        </is>
      </c>
      <c r="N1372" s="129" t="inlineStr">
        <is>
          <t>5069-OB16</t>
        </is>
      </c>
      <c r="O1372" s="139" t="n"/>
      <c r="P1372" s="127" t="n"/>
      <c r="Q1372" s="127" t="n"/>
      <c r="R1372" s="127" t="n"/>
      <c r="S1372" s="127" t="n"/>
      <c r="T1372" s="127" t="n"/>
      <c r="U1372" s="127" t="n"/>
      <c r="V1372" s="127" t="n"/>
      <c r="W1372" s="127" t="n"/>
      <c r="X1372" s="127" t="n"/>
      <c r="Y1372" s="127" t="n"/>
      <c r="Z1372" s="140" t="n"/>
    </row>
    <row r="1373">
      <c r="A1373" s="203">
        <f>ROW()-1</f>
        <v/>
      </c>
      <c r="B1373" s="128" t="n"/>
      <c r="C1373" s="263" t="n"/>
      <c r="D1373" s="262" t="n"/>
      <c r="E1373" s="128" t="n"/>
      <c r="F1373" s="138" t="inlineStr">
        <is>
          <t>SPARE</t>
        </is>
      </c>
      <c r="G1373" s="131" t="n"/>
      <c r="H1373" s="128" t="n"/>
      <c r="I1373" s="132" t="inlineStr">
        <is>
          <t>RL7-SERP-RIO1</t>
        </is>
      </c>
      <c r="J1373" s="133" t="n">
        <v>15</v>
      </c>
      <c r="K1373" s="129" t="n">
        <v>6</v>
      </c>
      <c r="L1373" s="129" t="n">
        <v>6</v>
      </c>
      <c r="M1373" s="129" t="inlineStr">
        <is>
          <t>24 VDC DO</t>
        </is>
      </c>
      <c r="N1373" s="129" t="inlineStr">
        <is>
          <t>5069-OB16</t>
        </is>
      </c>
      <c r="O1373" s="139" t="n"/>
      <c r="P1373" s="127" t="n"/>
      <c r="Q1373" s="127" t="n"/>
      <c r="R1373" s="127" t="n"/>
      <c r="S1373" s="127" t="n"/>
      <c r="T1373" s="127" t="n"/>
      <c r="U1373" s="127" t="n"/>
      <c r="V1373" s="127" t="n"/>
      <c r="W1373" s="127" t="n"/>
      <c r="X1373" s="127" t="n"/>
      <c r="Y1373" s="127" t="n"/>
      <c r="Z1373" s="147" t="n"/>
    </row>
    <row r="1374">
      <c r="A1374" s="203">
        <f>ROW()-1</f>
        <v/>
      </c>
      <c r="B1374" s="128" t="n"/>
      <c r="C1374" s="263" t="n"/>
      <c r="D1374" s="262" t="n"/>
      <c r="E1374" s="128" t="n"/>
      <c r="F1374" s="138" t="inlineStr">
        <is>
          <t>SPARE</t>
        </is>
      </c>
      <c r="G1374" s="131" t="n"/>
      <c r="H1374" s="128" t="n"/>
      <c r="I1374" s="132" t="inlineStr">
        <is>
          <t>RL7-SERP-RIO1</t>
        </is>
      </c>
      <c r="J1374" s="133" t="n">
        <v>15</v>
      </c>
      <c r="K1374" s="129" t="n">
        <v>6</v>
      </c>
      <c r="L1374" s="129" t="n">
        <v>7</v>
      </c>
      <c r="M1374" s="129" t="inlineStr">
        <is>
          <t>24 VDC DO</t>
        </is>
      </c>
      <c r="N1374" s="129" t="inlineStr">
        <is>
          <t>5069-OB16</t>
        </is>
      </c>
      <c r="O1374" s="139" t="n"/>
      <c r="P1374" s="127" t="n"/>
      <c r="Q1374" s="127" t="n"/>
      <c r="R1374" s="127" t="n"/>
      <c r="S1374" s="127" t="n"/>
      <c r="T1374" s="127" t="n"/>
      <c r="U1374" s="127" t="n"/>
      <c r="V1374" s="127" t="n"/>
      <c r="W1374" s="127" t="n"/>
      <c r="X1374" s="127" t="n"/>
      <c r="Y1374" s="127" t="n"/>
      <c r="Z1374" s="153" t="n"/>
    </row>
    <row r="1375">
      <c r="A1375" s="203">
        <f>ROW()-1</f>
        <v/>
      </c>
      <c r="B1375" s="128" t="n"/>
      <c r="C1375" s="263" t="n"/>
      <c r="D1375" s="262" t="n"/>
      <c r="E1375" s="128" t="n"/>
      <c r="F1375" s="138" t="inlineStr">
        <is>
          <t>SPARE</t>
        </is>
      </c>
      <c r="G1375" s="131" t="n"/>
      <c r="H1375" s="128" t="n"/>
      <c r="I1375" s="132" t="inlineStr">
        <is>
          <t>RL7-SERP-RIO1</t>
        </is>
      </c>
      <c r="J1375" s="133" t="n">
        <v>15</v>
      </c>
      <c r="K1375" s="129" t="n">
        <v>6</v>
      </c>
      <c r="L1375" s="129" t="n">
        <v>8</v>
      </c>
      <c r="M1375" s="129" t="inlineStr">
        <is>
          <t>24 VDC DO</t>
        </is>
      </c>
      <c r="N1375" s="129" t="inlineStr">
        <is>
          <t>5069-OB16</t>
        </is>
      </c>
      <c r="O1375" s="139" t="n"/>
      <c r="P1375" s="127" t="n"/>
      <c r="Q1375" s="127" t="n"/>
      <c r="R1375" s="127" t="n"/>
      <c r="S1375" s="127" t="n"/>
      <c r="T1375" s="127" t="n"/>
      <c r="U1375" s="127" t="n"/>
      <c r="V1375" s="127" t="n"/>
      <c r="W1375" s="127" t="n"/>
      <c r="X1375" s="127" t="n"/>
      <c r="Y1375" s="127" t="n"/>
      <c r="Z1375" s="153" t="n"/>
    </row>
    <row r="1376">
      <c r="A1376" s="203">
        <f>ROW()-1</f>
        <v/>
      </c>
      <c r="B1376" s="128" t="n"/>
      <c r="C1376" s="263" t="n"/>
      <c r="D1376" s="262" t="n"/>
      <c r="E1376" s="128" t="n"/>
      <c r="F1376" s="138" t="inlineStr">
        <is>
          <t>SPARE</t>
        </is>
      </c>
      <c r="G1376" s="131" t="n"/>
      <c r="H1376" s="128" t="n"/>
      <c r="I1376" s="132" t="inlineStr">
        <is>
          <t>RL7-SERP-RIO1</t>
        </is>
      </c>
      <c r="J1376" s="133" t="n">
        <v>15</v>
      </c>
      <c r="K1376" s="129" t="n">
        <v>6</v>
      </c>
      <c r="L1376" s="129" t="n">
        <v>9</v>
      </c>
      <c r="M1376" s="129" t="inlineStr">
        <is>
          <t>24 VDC DO</t>
        </is>
      </c>
      <c r="N1376" s="129" t="inlineStr">
        <is>
          <t>5069-OB16</t>
        </is>
      </c>
      <c r="O1376" s="139" t="n"/>
      <c r="P1376" s="127" t="n"/>
      <c r="Q1376" s="127" t="n"/>
      <c r="R1376" s="127" t="n"/>
      <c r="S1376" s="127" t="n"/>
      <c r="T1376" s="127" t="n"/>
      <c r="U1376" s="127" t="n"/>
      <c r="V1376" s="127" t="n"/>
      <c r="W1376" s="127" t="n"/>
      <c r="X1376" s="127" t="n"/>
      <c r="Y1376" s="127" t="n"/>
      <c r="Z1376" s="153" t="n"/>
    </row>
    <row r="1377">
      <c r="A1377" s="203">
        <f>ROW()-1</f>
        <v/>
      </c>
      <c r="B1377" s="128" t="n"/>
      <c r="C1377" s="263" t="n"/>
      <c r="D1377" s="262" t="n"/>
      <c r="E1377" s="128" t="n"/>
      <c r="F1377" s="138" t="inlineStr">
        <is>
          <t>SPARE</t>
        </is>
      </c>
      <c r="G1377" s="131" t="n"/>
      <c r="H1377" s="128" t="n"/>
      <c r="I1377" s="132" t="inlineStr">
        <is>
          <t>RL7-SERP-RIO1</t>
        </is>
      </c>
      <c r="J1377" s="133" t="n">
        <v>15</v>
      </c>
      <c r="K1377" s="129" t="n">
        <v>6</v>
      </c>
      <c r="L1377" s="129" t="n">
        <v>10</v>
      </c>
      <c r="M1377" s="129" t="inlineStr">
        <is>
          <t>24 VDC DO</t>
        </is>
      </c>
      <c r="N1377" s="129" t="inlineStr">
        <is>
          <t>5069-OB16</t>
        </is>
      </c>
      <c r="O1377" s="139" t="n"/>
      <c r="P1377" s="127" t="n"/>
      <c r="Q1377" s="127" t="n"/>
      <c r="R1377" s="127" t="n"/>
      <c r="S1377" s="127" t="n"/>
      <c r="T1377" s="127" t="n"/>
      <c r="U1377" s="127" t="n"/>
      <c r="V1377" s="127" t="n"/>
      <c r="W1377" s="127" t="n"/>
      <c r="X1377" s="127" t="n"/>
      <c r="Y1377" s="127" t="n"/>
      <c r="Z1377" s="153" t="n"/>
    </row>
    <row r="1378">
      <c r="A1378" s="203">
        <f>ROW()-1</f>
        <v/>
      </c>
      <c r="B1378" s="128" t="n"/>
      <c r="C1378" s="263" t="n"/>
      <c r="D1378" s="262" t="n"/>
      <c r="E1378" s="128" t="n"/>
      <c r="F1378" s="138" t="inlineStr">
        <is>
          <t>SPARE</t>
        </is>
      </c>
      <c r="G1378" s="131" t="n"/>
      <c r="H1378" s="128" t="n"/>
      <c r="I1378" s="132" t="inlineStr">
        <is>
          <t>RL7-SERP-RIO1</t>
        </is>
      </c>
      <c r="J1378" s="133" t="n">
        <v>15</v>
      </c>
      <c r="K1378" s="129" t="n">
        <v>6</v>
      </c>
      <c r="L1378" s="129" t="n">
        <v>11</v>
      </c>
      <c r="M1378" s="129" t="inlineStr">
        <is>
          <t>24 VDC DO</t>
        </is>
      </c>
      <c r="N1378" s="129" t="inlineStr">
        <is>
          <t>5069-OB16</t>
        </is>
      </c>
      <c r="O1378" s="139" t="n"/>
      <c r="P1378" s="127" t="n"/>
      <c r="Q1378" s="127" t="n"/>
      <c r="R1378" s="127" t="n"/>
      <c r="S1378" s="127" t="n"/>
      <c r="T1378" s="127" t="n"/>
      <c r="U1378" s="127" t="n"/>
      <c r="V1378" s="127" t="n"/>
      <c r="W1378" s="127" t="n"/>
      <c r="X1378" s="127" t="n"/>
      <c r="Y1378" s="127" t="n"/>
      <c r="Z1378" s="153" t="n"/>
    </row>
    <row r="1379">
      <c r="A1379" s="203">
        <f>ROW()-1</f>
        <v/>
      </c>
      <c r="B1379" s="128" t="n"/>
      <c r="C1379" s="263" t="n"/>
      <c r="D1379" s="262" t="n"/>
      <c r="E1379" s="128" t="n"/>
      <c r="F1379" s="138" t="inlineStr">
        <is>
          <t>SPARE</t>
        </is>
      </c>
      <c r="G1379" s="131" t="n"/>
      <c r="H1379" s="128" t="n"/>
      <c r="I1379" s="132" t="inlineStr">
        <is>
          <t>RL7-SERP-RIO1</t>
        </is>
      </c>
      <c r="J1379" s="133" t="n">
        <v>15</v>
      </c>
      <c r="K1379" s="129" t="n">
        <v>6</v>
      </c>
      <c r="L1379" s="129" t="n">
        <v>12</v>
      </c>
      <c r="M1379" s="129" t="inlineStr">
        <is>
          <t>24 VDC DO</t>
        </is>
      </c>
      <c r="N1379" s="129" t="inlineStr">
        <is>
          <t>5069-OB16</t>
        </is>
      </c>
      <c r="O1379" s="139" t="n"/>
      <c r="P1379" s="127" t="n"/>
      <c r="Q1379" s="127" t="n"/>
      <c r="R1379" s="127" t="n"/>
      <c r="S1379" s="127" t="n"/>
      <c r="T1379" s="127" t="n"/>
      <c r="U1379" s="127" t="n"/>
      <c r="V1379" s="127" t="n"/>
      <c r="W1379" s="127" t="n"/>
      <c r="X1379" s="127" t="n"/>
      <c r="Y1379" s="127" t="n"/>
      <c r="Z1379" s="153" t="n"/>
    </row>
    <row r="1380">
      <c r="A1380" s="203">
        <f>ROW()-1</f>
        <v/>
      </c>
      <c r="B1380" s="128" t="n"/>
      <c r="C1380" s="263" t="n"/>
      <c r="D1380" s="262" t="n"/>
      <c r="E1380" s="128" t="n"/>
      <c r="F1380" s="138" t="inlineStr">
        <is>
          <t>SPARE</t>
        </is>
      </c>
      <c r="G1380" s="131" t="n"/>
      <c r="H1380" s="128" t="n"/>
      <c r="I1380" s="132" t="inlineStr">
        <is>
          <t>RL7-SERP-RIO1</t>
        </is>
      </c>
      <c r="J1380" s="133" t="n">
        <v>15</v>
      </c>
      <c r="K1380" s="129" t="n">
        <v>6</v>
      </c>
      <c r="L1380" s="129" t="n">
        <v>13</v>
      </c>
      <c r="M1380" s="129" t="inlineStr">
        <is>
          <t>24 VDC DO</t>
        </is>
      </c>
      <c r="N1380" s="129" t="inlineStr">
        <is>
          <t>5069-OB16</t>
        </is>
      </c>
      <c r="O1380" s="139" t="n"/>
      <c r="P1380" s="127" t="n"/>
      <c r="Q1380" s="127" t="n"/>
      <c r="R1380" s="127" t="n"/>
      <c r="S1380" s="127" t="n"/>
      <c r="T1380" s="127" t="n"/>
      <c r="U1380" s="127" t="n"/>
      <c r="V1380" s="127" t="n"/>
      <c r="W1380" s="127" t="n"/>
      <c r="X1380" s="127" t="n"/>
      <c r="Y1380" s="127" t="n"/>
      <c r="Z1380" s="153" t="n"/>
    </row>
    <row r="1381">
      <c r="A1381" s="203">
        <f>ROW()-1</f>
        <v/>
      </c>
      <c r="B1381" s="128" t="n"/>
      <c r="C1381" s="263" t="n"/>
      <c r="D1381" s="262" t="n"/>
      <c r="E1381" s="128" t="n"/>
      <c r="F1381" s="138" t="inlineStr">
        <is>
          <t>SPARE</t>
        </is>
      </c>
      <c r="G1381" s="131" t="n"/>
      <c r="H1381" s="128" t="n"/>
      <c r="I1381" s="132" t="inlineStr">
        <is>
          <t>RL7-SERP-RIO1</t>
        </is>
      </c>
      <c r="J1381" s="133" t="n">
        <v>15</v>
      </c>
      <c r="K1381" s="129" t="n">
        <v>6</v>
      </c>
      <c r="L1381" s="129" t="n">
        <v>14</v>
      </c>
      <c r="M1381" s="129" t="inlineStr">
        <is>
          <t>24 VDC DO</t>
        </is>
      </c>
      <c r="N1381" s="129" t="inlineStr">
        <is>
          <t>5069-OB16</t>
        </is>
      </c>
      <c r="O1381" s="139" t="n"/>
      <c r="P1381" s="127" t="n"/>
      <c r="Q1381" s="127" t="n"/>
      <c r="R1381" s="127" t="n"/>
      <c r="S1381" s="127" t="n"/>
      <c r="T1381" s="127" t="n"/>
      <c r="U1381" s="127" t="n"/>
      <c r="V1381" s="127" t="n"/>
      <c r="W1381" s="127" t="n"/>
      <c r="X1381" s="127" t="n"/>
      <c r="Y1381" s="127" t="n"/>
      <c r="Z1381" s="153" t="n"/>
    </row>
    <row r="1382">
      <c r="A1382" s="203">
        <f>ROW()-1</f>
        <v/>
      </c>
      <c r="B1382" s="128" t="n"/>
      <c r="C1382" s="263" t="n"/>
      <c r="D1382" s="262" t="n"/>
      <c r="E1382" s="128" t="n"/>
      <c r="F1382" s="138" t="inlineStr">
        <is>
          <t>SPARE</t>
        </is>
      </c>
      <c r="G1382" s="131" t="n"/>
      <c r="H1382" s="128" t="n"/>
      <c r="I1382" s="132" t="inlineStr">
        <is>
          <t>RL7-SERP-RIO1</t>
        </is>
      </c>
      <c r="J1382" s="133" t="n">
        <v>15</v>
      </c>
      <c r="K1382" s="129" t="n">
        <v>6</v>
      </c>
      <c r="L1382" s="129" t="n">
        <v>15</v>
      </c>
      <c r="M1382" s="129" t="inlineStr">
        <is>
          <t>24 VDC DO</t>
        </is>
      </c>
      <c r="N1382" s="129" t="inlineStr">
        <is>
          <t>5069-OB16</t>
        </is>
      </c>
      <c r="O1382" s="139" t="n"/>
      <c r="P1382" s="127" t="n"/>
      <c r="Q1382" s="127" t="n"/>
      <c r="R1382" s="127" t="n"/>
      <c r="S1382" s="127" t="n"/>
      <c r="T1382" s="127" t="n"/>
      <c r="U1382" s="127" t="n"/>
      <c r="V1382" s="127" t="n"/>
      <c r="W1382" s="127" t="n"/>
      <c r="X1382" s="127" t="n"/>
      <c r="Y1382" s="127" t="n"/>
      <c r="Z1382" s="153" t="n"/>
    </row>
    <row r="1383">
      <c r="A1383" s="203">
        <f>ROW()-1</f>
        <v/>
      </c>
      <c r="B1383" s="128" t="n"/>
      <c r="C1383" s="263" t="n"/>
      <c r="D1383" s="262" t="n"/>
      <c r="E1383" s="128" t="n"/>
      <c r="F1383" s="138" t="inlineStr">
        <is>
          <t>SPARE</t>
        </is>
      </c>
      <c r="G1383" s="131" t="n"/>
      <c r="H1383" s="128" t="n"/>
      <c r="I1383" s="132" t="inlineStr">
        <is>
          <t>RL7-SERP-RIO1</t>
        </is>
      </c>
      <c r="J1383" s="133" t="n">
        <v>15</v>
      </c>
      <c r="K1383" s="129" t="n">
        <v>7</v>
      </c>
      <c r="L1383" s="129" t="n">
        <v>7</v>
      </c>
      <c r="M1383" s="129" t="inlineStr">
        <is>
          <t>4-20 mA AI</t>
        </is>
      </c>
      <c r="N1383" s="129" t="inlineStr">
        <is>
          <t>5069-IF8</t>
        </is>
      </c>
      <c r="O1383" s="139" t="n"/>
      <c r="P1383" s="127" t="n"/>
      <c r="Q1383" s="127" t="n"/>
      <c r="R1383" s="127" t="n"/>
      <c r="S1383" s="127" t="n"/>
      <c r="T1383" s="127" t="n"/>
      <c r="U1383" s="127" t="n"/>
      <c r="V1383" s="127" t="n"/>
      <c r="W1383" s="127" t="n"/>
      <c r="X1383" s="127" t="n"/>
      <c r="Y1383" s="127" t="n"/>
      <c r="Z1383" s="153" t="n"/>
    </row>
    <row r="1384">
      <c r="A1384" s="203">
        <f>ROW()-1</f>
        <v/>
      </c>
      <c r="B1384" s="128" t="n"/>
      <c r="C1384" s="263" t="n"/>
      <c r="D1384" s="262" t="n"/>
      <c r="E1384" s="128" t="n"/>
      <c r="F1384" s="138" t="inlineStr">
        <is>
          <t>SPARE</t>
        </is>
      </c>
      <c r="G1384" s="129" t="n"/>
      <c r="H1384" s="128" t="n"/>
      <c r="I1384" s="132" t="inlineStr">
        <is>
          <t>RL7-SERP-RIO1</t>
        </is>
      </c>
      <c r="J1384" s="133" t="n">
        <v>15</v>
      </c>
      <c r="K1384" s="129" t="n">
        <v>8</v>
      </c>
      <c r="L1384" s="129" t="n">
        <v>7</v>
      </c>
      <c r="M1384" s="129" t="inlineStr">
        <is>
          <t>4-20 mA AI</t>
        </is>
      </c>
      <c r="N1384" s="129" t="inlineStr">
        <is>
          <t>5069-IF8</t>
        </is>
      </c>
      <c r="O1384" s="139" t="n"/>
      <c r="P1384" s="127" t="n"/>
      <c r="Q1384" s="127" t="n"/>
      <c r="R1384" s="127" t="n"/>
      <c r="S1384" s="127" t="n"/>
      <c r="T1384" s="127" t="n"/>
      <c r="U1384" s="127" t="n"/>
      <c r="V1384" s="127" t="n"/>
      <c r="W1384" s="127" t="n"/>
      <c r="X1384" s="127" t="n"/>
      <c r="Y1384" s="127" t="n"/>
      <c r="Z1384" s="153" t="n"/>
    </row>
    <row r="1385">
      <c r="A1385" s="203">
        <f>ROW()-1</f>
        <v/>
      </c>
      <c r="B1385" s="128" t="n"/>
      <c r="C1385" s="263" t="n"/>
      <c r="D1385" s="262" t="n"/>
      <c r="E1385" s="128" t="n"/>
      <c r="F1385" s="138" t="inlineStr">
        <is>
          <t>SPARE</t>
        </is>
      </c>
      <c r="G1385" s="129" t="n"/>
      <c r="H1385" s="128" t="n"/>
      <c r="I1385" s="132" t="inlineStr">
        <is>
          <t>RL7-SERP-RIO1</t>
        </is>
      </c>
      <c r="J1385" s="133" t="n">
        <v>15</v>
      </c>
      <c r="K1385" s="129" t="n">
        <v>9</v>
      </c>
      <c r="L1385" s="129" t="n">
        <v>0</v>
      </c>
      <c r="M1385" s="129" t="inlineStr">
        <is>
          <t>4-20 mA AO</t>
        </is>
      </c>
      <c r="N1385" s="129" t="inlineStr">
        <is>
          <t>5069-OF8</t>
        </is>
      </c>
      <c r="O1385" s="139" t="n"/>
      <c r="P1385" s="127" t="n"/>
      <c r="Q1385" s="127" t="n"/>
      <c r="R1385" s="127" t="n"/>
      <c r="S1385" s="127" t="n"/>
      <c r="T1385" s="127" t="n"/>
      <c r="U1385" s="127" t="n"/>
      <c r="V1385" s="127" t="n"/>
      <c r="W1385" s="127" t="n"/>
      <c r="X1385" s="127" t="n"/>
      <c r="Y1385" s="127" t="n"/>
      <c r="Z1385" s="153" t="n"/>
    </row>
    <row r="1386">
      <c r="A1386" s="203">
        <f>ROW()-1</f>
        <v/>
      </c>
      <c r="B1386" s="128" t="n"/>
      <c r="C1386" s="263" t="n"/>
      <c r="D1386" s="262" t="n"/>
      <c r="E1386" s="128" t="n"/>
      <c r="F1386" s="138" t="inlineStr">
        <is>
          <t>SPARE</t>
        </is>
      </c>
      <c r="G1386" s="129" t="n"/>
      <c r="H1386" s="128" t="n"/>
      <c r="I1386" s="132" t="inlineStr">
        <is>
          <t>RL7-SERP-RIO1</t>
        </is>
      </c>
      <c r="J1386" s="133" t="n">
        <v>15</v>
      </c>
      <c r="K1386" s="129" t="n">
        <v>9</v>
      </c>
      <c r="L1386" s="129" t="n">
        <v>1</v>
      </c>
      <c r="M1386" s="129" t="inlineStr">
        <is>
          <t>4-20 mA AO</t>
        </is>
      </c>
      <c r="N1386" s="129" t="inlineStr">
        <is>
          <t>5069-OF8</t>
        </is>
      </c>
      <c r="O1386" s="139" t="n"/>
      <c r="P1386" s="127" t="n"/>
      <c r="Q1386" s="127" t="n"/>
      <c r="R1386" s="127" t="n"/>
      <c r="S1386" s="127" t="n"/>
      <c r="T1386" s="127" t="n"/>
      <c r="U1386" s="127" t="n"/>
      <c r="V1386" s="127" t="n"/>
      <c r="W1386" s="127" t="n"/>
      <c r="X1386" s="127" t="n"/>
      <c r="Y1386" s="127" t="n"/>
      <c r="Z1386" s="153" t="n"/>
    </row>
    <row r="1387">
      <c r="A1387" s="203">
        <f>ROW()-1</f>
        <v/>
      </c>
      <c r="B1387" s="128" t="n"/>
      <c r="C1387" s="263" t="n"/>
      <c r="D1387" s="262" t="n"/>
      <c r="E1387" s="128" t="n"/>
      <c r="F1387" s="138" t="inlineStr">
        <is>
          <t>SPARE</t>
        </is>
      </c>
      <c r="G1387" s="131" t="n"/>
      <c r="H1387" s="128" t="n"/>
      <c r="I1387" s="132" t="inlineStr">
        <is>
          <t>RL7-SERP-RIO1</t>
        </is>
      </c>
      <c r="J1387" s="133" t="n">
        <v>15</v>
      </c>
      <c r="K1387" s="129" t="n">
        <v>9</v>
      </c>
      <c r="L1387" s="129" t="n">
        <v>2</v>
      </c>
      <c r="M1387" s="129" t="inlineStr">
        <is>
          <t>4-20 mA AO</t>
        </is>
      </c>
      <c r="N1387" s="129" t="inlineStr">
        <is>
          <t>5069-OF8</t>
        </is>
      </c>
      <c r="O1387" s="139" t="n"/>
      <c r="P1387" s="127" t="n"/>
      <c r="Q1387" s="127" t="n"/>
      <c r="R1387" s="127" t="n"/>
      <c r="S1387" s="127" t="n"/>
      <c r="T1387" s="127" t="n"/>
      <c r="U1387" s="127" t="n"/>
      <c r="V1387" s="127" t="n"/>
      <c r="W1387" s="127" t="n"/>
      <c r="X1387" s="127" t="n"/>
      <c r="Y1387" s="127" t="n"/>
      <c r="Z1387" s="153" t="n"/>
    </row>
    <row r="1388">
      <c r="A1388" s="203">
        <f>ROW()-1</f>
        <v/>
      </c>
      <c r="B1388" s="128" t="n"/>
      <c r="C1388" s="263" t="n"/>
      <c r="D1388" s="262" t="n"/>
      <c r="E1388" s="128" t="n"/>
      <c r="F1388" s="138" t="inlineStr">
        <is>
          <t>SPARE</t>
        </is>
      </c>
      <c r="G1388" s="131" t="n"/>
      <c r="H1388" s="128" t="n"/>
      <c r="I1388" s="132" t="inlineStr">
        <is>
          <t>RL7-SERP-RIO1</t>
        </is>
      </c>
      <c r="J1388" s="133" t="n">
        <v>15</v>
      </c>
      <c r="K1388" s="129" t="n">
        <v>9</v>
      </c>
      <c r="L1388" s="129" t="n">
        <v>3</v>
      </c>
      <c r="M1388" s="129" t="inlineStr">
        <is>
          <t>4-20 mA AO</t>
        </is>
      </c>
      <c r="N1388" s="129" t="inlineStr">
        <is>
          <t>5069-OF8</t>
        </is>
      </c>
      <c r="O1388" s="139" t="n"/>
      <c r="P1388" s="127" t="n"/>
      <c r="Q1388" s="127" t="n"/>
      <c r="R1388" s="127" t="n"/>
      <c r="S1388" s="127" t="n"/>
      <c r="T1388" s="127" t="n"/>
      <c r="U1388" s="127" t="n"/>
      <c r="V1388" s="127" t="n"/>
      <c r="W1388" s="127" t="n"/>
      <c r="X1388" s="127" t="n"/>
      <c r="Y1388" s="127" t="n"/>
      <c r="Z1388" s="153" t="n"/>
    </row>
    <row r="1389">
      <c r="A1389" s="203">
        <f>ROW()-1</f>
        <v/>
      </c>
      <c r="B1389" s="128" t="n"/>
      <c r="C1389" s="263" t="n"/>
      <c r="D1389" s="262" t="n"/>
      <c r="E1389" s="128" t="n"/>
      <c r="F1389" s="138" t="inlineStr">
        <is>
          <t>SPARE</t>
        </is>
      </c>
      <c r="G1389" s="131" t="n"/>
      <c r="H1389" s="128" t="n"/>
      <c r="I1389" s="132" t="inlineStr">
        <is>
          <t>RL7-SERP-RIO1</t>
        </is>
      </c>
      <c r="J1389" s="133" t="n">
        <v>15</v>
      </c>
      <c r="K1389" s="129" t="n">
        <v>9</v>
      </c>
      <c r="L1389" s="129" t="n">
        <v>4</v>
      </c>
      <c r="M1389" s="129" t="inlineStr">
        <is>
          <t>4-20 mA AO</t>
        </is>
      </c>
      <c r="N1389" s="129" t="inlineStr">
        <is>
          <t>5069-OF8</t>
        </is>
      </c>
      <c r="O1389" s="139" t="n"/>
      <c r="P1389" s="127" t="n"/>
      <c r="Q1389" s="127" t="n"/>
      <c r="R1389" s="127" t="n"/>
      <c r="S1389" s="127" t="n"/>
      <c r="T1389" s="127" t="n"/>
      <c r="U1389" s="127" t="n"/>
      <c r="V1389" s="127" t="n"/>
      <c r="W1389" s="127" t="n"/>
      <c r="X1389" s="127" t="n"/>
      <c r="Y1389" s="127" t="n"/>
      <c r="Z1389" s="153" t="n"/>
    </row>
    <row r="1390">
      <c r="A1390" s="203">
        <f>ROW()-1</f>
        <v/>
      </c>
      <c r="B1390" s="128" t="n"/>
      <c r="C1390" s="263" t="n"/>
      <c r="D1390" s="262" t="n"/>
      <c r="E1390" s="128" t="n"/>
      <c r="F1390" s="138" t="inlineStr">
        <is>
          <t>SPARE</t>
        </is>
      </c>
      <c r="G1390" s="131" t="n"/>
      <c r="H1390" s="128" t="n"/>
      <c r="I1390" s="132" t="inlineStr">
        <is>
          <t>RL7-SERP-RIO1</t>
        </is>
      </c>
      <c r="J1390" s="133" t="n">
        <v>15</v>
      </c>
      <c r="K1390" s="129" t="n">
        <v>9</v>
      </c>
      <c r="L1390" s="129" t="n">
        <v>5</v>
      </c>
      <c r="M1390" s="129" t="inlineStr">
        <is>
          <t>4-20 mA AO</t>
        </is>
      </c>
      <c r="N1390" s="129" t="inlineStr">
        <is>
          <t>5069-OF8</t>
        </is>
      </c>
      <c r="O1390" s="139" t="n"/>
      <c r="P1390" s="127" t="n"/>
      <c r="Q1390" s="127" t="n"/>
      <c r="R1390" s="127" t="n"/>
      <c r="S1390" s="127" t="n"/>
      <c r="T1390" s="127" t="n"/>
      <c r="U1390" s="127" t="n"/>
      <c r="V1390" s="127" t="n"/>
      <c r="W1390" s="127" t="n"/>
      <c r="X1390" s="127" t="n"/>
      <c r="Y1390" s="127" t="n"/>
      <c r="Z1390" s="153" t="n"/>
    </row>
    <row r="1391">
      <c r="A1391" s="203">
        <f>ROW()-1</f>
        <v/>
      </c>
      <c r="B1391" s="128" t="n"/>
      <c r="C1391" s="263" t="n"/>
      <c r="D1391" s="262" t="n"/>
      <c r="E1391" s="128" t="n"/>
      <c r="F1391" s="138" t="inlineStr">
        <is>
          <t>SPARE</t>
        </is>
      </c>
      <c r="G1391" s="131" t="n"/>
      <c r="H1391" s="128" t="n"/>
      <c r="I1391" s="132" t="inlineStr">
        <is>
          <t>RL7-SERP-RIO1</t>
        </is>
      </c>
      <c r="J1391" s="133" t="n">
        <v>15</v>
      </c>
      <c r="K1391" s="129" t="n">
        <v>9</v>
      </c>
      <c r="L1391" s="129" t="n">
        <v>6</v>
      </c>
      <c r="M1391" s="129" t="inlineStr">
        <is>
          <t>4-20 mA AO</t>
        </is>
      </c>
      <c r="N1391" s="129" t="inlineStr">
        <is>
          <t>5069-OF8</t>
        </is>
      </c>
      <c r="O1391" s="139" t="n"/>
      <c r="P1391" s="127" t="n"/>
      <c r="Q1391" s="127" t="n"/>
      <c r="R1391" s="127" t="n"/>
      <c r="S1391" s="127" t="n"/>
      <c r="T1391" s="127" t="n"/>
      <c r="U1391" s="127" t="n"/>
      <c r="V1391" s="127" t="n"/>
      <c r="W1391" s="127" t="n"/>
      <c r="X1391" s="127" t="n"/>
      <c r="Y1391" s="127" t="n"/>
      <c r="Z1391" s="153" t="n"/>
    </row>
    <row r="1392">
      <c r="A1392" s="203">
        <f>ROW()-1</f>
        <v/>
      </c>
      <c r="B1392" s="128" t="n"/>
      <c r="C1392" s="263" t="n"/>
      <c r="D1392" s="262" t="n"/>
      <c r="E1392" s="128" t="n"/>
      <c r="F1392" s="138" t="inlineStr">
        <is>
          <t>SPARE</t>
        </is>
      </c>
      <c r="G1392" s="131" t="n"/>
      <c r="H1392" s="128" t="n"/>
      <c r="I1392" s="132" t="inlineStr">
        <is>
          <t>RL7-SERP-RIO1</t>
        </is>
      </c>
      <c r="J1392" s="133" t="n">
        <v>15</v>
      </c>
      <c r="K1392" s="129" t="n">
        <v>9</v>
      </c>
      <c r="L1392" s="129" t="n">
        <v>7</v>
      </c>
      <c r="M1392" s="129" t="inlineStr">
        <is>
          <t>4-20 mA AO</t>
        </is>
      </c>
      <c r="N1392" s="129" t="inlineStr">
        <is>
          <t>5069-OF8</t>
        </is>
      </c>
      <c r="O1392" s="139" t="n"/>
      <c r="P1392" s="127" t="n"/>
      <c r="Q1392" s="127" t="n"/>
      <c r="R1392" s="127" t="n"/>
      <c r="S1392" s="127" t="n"/>
      <c r="T1392" s="127" t="n"/>
      <c r="U1392" s="127" t="n"/>
      <c r="V1392" s="127" t="n"/>
      <c r="W1392" s="127" t="n"/>
      <c r="X1392" s="127" t="n"/>
      <c r="Y1392" s="127" t="n"/>
      <c r="Z1392" s="153" t="n"/>
    </row>
    <row r="1393">
      <c r="A1393" s="203">
        <f>ROW()-1</f>
        <v/>
      </c>
      <c r="B1393" s="128" t="n"/>
      <c r="C1393" s="263" t="n"/>
      <c r="D1393" s="262" t="n"/>
      <c r="E1393" s="128" t="n"/>
      <c r="F1393" s="138" t="inlineStr">
        <is>
          <t>SPARE</t>
        </is>
      </c>
      <c r="G1393" s="131" t="n"/>
      <c r="H1393" s="128" t="n"/>
      <c r="I1393" s="132" t="inlineStr">
        <is>
          <t>RL7-SERP-RIO2</t>
        </is>
      </c>
      <c r="J1393" s="133" t="n">
        <v>16</v>
      </c>
      <c r="K1393" s="129" t="n">
        <v>1</v>
      </c>
      <c r="L1393" s="129" t="n">
        <v>6</v>
      </c>
      <c r="M1393" s="129" t="inlineStr">
        <is>
          <t>24 VDC SI</t>
        </is>
      </c>
      <c r="N1393" s="129" t="inlineStr">
        <is>
          <t>5069-IB8S</t>
        </is>
      </c>
      <c r="O1393" s="139" t="n"/>
      <c r="P1393" s="127" t="n"/>
      <c r="Q1393" s="127" t="n"/>
      <c r="R1393" s="127" t="n"/>
      <c r="S1393" s="127" t="n"/>
      <c r="T1393" s="127" t="n"/>
      <c r="U1393" s="127" t="n"/>
      <c r="V1393" s="127" t="n"/>
      <c r="W1393" s="127" t="n"/>
      <c r="X1393" s="127" t="n"/>
      <c r="Y1393" s="127" t="n"/>
      <c r="Z1393" s="153" t="n"/>
    </row>
    <row r="1394">
      <c r="A1394" s="203">
        <f>ROW()-1</f>
        <v/>
      </c>
      <c r="B1394" s="128" t="n"/>
      <c r="C1394" s="263" t="n"/>
      <c r="D1394" s="262" t="n"/>
      <c r="E1394" s="128" t="n"/>
      <c r="F1394" s="138" t="inlineStr">
        <is>
          <t>SPARE</t>
        </is>
      </c>
      <c r="G1394" s="131" t="n"/>
      <c r="H1394" s="128" t="n"/>
      <c r="I1394" s="132" t="inlineStr">
        <is>
          <t>RL7-SERP-RIO2</t>
        </is>
      </c>
      <c r="J1394" s="133" t="n">
        <v>16</v>
      </c>
      <c r="K1394" s="129" t="n">
        <v>1</v>
      </c>
      <c r="L1394" s="129" t="n">
        <v>7</v>
      </c>
      <c r="M1394" s="129" t="inlineStr">
        <is>
          <t>24 VDC SI</t>
        </is>
      </c>
      <c r="N1394" s="129" t="inlineStr">
        <is>
          <t>5069-IB8S</t>
        </is>
      </c>
      <c r="O1394" s="139" t="n"/>
      <c r="P1394" s="127" t="n"/>
      <c r="Q1394" s="127" t="n"/>
      <c r="R1394" s="127" t="n"/>
      <c r="S1394" s="127" t="n"/>
      <c r="T1394" s="127" t="n"/>
      <c r="U1394" s="127" t="n"/>
      <c r="V1394" s="127" t="n"/>
      <c r="W1394" s="127" t="n"/>
      <c r="X1394" s="127" t="n"/>
      <c r="Y1394" s="127" t="n"/>
      <c r="Z1394" s="153" t="n"/>
    </row>
    <row r="1395">
      <c r="A1395" s="203">
        <f>ROW()-1</f>
        <v/>
      </c>
      <c r="B1395" s="128" t="n"/>
      <c r="C1395" s="263" t="n"/>
      <c r="D1395" s="262" t="n"/>
      <c r="E1395" s="128" t="n"/>
      <c r="F1395" s="138" t="inlineStr">
        <is>
          <t>ADDRESS RESERVE MODULE</t>
        </is>
      </c>
      <c r="G1395" s="131" t="n"/>
      <c r="H1395" s="128" t="n"/>
      <c r="I1395" s="132" t="inlineStr">
        <is>
          <t>RL7-SERP-RIO2</t>
        </is>
      </c>
      <c r="J1395" s="133" t="n">
        <v>16</v>
      </c>
      <c r="K1395" s="129" t="n">
        <v>2</v>
      </c>
      <c r="L1395" s="129" t="n">
        <v>0</v>
      </c>
      <c r="M1395" s="129" t="inlineStr">
        <is>
          <t>ARM</t>
        </is>
      </c>
      <c r="N1395" s="129" t="inlineStr">
        <is>
          <t>5069-ARM</t>
        </is>
      </c>
      <c r="O1395" s="139" t="n"/>
      <c r="P1395" s="127" t="n"/>
      <c r="Q1395" s="127" t="n"/>
      <c r="R1395" s="127" t="n"/>
      <c r="S1395" s="127" t="n"/>
      <c r="T1395" s="127" t="n"/>
      <c r="U1395" s="127" t="n"/>
      <c r="V1395" s="127" t="n"/>
      <c r="W1395" s="127" t="n"/>
      <c r="X1395" s="127" t="n"/>
      <c r="Y1395" s="127" t="n"/>
      <c r="Z1395" s="153" t="n"/>
    </row>
    <row r="1396">
      <c r="A1396" s="203">
        <f>ROW()-1</f>
        <v/>
      </c>
      <c r="B1396" s="128" t="n"/>
      <c r="C1396" s="263" t="n"/>
      <c r="D1396" s="262" t="n"/>
      <c r="E1396" s="128" t="n"/>
      <c r="F1396" s="138" t="inlineStr">
        <is>
          <t>SPARE</t>
        </is>
      </c>
      <c r="G1396" s="131" t="n"/>
      <c r="H1396" s="128" t="n"/>
      <c r="I1396" s="132" t="inlineStr">
        <is>
          <t>RL7-SERP-RIO2</t>
        </is>
      </c>
      <c r="J1396" s="133" t="n">
        <v>16</v>
      </c>
      <c r="K1396" s="129" t="n">
        <v>3</v>
      </c>
      <c r="L1396" s="129" t="n">
        <v>4</v>
      </c>
      <c r="M1396" s="129" t="inlineStr">
        <is>
          <t>24 VDC DI</t>
        </is>
      </c>
      <c r="N1396" s="129" t="inlineStr">
        <is>
          <t>5069-IB16</t>
        </is>
      </c>
      <c r="O1396" s="139" t="n"/>
      <c r="P1396" s="127" t="n"/>
      <c r="Q1396" s="127" t="n"/>
      <c r="R1396" s="127" t="n"/>
      <c r="S1396" s="127" t="n"/>
      <c r="T1396" s="127" t="n"/>
      <c r="U1396" s="127" t="n"/>
      <c r="V1396" s="127" t="n"/>
      <c r="W1396" s="127" t="n"/>
      <c r="X1396" s="127" t="n"/>
      <c r="Y1396" s="127" t="n"/>
      <c r="Z1396" s="153" t="n"/>
    </row>
    <row r="1397">
      <c r="A1397" s="203">
        <f>ROW()-1</f>
        <v/>
      </c>
      <c r="B1397" s="128" t="n"/>
      <c r="C1397" s="263" t="n"/>
      <c r="D1397" s="262" t="n"/>
      <c r="E1397" s="128" t="n"/>
      <c r="F1397" s="138" t="inlineStr">
        <is>
          <t>SPARE</t>
        </is>
      </c>
      <c r="G1397" s="131" t="n"/>
      <c r="H1397" s="128" t="n"/>
      <c r="I1397" s="132" t="inlineStr">
        <is>
          <t>RL7-SERP-RIO2</t>
        </is>
      </c>
      <c r="J1397" s="133" t="n">
        <v>16</v>
      </c>
      <c r="K1397" s="129" t="n">
        <v>3</v>
      </c>
      <c r="L1397" s="129" t="n">
        <v>5</v>
      </c>
      <c r="M1397" s="129" t="inlineStr">
        <is>
          <t>24 VDC DI</t>
        </is>
      </c>
      <c r="N1397" s="129" t="inlineStr">
        <is>
          <t>5069-IB16</t>
        </is>
      </c>
      <c r="O1397" s="139" t="n"/>
      <c r="P1397" s="127" t="n"/>
      <c r="Q1397" s="127" t="n"/>
      <c r="R1397" s="127" t="n"/>
      <c r="S1397" s="127" t="n"/>
      <c r="T1397" s="127" t="n"/>
      <c r="U1397" s="127" t="n"/>
      <c r="V1397" s="127" t="n"/>
      <c r="W1397" s="127" t="n"/>
      <c r="X1397" s="127" t="n"/>
      <c r="Y1397" s="127" t="n"/>
      <c r="Z1397" s="153" t="n"/>
    </row>
    <row r="1398">
      <c r="A1398" s="203">
        <f>ROW()-1</f>
        <v/>
      </c>
      <c r="B1398" s="128" t="n"/>
      <c r="C1398" s="263" t="n"/>
      <c r="D1398" s="262" t="n"/>
      <c r="E1398" s="128" t="n"/>
      <c r="F1398" s="138" t="inlineStr">
        <is>
          <t>SPARE</t>
        </is>
      </c>
      <c r="G1398" s="131" t="n"/>
      <c r="H1398" s="128" t="n"/>
      <c r="I1398" s="132" t="inlineStr">
        <is>
          <t>RL7-SERP-RIO2</t>
        </is>
      </c>
      <c r="J1398" s="133" t="n">
        <v>16</v>
      </c>
      <c r="K1398" s="129" t="n">
        <v>3</v>
      </c>
      <c r="L1398" s="129" t="n">
        <v>6</v>
      </c>
      <c r="M1398" s="129" t="inlineStr">
        <is>
          <t>24 VDC DI</t>
        </is>
      </c>
      <c r="N1398" s="129" t="inlineStr">
        <is>
          <t>5069-IB16</t>
        </is>
      </c>
      <c r="O1398" s="139" t="n"/>
      <c r="P1398" s="127" t="n"/>
      <c r="Q1398" s="127" t="n"/>
      <c r="R1398" s="127" t="n"/>
      <c r="S1398" s="127" t="n"/>
      <c r="T1398" s="127" t="n"/>
      <c r="U1398" s="127" t="n"/>
      <c r="V1398" s="127" t="n"/>
      <c r="W1398" s="127" t="n"/>
      <c r="X1398" s="127" t="n"/>
      <c r="Y1398" s="127" t="n"/>
      <c r="Z1398" s="153" t="n"/>
    </row>
    <row r="1399">
      <c r="A1399" s="203">
        <f>ROW()-1</f>
        <v/>
      </c>
      <c r="B1399" s="128" t="n"/>
      <c r="C1399" s="263" t="n"/>
      <c r="D1399" s="262" t="n"/>
      <c r="E1399" s="128" t="n"/>
      <c r="F1399" s="138" t="inlineStr">
        <is>
          <t>SPARE</t>
        </is>
      </c>
      <c r="G1399" s="131" t="n"/>
      <c r="H1399" s="128" t="n"/>
      <c r="I1399" s="132" t="inlineStr">
        <is>
          <t>RL7-SERP-RIO2</t>
        </is>
      </c>
      <c r="J1399" s="133" t="n">
        <v>16</v>
      </c>
      <c r="K1399" s="129" t="n">
        <v>3</v>
      </c>
      <c r="L1399" s="129" t="n">
        <v>7</v>
      </c>
      <c r="M1399" s="129" t="inlineStr">
        <is>
          <t>24 VDC DI</t>
        </is>
      </c>
      <c r="N1399" s="129" t="inlineStr">
        <is>
          <t>5069-IB16</t>
        </is>
      </c>
      <c r="O1399" s="139" t="n"/>
      <c r="P1399" s="127" t="n"/>
      <c r="Q1399" s="127" t="n"/>
      <c r="R1399" s="127" t="n"/>
      <c r="S1399" s="127" t="n"/>
      <c r="T1399" s="127" t="n"/>
      <c r="U1399" s="127" t="n"/>
      <c r="V1399" s="127" t="n"/>
      <c r="W1399" s="127" t="n"/>
      <c r="X1399" s="127" t="n"/>
      <c r="Y1399" s="127" t="n"/>
      <c r="Z1399" s="153" t="n"/>
    </row>
    <row r="1400">
      <c r="A1400" s="203">
        <f>ROW()-1</f>
        <v/>
      </c>
      <c r="B1400" s="128" t="n"/>
      <c r="C1400" s="263" t="n"/>
      <c r="D1400" s="262" t="n"/>
      <c r="E1400" s="128" t="n"/>
      <c r="F1400" s="138" t="inlineStr">
        <is>
          <t>SPARE</t>
        </is>
      </c>
      <c r="G1400" s="131" t="n"/>
      <c r="H1400" s="128" t="n"/>
      <c r="I1400" s="132" t="inlineStr">
        <is>
          <t>RL7-SERP-RIO2</t>
        </is>
      </c>
      <c r="J1400" s="133" t="n">
        <v>16</v>
      </c>
      <c r="K1400" s="129" t="n">
        <v>3</v>
      </c>
      <c r="L1400" s="129" t="n">
        <v>8</v>
      </c>
      <c r="M1400" s="129" t="inlineStr">
        <is>
          <t>24 VDC DI</t>
        </is>
      </c>
      <c r="N1400" s="129" t="inlineStr">
        <is>
          <t>5069-IB16</t>
        </is>
      </c>
      <c r="O1400" s="139" t="n"/>
      <c r="P1400" s="127" t="n"/>
      <c r="Q1400" s="127" t="n"/>
      <c r="R1400" s="127" t="n"/>
      <c r="S1400" s="127" t="n"/>
      <c r="T1400" s="127" t="n"/>
      <c r="U1400" s="127" t="n"/>
      <c r="V1400" s="127" t="n"/>
      <c r="W1400" s="127" t="n"/>
      <c r="X1400" s="127" t="n"/>
      <c r="Y1400" s="127" t="n"/>
      <c r="Z1400" s="153" t="n"/>
    </row>
    <row r="1401">
      <c r="A1401" s="203">
        <f>ROW()-1</f>
        <v/>
      </c>
      <c r="B1401" s="128" t="n"/>
      <c r="C1401" s="263" t="n"/>
      <c r="D1401" s="262" t="n"/>
      <c r="E1401" s="128" t="n"/>
      <c r="F1401" s="138" t="inlineStr">
        <is>
          <t>SPARE</t>
        </is>
      </c>
      <c r="G1401" s="131" t="n"/>
      <c r="H1401" s="128" t="n"/>
      <c r="I1401" s="132" t="inlineStr">
        <is>
          <t>RL7-SERP-RIO2</t>
        </is>
      </c>
      <c r="J1401" s="133" t="n">
        <v>16</v>
      </c>
      <c r="K1401" s="129" t="n">
        <v>3</v>
      </c>
      <c r="L1401" s="129" t="n">
        <v>9</v>
      </c>
      <c r="M1401" s="129" t="inlineStr">
        <is>
          <t>24 VDC DI</t>
        </is>
      </c>
      <c r="N1401" s="129" t="inlineStr">
        <is>
          <t>5069-IB16</t>
        </is>
      </c>
      <c r="O1401" s="139" t="n"/>
      <c r="P1401" s="127" t="n"/>
      <c r="Q1401" s="127" t="n"/>
      <c r="R1401" s="127" t="n"/>
      <c r="S1401" s="127" t="n"/>
      <c r="T1401" s="127" t="n"/>
      <c r="U1401" s="127" t="n"/>
      <c r="V1401" s="127" t="n"/>
      <c r="W1401" s="127" t="n"/>
      <c r="X1401" s="127" t="n"/>
      <c r="Y1401" s="127" t="n"/>
      <c r="Z1401" s="153" t="n"/>
    </row>
    <row r="1402">
      <c r="A1402" s="203">
        <f>ROW()-1</f>
        <v/>
      </c>
      <c r="B1402" s="128" t="n"/>
      <c r="C1402" s="263" t="n"/>
      <c r="D1402" s="262" t="n"/>
      <c r="E1402" s="128" t="n"/>
      <c r="F1402" s="138" t="inlineStr">
        <is>
          <t>SPARE</t>
        </is>
      </c>
      <c r="G1402" s="131" t="n"/>
      <c r="H1402" s="128" t="n"/>
      <c r="I1402" s="132" t="inlineStr">
        <is>
          <t>RL7-SERP-RIO2</t>
        </is>
      </c>
      <c r="J1402" s="133" t="n">
        <v>16</v>
      </c>
      <c r="K1402" s="129" t="n">
        <v>3</v>
      </c>
      <c r="L1402" s="129" t="n">
        <v>10</v>
      </c>
      <c r="M1402" s="129" t="inlineStr">
        <is>
          <t>24 VDC DI</t>
        </is>
      </c>
      <c r="N1402" s="129" t="inlineStr">
        <is>
          <t>5069-IB16</t>
        </is>
      </c>
      <c r="O1402" s="139" t="n"/>
      <c r="P1402" s="127" t="n"/>
      <c r="Q1402" s="127" t="n"/>
      <c r="R1402" s="127" t="n"/>
      <c r="S1402" s="127" t="n"/>
      <c r="T1402" s="127" t="n"/>
      <c r="U1402" s="127" t="n"/>
      <c r="V1402" s="127" t="n"/>
      <c r="W1402" s="127" t="n"/>
      <c r="X1402" s="127" t="n"/>
      <c r="Y1402" s="127" t="n"/>
      <c r="Z1402" s="153" t="n"/>
    </row>
    <row r="1403">
      <c r="A1403" s="203">
        <f>ROW()-1</f>
        <v/>
      </c>
      <c r="B1403" s="128" t="n"/>
      <c r="C1403" s="263" t="n"/>
      <c r="D1403" s="262" t="n"/>
      <c r="E1403" s="128" t="n"/>
      <c r="F1403" s="138" t="inlineStr">
        <is>
          <t>SPARE</t>
        </is>
      </c>
      <c r="G1403" s="131" t="n"/>
      <c r="H1403" s="128" t="n"/>
      <c r="I1403" s="132" t="inlineStr">
        <is>
          <t>RL7-SERP-RIO2</t>
        </is>
      </c>
      <c r="J1403" s="133" t="n">
        <v>16</v>
      </c>
      <c r="K1403" s="129" t="n">
        <v>3</v>
      </c>
      <c r="L1403" s="129" t="n">
        <v>11</v>
      </c>
      <c r="M1403" s="129" t="inlineStr">
        <is>
          <t>24 VDC DI</t>
        </is>
      </c>
      <c r="N1403" s="129" t="inlineStr">
        <is>
          <t>5069-IB16</t>
        </is>
      </c>
      <c r="O1403" s="139" t="n"/>
      <c r="P1403" s="127" t="n"/>
      <c r="Q1403" s="127" t="n"/>
      <c r="R1403" s="127" t="n"/>
      <c r="S1403" s="127" t="n"/>
      <c r="T1403" s="127" t="n"/>
      <c r="U1403" s="127" t="n"/>
      <c r="V1403" s="127" t="n"/>
      <c r="W1403" s="127" t="n"/>
      <c r="X1403" s="127" t="n"/>
      <c r="Y1403" s="127" t="n"/>
      <c r="Z1403" s="153" t="n"/>
    </row>
    <row r="1404">
      <c r="A1404" s="203">
        <f>ROW()-1</f>
        <v/>
      </c>
      <c r="B1404" s="128" t="n"/>
      <c r="C1404" s="263" t="n"/>
      <c r="D1404" s="262" t="n"/>
      <c r="E1404" s="128" t="n"/>
      <c r="F1404" s="138" t="inlineStr">
        <is>
          <t>SPARE</t>
        </is>
      </c>
      <c r="G1404" s="131" t="n"/>
      <c r="H1404" s="128" t="n"/>
      <c r="I1404" s="132" t="inlineStr">
        <is>
          <t>RL7-SERP-RIO2</t>
        </is>
      </c>
      <c r="J1404" s="133" t="n">
        <v>16</v>
      </c>
      <c r="K1404" s="129" t="n">
        <v>3</v>
      </c>
      <c r="L1404" s="129" t="n">
        <v>12</v>
      </c>
      <c r="M1404" s="129" t="inlineStr">
        <is>
          <t>24 VDC DI</t>
        </is>
      </c>
      <c r="N1404" s="129" t="inlineStr">
        <is>
          <t>5069-IB16</t>
        </is>
      </c>
      <c r="O1404" s="139" t="n"/>
      <c r="P1404" s="127" t="n"/>
      <c r="Q1404" s="127" t="n"/>
      <c r="R1404" s="127" t="n"/>
      <c r="S1404" s="127" t="n"/>
      <c r="T1404" s="127" t="n"/>
      <c r="U1404" s="127" t="n"/>
      <c r="V1404" s="127" t="n"/>
      <c r="W1404" s="127" t="n"/>
      <c r="X1404" s="127" t="n"/>
      <c r="Y1404" s="127" t="n"/>
      <c r="Z1404" s="153" t="n"/>
    </row>
    <row r="1405">
      <c r="A1405" s="203">
        <f>ROW()-1</f>
        <v/>
      </c>
      <c r="B1405" s="128" t="n"/>
      <c r="C1405" s="263" t="n"/>
      <c r="D1405" s="262" t="n"/>
      <c r="E1405" s="128" t="n"/>
      <c r="F1405" s="138" t="inlineStr">
        <is>
          <t>SPARE</t>
        </is>
      </c>
      <c r="G1405" s="131" t="n"/>
      <c r="H1405" s="128" t="n"/>
      <c r="I1405" s="132" t="inlineStr">
        <is>
          <t>RL7-SERP-RIO2</t>
        </is>
      </c>
      <c r="J1405" s="133" t="n">
        <v>16</v>
      </c>
      <c r="K1405" s="129" t="n">
        <v>3</v>
      </c>
      <c r="L1405" s="129" t="n">
        <v>13</v>
      </c>
      <c r="M1405" s="129" t="inlineStr">
        <is>
          <t>24 VDC DI</t>
        </is>
      </c>
      <c r="N1405" s="129" t="inlineStr">
        <is>
          <t>5069-IB16</t>
        </is>
      </c>
      <c r="O1405" s="139" t="n"/>
      <c r="P1405" s="127" t="n"/>
      <c r="Q1405" s="127" t="n"/>
      <c r="R1405" s="127" t="n"/>
      <c r="S1405" s="127" t="n"/>
      <c r="T1405" s="127" t="n"/>
      <c r="U1405" s="127" t="n"/>
      <c r="V1405" s="127" t="n"/>
      <c r="W1405" s="127" t="n"/>
      <c r="X1405" s="127" t="n"/>
      <c r="Y1405" s="127" t="n"/>
      <c r="Z1405" s="153" t="n"/>
    </row>
    <row r="1406">
      <c r="A1406" s="203">
        <f>ROW()-1</f>
        <v/>
      </c>
      <c r="B1406" s="128" t="n"/>
      <c r="C1406" s="263" t="n"/>
      <c r="D1406" s="262" t="n"/>
      <c r="E1406" s="128" t="n"/>
      <c r="F1406" s="138" t="inlineStr">
        <is>
          <t>SPARE</t>
        </is>
      </c>
      <c r="G1406" s="131" t="n"/>
      <c r="H1406" s="128" t="n"/>
      <c r="I1406" s="132" t="inlineStr">
        <is>
          <t>RL7-SERP-RIO2</t>
        </is>
      </c>
      <c r="J1406" s="133" t="n">
        <v>16</v>
      </c>
      <c r="K1406" s="129" t="n">
        <v>3</v>
      </c>
      <c r="L1406" s="129" t="n">
        <v>14</v>
      </c>
      <c r="M1406" s="129" t="inlineStr">
        <is>
          <t>24 VDC DI</t>
        </is>
      </c>
      <c r="N1406" s="129" t="inlineStr">
        <is>
          <t>5069-IB16</t>
        </is>
      </c>
      <c r="O1406" s="139" t="n"/>
      <c r="P1406" s="127" t="n"/>
      <c r="Q1406" s="127" t="n"/>
      <c r="R1406" s="127" t="n"/>
      <c r="S1406" s="127" t="n"/>
      <c r="T1406" s="127" t="n"/>
      <c r="U1406" s="127" t="n"/>
      <c r="V1406" s="127" t="n"/>
      <c r="W1406" s="127" t="n"/>
      <c r="X1406" s="127" t="n"/>
      <c r="Y1406" s="127" t="n"/>
      <c r="Z1406" s="153" t="n"/>
    </row>
    <row r="1407">
      <c r="A1407" s="203">
        <f>ROW()-1</f>
        <v/>
      </c>
      <c r="B1407" s="128" t="n"/>
      <c r="C1407" s="263" t="n"/>
      <c r="D1407" s="262" t="n"/>
      <c r="E1407" s="128" t="n"/>
      <c r="F1407" s="138" t="inlineStr">
        <is>
          <t>SPARE</t>
        </is>
      </c>
      <c r="G1407" s="131" t="n"/>
      <c r="H1407" s="128" t="n"/>
      <c r="I1407" s="132" t="inlineStr">
        <is>
          <t>RL7-SERP-RIO2</t>
        </is>
      </c>
      <c r="J1407" s="133" t="n">
        <v>16</v>
      </c>
      <c r="K1407" s="129" t="n">
        <v>3</v>
      </c>
      <c r="L1407" s="129" t="n">
        <v>15</v>
      </c>
      <c r="M1407" s="129" t="inlineStr">
        <is>
          <t>24 VDC DI</t>
        </is>
      </c>
      <c r="N1407" s="129" t="inlineStr">
        <is>
          <t>5069-IB16</t>
        </is>
      </c>
      <c r="O1407" s="139" t="n"/>
      <c r="P1407" s="127" t="n"/>
      <c r="Q1407" s="127" t="n"/>
      <c r="R1407" s="127" t="n"/>
      <c r="S1407" s="127" t="n"/>
      <c r="T1407" s="127" t="n"/>
      <c r="U1407" s="127" t="n"/>
      <c r="V1407" s="127" t="n"/>
      <c r="W1407" s="127" t="n"/>
      <c r="X1407" s="127" t="n"/>
      <c r="Y1407" s="127" t="n"/>
      <c r="Z1407" s="153" t="n"/>
    </row>
    <row r="1408">
      <c r="A1408" s="203">
        <f>ROW()-1</f>
        <v/>
      </c>
      <c r="B1408" s="128" t="n"/>
      <c r="C1408" s="263" t="n"/>
      <c r="D1408" s="262" t="n"/>
      <c r="E1408" s="128" t="n"/>
      <c r="F1408" s="138" t="inlineStr">
        <is>
          <t>ADDRESS RESERVE MODULE</t>
        </is>
      </c>
      <c r="G1408" s="131" t="n"/>
      <c r="H1408" s="128" t="n"/>
      <c r="I1408" s="132" t="inlineStr">
        <is>
          <t>RL7-SERP-RIO2</t>
        </is>
      </c>
      <c r="J1408" s="133" t="n">
        <v>16</v>
      </c>
      <c r="K1408" s="129" t="n">
        <v>4</v>
      </c>
      <c r="L1408" s="129" t="n">
        <v>0</v>
      </c>
      <c r="M1408" s="129" t="inlineStr">
        <is>
          <t>ARM</t>
        </is>
      </c>
      <c r="N1408" s="129" t="inlineStr">
        <is>
          <t>5069-ARM</t>
        </is>
      </c>
      <c r="O1408" s="139" t="n"/>
      <c r="P1408" s="127" t="n"/>
      <c r="Q1408" s="127" t="n"/>
      <c r="R1408" s="127" t="n"/>
      <c r="S1408" s="127" t="n"/>
      <c r="T1408" s="127" t="n"/>
      <c r="U1408" s="127" t="n"/>
      <c r="V1408" s="127" t="n"/>
      <c r="W1408" s="127" t="n"/>
      <c r="X1408" s="127" t="n"/>
      <c r="Y1408" s="127" t="n"/>
      <c r="Z1408" s="153" t="n"/>
    </row>
    <row r="1409" customFormat="1" s="149">
      <c r="A1409" s="203">
        <f>ROW()-1</f>
        <v/>
      </c>
      <c r="B1409" s="128" t="n"/>
      <c r="C1409" s="263" t="n"/>
      <c r="D1409" s="262" t="n"/>
      <c r="E1409" s="128" t="n"/>
      <c r="F1409" s="138" t="inlineStr">
        <is>
          <t>SPARE</t>
        </is>
      </c>
      <c r="G1409" s="131" t="n"/>
      <c r="H1409" s="128" t="n"/>
      <c r="I1409" s="132" t="inlineStr">
        <is>
          <t>RL7-SERP-RIO2</t>
        </is>
      </c>
      <c r="J1409" s="133" t="n">
        <v>16</v>
      </c>
      <c r="K1409" s="129" t="n">
        <v>5</v>
      </c>
      <c r="L1409" s="129" t="n">
        <v>0</v>
      </c>
      <c r="M1409" s="129" t="inlineStr">
        <is>
          <t>24 VDC DO</t>
        </is>
      </c>
      <c r="N1409" s="129" t="inlineStr">
        <is>
          <t>5069-OB16</t>
        </is>
      </c>
      <c r="O1409" s="139" t="n"/>
      <c r="P1409" s="127" t="n"/>
      <c r="Q1409" s="127" t="n"/>
      <c r="R1409" s="127" t="n"/>
      <c r="S1409" s="127" t="n"/>
      <c r="T1409" s="127" t="n"/>
      <c r="U1409" s="127" t="n"/>
      <c r="V1409" s="127" t="n"/>
      <c r="W1409" s="127" t="n"/>
      <c r="X1409" s="127" t="n"/>
      <c r="Y1409" s="127" t="n"/>
      <c r="Z1409" s="153" t="n"/>
    </row>
    <row r="1410" customFormat="1" s="149">
      <c r="A1410" s="203">
        <f>ROW()-1</f>
        <v/>
      </c>
      <c r="B1410" s="128" t="n"/>
      <c r="C1410" s="263" t="n"/>
      <c r="D1410" s="262" t="n"/>
      <c r="E1410" s="128" t="n"/>
      <c r="F1410" s="138" t="inlineStr">
        <is>
          <t>SPARE</t>
        </is>
      </c>
      <c r="G1410" s="131" t="n"/>
      <c r="H1410" s="128" t="n"/>
      <c r="I1410" s="132" t="inlineStr">
        <is>
          <t>RL7-SERP-RIO2</t>
        </is>
      </c>
      <c r="J1410" s="133" t="n">
        <v>16</v>
      </c>
      <c r="K1410" s="129" t="n">
        <v>5</v>
      </c>
      <c r="L1410" s="129" t="n">
        <v>1</v>
      </c>
      <c r="M1410" s="129" t="inlineStr">
        <is>
          <t>24 VDC DO</t>
        </is>
      </c>
      <c r="N1410" s="129" t="inlineStr">
        <is>
          <t>5069-OB16</t>
        </is>
      </c>
      <c r="O1410" s="139" t="n"/>
      <c r="P1410" s="127" t="n"/>
      <c r="Q1410" s="127" t="n"/>
      <c r="R1410" s="127" t="n"/>
      <c r="S1410" s="127" t="n"/>
      <c r="T1410" s="127" t="n"/>
      <c r="U1410" s="127" t="n"/>
      <c r="V1410" s="127" t="n"/>
      <c r="W1410" s="127" t="n"/>
      <c r="X1410" s="127" t="n"/>
      <c r="Y1410" s="127" t="n"/>
      <c r="Z1410" s="153" t="n"/>
    </row>
    <row r="1411" customFormat="1" s="149">
      <c r="A1411" s="203">
        <f>ROW()-1</f>
        <v/>
      </c>
      <c r="B1411" s="128" t="n"/>
      <c r="C1411" s="263" t="n"/>
      <c r="D1411" s="262" t="n"/>
      <c r="E1411" s="128" t="n"/>
      <c r="F1411" s="138" t="inlineStr">
        <is>
          <t>SPARE</t>
        </is>
      </c>
      <c r="G1411" s="131" t="n"/>
      <c r="H1411" s="128" t="n"/>
      <c r="I1411" s="132" t="inlineStr">
        <is>
          <t>RL7-SERP-RIO2</t>
        </is>
      </c>
      <c r="J1411" s="133" t="n">
        <v>16</v>
      </c>
      <c r="K1411" s="129" t="n">
        <v>5</v>
      </c>
      <c r="L1411" s="129" t="n">
        <v>2</v>
      </c>
      <c r="M1411" s="129" t="inlineStr">
        <is>
          <t>24 VDC DO</t>
        </is>
      </c>
      <c r="N1411" s="129" t="inlineStr">
        <is>
          <t>5069-OB16</t>
        </is>
      </c>
      <c r="O1411" s="139" t="n"/>
      <c r="P1411" s="127" t="n"/>
      <c r="Q1411" s="127" t="n"/>
      <c r="R1411" s="127" t="n"/>
      <c r="S1411" s="127" t="n"/>
      <c r="T1411" s="127" t="n"/>
      <c r="U1411" s="127" t="n"/>
      <c r="V1411" s="127" t="n"/>
      <c r="W1411" s="127" t="n"/>
      <c r="X1411" s="127" t="n"/>
      <c r="Y1411" s="127" t="n"/>
      <c r="Z1411" s="153" t="n"/>
    </row>
    <row r="1412" customFormat="1" s="149">
      <c r="A1412" s="203">
        <f>ROW()-1</f>
        <v/>
      </c>
      <c r="B1412" s="128" t="n"/>
      <c r="C1412" s="263" t="n"/>
      <c r="D1412" s="262" t="n"/>
      <c r="E1412" s="128" t="n"/>
      <c r="F1412" s="138" t="inlineStr">
        <is>
          <t>SPARE</t>
        </is>
      </c>
      <c r="G1412" s="131" t="n"/>
      <c r="H1412" s="128" t="n"/>
      <c r="I1412" s="132" t="inlineStr">
        <is>
          <t>RL7-SERP-RIO2</t>
        </is>
      </c>
      <c r="J1412" s="133" t="n">
        <v>16</v>
      </c>
      <c r="K1412" s="129" t="n">
        <v>5</v>
      </c>
      <c r="L1412" s="129" t="n">
        <v>3</v>
      </c>
      <c r="M1412" s="129" t="inlineStr">
        <is>
          <t>24 VDC DO</t>
        </is>
      </c>
      <c r="N1412" s="129" t="inlineStr">
        <is>
          <t>5069-OB16</t>
        </is>
      </c>
      <c r="O1412" s="139" t="n"/>
      <c r="P1412" s="127" t="n"/>
      <c r="Q1412" s="127" t="n"/>
      <c r="R1412" s="127" t="n"/>
      <c r="S1412" s="127" t="n"/>
      <c r="T1412" s="127" t="n"/>
      <c r="U1412" s="127" t="n"/>
      <c r="V1412" s="127" t="n"/>
      <c r="W1412" s="127" t="n"/>
      <c r="X1412" s="127" t="n"/>
      <c r="Y1412" s="127" t="n"/>
      <c r="Z1412" s="153" t="n"/>
    </row>
    <row r="1413">
      <c r="A1413" s="203">
        <f>ROW()-1</f>
        <v/>
      </c>
      <c r="B1413" s="128" t="n"/>
      <c r="C1413" s="263" t="n"/>
      <c r="D1413" s="262" t="n"/>
      <c r="E1413" s="128" t="n"/>
      <c r="F1413" s="138" t="inlineStr">
        <is>
          <t>SPARE</t>
        </is>
      </c>
      <c r="G1413" s="131" t="n"/>
      <c r="H1413" s="128" t="n"/>
      <c r="I1413" s="132" t="inlineStr">
        <is>
          <t>RL7-SERP-RIO2</t>
        </is>
      </c>
      <c r="J1413" s="133" t="n">
        <v>16</v>
      </c>
      <c r="K1413" s="129" t="n">
        <v>5</v>
      </c>
      <c r="L1413" s="129" t="n">
        <v>4</v>
      </c>
      <c r="M1413" s="129" t="inlineStr">
        <is>
          <t>24 VDC DO</t>
        </is>
      </c>
      <c r="N1413" s="129" t="inlineStr">
        <is>
          <t>5069-OB16</t>
        </is>
      </c>
      <c r="O1413" s="139" t="n"/>
      <c r="P1413" s="127" t="n"/>
      <c r="Q1413" s="127" t="n"/>
      <c r="R1413" s="127" t="n"/>
      <c r="S1413" s="127" t="n"/>
      <c r="T1413" s="127" t="n"/>
      <c r="U1413" s="127" t="n"/>
      <c r="V1413" s="127" t="n"/>
      <c r="W1413" s="127" t="n"/>
      <c r="X1413" s="127" t="n"/>
      <c r="Y1413" s="127" t="n"/>
      <c r="Z1413" s="153" t="n"/>
    </row>
    <row r="1414">
      <c r="A1414" s="203">
        <f>ROW()-1</f>
        <v/>
      </c>
      <c r="B1414" s="128" t="n"/>
      <c r="C1414" s="263" t="n"/>
      <c r="D1414" s="262" t="n"/>
      <c r="E1414" s="128" t="n"/>
      <c r="F1414" s="138" t="inlineStr">
        <is>
          <t>SPARE</t>
        </is>
      </c>
      <c r="G1414" s="131" t="n"/>
      <c r="H1414" s="128" t="n"/>
      <c r="I1414" s="132" t="inlineStr">
        <is>
          <t>RL7-SERP-RIO2</t>
        </is>
      </c>
      <c r="J1414" s="133" t="n">
        <v>16</v>
      </c>
      <c r="K1414" s="129" t="n">
        <v>5</v>
      </c>
      <c r="L1414" s="129" t="n">
        <v>5</v>
      </c>
      <c r="M1414" s="129" t="inlineStr">
        <is>
          <t>24 VDC DO</t>
        </is>
      </c>
      <c r="N1414" s="129" t="inlineStr">
        <is>
          <t>5069-OB16</t>
        </is>
      </c>
      <c r="O1414" s="139" t="n"/>
      <c r="P1414" s="127" t="n"/>
      <c r="Q1414" s="127" t="n"/>
      <c r="R1414" s="127" t="n"/>
      <c r="S1414" s="127" t="n"/>
      <c r="T1414" s="127" t="n"/>
      <c r="U1414" s="127" t="n"/>
      <c r="V1414" s="127" t="n"/>
      <c r="W1414" s="127" t="n"/>
      <c r="X1414" s="127" t="n"/>
      <c r="Y1414" s="127" t="n"/>
      <c r="Z1414" s="153" t="n"/>
    </row>
    <row r="1415">
      <c r="A1415" s="203">
        <f>ROW()-1</f>
        <v/>
      </c>
      <c r="B1415" s="128" t="n"/>
      <c r="C1415" s="263" t="n"/>
      <c r="D1415" s="262" t="n"/>
      <c r="E1415" s="128" t="n"/>
      <c r="F1415" s="138" t="inlineStr">
        <is>
          <t>SPARE</t>
        </is>
      </c>
      <c r="G1415" s="131" t="n"/>
      <c r="H1415" s="128" t="n"/>
      <c r="I1415" s="132" t="inlineStr">
        <is>
          <t>RL7-SERP-RIO2</t>
        </is>
      </c>
      <c r="J1415" s="133" t="n">
        <v>16</v>
      </c>
      <c r="K1415" s="129" t="n">
        <v>5</v>
      </c>
      <c r="L1415" s="129" t="n">
        <v>6</v>
      </c>
      <c r="M1415" s="129" t="inlineStr">
        <is>
          <t>24 VDC DO</t>
        </is>
      </c>
      <c r="N1415" s="129" t="inlineStr">
        <is>
          <t>5069-OB16</t>
        </is>
      </c>
      <c r="O1415" s="139" t="n"/>
      <c r="P1415" s="127" t="n"/>
      <c r="Q1415" s="127" t="n"/>
      <c r="R1415" s="127" t="n"/>
      <c r="S1415" s="127" t="n"/>
      <c r="T1415" s="127" t="n"/>
      <c r="U1415" s="127" t="n"/>
      <c r="V1415" s="127" t="n"/>
      <c r="W1415" s="127" t="n"/>
      <c r="X1415" s="127" t="n"/>
      <c r="Y1415" s="127" t="n"/>
      <c r="Z1415" s="153" t="n"/>
    </row>
    <row r="1416">
      <c r="A1416" s="203">
        <f>ROW()-1</f>
        <v/>
      </c>
      <c r="B1416" s="128" t="n"/>
      <c r="C1416" s="263" t="n"/>
      <c r="D1416" s="262" t="n"/>
      <c r="E1416" s="128" t="n"/>
      <c r="F1416" s="138" t="inlineStr">
        <is>
          <t>SPARE</t>
        </is>
      </c>
      <c r="G1416" s="129" t="n"/>
      <c r="H1416" s="128" t="n"/>
      <c r="I1416" s="132" t="inlineStr">
        <is>
          <t>RL7-SERP-RIO2</t>
        </is>
      </c>
      <c r="J1416" s="133" t="n">
        <v>16</v>
      </c>
      <c r="K1416" s="129" t="n">
        <v>5</v>
      </c>
      <c r="L1416" s="129" t="n">
        <v>7</v>
      </c>
      <c r="M1416" s="129" t="inlineStr">
        <is>
          <t>24 VDC DO</t>
        </is>
      </c>
      <c r="N1416" s="129" t="inlineStr">
        <is>
          <t>5069-OB16</t>
        </is>
      </c>
      <c r="O1416" s="139" t="n"/>
      <c r="P1416" s="127" t="n"/>
      <c r="Q1416" s="127" t="n"/>
      <c r="R1416" s="127" t="n"/>
      <c r="S1416" s="127" t="n"/>
      <c r="T1416" s="127" t="n"/>
      <c r="U1416" s="127" t="n"/>
      <c r="V1416" s="127" t="n"/>
      <c r="W1416" s="127" t="n"/>
      <c r="X1416" s="127" t="n"/>
      <c r="Y1416" s="127" t="n"/>
      <c r="Z1416" s="153" t="n"/>
    </row>
    <row r="1417">
      <c r="A1417" s="203">
        <f>ROW()-1</f>
        <v/>
      </c>
      <c r="B1417" s="128" t="n"/>
      <c r="C1417" s="263" t="n"/>
      <c r="D1417" s="262" t="n"/>
      <c r="E1417" s="128" t="n"/>
      <c r="F1417" s="138" t="inlineStr">
        <is>
          <t>SPARE</t>
        </is>
      </c>
      <c r="G1417" s="129" t="n"/>
      <c r="H1417" s="128" t="n"/>
      <c r="I1417" s="132" t="inlineStr">
        <is>
          <t>RL7-SERP-RIO2</t>
        </is>
      </c>
      <c r="J1417" s="133" t="n">
        <v>16</v>
      </c>
      <c r="K1417" s="129" t="n">
        <v>5</v>
      </c>
      <c r="L1417" s="129" t="n">
        <v>8</v>
      </c>
      <c r="M1417" s="129" t="inlineStr">
        <is>
          <t>24 VDC DO</t>
        </is>
      </c>
      <c r="N1417" s="129" t="inlineStr">
        <is>
          <t>5069-OB16</t>
        </is>
      </c>
      <c r="O1417" s="139" t="n"/>
      <c r="P1417" s="127" t="n"/>
      <c r="Q1417" s="127" t="n"/>
      <c r="R1417" s="127" t="n"/>
      <c r="S1417" s="127" t="n"/>
      <c r="T1417" s="127" t="n"/>
      <c r="U1417" s="127" t="n"/>
      <c r="V1417" s="127" t="n"/>
      <c r="W1417" s="127" t="n"/>
      <c r="X1417" s="127" t="n"/>
      <c r="Y1417" s="127" t="n"/>
      <c r="Z1417" s="153" t="n"/>
    </row>
    <row r="1418">
      <c r="A1418" s="203">
        <f>ROW()-1</f>
        <v/>
      </c>
      <c r="B1418" s="128" t="n"/>
      <c r="C1418" s="263" t="n"/>
      <c r="D1418" s="262" t="n"/>
      <c r="E1418" s="128" t="n"/>
      <c r="F1418" s="138" t="inlineStr">
        <is>
          <t>SPARE</t>
        </is>
      </c>
      <c r="G1418" s="131" t="n"/>
      <c r="H1418" s="128" t="n"/>
      <c r="I1418" s="132" t="inlineStr">
        <is>
          <t>RL7-SERP-RIO2</t>
        </is>
      </c>
      <c r="J1418" s="133" t="n">
        <v>16</v>
      </c>
      <c r="K1418" s="129" t="n">
        <v>5</v>
      </c>
      <c r="L1418" s="129" t="n">
        <v>9</v>
      </c>
      <c r="M1418" s="129" t="inlineStr">
        <is>
          <t>24 VDC DO</t>
        </is>
      </c>
      <c r="N1418" s="129" t="inlineStr">
        <is>
          <t>5069-OB16</t>
        </is>
      </c>
      <c r="O1418" s="139" t="n"/>
      <c r="P1418" s="127" t="n"/>
      <c r="Q1418" s="127" t="n"/>
      <c r="R1418" s="127" t="n"/>
      <c r="S1418" s="127" t="n"/>
      <c r="T1418" s="127" t="n"/>
      <c r="U1418" s="127" t="n"/>
      <c r="V1418" s="127" t="n"/>
      <c r="W1418" s="127" t="n"/>
      <c r="X1418" s="127" t="n"/>
      <c r="Y1418" s="127" t="n"/>
      <c r="Z1418" s="153" t="n"/>
    </row>
    <row r="1419">
      <c r="A1419" s="203">
        <f>ROW()-1</f>
        <v/>
      </c>
      <c r="B1419" s="128" t="n"/>
      <c r="C1419" s="263" t="n"/>
      <c r="D1419" s="262" t="n"/>
      <c r="E1419" s="128" t="n"/>
      <c r="F1419" s="138" t="inlineStr">
        <is>
          <t>SPARE</t>
        </is>
      </c>
      <c r="G1419" s="131" t="n"/>
      <c r="H1419" s="128" t="n"/>
      <c r="I1419" s="132" t="inlineStr">
        <is>
          <t>RL7-SERP-RIO2</t>
        </is>
      </c>
      <c r="J1419" s="133" t="n">
        <v>16</v>
      </c>
      <c r="K1419" s="129" t="n">
        <v>5</v>
      </c>
      <c r="L1419" s="129" t="n">
        <v>10</v>
      </c>
      <c r="M1419" s="129" t="inlineStr">
        <is>
          <t>24 VDC DO</t>
        </is>
      </c>
      <c r="N1419" s="129" t="inlineStr">
        <is>
          <t>5069-OB16</t>
        </is>
      </c>
      <c r="O1419" s="139" t="n"/>
      <c r="P1419" s="127" t="n"/>
      <c r="Q1419" s="127" t="n"/>
      <c r="R1419" s="127" t="n"/>
      <c r="S1419" s="127" t="n"/>
      <c r="T1419" s="127" t="n"/>
      <c r="U1419" s="127" t="n"/>
      <c r="V1419" s="127" t="n"/>
      <c r="W1419" s="127" t="n"/>
      <c r="X1419" s="127" t="n"/>
      <c r="Y1419" s="127" t="n"/>
      <c r="Z1419" s="153" t="n"/>
    </row>
    <row r="1420">
      <c r="A1420" s="203">
        <f>ROW()-1</f>
        <v/>
      </c>
      <c r="B1420" s="128" t="n"/>
      <c r="C1420" s="263" t="n"/>
      <c r="D1420" s="262" t="n"/>
      <c r="E1420" s="128" t="n"/>
      <c r="F1420" s="138" t="inlineStr">
        <is>
          <t>SPARE</t>
        </is>
      </c>
      <c r="G1420" s="131" t="n"/>
      <c r="H1420" s="128" t="n"/>
      <c r="I1420" s="132" t="inlineStr">
        <is>
          <t>RL7-SERP-RIO2</t>
        </is>
      </c>
      <c r="J1420" s="133" t="n">
        <v>16</v>
      </c>
      <c r="K1420" s="129" t="n">
        <v>5</v>
      </c>
      <c r="L1420" s="129" t="n">
        <v>15</v>
      </c>
      <c r="M1420" s="129" t="inlineStr">
        <is>
          <t>24 VDC DO</t>
        </is>
      </c>
      <c r="N1420" s="129" t="inlineStr">
        <is>
          <t>5069-OB16</t>
        </is>
      </c>
      <c r="O1420" s="139" t="n"/>
      <c r="P1420" s="127" t="n"/>
      <c r="Q1420" s="127" t="n"/>
      <c r="R1420" s="127" t="n"/>
      <c r="S1420" s="127" t="n"/>
      <c r="T1420" s="127" t="n"/>
      <c r="U1420" s="127" t="n"/>
      <c r="V1420" s="127" t="n"/>
      <c r="W1420" s="127" t="n"/>
      <c r="X1420" s="127" t="n"/>
      <c r="Y1420" s="127" t="n"/>
      <c r="Z1420" s="153" t="n"/>
    </row>
    <row r="1421">
      <c r="A1421" s="203">
        <f>ROW()-1</f>
        <v/>
      </c>
      <c r="B1421" s="128" t="n"/>
      <c r="C1421" s="263" t="n"/>
      <c r="D1421" s="262" t="n"/>
      <c r="E1421" s="128" t="n"/>
      <c r="F1421" s="138" t="inlineStr">
        <is>
          <t>ADDRESS RESERVE MODULE</t>
        </is>
      </c>
      <c r="G1421" s="131" t="n"/>
      <c r="H1421" s="128" t="n"/>
      <c r="I1421" s="132" t="inlineStr">
        <is>
          <t>RL7-SERP-RIO2</t>
        </is>
      </c>
      <c r="J1421" s="133" t="n">
        <v>16</v>
      </c>
      <c r="K1421" s="129" t="n">
        <v>6</v>
      </c>
      <c r="L1421" s="129" t="n">
        <v>0</v>
      </c>
      <c r="M1421" s="129" t="inlineStr">
        <is>
          <t>ARM</t>
        </is>
      </c>
      <c r="N1421" s="129" t="inlineStr">
        <is>
          <t>5069-ARM</t>
        </is>
      </c>
      <c r="O1421" s="139" t="n"/>
      <c r="P1421" s="127" t="n"/>
      <c r="Q1421" s="127" t="n"/>
      <c r="R1421" s="127" t="n"/>
      <c r="S1421" s="127" t="n"/>
      <c r="T1421" s="127" t="n"/>
      <c r="U1421" s="127" t="n"/>
      <c r="V1421" s="127" t="n"/>
      <c r="W1421" s="127" t="n"/>
      <c r="X1421" s="127" t="n"/>
      <c r="Y1421" s="127" t="n"/>
      <c r="Z1421" s="153" t="n"/>
    </row>
    <row r="1422">
      <c r="A1422" s="203">
        <f>ROW()-1</f>
        <v/>
      </c>
      <c r="B1422" s="128" t="n"/>
      <c r="C1422" s="263" t="n"/>
      <c r="D1422" s="262" t="n"/>
      <c r="E1422" s="128" t="n"/>
      <c r="F1422" s="138" t="inlineStr">
        <is>
          <t>SPARE</t>
        </is>
      </c>
      <c r="G1422" s="131" t="n"/>
      <c r="H1422" s="128" t="n"/>
      <c r="I1422" s="132" t="inlineStr">
        <is>
          <t>RL7-SERP-RIO2</t>
        </is>
      </c>
      <c r="J1422" s="133" t="n">
        <v>16</v>
      </c>
      <c r="K1422" s="129" t="n">
        <v>8</v>
      </c>
      <c r="L1422" s="129" t="n">
        <v>3</v>
      </c>
      <c r="M1422" s="129" t="inlineStr">
        <is>
          <t>4-20 mA AI</t>
        </is>
      </c>
      <c r="N1422" s="129" t="inlineStr">
        <is>
          <t>5069-IF8</t>
        </is>
      </c>
      <c r="O1422" s="139" t="n"/>
      <c r="P1422" s="127" t="n"/>
      <c r="Q1422" s="127" t="n"/>
      <c r="R1422" s="127" t="n"/>
      <c r="S1422" s="127" t="n"/>
      <c r="T1422" s="127" t="n"/>
      <c r="U1422" s="127" t="n"/>
      <c r="V1422" s="127" t="n"/>
      <c r="W1422" s="127" t="n"/>
      <c r="X1422" s="127" t="n"/>
      <c r="Y1422" s="127" t="n"/>
      <c r="Z1422" s="153" t="n"/>
    </row>
    <row r="1423">
      <c r="A1423" s="203">
        <f>ROW()-1</f>
        <v/>
      </c>
      <c r="B1423" s="128" t="n"/>
      <c r="C1423" s="263" t="n"/>
      <c r="D1423" s="262" t="n"/>
      <c r="E1423" s="128" t="n"/>
      <c r="F1423" s="138" t="inlineStr">
        <is>
          <t>SPARE</t>
        </is>
      </c>
      <c r="G1423" s="131" t="n"/>
      <c r="H1423" s="128" t="n"/>
      <c r="I1423" s="132" t="inlineStr">
        <is>
          <t>RL7-SERP-RIO2</t>
        </is>
      </c>
      <c r="J1423" s="133" t="n">
        <v>16</v>
      </c>
      <c r="K1423" s="129" t="n">
        <v>8</v>
      </c>
      <c r="L1423" s="129" t="n">
        <v>4</v>
      </c>
      <c r="M1423" s="129" t="inlineStr">
        <is>
          <t>4-20 mA AI</t>
        </is>
      </c>
      <c r="N1423" s="129" t="inlineStr">
        <is>
          <t>5069-IF8</t>
        </is>
      </c>
      <c r="O1423" s="139" t="n"/>
      <c r="P1423" s="127" t="n"/>
      <c r="Q1423" s="127" t="n"/>
      <c r="R1423" s="127" t="n"/>
      <c r="S1423" s="127" t="n"/>
      <c r="T1423" s="127" t="n"/>
      <c r="U1423" s="127" t="n"/>
      <c r="V1423" s="127" t="n"/>
      <c r="W1423" s="127" t="n"/>
      <c r="X1423" s="127" t="n"/>
      <c r="Y1423" s="127" t="n"/>
      <c r="Z1423" s="153" t="n"/>
    </row>
    <row r="1424" customFormat="1" s="149">
      <c r="A1424" s="203">
        <f>ROW()-1</f>
        <v/>
      </c>
      <c r="B1424" s="128" t="n"/>
      <c r="C1424" s="263" t="n"/>
      <c r="D1424" s="262" t="n"/>
      <c r="E1424" s="128" t="n"/>
      <c r="F1424" s="138" t="inlineStr">
        <is>
          <t>SPARE</t>
        </is>
      </c>
      <c r="G1424" s="131" t="n"/>
      <c r="H1424" s="128" t="n"/>
      <c r="I1424" s="132" t="inlineStr">
        <is>
          <t>RL7-SERP-RIO2</t>
        </is>
      </c>
      <c r="J1424" s="133" t="n">
        <v>16</v>
      </c>
      <c r="K1424" s="129" t="n">
        <v>8</v>
      </c>
      <c r="L1424" s="129" t="n">
        <v>5</v>
      </c>
      <c r="M1424" s="129" t="inlineStr">
        <is>
          <t>4-20 mA AI</t>
        </is>
      </c>
      <c r="N1424" s="129" t="inlineStr">
        <is>
          <t>5069-IF8</t>
        </is>
      </c>
      <c r="O1424" s="139" t="n"/>
      <c r="P1424" s="127" t="n"/>
      <c r="Q1424" s="127" t="n"/>
      <c r="R1424" s="127" t="n"/>
      <c r="S1424" s="127" t="n"/>
      <c r="T1424" s="127" t="n"/>
      <c r="U1424" s="127" t="n"/>
      <c r="V1424" s="127" t="n"/>
      <c r="W1424" s="127" t="n"/>
      <c r="X1424" s="127" t="n"/>
      <c r="Y1424" s="127" t="n"/>
      <c r="Z1424" s="153" t="n"/>
    </row>
    <row r="1425" customFormat="1" s="149">
      <c r="A1425" s="203">
        <f>ROW()-1</f>
        <v/>
      </c>
      <c r="B1425" s="128" t="n"/>
      <c r="C1425" s="263" t="n"/>
      <c r="D1425" s="262" t="n"/>
      <c r="E1425" s="128" t="n"/>
      <c r="F1425" s="138" t="inlineStr">
        <is>
          <t>SPARE</t>
        </is>
      </c>
      <c r="G1425" s="131" t="n"/>
      <c r="H1425" s="128" t="n"/>
      <c r="I1425" s="132" t="inlineStr">
        <is>
          <t>RL7-SERP-RIO2</t>
        </is>
      </c>
      <c r="J1425" s="133" t="n">
        <v>16</v>
      </c>
      <c r="K1425" s="129" t="n">
        <v>8</v>
      </c>
      <c r="L1425" s="129" t="n">
        <v>6</v>
      </c>
      <c r="M1425" s="129" t="inlineStr">
        <is>
          <t>4-20 mA AI</t>
        </is>
      </c>
      <c r="N1425" s="129" t="inlineStr">
        <is>
          <t>5069-IF8</t>
        </is>
      </c>
      <c r="O1425" s="139" t="n"/>
      <c r="P1425" s="127" t="n"/>
      <c r="Q1425" s="127" t="n"/>
      <c r="R1425" s="127" t="n"/>
      <c r="S1425" s="127" t="n"/>
      <c r="T1425" s="127" t="n"/>
      <c r="U1425" s="127" t="n"/>
      <c r="V1425" s="127" t="n"/>
      <c r="W1425" s="127" t="n"/>
      <c r="X1425" s="127" t="n"/>
      <c r="Y1425" s="127" t="n"/>
      <c r="Z1425" s="153" t="n"/>
    </row>
    <row r="1426" customFormat="1" s="149">
      <c r="A1426" s="203">
        <f>ROW()-1</f>
        <v/>
      </c>
      <c r="B1426" s="128" t="n"/>
      <c r="C1426" s="263" t="n"/>
      <c r="D1426" s="262" t="n"/>
      <c r="E1426" s="128" t="n"/>
      <c r="F1426" s="138" t="inlineStr">
        <is>
          <t>SPARE</t>
        </is>
      </c>
      <c r="G1426" s="131" t="n"/>
      <c r="H1426" s="128" t="n"/>
      <c r="I1426" s="132" t="inlineStr">
        <is>
          <t>RL7-SERP-RIO2</t>
        </is>
      </c>
      <c r="J1426" s="133" t="n">
        <v>16</v>
      </c>
      <c r="K1426" s="129" t="n">
        <v>8</v>
      </c>
      <c r="L1426" s="129" t="n">
        <v>7</v>
      </c>
      <c r="M1426" s="129" t="inlineStr">
        <is>
          <t>4-20 mA AI</t>
        </is>
      </c>
      <c r="N1426" s="129" t="inlineStr">
        <is>
          <t>5069-IF8</t>
        </is>
      </c>
      <c r="O1426" s="139" t="n"/>
      <c r="P1426" s="127" t="n"/>
      <c r="Q1426" s="127" t="n"/>
      <c r="R1426" s="127" t="n"/>
      <c r="S1426" s="127" t="n"/>
      <c r="T1426" s="127" t="n"/>
      <c r="U1426" s="127" t="n"/>
      <c r="V1426" s="127" t="n"/>
      <c r="W1426" s="127" t="n"/>
      <c r="X1426" s="127" t="n"/>
      <c r="Y1426" s="127" t="n"/>
      <c r="Z1426" s="153" t="n"/>
    </row>
    <row r="1427" customFormat="1" s="149">
      <c r="A1427" s="203">
        <f>ROW()-1</f>
        <v/>
      </c>
      <c r="B1427" s="128" t="n"/>
      <c r="C1427" s="263" t="n"/>
      <c r="D1427" s="262" t="n"/>
      <c r="E1427" s="128" t="n"/>
      <c r="F1427" s="138" t="inlineStr">
        <is>
          <t>ADDRESS RESERVE MODULE</t>
        </is>
      </c>
      <c r="G1427" s="131" t="n"/>
      <c r="H1427" s="128" t="n"/>
      <c r="I1427" s="132" t="inlineStr">
        <is>
          <t>RL7-SERP-RIO2</t>
        </is>
      </c>
      <c r="J1427" s="133" t="n">
        <v>16</v>
      </c>
      <c r="K1427" s="129" t="n">
        <v>9</v>
      </c>
      <c r="L1427" s="129" t="n">
        <v>0</v>
      </c>
      <c r="M1427" s="129" t="inlineStr">
        <is>
          <t>ARM</t>
        </is>
      </c>
      <c r="N1427" s="129" t="inlineStr">
        <is>
          <t>5069-ARM</t>
        </is>
      </c>
      <c r="O1427" s="139" t="n"/>
      <c r="P1427" s="127" t="n"/>
      <c r="Q1427" s="127" t="n"/>
      <c r="R1427" s="127" t="n"/>
      <c r="S1427" s="127" t="n"/>
      <c r="T1427" s="127" t="n"/>
      <c r="U1427" s="127" t="n"/>
      <c r="V1427" s="127" t="n"/>
      <c r="W1427" s="127" t="n"/>
      <c r="X1427" s="127" t="n"/>
      <c r="Y1427" s="127" t="n"/>
      <c r="Z1427" s="153" t="n"/>
    </row>
    <row r="1428" customFormat="1" s="149">
      <c r="A1428" s="203">
        <f>ROW()-1</f>
        <v/>
      </c>
      <c r="B1428" s="129" t="n"/>
      <c r="C1428" s="263" t="n"/>
      <c r="D1428" s="263" t="n"/>
      <c r="E1428" s="129" t="n"/>
      <c r="F1428" s="4" t="inlineStr">
        <is>
          <t>SPARE</t>
        </is>
      </c>
      <c r="G1428" s="131" t="n"/>
      <c r="H1428" s="129" t="n"/>
      <c r="I1428" s="129" t="inlineStr">
        <is>
          <t>RL7-PKOUT-RIO1</t>
        </is>
      </c>
      <c r="J1428" s="133" t="n">
        <v>17</v>
      </c>
      <c r="K1428" s="129" t="n">
        <v>1</v>
      </c>
      <c r="L1428" s="129" t="n">
        <v>9</v>
      </c>
      <c r="M1428" s="129" t="inlineStr">
        <is>
          <t>24 VDC DI</t>
        </is>
      </c>
      <c r="N1428" s="129" t="inlineStr">
        <is>
          <t>5069-OBV8S</t>
        </is>
      </c>
      <c r="O1428" s="127" t="n"/>
      <c r="P1428" s="127" t="n"/>
      <c r="Q1428" s="127" t="n"/>
      <c r="R1428" s="127" t="n"/>
      <c r="S1428" s="127" t="n"/>
      <c r="T1428" s="127" t="n"/>
      <c r="U1428" s="127" t="n"/>
      <c r="V1428" s="127" t="n"/>
      <c r="W1428" s="127" t="n"/>
      <c r="X1428" s="127" t="n"/>
      <c r="Y1428" s="127" t="n"/>
      <c r="Z1428" s="140" t="n"/>
    </row>
    <row r="1429">
      <c r="A1429" s="203">
        <f>ROW()-1</f>
        <v/>
      </c>
      <c r="B1429" s="128" t="n"/>
      <c r="C1429" s="263" t="n"/>
      <c r="D1429" s="262" t="n"/>
      <c r="E1429" s="128" t="n"/>
      <c r="F1429" s="4" t="inlineStr">
        <is>
          <t>SPARE</t>
        </is>
      </c>
      <c r="G1429" s="131" t="n"/>
      <c r="H1429" s="128" t="n"/>
      <c r="I1429" s="129" t="inlineStr">
        <is>
          <t>RL7-PKOUT-RIO1</t>
        </is>
      </c>
      <c r="J1429" s="133" t="n">
        <v>17</v>
      </c>
      <c r="K1429" s="129" t="n">
        <v>1</v>
      </c>
      <c r="L1429" s="129" t="n">
        <v>10</v>
      </c>
      <c r="M1429" s="129" t="inlineStr">
        <is>
          <t>24 VDC DI</t>
        </is>
      </c>
      <c r="N1429" s="129" t="inlineStr">
        <is>
          <t>5069-OBV8S</t>
        </is>
      </c>
      <c r="O1429" s="139" t="n"/>
      <c r="P1429" s="127" t="n"/>
      <c r="Q1429" s="127" t="n"/>
      <c r="R1429" s="127" t="n"/>
      <c r="S1429" s="127" t="n"/>
      <c r="T1429" s="127" t="n"/>
      <c r="U1429" s="127" t="n"/>
      <c r="V1429" s="127" t="n"/>
      <c r="W1429" s="127" t="n"/>
      <c r="X1429" s="127" t="n"/>
      <c r="Y1429" s="127" t="n"/>
      <c r="Z1429" s="140" t="n"/>
    </row>
    <row r="1430">
      <c r="A1430" s="203">
        <f>ROW()-1</f>
        <v/>
      </c>
      <c r="B1430" s="128" t="n"/>
      <c r="C1430" s="263" t="n"/>
      <c r="D1430" s="262" t="n"/>
      <c r="E1430" s="128" t="n"/>
      <c r="F1430" s="4" t="inlineStr">
        <is>
          <t>SPARE</t>
        </is>
      </c>
      <c r="G1430" s="131" t="n"/>
      <c r="H1430" s="128" t="n"/>
      <c r="I1430" s="129" t="inlineStr">
        <is>
          <t>RL7-PKOUT-RIO1</t>
        </is>
      </c>
      <c r="J1430" s="133" t="n">
        <v>17</v>
      </c>
      <c r="K1430" s="129" t="n">
        <v>1</v>
      </c>
      <c r="L1430" s="129" t="n">
        <v>11</v>
      </c>
      <c r="M1430" s="129" t="inlineStr">
        <is>
          <t>24 VDC DI</t>
        </is>
      </c>
      <c r="N1430" s="129" t="inlineStr">
        <is>
          <t>5069-OBV8S</t>
        </is>
      </c>
      <c r="O1430" s="139" t="n"/>
      <c r="P1430" s="127" t="n"/>
      <c r="Q1430" s="127" t="n"/>
      <c r="R1430" s="127" t="n"/>
      <c r="S1430" s="127" t="n"/>
      <c r="T1430" s="127" t="n"/>
      <c r="U1430" s="127" t="n"/>
      <c r="V1430" s="127" t="n"/>
      <c r="W1430" s="127" t="n"/>
      <c r="X1430" s="127" t="n"/>
      <c r="Y1430" s="127" t="n"/>
      <c r="Z1430" s="140" t="n"/>
    </row>
    <row r="1431">
      <c r="A1431" s="203">
        <f>ROW()-1</f>
        <v/>
      </c>
      <c r="B1431" s="128" t="n"/>
      <c r="C1431" s="263" t="n"/>
      <c r="D1431" s="262" t="n"/>
      <c r="E1431" s="128" t="n"/>
      <c r="F1431" s="4" t="inlineStr">
        <is>
          <t>SPARE</t>
        </is>
      </c>
      <c r="G1431" s="131" t="n"/>
      <c r="H1431" s="128" t="n"/>
      <c r="I1431" s="129" t="inlineStr">
        <is>
          <t>RL7-PKOUT-RIO1</t>
        </is>
      </c>
      <c r="J1431" s="133" t="n">
        <v>17</v>
      </c>
      <c r="K1431" s="129" t="n">
        <v>1</v>
      </c>
      <c r="L1431" s="129" t="n">
        <v>12</v>
      </c>
      <c r="M1431" s="129" t="inlineStr">
        <is>
          <t>24 VDC DI</t>
        </is>
      </c>
      <c r="N1431" s="129" t="inlineStr">
        <is>
          <t>5069-OBV8S</t>
        </is>
      </c>
      <c r="O1431" s="139" t="n"/>
      <c r="P1431" s="127" t="n"/>
      <c r="Q1431" s="127" t="n"/>
      <c r="R1431" s="127" t="n"/>
      <c r="S1431" s="127" t="n"/>
      <c r="T1431" s="127" t="n"/>
      <c r="U1431" s="127" t="n"/>
      <c r="V1431" s="127" t="n"/>
      <c r="W1431" s="127" t="n"/>
      <c r="X1431" s="127" t="n"/>
      <c r="Y1431" s="127" t="n"/>
      <c r="Z1431" s="140" t="n"/>
    </row>
    <row r="1432">
      <c r="A1432" s="203">
        <f>ROW()-1</f>
        <v/>
      </c>
      <c r="B1432" s="128" t="n"/>
      <c r="C1432" s="263" t="n"/>
      <c r="D1432" s="262" t="n"/>
      <c r="E1432" s="128" t="n"/>
      <c r="F1432" s="4" t="inlineStr">
        <is>
          <t>SPARE</t>
        </is>
      </c>
      <c r="G1432" s="131" t="n"/>
      <c r="H1432" s="128" t="n"/>
      <c r="I1432" s="129" t="inlineStr">
        <is>
          <t>RL7-PKOUT-RIO1</t>
        </is>
      </c>
      <c r="J1432" s="133" t="n">
        <v>17</v>
      </c>
      <c r="K1432" s="129" t="n">
        <v>1</v>
      </c>
      <c r="L1432" s="129" t="n">
        <v>13</v>
      </c>
      <c r="M1432" s="129" t="inlineStr">
        <is>
          <t>24 VDC DI</t>
        </is>
      </c>
      <c r="N1432" s="129" t="inlineStr">
        <is>
          <t>5069-OBV8S</t>
        </is>
      </c>
      <c r="O1432" s="139" t="n"/>
      <c r="P1432" s="127" t="n"/>
      <c r="Q1432" s="127" t="n"/>
      <c r="R1432" s="127" t="n"/>
      <c r="S1432" s="127" t="n"/>
      <c r="T1432" s="127" t="n"/>
      <c r="U1432" s="127" t="n"/>
      <c r="V1432" s="127" t="n"/>
      <c r="W1432" s="127" t="n"/>
      <c r="X1432" s="127" t="n"/>
      <c r="Y1432" s="127" t="n"/>
      <c r="Z1432" s="140" t="n"/>
    </row>
    <row r="1433">
      <c r="A1433" s="203">
        <f>ROW()-1</f>
        <v/>
      </c>
      <c r="B1433" s="128" t="n"/>
      <c r="C1433" s="263" t="n"/>
      <c r="D1433" s="262" t="n"/>
      <c r="E1433" s="128" t="n"/>
      <c r="F1433" s="4" t="inlineStr">
        <is>
          <t>SPARE</t>
        </is>
      </c>
      <c r="G1433" s="131" t="n"/>
      <c r="H1433" s="128" t="n"/>
      <c r="I1433" s="129" t="inlineStr">
        <is>
          <t>RL7-PKOUT-RIO1</t>
        </is>
      </c>
      <c r="J1433" s="133" t="n">
        <v>17</v>
      </c>
      <c r="K1433" s="129" t="n">
        <v>1</v>
      </c>
      <c r="L1433" s="129" t="n">
        <v>14</v>
      </c>
      <c r="M1433" s="129" t="inlineStr">
        <is>
          <t>24 VDC DI</t>
        </is>
      </c>
      <c r="N1433" s="129" t="inlineStr">
        <is>
          <t>5069-OBV8S</t>
        </is>
      </c>
      <c r="O1433" s="139" t="n"/>
      <c r="P1433" s="127" t="n"/>
      <c r="Q1433" s="127" t="n"/>
      <c r="R1433" s="127" t="n"/>
      <c r="S1433" s="127" t="n"/>
      <c r="T1433" s="127" t="n"/>
      <c r="U1433" s="127" t="n"/>
      <c r="V1433" s="127" t="n"/>
      <c r="W1433" s="127" t="n"/>
      <c r="X1433" s="127" t="n"/>
      <c r="Y1433" s="127" t="n"/>
      <c r="Z1433" s="140" t="n"/>
    </row>
    <row r="1434">
      <c r="A1434" s="203">
        <f>ROW()-1</f>
        <v/>
      </c>
      <c r="B1434" s="128" t="n"/>
      <c r="C1434" s="263" t="n"/>
      <c r="D1434" s="262" t="n"/>
      <c r="E1434" s="128" t="n"/>
      <c r="F1434" s="4" t="inlineStr">
        <is>
          <t>SPARE</t>
        </is>
      </c>
      <c r="G1434" s="131" t="n"/>
      <c r="H1434" s="128" t="n"/>
      <c r="I1434" s="129" t="inlineStr">
        <is>
          <t>RL7-PKOUT-RIO1</t>
        </is>
      </c>
      <c r="J1434" s="133" t="n">
        <v>17</v>
      </c>
      <c r="K1434" s="129" t="n">
        <v>1</v>
      </c>
      <c r="L1434" s="129" t="n">
        <v>15</v>
      </c>
      <c r="M1434" s="129" t="inlineStr">
        <is>
          <t>24 VDC DI</t>
        </is>
      </c>
      <c r="N1434" s="129" t="inlineStr">
        <is>
          <t>5069-OBV8S</t>
        </is>
      </c>
      <c r="O1434" s="139" t="n"/>
      <c r="P1434" s="127" t="n"/>
      <c r="Q1434" s="127" t="n"/>
      <c r="R1434" s="127" t="n"/>
      <c r="S1434" s="127" t="n"/>
      <c r="T1434" s="127" t="n"/>
      <c r="U1434" s="127" t="n"/>
      <c r="V1434" s="127" t="n"/>
      <c r="W1434" s="127" t="n"/>
      <c r="X1434" s="127" t="n"/>
      <c r="Y1434" s="127" t="n"/>
      <c r="Z1434" s="140" t="n"/>
    </row>
    <row r="1435">
      <c r="A1435" s="203">
        <f>ROW()-1</f>
        <v/>
      </c>
      <c r="B1435" s="128" t="n"/>
      <c r="C1435" s="263" t="n"/>
      <c r="D1435" s="262" t="n"/>
      <c r="E1435" s="128" t="n"/>
      <c r="F1435" s="138" t="inlineStr">
        <is>
          <t>ADDRESS RESERVE MODULE</t>
        </is>
      </c>
      <c r="G1435" s="131" t="n"/>
      <c r="H1435" s="128" t="n"/>
      <c r="I1435" s="129" t="inlineStr">
        <is>
          <t>RL7-PKOUT-RIO1</t>
        </is>
      </c>
      <c r="J1435" s="133" t="n">
        <v>17</v>
      </c>
      <c r="K1435" s="129" t="n">
        <v>2</v>
      </c>
      <c r="L1435" s="129" t="n">
        <v>0</v>
      </c>
      <c r="M1435" s="131" t="inlineStr">
        <is>
          <t>ARM</t>
        </is>
      </c>
      <c r="N1435" s="129" t="inlineStr">
        <is>
          <t>5069-ARM</t>
        </is>
      </c>
      <c r="O1435" s="139" t="n"/>
      <c r="P1435" s="140" t="n"/>
      <c r="Q1435" s="158" t="n"/>
      <c r="R1435" s="158" t="n"/>
      <c r="S1435" s="158" t="n"/>
      <c r="T1435" s="158" t="n"/>
      <c r="U1435" s="158" t="n"/>
      <c r="V1435" s="158" t="n"/>
      <c r="W1435" s="158" t="n"/>
      <c r="X1435" s="158" t="n"/>
      <c r="Y1435" s="158" t="n"/>
      <c r="Z1435" s="158" t="n"/>
    </row>
    <row r="1436">
      <c r="A1436" s="203">
        <f>ROW()-1</f>
        <v/>
      </c>
      <c r="B1436" s="128" t="n"/>
      <c r="C1436" s="263" t="n"/>
      <c r="D1436" s="262" t="n"/>
      <c r="E1436" s="128" t="n"/>
      <c r="F1436" s="4" t="inlineStr">
        <is>
          <t>SPARE</t>
        </is>
      </c>
      <c r="G1436" s="131" t="n"/>
      <c r="H1436" s="128" t="n"/>
      <c r="I1436" s="129" t="inlineStr">
        <is>
          <t>RL7-PKOUT-RIO1</t>
        </is>
      </c>
      <c r="J1436" s="133" t="n">
        <v>17</v>
      </c>
      <c r="K1436" s="129" t="n">
        <v>3</v>
      </c>
      <c r="L1436" s="129" t="n">
        <v>2</v>
      </c>
      <c r="M1436" s="129" t="inlineStr">
        <is>
          <t>24 VDC DO</t>
        </is>
      </c>
      <c r="N1436" s="129" t="inlineStr">
        <is>
          <t>5069-OBV8S</t>
        </is>
      </c>
      <c r="O1436" s="139" t="n"/>
      <c r="P1436" s="127" t="n"/>
      <c r="Q1436" s="127" t="n"/>
      <c r="R1436" s="127" t="n"/>
      <c r="S1436" s="127" t="n"/>
      <c r="T1436" s="127" t="n"/>
      <c r="U1436" s="127" t="n"/>
      <c r="V1436" s="127" t="n"/>
      <c r="W1436" s="127" t="n"/>
      <c r="X1436" s="127" t="n"/>
      <c r="Y1436" s="127" t="n"/>
      <c r="Z1436" s="140" t="n"/>
    </row>
    <row r="1437">
      <c r="A1437" s="203">
        <f>ROW()-1</f>
        <v/>
      </c>
      <c r="B1437" s="128" t="n"/>
      <c r="C1437" s="263" t="n"/>
      <c r="D1437" s="262" t="n"/>
      <c r="E1437" s="128" t="n"/>
      <c r="F1437" s="4" t="inlineStr">
        <is>
          <t>SPARE</t>
        </is>
      </c>
      <c r="G1437" s="131" t="n"/>
      <c r="H1437" s="128" t="n"/>
      <c r="I1437" s="129" t="inlineStr">
        <is>
          <t>RL7-PKOUT-RIO1</t>
        </is>
      </c>
      <c r="J1437" s="133" t="n">
        <v>17</v>
      </c>
      <c r="K1437" s="129" t="n">
        <v>3</v>
      </c>
      <c r="L1437" s="129" t="n">
        <v>3</v>
      </c>
      <c r="M1437" s="129" t="inlineStr">
        <is>
          <t>24 VDC DO</t>
        </is>
      </c>
      <c r="N1437" s="129" t="inlineStr">
        <is>
          <t>5069-OBV8S</t>
        </is>
      </c>
      <c r="O1437" s="139" t="n"/>
      <c r="P1437" s="127" t="n"/>
      <c r="Q1437" s="127" t="n"/>
      <c r="R1437" s="127" t="n"/>
      <c r="S1437" s="127" t="n"/>
      <c r="T1437" s="127" t="n"/>
      <c r="U1437" s="127" t="n"/>
      <c r="V1437" s="127" t="n"/>
      <c r="W1437" s="127" t="n"/>
      <c r="X1437" s="127" t="n"/>
      <c r="Y1437" s="127" t="n"/>
      <c r="Z1437" s="140" t="n"/>
    </row>
    <row r="1438">
      <c r="A1438" s="203">
        <f>ROW()-1</f>
        <v/>
      </c>
      <c r="B1438" s="128" t="n"/>
      <c r="C1438" s="263" t="n"/>
      <c r="D1438" s="262" t="n"/>
      <c r="E1438" s="128" t="n"/>
      <c r="F1438" s="4" t="inlineStr">
        <is>
          <t>SPARE</t>
        </is>
      </c>
      <c r="G1438" s="131" t="n"/>
      <c r="H1438" s="128" t="n"/>
      <c r="I1438" s="129" t="inlineStr">
        <is>
          <t>RL7-PKOUT-RIO1</t>
        </is>
      </c>
      <c r="J1438" s="133" t="n">
        <v>17</v>
      </c>
      <c r="K1438" s="129" t="n">
        <v>3</v>
      </c>
      <c r="L1438" s="129" t="n">
        <v>4</v>
      </c>
      <c r="M1438" s="129" t="inlineStr">
        <is>
          <t>24 VDC DO</t>
        </is>
      </c>
      <c r="N1438" s="129" t="inlineStr">
        <is>
          <t>5069-OBV8S</t>
        </is>
      </c>
      <c r="O1438" s="139" t="n"/>
      <c r="P1438" s="127" t="n"/>
      <c r="Q1438" s="127" t="n"/>
      <c r="R1438" s="127" t="n"/>
      <c r="S1438" s="127" t="n"/>
      <c r="T1438" s="127" t="n"/>
      <c r="U1438" s="127" t="n"/>
      <c r="V1438" s="127" t="n"/>
      <c r="W1438" s="127" t="n"/>
      <c r="X1438" s="127" t="n"/>
      <c r="Y1438" s="127" t="n"/>
      <c r="Z1438" s="140" t="n"/>
    </row>
    <row r="1439" customFormat="1" s="149">
      <c r="A1439" s="203">
        <f>ROW()-1</f>
        <v/>
      </c>
      <c r="B1439" s="128" t="n"/>
      <c r="C1439" s="263" t="n"/>
      <c r="D1439" s="262" t="n"/>
      <c r="E1439" s="128" t="n"/>
      <c r="F1439" s="4" t="inlineStr">
        <is>
          <t>SPARE</t>
        </is>
      </c>
      <c r="G1439" s="131" t="n"/>
      <c r="H1439" s="128" t="n"/>
      <c r="I1439" s="129" t="inlineStr">
        <is>
          <t>RL7-PKOUT-RIO1</t>
        </is>
      </c>
      <c r="J1439" s="133" t="n">
        <v>17</v>
      </c>
      <c r="K1439" s="129" t="n">
        <v>3</v>
      </c>
      <c r="L1439" s="129" t="n">
        <v>5</v>
      </c>
      <c r="M1439" s="129" t="inlineStr">
        <is>
          <t>24 VDC DO</t>
        </is>
      </c>
      <c r="N1439" s="129" t="inlineStr">
        <is>
          <t>5069-OBV8S</t>
        </is>
      </c>
      <c r="O1439" s="139" t="n"/>
      <c r="P1439" s="127" t="n"/>
      <c r="Q1439" s="127" t="n"/>
      <c r="R1439" s="127" t="n"/>
      <c r="S1439" s="127" t="n"/>
      <c r="T1439" s="127" t="n"/>
      <c r="U1439" s="127" t="n"/>
      <c r="V1439" s="127" t="n"/>
      <c r="W1439" s="127" t="n"/>
      <c r="X1439" s="127" t="n"/>
      <c r="Y1439" s="127" t="n"/>
      <c r="Z1439" s="140" t="n"/>
    </row>
    <row r="1440" customFormat="1" s="149">
      <c r="A1440" s="203">
        <f>ROW()-1</f>
        <v/>
      </c>
      <c r="B1440" s="128" t="n"/>
      <c r="C1440" s="263" t="n"/>
      <c r="D1440" s="262" t="n"/>
      <c r="E1440" s="128" t="n"/>
      <c r="F1440" s="4" t="inlineStr">
        <is>
          <t>SPARE</t>
        </is>
      </c>
      <c r="G1440" s="131" t="n"/>
      <c r="H1440" s="128" t="n"/>
      <c r="I1440" s="129" t="inlineStr">
        <is>
          <t>RL7-PKOUT-RIO1</t>
        </is>
      </c>
      <c r="J1440" s="133" t="n">
        <v>17</v>
      </c>
      <c r="K1440" s="129" t="n">
        <v>3</v>
      </c>
      <c r="L1440" s="129" t="n">
        <v>6</v>
      </c>
      <c r="M1440" s="129" t="inlineStr">
        <is>
          <t>24 VDC DO</t>
        </is>
      </c>
      <c r="N1440" s="129" t="inlineStr">
        <is>
          <t>5069-OBV8S</t>
        </is>
      </c>
      <c r="O1440" s="139" t="n"/>
      <c r="P1440" s="127" t="n"/>
      <c r="Q1440" s="127" t="n"/>
      <c r="R1440" s="127" t="n"/>
      <c r="S1440" s="127" t="n"/>
      <c r="T1440" s="127" t="n"/>
      <c r="U1440" s="127" t="n"/>
      <c r="V1440" s="127" t="n"/>
      <c r="W1440" s="127" t="n"/>
      <c r="X1440" s="127" t="n"/>
      <c r="Y1440" s="127" t="n"/>
      <c r="Z1440" s="140" t="n"/>
    </row>
    <row r="1441" customFormat="1" s="149">
      <c r="A1441" s="203">
        <f>ROW()-1</f>
        <v/>
      </c>
      <c r="B1441" s="128" t="n"/>
      <c r="C1441" s="263" t="n"/>
      <c r="D1441" s="262" t="n"/>
      <c r="E1441" s="128" t="n"/>
      <c r="F1441" s="4" t="inlineStr">
        <is>
          <t>SPARE</t>
        </is>
      </c>
      <c r="G1441" s="131" t="n"/>
      <c r="H1441" s="128" t="n"/>
      <c r="I1441" s="129" t="inlineStr">
        <is>
          <t>RL7-PKOUT-RIO1</t>
        </is>
      </c>
      <c r="J1441" s="133" t="n">
        <v>17</v>
      </c>
      <c r="K1441" s="129" t="n">
        <v>3</v>
      </c>
      <c r="L1441" s="129" t="n">
        <v>7</v>
      </c>
      <c r="M1441" s="129" t="inlineStr">
        <is>
          <t>24 VDC DO</t>
        </is>
      </c>
      <c r="N1441" s="129" t="inlineStr">
        <is>
          <t>5069-OBV8S</t>
        </is>
      </c>
      <c r="O1441" s="139" t="n"/>
      <c r="P1441" s="127" t="n"/>
      <c r="Q1441" s="127" t="n"/>
      <c r="R1441" s="127" t="n"/>
      <c r="S1441" s="127" t="n"/>
      <c r="T1441" s="127" t="n"/>
      <c r="U1441" s="127" t="n"/>
      <c r="V1441" s="127" t="n"/>
      <c r="W1441" s="127" t="n"/>
      <c r="X1441" s="127" t="n"/>
      <c r="Y1441" s="127" t="n"/>
      <c r="Z1441" s="140" t="n"/>
    </row>
    <row r="1442" customFormat="1" s="149">
      <c r="A1442" s="203">
        <f>ROW()-1</f>
        <v/>
      </c>
      <c r="B1442" s="129" t="n"/>
      <c r="C1442" s="263" t="n"/>
      <c r="D1442" s="263" t="n"/>
      <c r="E1442" s="129" t="n"/>
      <c r="F1442" s="4" t="inlineStr">
        <is>
          <t>SPARE</t>
        </is>
      </c>
      <c r="G1442" s="131" t="n"/>
      <c r="H1442" s="129" t="n"/>
      <c r="I1442" s="129" t="inlineStr">
        <is>
          <t>RL7-PKOUT-RIO1</t>
        </is>
      </c>
      <c r="J1442" s="133" t="n">
        <v>17</v>
      </c>
      <c r="K1442" s="129" t="n">
        <v>3</v>
      </c>
      <c r="L1442" s="129" t="n">
        <v>8</v>
      </c>
      <c r="M1442" s="129" t="inlineStr">
        <is>
          <t>24 VDC DO</t>
        </is>
      </c>
      <c r="N1442" s="129" t="inlineStr">
        <is>
          <t>5069-OBV8S</t>
        </is>
      </c>
      <c r="O1442" s="127" t="n"/>
      <c r="P1442" s="127" t="n"/>
      <c r="Q1442" s="127" t="n"/>
      <c r="R1442" s="127" t="n"/>
      <c r="S1442" s="127" t="n"/>
      <c r="T1442" s="127" t="n"/>
      <c r="U1442" s="127" t="n"/>
      <c r="V1442" s="127" t="n"/>
      <c r="W1442" s="127" t="n"/>
      <c r="X1442" s="127" t="n"/>
      <c r="Y1442" s="127" t="n"/>
      <c r="Z1442" s="140" t="n"/>
    </row>
    <row r="1443" customFormat="1" s="149">
      <c r="A1443" s="203">
        <f>ROW()-1</f>
        <v/>
      </c>
      <c r="B1443" s="129" t="n"/>
      <c r="C1443" s="263" t="n"/>
      <c r="D1443" s="263" t="n"/>
      <c r="E1443" s="129" t="n"/>
      <c r="F1443" s="4" t="inlineStr">
        <is>
          <t>SPARE</t>
        </is>
      </c>
      <c r="G1443" s="131" t="n"/>
      <c r="H1443" s="129" t="n"/>
      <c r="I1443" s="129" t="inlineStr">
        <is>
          <t>RL7-PKOUT-RIO1</t>
        </is>
      </c>
      <c r="J1443" s="133" t="n">
        <v>17</v>
      </c>
      <c r="K1443" s="129" t="n">
        <v>3</v>
      </c>
      <c r="L1443" s="129" t="n">
        <v>9</v>
      </c>
      <c r="M1443" s="129" t="inlineStr">
        <is>
          <t>24 VDC DO</t>
        </is>
      </c>
      <c r="N1443" s="129" t="inlineStr">
        <is>
          <t>5069-OBV8S</t>
        </is>
      </c>
      <c r="O1443" s="127" t="n"/>
      <c r="P1443" s="127" t="n"/>
      <c r="Q1443" s="127" t="n"/>
      <c r="R1443" s="127" t="n"/>
      <c r="S1443" s="127" t="n"/>
      <c r="T1443" s="127" t="n"/>
      <c r="U1443" s="127" t="n"/>
      <c r="V1443" s="127" t="n"/>
      <c r="W1443" s="127" t="n"/>
      <c r="X1443" s="127" t="n"/>
      <c r="Y1443" s="127" t="n"/>
      <c r="Z1443" s="140" t="n"/>
    </row>
    <row r="1444" customFormat="1" s="149">
      <c r="A1444" s="203">
        <f>ROW()-1</f>
        <v/>
      </c>
      <c r="B1444" s="128" t="n"/>
      <c r="C1444" s="263" t="n"/>
      <c r="D1444" s="262" t="n"/>
      <c r="E1444" s="128" t="n"/>
      <c r="F1444" s="4" t="inlineStr">
        <is>
          <t>SPARE</t>
        </is>
      </c>
      <c r="G1444" s="131" t="n"/>
      <c r="H1444" s="128" t="n"/>
      <c r="I1444" s="129" t="inlineStr">
        <is>
          <t>RL7-PKOUT-RIO1</t>
        </is>
      </c>
      <c r="J1444" s="133" t="n">
        <v>17</v>
      </c>
      <c r="K1444" s="129" t="n">
        <v>3</v>
      </c>
      <c r="L1444" s="129" t="n">
        <v>10</v>
      </c>
      <c r="M1444" s="129" t="inlineStr">
        <is>
          <t>24 VDC DO</t>
        </is>
      </c>
      <c r="N1444" s="129" t="inlineStr">
        <is>
          <t>5069-OBV8S</t>
        </is>
      </c>
      <c r="O1444" s="139" t="n"/>
      <c r="P1444" s="127" t="n"/>
      <c r="Q1444" s="127" t="n"/>
      <c r="R1444" s="127" t="n"/>
      <c r="S1444" s="127" t="n"/>
      <c r="T1444" s="127" t="n"/>
      <c r="U1444" s="127" t="n"/>
      <c r="V1444" s="127" t="n"/>
      <c r="W1444" s="127" t="n"/>
      <c r="X1444" s="127" t="n"/>
      <c r="Y1444" s="127" t="n"/>
      <c r="Z1444" s="140" t="n"/>
    </row>
    <row r="1445">
      <c r="A1445" s="203">
        <f>ROW()-1</f>
        <v/>
      </c>
      <c r="B1445" s="128" t="n"/>
      <c r="C1445" s="263" t="n"/>
      <c r="D1445" s="262" t="n"/>
      <c r="E1445" s="128" t="n"/>
      <c r="F1445" s="4" t="inlineStr">
        <is>
          <t>SPARE</t>
        </is>
      </c>
      <c r="G1445" s="131" t="n"/>
      <c r="H1445" s="128" t="n"/>
      <c r="I1445" s="129" t="inlineStr">
        <is>
          <t>RL7-PKOUT-RIO1</t>
        </is>
      </c>
      <c r="J1445" s="133" t="n">
        <v>17</v>
      </c>
      <c r="K1445" s="129" t="n">
        <v>3</v>
      </c>
      <c r="L1445" s="129" t="n">
        <v>11</v>
      </c>
      <c r="M1445" s="129" t="inlineStr">
        <is>
          <t>24 VDC DO</t>
        </is>
      </c>
      <c r="N1445" s="129" t="inlineStr">
        <is>
          <t>5069-OBV8S</t>
        </is>
      </c>
      <c r="O1445" s="139" t="n"/>
      <c r="P1445" s="127" t="n"/>
      <c r="Q1445" s="127" t="n"/>
      <c r="R1445" s="127" t="n"/>
      <c r="S1445" s="127" t="n"/>
      <c r="T1445" s="127" t="n"/>
      <c r="U1445" s="127" t="n"/>
      <c r="V1445" s="127" t="n"/>
      <c r="W1445" s="127" t="n"/>
      <c r="X1445" s="127" t="n"/>
      <c r="Y1445" s="127" t="n"/>
      <c r="Z1445" s="140" t="n"/>
    </row>
    <row r="1446">
      <c r="A1446" s="203">
        <f>ROW()-1</f>
        <v/>
      </c>
      <c r="B1446" s="128" t="n"/>
      <c r="C1446" s="263" t="n"/>
      <c r="D1446" s="262" t="n"/>
      <c r="E1446" s="128" t="n"/>
      <c r="F1446" s="4" t="inlineStr">
        <is>
          <t>SPARE</t>
        </is>
      </c>
      <c r="G1446" s="131" t="n"/>
      <c r="H1446" s="128" t="n"/>
      <c r="I1446" s="129" t="inlineStr">
        <is>
          <t>RL7-PKOUT-RIO1</t>
        </is>
      </c>
      <c r="J1446" s="133" t="n">
        <v>17</v>
      </c>
      <c r="K1446" s="129" t="n">
        <v>3</v>
      </c>
      <c r="L1446" s="129" t="n">
        <v>12</v>
      </c>
      <c r="M1446" s="129" t="inlineStr">
        <is>
          <t>24 VDC DO</t>
        </is>
      </c>
      <c r="N1446" s="129" t="inlineStr">
        <is>
          <t>5069-OBV8S</t>
        </is>
      </c>
      <c r="O1446" s="139" t="n"/>
      <c r="P1446" s="127" t="n"/>
      <c r="Q1446" s="127" t="n"/>
      <c r="R1446" s="127" t="n"/>
      <c r="S1446" s="127" t="n"/>
      <c r="T1446" s="127" t="n"/>
      <c r="U1446" s="127" t="n"/>
      <c r="V1446" s="127" t="n"/>
      <c r="W1446" s="127" t="n"/>
      <c r="X1446" s="127" t="n"/>
      <c r="Y1446" s="127" t="n"/>
      <c r="Z1446" s="140" t="n"/>
    </row>
    <row r="1447">
      <c r="A1447" s="203">
        <f>ROW()-1</f>
        <v/>
      </c>
      <c r="B1447" s="128" t="n"/>
      <c r="C1447" s="263" t="n"/>
      <c r="D1447" s="262" t="n"/>
      <c r="E1447" s="128" t="n"/>
      <c r="F1447" s="4" t="inlineStr">
        <is>
          <t>SPARE</t>
        </is>
      </c>
      <c r="G1447" s="131" t="n"/>
      <c r="H1447" s="128" t="n"/>
      <c r="I1447" s="129" t="inlineStr">
        <is>
          <t>RL7-PKOUT-RIO1</t>
        </is>
      </c>
      <c r="J1447" s="133" t="n">
        <v>17</v>
      </c>
      <c r="K1447" s="129" t="n">
        <v>3</v>
      </c>
      <c r="L1447" s="129" t="n">
        <v>13</v>
      </c>
      <c r="M1447" s="129" t="inlineStr">
        <is>
          <t>24 VDC DO</t>
        </is>
      </c>
      <c r="N1447" s="129" t="inlineStr">
        <is>
          <t>5069-OBV8S</t>
        </is>
      </c>
      <c r="O1447" s="139" t="n"/>
      <c r="P1447" s="127" t="n"/>
      <c r="Q1447" s="127" t="n"/>
      <c r="R1447" s="127" t="n"/>
      <c r="S1447" s="127" t="n"/>
      <c r="T1447" s="127" t="n"/>
      <c r="U1447" s="127" t="n"/>
      <c r="V1447" s="127" t="n"/>
      <c r="W1447" s="127" t="n"/>
      <c r="X1447" s="127" t="n"/>
      <c r="Y1447" s="127" t="n"/>
      <c r="Z1447" s="140" t="n"/>
    </row>
    <row r="1448">
      <c r="A1448" s="203">
        <f>ROW()-1</f>
        <v/>
      </c>
      <c r="B1448" s="128" t="n"/>
      <c r="C1448" s="263" t="n"/>
      <c r="D1448" s="262" t="n"/>
      <c r="E1448" s="128" t="n"/>
      <c r="F1448" s="4" t="inlineStr">
        <is>
          <t>SPARE</t>
        </is>
      </c>
      <c r="G1448" s="131" t="n"/>
      <c r="H1448" s="128" t="n"/>
      <c r="I1448" s="129" t="inlineStr">
        <is>
          <t>RL7-PKOUT-RIO1</t>
        </is>
      </c>
      <c r="J1448" s="133" t="n">
        <v>17</v>
      </c>
      <c r="K1448" s="129" t="n">
        <v>3</v>
      </c>
      <c r="L1448" s="129" t="n">
        <v>14</v>
      </c>
      <c r="M1448" s="129" t="inlineStr">
        <is>
          <t>24 VDC DO</t>
        </is>
      </c>
      <c r="N1448" s="129" t="inlineStr">
        <is>
          <t>5069-OBV8S</t>
        </is>
      </c>
      <c r="O1448" s="139" t="n"/>
      <c r="P1448" s="127" t="n"/>
      <c r="Q1448" s="127" t="n"/>
      <c r="R1448" s="127" t="n"/>
      <c r="S1448" s="127" t="n"/>
      <c r="T1448" s="127" t="n"/>
      <c r="U1448" s="127" t="n"/>
      <c r="V1448" s="127" t="n"/>
      <c r="W1448" s="127" t="n"/>
      <c r="X1448" s="127" t="n"/>
      <c r="Y1448" s="127" t="n"/>
      <c r="Z1448" s="140" t="n"/>
    </row>
    <row r="1449">
      <c r="A1449" s="203">
        <f>ROW()-1</f>
        <v/>
      </c>
      <c r="B1449" s="128" t="n"/>
      <c r="C1449" s="263" t="n"/>
      <c r="D1449" s="262" t="n"/>
      <c r="E1449" s="128" t="n"/>
      <c r="F1449" s="4" t="inlineStr">
        <is>
          <t>SPARE</t>
        </is>
      </c>
      <c r="G1449" s="131" t="n"/>
      <c r="H1449" s="128" t="n"/>
      <c r="I1449" s="129" t="inlineStr">
        <is>
          <t>RL7-PKOUT-RIO1</t>
        </is>
      </c>
      <c r="J1449" s="133" t="n">
        <v>17</v>
      </c>
      <c r="K1449" s="129" t="n">
        <v>3</v>
      </c>
      <c r="L1449" s="129" t="n">
        <v>15</v>
      </c>
      <c r="M1449" s="129" t="inlineStr">
        <is>
          <t>24 VDC DO</t>
        </is>
      </c>
      <c r="N1449" s="129" t="inlineStr">
        <is>
          <t>5069-OBV8S</t>
        </is>
      </c>
      <c r="O1449" s="139" t="n"/>
      <c r="P1449" s="127" t="n"/>
      <c r="Q1449" s="127" t="n"/>
      <c r="R1449" s="127" t="n"/>
      <c r="S1449" s="127" t="n"/>
      <c r="T1449" s="127" t="n"/>
      <c r="U1449" s="127" t="n"/>
      <c r="V1449" s="127" t="n"/>
      <c r="W1449" s="127" t="n"/>
      <c r="X1449" s="127" t="n"/>
      <c r="Y1449" s="127" t="n"/>
      <c r="Z1449" s="140" t="n"/>
    </row>
    <row r="1450">
      <c r="A1450" s="203">
        <f>ROW()-1</f>
        <v/>
      </c>
      <c r="B1450" s="128" t="n"/>
      <c r="C1450" s="263" t="n"/>
      <c r="D1450" s="262" t="n"/>
      <c r="E1450" s="128" t="n"/>
      <c r="F1450" s="4" t="inlineStr">
        <is>
          <t>SPARE</t>
        </is>
      </c>
      <c r="G1450" s="131" t="n"/>
      <c r="H1450" s="128" t="n"/>
      <c r="I1450" s="129" t="inlineStr">
        <is>
          <t>RL7-PKOUT-RIO1</t>
        </is>
      </c>
      <c r="J1450" s="133" t="n">
        <v>17</v>
      </c>
      <c r="K1450" s="129" t="n">
        <v>4</v>
      </c>
      <c r="L1450" s="129" t="n">
        <v>0</v>
      </c>
      <c r="M1450" s="131" t="inlineStr">
        <is>
          <t>4-20 mA AI</t>
        </is>
      </c>
      <c r="N1450" s="129" t="inlineStr">
        <is>
          <t>5069-OB16</t>
        </is>
      </c>
      <c r="O1450" s="139" t="n"/>
      <c r="P1450" s="127" t="n"/>
      <c r="Q1450" s="127" t="n"/>
      <c r="R1450" s="127" t="n"/>
      <c r="S1450" s="127" t="n"/>
      <c r="T1450" s="127" t="n"/>
      <c r="U1450" s="127" t="n"/>
      <c r="V1450" s="127" t="n"/>
      <c r="W1450" s="127" t="n"/>
      <c r="X1450" s="127" t="n"/>
      <c r="Y1450" s="127" t="n"/>
      <c r="Z1450" s="140" t="n"/>
    </row>
    <row r="1451">
      <c r="A1451" s="203">
        <f>ROW()-1</f>
        <v/>
      </c>
      <c r="B1451" s="128" t="n"/>
      <c r="C1451" s="263" t="n"/>
      <c r="D1451" s="264" t="n"/>
      <c r="E1451" s="133" t="n"/>
      <c r="F1451" s="4" t="inlineStr">
        <is>
          <t>SPARE</t>
        </is>
      </c>
      <c r="G1451" s="142" t="n"/>
      <c r="H1451" s="133" t="n"/>
      <c r="I1451" s="129" t="inlineStr">
        <is>
          <t>RL7-PKOUT-RIO1</t>
        </is>
      </c>
      <c r="J1451" s="133" t="n">
        <v>17</v>
      </c>
      <c r="K1451" s="129" t="n">
        <v>4</v>
      </c>
      <c r="L1451" s="128" t="n">
        <v>1</v>
      </c>
      <c r="M1451" s="131" t="inlineStr">
        <is>
          <t>4-20 mA AI</t>
        </is>
      </c>
      <c r="N1451" s="128" t="inlineStr">
        <is>
          <t>5069-OB16</t>
        </is>
      </c>
      <c r="O1451" s="139" t="n"/>
      <c r="P1451" s="127" t="n"/>
      <c r="Q1451" s="127" t="n"/>
      <c r="R1451" s="127" t="n"/>
      <c r="S1451" s="127" t="n"/>
      <c r="T1451" s="127" t="n"/>
      <c r="U1451" s="127" t="n"/>
      <c r="V1451" s="127" t="n"/>
      <c r="W1451" s="127" t="n"/>
      <c r="X1451" s="127" t="n"/>
      <c r="Y1451" s="127" t="n"/>
      <c r="Z1451" s="140" t="n"/>
    </row>
    <row r="1452">
      <c r="A1452" s="203">
        <f>ROW()-1</f>
        <v/>
      </c>
      <c r="B1452" s="128" t="n"/>
      <c r="C1452" s="263" t="n"/>
      <c r="D1452" s="264" t="n"/>
      <c r="E1452" s="133" t="n"/>
      <c r="F1452" s="4" t="inlineStr">
        <is>
          <t>SPARE</t>
        </is>
      </c>
      <c r="G1452" s="142" t="n"/>
      <c r="H1452" s="133" t="n"/>
      <c r="I1452" s="129" t="inlineStr">
        <is>
          <t>RL7-PKOUT-RIO1</t>
        </is>
      </c>
      <c r="J1452" s="133" t="n">
        <v>17</v>
      </c>
      <c r="K1452" s="129" t="n">
        <v>4</v>
      </c>
      <c r="L1452" s="128" t="n">
        <v>2</v>
      </c>
      <c r="M1452" s="131" t="inlineStr">
        <is>
          <t>4-20 mA AI</t>
        </is>
      </c>
      <c r="N1452" s="128" t="inlineStr">
        <is>
          <t>5069-OB16</t>
        </is>
      </c>
      <c r="O1452" s="139" t="n"/>
      <c r="P1452" s="127" t="n"/>
      <c r="Q1452" s="127" t="n"/>
      <c r="R1452" s="127" t="n"/>
      <c r="S1452" s="127" t="n"/>
      <c r="T1452" s="127" t="n"/>
      <c r="U1452" s="127" t="n"/>
      <c r="V1452" s="127" t="n"/>
      <c r="W1452" s="127" t="n"/>
      <c r="X1452" s="127" t="n"/>
      <c r="Y1452" s="127" t="n"/>
      <c r="Z1452" s="140" t="n"/>
    </row>
    <row r="1453">
      <c r="A1453" s="203">
        <f>ROW()-1</f>
        <v/>
      </c>
      <c r="B1453" s="128" t="n"/>
      <c r="C1453" s="263" t="n"/>
      <c r="D1453" s="264" t="n"/>
      <c r="E1453" s="133" t="n"/>
      <c r="F1453" s="4" t="inlineStr">
        <is>
          <t>SPARE</t>
        </is>
      </c>
      <c r="G1453" s="142" t="n"/>
      <c r="H1453" s="133" t="n"/>
      <c r="I1453" s="129" t="inlineStr">
        <is>
          <t>RL7-PKOUT-RIO1</t>
        </is>
      </c>
      <c r="J1453" s="133" t="n">
        <v>17</v>
      </c>
      <c r="K1453" s="129" t="n">
        <v>4</v>
      </c>
      <c r="L1453" s="128" t="n">
        <v>3</v>
      </c>
      <c r="M1453" s="131" t="inlineStr">
        <is>
          <t>4-20 mA AI</t>
        </is>
      </c>
      <c r="N1453" s="128" t="inlineStr">
        <is>
          <t>5069-OB16</t>
        </is>
      </c>
      <c r="O1453" s="139" t="n"/>
      <c r="P1453" s="127" t="n"/>
      <c r="Q1453" s="127" t="n"/>
      <c r="R1453" s="127" t="n"/>
      <c r="S1453" s="127" t="n"/>
      <c r="T1453" s="127" t="n"/>
      <c r="U1453" s="127" t="n"/>
      <c r="V1453" s="127" t="n"/>
      <c r="W1453" s="127" t="n"/>
      <c r="X1453" s="127" t="n"/>
      <c r="Y1453" s="127" t="n"/>
      <c r="Z1453" s="140" t="n"/>
    </row>
    <row r="1454">
      <c r="A1454" s="203">
        <f>ROW()-1</f>
        <v/>
      </c>
      <c r="B1454" s="128" t="n"/>
      <c r="C1454" s="263" t="n"/>
      <c r="D1454" s="264" t="n"/>
      <c r="E1454" s="133" t="n"/>
      <c r="F1454" s="4" t="inlineStr">
        <is>
          <t>SPARE</t>
        </is>
      </c>
      <c r="G1454" s="142" t="n"/>
      <c r="H1454" s="133" t="n"/>
      <c r="I1454" s="129" t="inlineStr">
        <is>
          <t>RL7-PKOUT-RIO1</t>
        </is>
      </c>
      <c r="J1454" s="133" t="n">
        <v>17</v>
      </c>
      <c r="K1454" s="129" t="n">
        <v>4</v>
      </c>
      <c r="L1454" s="128" t="n">
        <v>4</v>
      </c>
      <c r="M1454" s="131" t="inlineStr">
        <is>
          <t>4-20 mA AI</t>
        </is>
      </c>
      <c r="N1454" s="128" t="inlineStr">
        <is>
          <t>5069-OB16</t>
        </is>
      </c>
      <c r="O1454" s="139" t="n"/>
      <c r="P1454" s="127" t="n"/>
      <c r="Q1454" s="127" t="n"/>
      <c r="R1454" s="127" t="n"/>
      <c r="S1454" s="127" t="n"/>
      <c r="T1454" s="127" t="n"/>
      <c r="U1454" s="127" t="n"/>
      <c r="V1454" s="127" t="n"/>
      <c r="W1454" s="127" t="n"/>
      <c r="X1454" s="127" t="n"/>
      <c r="Y1454" s="127" t="n"/>
      <c r="Z1454" s="140" t="n"/>
    </row>
    <row r="1455">
      <c r="A1455" s="203">
        <f>ROW()-1</f>
        <v/>
      </c>
      <c r="B1455" s="128" t="n"/>
      <c r="C1455" s="263" t="n"/>
      <c r="D1455" s="262" t="n"/>
      <c r="E1455" s="128" t="n"/>
      <c r="F1455" s="4" t="inlineStr">
        <is>
          <t>SPARE</t>
        </is>
      </c>
      <c r="G1455" s="131" t="n"/>
      <c r="H1455" s="128" t="n"/>
      <c r="I1455" s="129" t="inlineStr">
        <is>
          <t>RL7-PKOUT-RIO1</t>
        </is>
      </c>
      <c r="J1455" s="133" t="n">
        <v>17</v>
      </c>
      <c r="K1455" s="129" t="n">
        <v>4</v>
      </c>
      <c r="L1455" s="129" t="n">
        <v>5</v>
      </c>
      <c r="M1455" s="131" t="inlineStr">
        <is>
          <t>4-20 mA AI</t>
        </is>
      </c>
      <c r="N1455" s="129" t="inlineStr">
        <is>
          <t>5069-OB16</t>
        </is>
      </c>
      <c r="O1455" s="139" t="n"/>
      <c r="P1455" s="127" t="n"/>
      <c r="Q1455" s="127" t="n"/>
      <c r="R1455" s="127" t="n"/>
      <c r="S1455" s="127" t="n"/>
      <c r="T1455" s="127" t="n"/>
      <c r="U1455" s="127" t="n"/>
      <c r="V1455" s="127" t="n"/>
      <c r="W1455" s="127" t="n"/>
      <c r="X1455" s="127" t="n"/>
      <c r="Y1455" s="127" t="n"/>
      <c r="Z1455" s="140" t="n"/>
    </row>
    <row r="1456">
      <c r="A1456" s="203">
        <f>ROW()-1</f>
        <v/>
      </c>
      <c r="B1456" s="128" t="n"/>
      <c r="C1456" s="263" t="n"/>
      <c r="D1456" s="262" t="n"/>
      <c r="E1456" s="128" t="n"/>
      <c r="F1456" s="4" t="inlineStr">
        <is>
          <t>SPARE</t>
        </is>
      </c>
      <c r="G1456" s="131" t="n"/>
      <c r="H1456" s="128" t="n"/>
      <c r="I1456" s="129" t="inlineStr">
        <is>
          <t>RL7-PKOUT-RIO1</t>
        </is>
      </c>
      <c r="J1456" s="133" t="n">
        <v>17</v>
      </c>
      <c r="K1456" s="129" t="n">
        <v>4</v>
      </c>
      <c r="L1456" s="129" t="n">
        <v>6</v>
      </c>
      <c r="M1456" s="131" t="inlineStr">
        <is>
          <t>4-20 mA AI</t>
        </is>
      </c>
      <c r="N1456" s="129" t="inlineStr">
        <is>
          <t>5069-OB16</t>
        </is>
      </c>
      <c r="O1456" s="139" t="n"/>
      <c r="P1456" s="127" t="n"/>
      <c r="Q1456" s="127" t="n"/>
      <c r="R1456" s="127" t="n"/>
      <c r="S1456" s="127" t="n"/>
      <c r="T1456" s="127" t="n"/>
      <c r="U1456" s="127" t="n"/>
      <c r="V1456" s="127" t="n"/>
      <c r="W1456" s="127" t="n"/>
      <c r="X1456" s="127" t="n"/>
      <c r="Y1456" s="127" t="n"/>
      <c r="Z1456" s="140" t="n"/>
    </row>
    <row r="1457">
      <c r="A1457" s="203">
        <f>ROW()-1</f>
        <v/>
      </c>
      <c r="B1457" s="128" t="n"/>
      <c r="C1457" s="263" t="n"/>
      <c r="D1457" s="262" t="n"/>
      <c r="E1457" s="128" t="n"/>
      <c r="F1457" s="4" t="inlineStr">
        <is>
          <t>SPARE</t>
        </is>
      </c>
      <c r="G1457" s="131" t="n"/>
      <c r="H1457" s="128" t="n"/>
      <c r="I1457" s="129" t="inlineStr">
        <is>
          <t>RL7-PKOUT-RIO1</t>
        </is>
      </c>
      <c r="J1457" s="133" t="n">
        <v>17</v>
      </c>
      <c r="K1457" s="129" t="n">
        <v>4</v>
      </c>
      <c r="L1457" s="129" t="n">
        <v>7</v>
      </c>
      <c r="M1457" s="131" t="inlineStr">
        <is>
          <t>4-20 mA AI</t>
        </is>
      </c>
      <c r="N1457" s="129" t="inlineStr">
        <is>
          <t>5069-OB16</t>
        </is>
      </c>
      <c r="O1457" s="139" t="n"/>
      <c r="P1457" s="127" t="n"/>
      <c r="Q1457" s="127" t="n"/>
      <c r="R1457" s="127" t="n"/>
      <c r="S1457" s="127" t="n"/>
      <c r="T1457" s="127" t="n"/>
      <c r="U1457" s="127" t="n"/>
      <c r="V1457" s="127" t="n"/>
      <c r="W1457" s="127" t="n"/>
      <c r="X1457" s="127" t="n"/>
      <c r="Y1457" s="127" t="n"/>
      <c r="Z1457" s="140" t="n"/>
    </row>
    <row r="1458">
      <c r="A1458" s="203">
        <f>ROW()-1</f>
        <v/>
      </c>
      <c r="B1458" s="128" t="n"/>
      <c r="C1458" s="263" t="n"/>
      <c r="D1458" s="262" t="n"/>
      <c r="E1458" s="128" t="n"/>
      <c r="F1458" s="138" t="inlineStr">
        <is>
          <t>ADDRESS RESERVE MODULE</t>
        </is>
      </c>
      <c r="G1458" s="131" t="n"/>
      <c r="H1458" s="128" t="n"/>
      <c r="I1458" s="129" t="inlineStr">
        <is>
          <t>RL7-PKOUT-RIO1</t>
        </is>
      </c>
      <c r="J1458" s="133" t="n">
        <v>17</v>
      </c>
      <c r="K1458" s="129" t="n">
        <v>5</v>
      </c>
      <c r="L1458" s="129" t="n">
        <v>0</v>
      </c>
      <c r="M1458" s="131" t="inlineStr">
        <is>
          <t>ARM</t>
        </is>
      </c>
      <c r="N1458" s="129" t="inlineStr">
        <is>
          <t>5069-ARM</t>
        </is>
      </c>
      <c r="O1458" s="139" t="n"/>
      <c r="P1458" s="140" t="n"/>
      <c r="Q1458" s="158" t="n"/>
      <c r="R1458" s="158" t="n"/>
      <c r="S1458" s="158" t="n"/>
      <c r="T1458" s="158" t="n"/>
      <c r="U1458" s="158" t="n"/>
      <c r="V1458" s="158" t="n"/>
      <c r="W1458" s="158" t="n"/>
      <c r="X1458" s="158" t="n"/>
      <c r="Y1458" s="158" t="n"/>
      <c r="Z1458" s="158" t="n"/>
    </row>
    <row r="1459" customFormat="1" s="149">
      <c r="A1459" s="203">
        <f>ROW()-1</f>
        <v/>
      </c>
      <c r="B1459" s="128" t="n"/>
      <c r="C1459" s="263" t="n"/>
      <c r="D1459" s="262" t="n"/>
      <c r="E1459" s="128" t="n"/>
      <c r="F1459" s="138" t="inlineStr">
        <is>
          <t>SPARE</t>
        </is>
      </c>
      <c r="G1459" s="131" t="n"/>
      <c r="H1459" s="128" t="n"/>
      <c r="I1459" s="129" t="inlineStr">
        <is>
          <t>RL7-PKOUT-RIO1</t>
        </is>
      </c>
      <c r="J1459" s="133" t="n">
        <v>17</v>
      </c>
      <c r="K1459" s="129" t="n">
        <v>6</v>
      </c>
      <c r="L1459" s="129" t="n">
        <v>0</v>
      </c>
      <c r="M1459" s="131" t="inlineStr">
        <is>
          <t>4-20 mA AO</t>
        </is>
      </c>
      <c r="N1459" s="129" t="inlineStr">
        <is>
          <t>5069-OB16</t>
        </is>
      </c>
      <c r="O1459" s="139" t="n"/>
      <c r="P1459" s="127" t="n"/>
      <c r="Q1459" s="127" t="n"/>
      <c r="R1459" s="127" t="n"/>
      <c r="S1459" s="127" t="n"/>
      <c r="T1459" s="127" t="n"/>
      <c r="U1459" s="127" t="n"/>
      <c r="V1459" s="127" t="n"/>
      <c r="W1459" s="127" t="n"/>
      <c r="X1459" s="127" t="n"/>
      <c r="Y1459" s="127" t="n"/>
      <c r="Z1459" s="140" t="n"/>
    </row>
    <row r="1460" customFormat="1" s="149">
      <c r="A1460" s="203">
        <f>ROW()-1</f>
        <v/>
      </c>
      <c r="B1460" s="128" t="n"/>
      <c r="C1460" s="263" t="n"/>
      <c r="D1460" s="264" t="n"/>
      <c r="E1460" s="133" t="n"/>
      <c r="F1460" s="138" t="inlineStr">
        <is>
          <t>SPARE</t>
        </is>
      </c>
      <c r="G1460" s="142" t="n"/>
      <c r="H1460" s="133" t="n"/>
      <c r="I1460" s="129" t="inlineStr">
        <is>
          <t>RL7-PKOUT-RIO1</t>
        </is>
      </c>
      <c r="J1460" s="133" t="n">
        <v>17</v>
      </c>
      <c r="K1460" s="129" t="n">
        <v>6</v>
      </c>
      <c r="L1460" s="128" t="n">
        <v>1</v>
      </c>
      <c r="M1460" s="131" t="inlineStr">
        <is>
          <t>4-20 mA AO</t>
        </is>
      </c>
      <c r="N1460" s="128" t="inlineStr">
        <is>
          <t>5069-OB16</t>
        </is>
      </c>
      <c r="O1460" s="139" t="n"/>
      <c r="P1460" s="127" t="n"/>
      <c r="Q1460" s="127" t="n"/>
      <c r="R1460" s="127" t="n"/>
      <c r="S1460" s="127" t="n"/>
      <c r="T1460" s="127" t="n"/>
      <c r="U1460" s="127" t="n"/>
      <c r="V1460" s="127" t="n"/>
      <c r="W1460" s="127" t="n"/>
      <c r="X1460" s="127" t="n"/>
      <c r="Y1460" s="127" t="n"/>
      <c r="Z1460" s="140" t="n"/>
    </row>
    <row r="1461">
      <c r="A1461" s="203">
        <f>ROW()-1</f>
        <v/>
      </c>
      <c r="B1461" s="128" t="n"/>
      <c r="C1461" s="263" t="n"/>
      <c r="D1461" s="264" t="n"/>
      <c r="E1461" s="133" t="n"/>
      <c r="F1461" s="138" t="inlineStr">
        <is>
          <t>SPARE</t>
        </is>
      </c>
      <c r="G1461" s="142" t="n"/>
      <c r="H1461" s="133" t="n"/>
      <c r="I1461" s="129" t="inlineStr">
        <is>
          <t>RL7-PKOUT-RIO1</t>
        </is>
      </c>
      <c r="J1461" s="133" t="n">
        <v>17</v>
      </c>
      <c r="K1461" s="129" t="n">
        <v>6</v>
      </c>
      <c r="L1461" s="128" t="n">
        <v>2</v>
      </c>
      <c r="M1461" s="131" t="inlineStr">
        <is>
          <t>4-20 mA AO</t>
        </is>
      </c>
      <c r="N1461" s="128" t="inlineStr">
        <is>
          <t>5069-OB16</t>
        </is>
      </c>
      <c r="O1461" s="139" t="n"/>
      <c r="P1461" s="127" t="n"/>
      <c r="Q1461" s="127" t="n"/>
      <c r="R1461" s="127" t="n"/>
      <c r="S1461" s="127" t="n"/>
      <c r="T1461" s="127" t="n"/>
      <c r="U1461" s="127" t="n"/>
      <c r="V1461" s="127" t="n"/>
      <c r="W1461" s="127" t="n"/>
      <c r="X1461" s="127" t="n"/>
      <c r="Y1461" s="127" t="n"/>
      <c r="Z1461" s="140" t="n"/>
    </row>
    <row r="1462">
      <c r="A1462" s="203">
        <f>ROW()-1</f>
        <v/>
      </c>
      <c r="B1462" s="128" t="n"/>
      <c r="C1462" s="263" t="n"/>
      <c r="D1462" s="264" t="n"/>
      <c r="E1462" s="133" t="n"/>
      <c r="F1462" s="138" t="inlineStr">
        <is>
          <t>SPARE</t>
        </is>
      </c>
      <c r="G1462" s="142" t="n"/>
      <c r="H1462" s="133" t="n"/>
      <c r="I1462" s="129" t="inlineStr">
        <is>
          <t>RL7-PKOUT-RIO1</t>
        </is>
      </c>
      <c r="J1462" s="133" t="n">
        <v>17</v>
      </c>
      <c r="K1462" s="129" t="n">
        <v>6</v>
      </c>
      <c r="L1462" s="128" t="n">
        <v>3</v>
      </c>
      <c r="M1462" s="131" t="inlineStr">
        <is>
          <t>4-20 mA AO</t>
        </is>
      </c>
      <c r="N1462" s="128" t="inlineStr">
        <is>
          <t>5069-OB16</t>
        </is>
      </c>
      <c r="O1462" s="139" t="n"/>
      <c r="P1462" s="127" t="n"/>
      <c r="Q1462" s="127" t="n"/>
      <c r="R1462" s="127" t="n"/>
      <c r="S1462" s="127" t="n"/>
      <c r="T1462" s="127" t="n"/>
      <c r="U1462" s="127" t="n"/>
      <c r="V1462" s="127" t="n"/>
      <c r="W1462" s="127" t="n"/>
      <c r="X1462" s="127" t="n"/>
      <c r="Y1462" s="127" t="n"/>
      <c r="Z1462" s="140" t="n"/>
    </row>
    <row r="1463">
      <c r="A1463" s="203">
        <f>ROW()-1</f>
        <v/>
      </c>
      <c r="B1463" s="128" t="n"/>
      <c r="C1463" s="263" t="n"/>
      <c r="D1463" s="264" t="n"/>
      <c r="E1463" s="133" t="n"/>
      <c r="F1463" s="138" t="inlineStr">
        <is>
          <t>SPARE</t>
        </is>
      </c>
      <c r="G1463" s="142" t="n"/>
      <c r="H1463" s="133" t="n"/>
      <c r="I1463" s="129" t="inlineStr">
        <is>
          <t>RL7-PKOUT-RIO1</t>
        </is>
      </c>
      <c r="J1463" s="133" t="n">
        <v>17</v>
      </c>
      <c r="K1463" s="129" t="n">
        <v>6</v>
      </c>
      <c r="L1463" s="128" t="n">
        <v>4</v>
      </c>
      <c r="M1463" s="131" t="inlineStr">
        <is>
          <t>4-20 mA AO</t>
        </is>
      </c>
      <c r="N1463" s="128" t="inlineStr">
        <is>
          <t>5069-OB16</t>
        </is>
      </c>
      <c r="O1463" s="139" t="n"/>
      <c r="P1463" s="127" t="n"/>
      <c r="Q1463" s="127" t="n"/>
      <c r="R1463" s="127" t="n"/>
      <c r="S1463" s="127" t="n"/>
      <c r="T1463" s="127" t="n"/>
      <c r="U1463" s="127" t="n"/>
      <c r="V1463" s="127" t="n"/>
      <c r="W1463" s="127" t="n"/>
      <c r="X1463" s="127" t="n"/>
      <c r="Y1463" s="127" t="n"/>
      <c r="Z1463" s="140" t="n"/>
    </row>
    <row r="1464" customFormat="1" s="136">
      <c r="A1464" s="203">
        <f>ROW()-1</f>
        <v/>
      </c>
      <c r="B1464" s="128" t="n"/>
      <c r="C1464" s="263" t="n"/>
      <c r="D1464" s="262" t="n"/>
      <c r="E1464" s="128" t="n"/>
      <c r="F1464" s="138" t="inlineStr">
        <is>
          <t>SPARE</t>
        </is>
      </c>
      <c r="G1464" s="131" t="n"/>
      <c r="H1464" s="128" t="n"/>
      <c r="I1464" s="129" t="inlineStr">
        <is>
          <t>RL7-PKOUT-RIO1</t>
        </is>
      </c>
      <c r="J1464" s="133" t="n">
        <v>17</v>
      </c>
      <c r="K1464" s="129" t="n">
        <v>6</v>
      </c>
      <c r="L1464" s="129" t="n">
        <v>5</v>
      </c>
      <c r="M1464" s="131" t="inlineStr">
        <is>
          <t>4-20 mA AO</t>
        </is>
      </c>
      <c r="N1464" s="129" t="inlineStr">
        <is>
          <t>5069-OB16</t>
        </is>
      </c>
      <c r="O1464" s="139" t="n"/>
      <c r="P1464" s="127" t="n"/>
      <c r="Q1464" s="127" t="n"/>
      <c r="R1464" s="127" t="n"/>
      <c r="S1464" s="127" t="n"/>
      <c r="T1464" s="127" t="n"/>
      <c r="U1464" s="127" t="n"/>
      <c r="V1464" s="127" t="n"/>
      <c r="W1464" s="127" t="n"/>
      <c r="X1464" s="127" t="n"/>
      <c r="Y1464" s="127" t="n"/>
      <c r="Z1464" s="140" t="n"/>
    </row>
    <row r="1465">
      <c r="A1465" s="203">
        <f>ROW()-1</f>
        <v/>
      </c>
      <c r="B1465" s="128" t="n"/>
      <c r="C1465" s="263" t="n"/>
      <c r="D1465" s="262" t="n"/>
      <c r="E1465" s="128" t="n"/>
      <c r="F1465" s="138" t="inlineStr">
        <is>
          <t>SPARE</t>
        </is>
      </c>
      <c r="G1465" s="131" t="n"/>
      <c r="H1465" s="128" t="n"/>
      <c r="I1465" s="129" t="inlineStr">
        <is>
          <t>RL7-PKOUT-RIO1</t>
        </is>
      </c>
      <c r="J1465" s="133" t="n">
        <v>17</v>
      </c>
      <c r="K1465" s="129" t="n">
        <v>6</v>
      </c>
      <c r="L1465" s="129" t="n">
        <v>6</v>
      </c>
      <c r="M1465" s="131" t="inlineStr">
        <is>
          <t>4-20 mA AO</t>
        </is>
      </c>
      <c r="N1465" s="129" t="inlineStr">
        <is>
          <t>5069-OB16</t>
        </is>
      </c>
      <c r="O1465" s="139" t="n"/>
      <c r="P1465" s="127" t="n"/>
      <c r="Q1465" s="127" t="n"/>
      <c r="R1465" s="127" t="n"/>
      <c r="S1465" s="127" t="n"/>
      <c r="T1465" s="127" t="n"/>
      <c r="U1465" s="127" t="n"/>
      <c r="V1465" s="127" t="n"/>
      <c r="W1465" s="127" t="n"/>
      <c r="X1465" s="127" t="n"/>
      <c r="Y1465" s="127" t="n"/>
      <c r="Z1465" s="140" t="n"/>
    </row>
    <row r="1466">
      <c r="A1466" s="203">
        <f>ROW()-1</f>
        <v/>
      </c>
      <c r="B1466" s="128" t="n"/>
      <c r="C1466" s="263" t="n"/>
      <c r="D1466" s="262" t="n"/>
      <c r="E1466" s="128" t="n"/>
      <c r="F1466" s="138" t="inlineStr">
        <is>
          <t>SPARE</t>
        </is>
      </c>
      <c r="G1466" s="131" t="n"/>
      <c r="H1466" s="128" t="n"/>
      <c r="I1466" s="129" t="inlineStr">
        <is>
          <t>RL7-PKOUT-RIO1</t>
        </is>
      </c>
      <c r="J1466" s="133" t="n">
        <v>17</v>
      </c>
      <c r="K1466" s="129" t="n">
        <v>6</v>
      </c>
      <c r="L1466" s="129" t="n">
        <v>7</v>
      </c>
      <c r="M1466" s="131" t="inlineStr">
        <is>
          <t>4-20 mA AO</t>
        </is>
      </c>
      <c r="N1466" s="129" t="inlineStr">
        <is>
          <t>5069-OB16</t>
        </is>
      </c>
      <c r="O1466" s="139" t="n"/>
      <c r="P1466" s="127" t="n"/>
      <c r="Q1466" s="127" t="n"/>
      <c r="R1466" s="127" t="n"/>
      <c r="S1466" s="127" t="n"/>
      <c r="T1466" s="127" t="n"/>
      <c r="U1466" s="127" t="n"/>
      <c r="V1466" s="127" t="n"/>
      <c r="W1466" s="127" t="n"/>
      <c r="X1466" s="127" t="n"/>
      <c r="Y1466" s="127" t="n"/>
      <c r="Z1466" s="140" t="n"/>
    </row>
    <row r="1467">
      <c r="A1467" s="203">
        <f>ROW()-1</f>
        <v/>
      </c>
      <c r="B1467" s="133" t="n"/>
      <c r="C1467" s="263" t="n"/>
      <c r="D1467" s="264" t="n"/>
      <c r="E1467" s="133" t="n"/>
      <c r="F1467" s="141" t="inlineStr">
        <is>
          <t>SPARE</t>
        </is>
      </c>
      <c r="G1467" s="131" t="n"/>
      <c r="H1467" s="133" t="n"/>
      <c r="I1467" s="131" t="inlineStr">
        <is>
          <t>RL7-INTSL-RIO1</t>
        </is>
      </c>
      <c r="J1467" s="133" t="n">
        <v>18</v>
      </c>
      <c r="K1467" s="129" t="n">
        <v>1</v>
      </c>
      <c r="L1467" s="129" t="n">
        <v>10</v>
      </c>
      <c r="M1467" s="129" t="inlineStr">
        <is>
          <t>24 VDC DI</t>
        </is>
      </c>
      <c r="N1467" s="129" t="inlineStr">
        <is>
          <t>5069-IB16</t>
        </is>
      </c>
      <c r="O1467" s="146" t="n"/>
      <c r="P1467" s="146" t="n"/>
      <c r="Q1467" s="146" t="n"/>
      <c r="R1467" s="146" t="n"/>
      <c r="S1467" s="146" t="n"/>
      <c r="T1467" s="146" t="n"/>
      <c r="U1467" s="146" t="n"/>
      <c r="V1467" s="146" t="n"/>
      <c r="W1467" s="146" t="n"/>
      <c r="X1467" s="146" t="n"/>
      <c r="Y1467" s="146" t="n"/>
      <c r="Z1467" s="143" t="n"/>
    </row>
    <row r="1468">
      <c r="A1468" s="203">
        <f>ROW()-1</f>
        <v/>
      </c>
      <c r="B1468" s="133" t="n"/>
      <c r="C1468" s="263" t="n"/>
      <c r="D1468" s="264" t="n"/>
      <c r="E1468" s="133" t="n"/>
      <c r="F1468" s="141" t="inlineStr">
        <is>
          <t>SPARE</t>
        </is>
      </c>
      <c r="G1468" s="131" t="n"/>
      <c r="H1468" s="133" t="n"/>
      <c r="I1468" s="131" t="inlineStr">
        <is>
          <t>RL7-INTSL-RIO1</t>
        </is>
      </c>
      <c r="J1468" s="133" t="n">
        <v>18</v>
      </c>
      <c r="K1468" s="129" t="n">
        <v>1</v>
      </c>
      <c r="L1468" s="129" t="n">
        <v>11</v>
      </c>
      <c r="M1468" s="129" t="inlineStr">
        <is>
          <t>24 VDC DI</t>
        </is>
      </c>
      <c r="N1468" s="129" t="inlineStr">
        <is>
          <t>5069-IB16</t>
        </is>
      </c>
      <c r="O1468" s="146" t="n"/>
      <c r="P1468" s="146" t="n"/>
      <c r="Q1468" s="146" t="n"/>
      <c r="R1468" s="146" t="n"/>
      <c r="S1468" s="146" t="n"/>
      <c r="T1468" s="146" t="n"/>
      <c r="U1468" s="146" t="n"/>
      <c r="V1468" s="146" t="n"/>
      <c r="W1468" s="146" t="n"/>
      <c r="X1468" s="146" t="n"/>
      <c r="Y1468" s="146" t="n"/>
      <c r="Z1468" s="143" t="n"/>
    </row>
    <row r="1469" customFormat="1" s="149">
      <c r="A1469" s="203">
        <f>ROW()-1</f>
        <v/>
      </c>
      <c r="B1469" s="133" t="n"/>
      <c r="C1469" s="263" t="n"/>
      <c r="D1469" s="264" t="n"/>
      <c r="E1469" s="133" t="n"/>
      <c r="F1469" s="141" t="inlineStr">
        <is>
          <t>SPARE</t>
        </is>
      </c>
      <c r="G1469" s="131" t="n"/>
      <c r="H1469" s="133" t="n"/>
      <c r="I1469" s="131" t="inlineStr">
        <is>
          <t>RL7-INTSL-RIO1</t>
        </is>
      </c>
      <c r="J1469" s="133" t="n">
        <v>18</v>
      </c>
      <c r="K1469" s="129" t="n">
        <v>1</v>
      </c>
      <c r="L1469" s="129" t="n">
        <v>12</v>
      </c>
      <c r="M1469" s="129" t="inlineStr">
        <is>
          <t>24 VDC DI</t>
        </is>
      </c>
      <c r="N1469" s="129" t="inlineStr">
        <is>
          <t>5069-IB16</t>
        </is>
      </c>
      <c r="O1469" s="146" t="n"/>
      <c r="P1469" s="146" t="n"/>
      <c r="Q1469" s="146" t="n"/>
      <c r="R1469" s="146" t="n"/>
      <c r="S1469" s="146" t="n"/>
      <c r="T1469" s="146" t="n"/>
      <c r="U1469" s="146" t="n"/>
      <c r="V1469" s="146" t="n"/>
      <c r="W1469" s="146" t="n"/>
      <c r="X1469" s="146" t="n"/>
      <c r="Y1469" s="146" t="n"/>
      <c r="Z1469" s="143" t="n"/>
    </row>
    <row r="1470" customFormat="1" s="149">
      <c r="A1470" s="203">
        <f>ROW()-1</f>
        <v/>
      </c>
      <c r="B1470" s="133" t="n"/>
      <c r="C1470" s="263" t="n"/>
      <c r="D1470" s="264" t="n"/>
      <c r="E1470" s="133" t="n"/>
      <c r="F1470" s="141" t="inlineStr">
        <is>
          <t>SPARE</t>
        </is>
      </c>
      <c r="G1470" s="131" t="n"/>
      <c r="H1470" s="133" t="n"/>
      <c r="I1470" s="131" t="inlineStr">
        <is>
          <t>RL7-INTSL-RIO1</t>
        </is>
      </c>
      <c r="J1470" s="133" t="n">
        <v>18</v>
      </c>
      <c r="K1470" s="129" t="n">
        <v>1</v>
      </c>
      <c r="L1470" s="129" t="n">
        <v>13</v>
      </c>
      <c r="M1470" s="129" t="inlineStr">
        <is>
          <t>24 VDC DI</t>
        </is>
      </c>
      <c r="N1470" s="129" t="inlineStr">
        <is>
          <t>5069-IB16</t>
        </is>
      </c>
      <c r="O1470" s="146" t="n"/>
      <c r="P1470" s="146" t="n"/>
      <c r="Q1470" s="146" t="n"/>
      <c r="R1470" s="146" t="n"/>
      <c r="S1470" s="146" t="n"/>
      <c r="T1470" s="146" t="n"/>
      <c r="U1470" s="146" t="n"/>
      <c r="V1470" s="146" t="n"/>
      <c r="W1470" s="146" t="n"/>
      <c r="X1470" s="146" t="n"/>
      <c r="Y1470" s="146" t="n"/>
      <c r="Z1470" s="143" t="n"/>
    </row>
    <row r="1471" customFormat="1" s="149">
      <c r="A1471" s="203">
        <f>ROW()-1</f>
        <v/>
      </c>
      <c r="B1471" s="133" t="n"/>
      <c r="C1471" s="263" t="n"/>
      <c r="D1471" s="264" t="n"/>
      <c r="E1471" s="133" t="n"/>
      <c r="F1471" s="141" t="inlineStr">
        <is>
          <t>SPARE</t>
        </is>
      </c>
      <c r="G1471" s="131" t="n"/>
      <c r="H1471" s="133" t="n"/>
      <c r="I1471" s="131" t="inlineStr">
        <is>
          <t>RL7-INTSL-RIO1</t>
        </is>
      </c>
      <c r="J1471" s="133" t="n">
        <v>18</v>
      </c>
      <c r="K1471" s="129" t="n">
        <v>1</v>
      </c>
      <c r="L1471" s="129" t="n">
        <v>14</v>
      </c>
      <c r="M1471" s="129" t="inlineStr">
        <is>
          <t>24 VDC DI</t>
        </is>
      </c>
      <c r="N1471" s="129" t="inlineStr">
        <is>
          <t>5069-IB16</t>
        </is>
      </c>
      <c r="O1471" s="146" t="n"/>
      <c r="P1471" s="146" t="n"/>
      <c r="Q1471" s="146" t="n"/>
      <c r="R1471" s="146" t="n"/>
      <c r="S1471" s="146" t="n"/>
      <c r="T1471" s="146" t="n"/>
      <c r="U1471" s="146" t="n"/>
      <c r="V1471" s="146" t="n"/>
      <c r="W1471" s="146" t="n"/>
      <c r="X1471" s="146" t="n"/>
      <c r="Y1471" s="146" t="n"/>
      <c r="Z1471" s="143" t="n"/>
    </row>
    <row r="1472" customFormat="1" s="149">
      <c r="A1472" s="203">
        <f>ROW()-1</f>
        <v/>
      </c>
      <c r="B1472" s="133" t="n"/>
      <c r="C1472" s="263" t="n"/>
      <c r="D1472" s="264" t="n"/>
      <c r="E1472" s="133" t="n"/>
      <c r="F1472" s="141" t="inlineStr">
        <is>
          <t>SPARE</t>
        </is>
      </c>
      <c r="G1472" s="131" t="n"/>
      <c r="H1472" s="133" t="n"/>
      <c r="I1472" s="131" t="inlineStr">
        <is>
          <t>RL7-INTSL-RIO1</t>
        </is>
      </c>
      <c r="J1472" s="133" t="n">
        <v>18</v>
      </c>
      <c r="K1472" s="129" t="n">
        <v>1</v>
      </c>
      <c r="L1472" s="129" t="n">
        <v>15</v>
      </c>
      <c r="M1472" s="129" t="inlineStr">
        <is>
          <t>24 VDC DI</t>
        </is>
      </c>
      <c r="N1472" s="129" t="inlineStr">
        <is>
          <t>5069-IB16</t>
        </is>
      </c>
      <c r="O1472" s="146" t="n"/>
      <c r="P1472" s="146" t="n"/>
      <c r="Q1472" s="146" t="n"/>
      <c r="R1472" s="146" t="n"/>
      <c r="S1472" s="146" t="n"/>
      <c r="T1472" s="146" t="n"/>
      <c r="U1472" s="146" t="n"/>
      <c r="V1472" s="146" t="n"/>
      <c r="W1472" s="146" t="n"/>
      <c r="X1472" s="146" t="n"/>
      <c r="Y1472" s="146" t="n"/>
      <c r="Z1472" s="143" t="n"/>
    </row>
    <row r="1473" customFormat="1" s="149">
      <c r="A1473" s="203">
        <f>ROW()-1</f>
        <v/>
      </c>
      <c r="B1473" s="133" t="n"/>
      <c r="C1473" s="263" t="n"/>
      <c r="D1473" s="264" t="n"/>
      <c r="E1473" s="133" t="n"/>
      <c r="F1473" s="141" t="inlineStr">
        <is>
          <t>SPARE</t>
        </is>
      </c>
      <c r="G1473" s="131" t="n"/>
      <c r="H1473" s="133" t="n"/>
      <c r="I1473" s="131" t="inlineStr">
        <is>
          <t>RL7-INTSL-RIO1</t>
        </is>
      </c>
      <c r="J1473" s="133" t="n">
        <v>18</v>
      </c>
      <c r="K1473" s="129" t="n">
        <v>2</v>
      </c>
      <c r="L1473" s="129" t="n">
        <v>10</v>
      </c>
      <c r="M1473" s="129" t="inlineStr">
        <is>
          <t>24 VDC DI</t>
        </is>
      </c>
      <c r="N1473" s="129" t="inlineStr">
        <is>
          <t>5069-IB16</t>
        </is>
      </c>
      <c r="O1473" s="146" t="n"/>
      <c r="P1473" s="146" t="n"/>
      <c r="Q1473" s="146" t="n"/>
      <c r="R1473" s="146" t="n"/>
      <c r="S1473" s="146" t="n"/>
      <c r="T1473" s="146" t="n"/>
      <c r="U1473" s="146" t="n"/>
      <c r="V1473" s="146" t="n"/>
      <c r="W1473" s="146" t="n"/>
      <c r="X1473" s="146" t="n"/>
      <c r="Y1473" s="146" t="n"/>
      <c r="Z1473" s="143" t="n"/>
    </row>
    <row r="1474" customFormat="1" s="149">
      <c r="A1474" s="203">
        <f>ROW()-1</f>
        <v/>
      </c>
      <c r="B1474" s="133" t="n"/>
      <c r="C1474" s="263" t="n"/>
      <c r="D1474" s="264" t="n"/>
      <c r="E1474" s="133" t="n"/>
      <c r="F1474" s="141" t="inlineStr">
        <is>
          <t>SPARE</t>
        </is>
      </c>
      <c r="G1474" s="131" t="n"/>
      <c r="H1474" s="133" t="n"/>
      <c r="I1474" s="131" t="inlineStr">
        <is>
          <t>RL7-INTSL-RIO1</t>
        </is>
      </c>
      <c r="J1474" s="133" t="n">
        <v>18</v>
      </c>
      <c r="K1474" s="129" t="n">
        <v>2</v>
      </c>
      <c r="L1474" s="129" t="n">
        <v>11</v>
      </c>
      <c r="M1474" s="129" t="inlineStr">
        <is>
          <t>24 VDC DI</t>
        </is>
      </c>
      <c r="N1474" s="129" t="inlineStr">
        <is>
          <t>5069-IB16</t>
        </is>
      </c>
      <c r="O1474" s="146" t="n"/>
      <c r="P1474" s="146" t="n"/>
      <c r="Q1474" s="146" t="n"/>
      <c r="R1474" s="146" t="n"/>
      <c r="S1474" s="146" t="n"/>
      <c r="T1474" s="146" t="n"/>
      <c r="U1474" s="146" t="n"/>
      <c r="V1474" s="146" t="n"/>
      <c r="W1474" s="146" t="n"/>
      <c r="X1474" s="146" t="n"/>
      <c r="Y1474" s="146" t="n"/>
      <c r="Z1474" s="143" t="n"/>
    </row>
    <row r="1475" customFormat="1" s="149">
      <c r="A1475" s="203">
        <f>ROW()-1</f>
        <v/>
      </c>
      <c r="B1475" s="133" t="n"/>
      <c r="C1475" s="263" t="n"/>
      <c r="D1475" s="264" t="n"/>
      <c r="E1475" s="133" t="n"/>
      <c r="F1475" s="141" t="inlineStr">
        <is>
          <t>SPARE</t>
        </is>
      </c>
      <c r="G1475" s="131" t="n"/>
      <c r="H1475" s="133" t="n"/>
      <c r="I1475" s="131" t="inlineStr">
        <is>
          <t>RL7-INTSL-RIO1</t>
        </is>
      </c>
      <c r="J1475" s="133" t="n">
        <v>18</v>
      </c>
      <c r="K1475" s="129" t="n">
        <v>2</v>
      </c>
      <c r="L1475" s="129" t="n">
        <v>12</v>
      </c>
      <c r="M1475" s="129" t="inlineStr">
        <is>
          <t>24 VDC DI</t>
        </is>
      </c>
      <c r="N1475" s="129" t="inlineStr">
        <is>
          <t>5069-IB16</t>
        </is>
      </c>
      <c r="O1475" s="146" t="n"/>
      <c r="P1475" s="146" t="n"/>
      <c r="Q1475" s="146" t="n"/>
      <c r="R1475" s="146" t="n"/>
      <c r="S1475" s="146" t="n"/>
      <c r="T1475" s="146" t="n"/>
      <c r="U1475" s="146" t="n"/>
      <c r="V1475" s="146" t="n"/>
      <c r="W1475" s="146" t="n"/>
      <c r="X1475" s="146" t="n"/>
      <c r="Y1475" s="146" t="n"/>
      <c r="Z1475" s="143" t="n"/>
    </row>
    <row r="1476" customFormat="1" s="149">
      <c r="A1476" s="203">
        <f>ROW()-1</f>
        <v/>
      </c>
      <c r="B1476" s="133" t="n"/>
      <c r="C1476" s="263" t="n"/>
      <c r="D1476" s="264" t="n"/>
      <c r="E1476" s="133" t="n"/>
      <c r="F1476" s="141" t="inlineStr">
        <is>
          <t>SPARE</t>
        </is>
      </c>
      <c r="G1476" s="131" t="n"/>
      <c r="H1476" s="133" t="n"/>
      <c r="I1476" s="131" t="inlineStr">
        <is>
          <t>RL7-INTSL-RIO1</t>
        </is>
      </c>
      <c r="J1476" s="133" t="n">
        <v>18</v>
      </c>
      <c r="K1476" s="129" t="n">
        <v>2</v>
      </c>
      <c r="L1476" s="129" t="n">
        <v>13</v>
      </c>
      <c r="M1476" s="129" t="inlineStr">
        <is>
          <t>24 VDC DI</t>
        </is>
      </c>
      <c r="N1476" s="129" t="inlineStr">
        <is>
          <t>5069-IB16</t>
        </is>
      </c>
      <c r="O1476" s="146" t="n"/>
      <c r="P1476" s="146" t="n"/>
      <c r="Q1476" s="146" t="n"/>
      <c r="R1476" s="146" t="n"/>
      <c r="S1476" s="146" t="n"/>
      <c r="T1476" s="146" t="n"/>
      <c r="U1476" s="146" t="n"/>
      <c r="V1476" s="146" t="n"/>
      <c r="W1476" s="146" t="n"/>
      <c r="X1476" s="146" t="n"/>
      <c r="Y1476" s="146" t="n"/>
      <c r="Z1476" s="143" t="n"/>
    </row>
    <row r="1477">
      <c r="A1477" s="203">
        <f>ROW()-1</f>
        <v/>
      </c>
      <c r="B1477" s="133" t="n"/>
      <c r="C1477" s="263" t="n"/>
      <c r="D1477" s="264" t="n"/>
      <c r="E1477" s="133" t="n"/>
      <c r="F1477" s="141" t="inlineStr">
        <is>
          <t>SPARE</t>
        </is>
      </c>
      <c r="G1477" s="131" t="n"/>
      <c r="H1477" s="133" t="n"/>
      <c r="I1477" s="131" t="inlineStr">
        <is>
          <t>RL7-INTSL-RIO1</t>
        </is>
      </c>
      <c r="J1477" s="133" t="n">
        <v>18</v>
      </c>
      <c r="K1477" s="129" t="n">
        <v>2</v>
      </c>
      <c r="L1477" s="129" t="n">
        <v>14</v>
      </c>
      <c r="M1477" s="129" t="inlineStr">
        <is>
          <t>24 VDC DI</t>
        </is>
      </c>
      <c r="N1477" s="129" t="inlineStr">
        <is>
          <t>5069-IB16</t>
        </is>
      </c>
      <c r="O1477" s="146" t="n"/>
      <c r="P1477" s="146" t="n"/>
      <c r="Q1477" s="146" t="n"/>
      <c r="R1477" s="146" t="n"/>
      <c r="S1477" s="146" t="n"/>
      <c r="T1477" s="146" t="n"/>
      <c r="U1477" s="146" t="n"/>
      <c r="V1477" s="146" t="n"/>
      <c r="W1477" s="146" t="n"/>
      <c r="X1477" s="146" t="n"/>
      <c r="Y1477" s="146" t="n"/>
      <c r="Z1477" s="143" t="n"/>
    </row>
    <row r="1478">
      <c r="A1478" s="203">
        <f>ROW()-1</f>
        <v/>
      </c>
      <c r="B1478" s="133" t="n"/>
      <c r="C1478" s="263" t="n"/>
      <c r="D1478" s="264" t="n"/>
      <c r="E1478" s="133" t="n"/>
      <c r="F1478" s="141" t="inlineStr">
        <is>
          <t>SPARE</t>
        </is>
      </c>
      <c r="G1478" s="131" t="n"/>
      <c r="H1478" s="133" t="n"/>
      <c r="I1478" s="131" t="inlineStr">
        <is>
          <t>RL7-INTSL-RIO1</t>
        </is>
      </c>
      <c r="J1478" s="133" t="n">
        <v>18</v>
      </c>
      <c r="K1478" s="129" t="n">
        <v>2</v>
      </c>
      <c r="L1478" s="129" t="n">
        <v>15</v>
      </c>
      <c r="M1478" s="129" t="inlineStr">
        <is>
          <t>24 VDC DI</t>
        </is>
      </c>
      <c r="N1478" s="129" t="inlineStr">
        <is>
          <t>5069-IB16</t>
        </is>
      </c>
      <c r="O1478" s="146" t="n"/>
      <c r="P1478" s="146" t="n"/>
      <c r="Q1478" s="146" t="n"/>
      <c r="R1478" s="146" t="n"/>
      <c r="S1478" s="146" t="n"/>
      <c r="T1478" s="146" t="n"/>
      <c r="U1478" s="146" t="n"/>
      <c r="V1478" s="146" t="n"/>
      <c r="W1478" s="146" t="n"/>
      <c r="X1478" s="146" t="n"/>
      <c r="Y1478" s="146" t="n"/>
      <c r="Z1478" s="143" t="n"/>
    </row>
    <row r="1479">
      <c r="A1479" s="203">
        <f>ROW()-1</f>
        <v/>
      </c>
      <c r="B1479" s="133" t="n"/>
      <c r="C1479" s="263" t="n"/>
      <c r="D1479" s="264" t="n"/>
      <c r="E1479" s="133" t="n"/>
      <c r="F1479" s="141" t="inlineStr">
        <is>
          <t>SPARE</t>
        </is>
      </c>
      <c r="G1479" s="131" t="n"/>
      <c r="H1479" s="133" t="n"/>
      <c r="I1479" s="131" t="inlineStr">
        <is>
          <t>RL7-INTSL-RIO1</t>
        </is>
      </c>
      <c r="J1479" s="133" t="n">
        <v>18</v>
      </c>
      <c r="K1479" s="129" t="n">
        <v>3</v>
      </c>
      <c r="L1479" s="129" t="n">
        <v>9</v>
      </c>
      <c r="M1479" s="129" t="inlineStr">
        <is>
          <t>24 VDC DO</t>
        </is>
      </c>
      <c r="N1479" s="129" t="inlineStr">
        <is>
          <t>5069-OB16</t>
        </is>
      </c>
      <c r="O1479" s="146" t="n"/>
      <c r="P1479" s="146" t="n"/>
      <c r="Q1479" s="146" t="n"/>
      <c r="R1479" s="146" t="n"/>
      <c r="S1479" s="146" t="n"/>
      <c r="T1479" s="146" t="n"/>
      <c r="U1479" s="146" t="n"/>
      <c r="V1479" s="146" t="n"/>
      <c r="W1479" s="146" t="n"/>
      <c r="X1479" s="146" t="n"/>
      <c r="Y1479" s="146" t="n"/>
      <c r="Z1479" s="143" t="n"/>
    </row>
    <row r="1480">
      <c r="A1480" s="203">
        <f>ROW()-1</f>
        <v/>
      </c>
      <c r="B1480" s="133" t="n"/>
      <c r="C1480" s="263" t="n"/>
      <c r="D1480" s="264" t="n"/>
      <c r="E1480" s="133" t="n"/>
      <c r="F1480" s="141" t="inlineStr">
        <is>
          <t>SPARE</t>
        </is>
      </c>
      <c r="G1480" s="131" t="n"/>
      <c r="H1480" s="133" t="n"/>
      <c r="I1480" s="131" t="inlineStr">
        <is>
          <t>RL7-INTSL-RIO1</t>
        </is>
      </c>
      <c r="J1480" s="133" t="n">
        <v>18</v>
      </c>
      <c r="K1480" s="129" t="n">
        <v>3</v>
      </c>
      <c r="L1480" s="129" t="n">
        <v>10</v>
      </c>
      <c r="M1480" s="129" t="inlineStr">
        <is>
          <t>24 VDC DO</t>
        </is>
      </c>
      <c r="N1480" s="129" t="inlineStr">
        <is>
          <t>5069-OB16</t>
        </is>
      </c>
      <c r="O1480" s="146" t="n"/>
      <c r="P1480" s="146" t="n"/>
      <c r="Q1480" s="146" t="n"/>
      <c r="R1480" s="146" t="n"/>
      <c r="S1480" s="146" t="n"/>
      <c r="T1480" s="146" t="n"/>
      <c r="U1480" s="146" t="n"/>
      <c r="V1480" s="146" t="n"/>
      <c r="W1480" s="146" t="n"/>
      <c r="X1480" s="146" t="n"/>
      <c r="Y1480" s="146" t="n"/>
      <c r="Z1480" s="143" t="n"/>
    </row>
    <row r="1481">
      <c r="A1481" s="203">
        <f>ROW()-1</f>
        <v/>
      </c>
      <c r="B1481" s="133" t="n"/>
      <c r="C1481" s="263" t="n"/>
      <c r="D1481" s="264" t="n"/>
      <c r="E1481" s="133" t="n"/>
      <c r="F1481" s="141" t="inlineStr">
        <is>
          <t>SPARE</t>
        </is>
      </c>
      <c r="G1481" s="131" t="n"/>
      <c r="H1481" s="133" t="n"/>
      <c r="I1481" s="131" t="inlineStr">
        <is>
          <t>RL7-INTSL-RIO1</t>
        </is>
      </c>
      <c r="J1481" s="133" t="n">
        <v>18</v>
      </c>
      <c r="K1481" s="129" t="n">
        <v>3</v>
      </c>
      <c r="L1481" s="129" t="n">
        <v>11</v>
      </c>
      <c r="M1481" s="129" t="inlineStr">
        <is>
          <t>24 VDC DO</t>
        </is>
      </c>
      <c r="N1481" s="129" t="inlineStr">
        <is>
          <t>5069-OB16</t>
        </is>
      </c>
      <c r="O1481" s="146" t="n"/>
      <c r="P1481" s="146" t="n"/>
      <c r="Q1481" s="146" t="n"/>
      <c r="R1481" s="146" t="n"/>
      <c r="S1481" s="146" t="n"/>
      <c r="T1481" s="146" t="n"/>
      <c r="U1481" s="146" t="n"/>
      <c r="V1481" s="146" t="n"/>
      <c r="W1481" s="146" t="n"/>
      <c r="X1481" s="146" t="n"/>
      <c r="Y1481" s="146" t="n"/>
      <c r="Z1481" s="143" t="n"/>
    </row>
    <row r="1482">
      <c r="A1482" s="203">
        <f>ROW()-1</f>
        <v/>
      </c>
      <c r="B1482" s="133" t="n"/>
      <c r="C1482" s="263" t="n"/>
      <c r="D1482" s="264" t="n"/>
      <c r="E1482" s="133" t="n"/>
      <c r="F1482" s="141" t="inlineStr">
        <is>
          <t>SPARE</t>
        </is>
      </c>
      <c r="G1482" s="131" t="n"/>
      <c r="H1482" s="133" t="n"/>
      <c r="I1482" s="131" t="inlineStr">
        <is>
          <t>RL7-INTSL-RIO1</t>
        </is>
      </c>
      <c r="J1482" s="133" t="n">
        <v>18</v>
      </c>
      <c r="K1482" s="129" t="n">
        <v>3</v>
      </c>
      <c r="L1482" s="129" t="n">
        <v>12</v>
      </c>
      <c r="M1482" s="129" t="inlineStr">
        <is>
          <t>24 VDC DO</t>
        </is>
      </c>
      <c r="N1482" s="129" t="inlineStr">
        <is>
          <t>5069-OB16</t>
        </is>
      </c>
      <c r="O1482" s="146" t="n"/>
      <c r="P1482" s="146" t="n"/>
      <c r="Q1482" s="146" t="n"/>
      <c r="R1482" s="146" t="n"/>
      <c r="S1482" s="146" t="n"/>
      <c r="T1482" s="146" t="n"/>
      <c r="U1482" s="146" t="n"/>
      <c r="V1482" s="146" t="n"/>
      <c r="W1482" s="146" t="n"/>
      <c r="X1482" s="146" t="n"/>
      <c r="Y1482" s="146" t="n"/>
      <c r="Z1482" s="143" t="n"/>
    </row>
    <row r="1483">
      <c r="A1483" s="203">
        <f>ROW()-1</f>
        <v/>
      </c>
      <c r="B1483" s="133" t="n"/>
      <c r="C1483" s="263" t="n"/>
      <c r="D1483" s="264" t="n"/>
      <c r="E1483" s="133" t="n"/>
      <c r="F1483" s="141" t="inlineStr">
        <is>
          <t>SPARE</t>
        </is>
      </c>
      <c r="G1483" s="131" t="n"/>
      <c r="H1483" s="133" t="n"/>
      <c r="I1483" s="131" t="inlineStr">
        <is>
          <t>RL7-INTSL-RIO1</t>
        </is>
      </c>
      <c r="J1483" s="133" t="n">
        <v>18</v>
      </c>
      <c r="K1483" s="129" t="n">
        <v>3</v>
      </c>
      <c r="L1483" s="129" t="n">
        <v>13</v>
      </c>
      <c r="M1483" s="129" t="inlineStr">
        <is>
          <t>24 VDC DO</t>
        </is>
      </c>
      <c r="N1483" s="129" t="inlineStr">
        <is>
          <t>5069-OB16</t>
        </is>
      </c>
      <c r="O1483" s="146" t="n"/>
      <c r="P1483" s="146" t="n"/>
      <c r="Q1483" s="146" t="n"/>
      <c r="R1483" s="146" t="n"/>
      <c r="S1483" s="146" t="n"/>
      <c r="T1483" s="146" t="n"/>
      <c r="U1483" s="146" t="n"/>
      <c r="V1483" s="146" t="n"/>
      <c r="W1483" s="146" t="n"/>
      <c r="X1483" s="146" t="n"/>
      <c r="Y1483" s="146" t="n"/>
      <c r="Z1483" s="143" t="n"/>
    </row>
    <row r="1484">
      <c r="A1484" s="203">
        <f>ROW()-1</f>
        <v/>
      </c>
      <c r="B1484" s="133" t="n"/>
      <c r="C1484" s="263" t="n"/>
      <c r="D1484" s="264" t="n"/>
      <c r="E1484" s="133" t="n"/>
      <c r="F1484" s="141" t="inlineStr">
        <is>
          <t>SPARE</t>
        </is>
      </c>
      <c r="G1484" s="131" t="n"/>
      <c r="H1484" s="133" t="n"/>
      <c r="I1484" s="131" t="inlineStr">
        <is>
          <t>RL7-INTSL-RIO1</t>
        </is>
      </c>
      <c r="J1484" s="133" t="n">
        <v>18</v>
      </c>
      <c r="K1484" s="129" t="n">
        <v>3</v>
      </c>
      <c r="L1484" s="129" t="n">
        <v>14</v>
      </c>
      <c r="M1484" s="129" t="inlineStr">
        <is>
          <t>24 VDC DO</t>
        </is>
      </c>
      <c r="N1484" s="129" t="inlineStr">
        <is>
          <t>5069-OB16</t>
        </is>
      </c>
      <c r="O1484" s="146" t="n"/>
      <c r="P1484" s="146" t="n"/>
      <c r="Q1484" s="146" t="n"/>
      <c r="R1484" s="146" t="n"/>
      <c r="S1484" s="146" t="n"/>
      <c r="T1484" s="146" t="n"/>
      <c r="U1484" s="146" t="n"/>
      <c r="V1484" s="146" t="n"/>
      <c r="W1484" s="146" t="n"/>
      <c r="X1484" s="146" t="n"/>
      <c r="Y1484" s="146" t="n"/>
      <c r="Z1484" s="143" t="n"/>
    </row>
    <row r="1485">
      <c r="A1485" s="203">
        <f>ROW()-1</f>
        <v/>
      </c>
      <c r="B1485" s="133" t="n"/>
      <c r="C1485" s="263" t="n"/>
      <c r="D1485" s="264" t="n"/>
      <c r="E1485" s="133" t="n"/>
      <c r="F1485" s="141" t="inlineStr">
        <is>
          <t>SPARE</t>
        </is>
      </c>
      <c r="G1485" s="131" t="n"/>
      <c r="H1485" s="133" t="n"/>
      <c r="I1485" s="131" t="inlineStr">
        <is>
          <t>RL7-INTSL-RIO1</t>
        </is>
      </c>
      <c r="J1485" s="133" t="n">
        <v>18</v>
      </c>
      <c r="K1485" s="129" t="n">
        <v>3</v>
      </c>
      <c r="L1485" s="129" t="n">
        <v>15</v>
      </c>
      <c r="M1485" s="129" t="inlineStr">
        <is>
          <t>24 VDC DO</t>
        </is>
      </c>
      <c r="N1485" s="129" t="inlineStr">
        <is>
          <t>5069-OB16</t>
        </is>
      </c>
      <c r="O1485" s="146" t="n"/>
      <c r="P1485" s="146" t="n"/>
      <c r="Q1485" s="146" t="n"/>
      <c r="R1485" s="146" t="n"/>
      <c r="S1485" s="146" t="n"/>
      <c r="T1485" s="146" t="n"/>
      <c r="U1485" s="146" t="n"/>
      <c r="V1485" s="146" t="n"/>
      <c r="W1485" s="146" t="n"/>
      <c r="X1485" s="146" t="n"/>
      <c r="Y1485" s="146" t="n"/>
      <c r="Z1485" s="143" t="n"/>
    </row>
    <row r="1486" customFormat="1" s="149">
      <c r="A1486" s="203">
        <f>ROW()-1</f>
        <v/>
      </c>
      <c r="B1486" s="133" t="n"/>
      <c r="C1486" s="263" t="n"/>
      <c r="D1486" s="264" t="n"/>
      <c r="E1486" s="133" t="n"/>
      <c r="F1486" s="141" t="inlineStr">
        <is>
          <t>SPARE</t>
        </is>
      </c>
      <c r="G1486" s="131" t="n"/>
      <c r="H1486" s="133" t="n"/>
      <c r="I1486" s="131" t="inlineStr">
        <is>
          <t>RL7-INTSL-RIO1</t>
        </is>
      </c>
      <c r="J1486" s="133" t="n">
        <v>18</v>
      </c>
      <c r="K1486" s="129" t="n">
        <v>4</v>
      </c>
      <c r="L1486" s="129" t="n">
        <v>5</v>
      </c>
      <c r="M1486" s="129" t="inlineStr">
        <is>
          <t>24 VDC DO</t>
        </is>
      </c>
      <c r="N1486" s="129" t="inlineStr">
        <is>
          <t>5069-OB16</t>
        </is>
      </c>
      <c r="O1486" s="146" t="n"/>
      <c r="P1486" s="146" t="n"/>
      <c r="Q1486" s="146" t="n"/>
      <c r="R1486" s="146" t="n"/>
      <c r="S1486" s="146" t="n"/>
      <c r="T1486" s="146" t="n"/>
      <c r="U1486" s="146" t="n"/>
      <c r="V1486" s="146" t="n"/>
      <c r="W1486" s="146" t="n"/>
      <c r="X1486" s="146" t="n"/>
      <c r="Y1486" s="146" t="n"/>
      <c r="Z1486" s="143" t="n"/>
    </row>
    <row r="1487">
      <c r="A1487" s="203">
        <f>ROW()-1</f>
        <v/>
      </c>
      <c r="B1487" s="133" t="n"/>
      <c r="C1487" s="263" t="n"/>
      <c r="D1487" s="264" t="n"/>
      <c r="E1487" s="133" t="n"/>
      <c r="F1487" s="141" t="inlineStr">
        <is>
          <t>SPARE</t>
        </is>
      </c>
      <c r="G1487" s="131" t="n"/>
      <c r="H1487" s="133" t="n"/>
      <c r="I1487" s="131" t="inlineStr">
        <is>
          <t>RL7-INTSL-RIO1</t>
        </is>
      </c>
      <c r="J1487" s="133" t="n">
        <v>18</v>
      </c>
      <c r="K1487" s="129" t="n">
        <v>4</v>
      </c>
      <c r="L1487" s="129" t="n">
        <v>6</v>
      </c>
      <c r="M1487" s="129" t="inlineStr">
        <is>
          <t>24 VDC DO</t>
        </is>
      </c>
      <c r="N1487" s="129" t="inlineStr">
        <is>
          <t>5069-OB16</t>
        </is>
      </c>
      <c r="O1487" s="146" t="n"/>
      <c r="P1487" s="146" t="n"/>
      <c r="Q1487" s="146" t="n"/>
      <c r="R1487" s="146" t="n"/>
      <c r="S1487" s="146" t="n"/>
      <c r="T1487" s="146" t="n"/>
      <c r="U1487" s="146" t="n"/>
      <c r="V1487" s="146" t="n"/>
      <c r="W1487" s="146" t="n"/>
      <c r="X1487" s="146" t="n"/>
      <c r="Y1487" s="146" t="n"/>
      <c r="Z1487" s="143" t="n"/>
    </row>
    <row r="1488">
      <c r="A1488" s="203">
        <f>ROW()-1</f>
        <v/>
      </c>
      <c r="B1488" s="133" t="n"/>
      <c r="C1488" s="263" t="n"/>
      <c r="D1488" s="264" t="n"/>
      <c r="E1488" s="133" t="n"/>
      <c r="F1488" s="141" t="inlineStr">
        <is>
          <t>SPARE</t>
        </is>
      </c>
      <c r="G1488" s="131" t="n"/>
      <c r="H1488" s="133" t="n"/>
      <c r="I1488" s="131" t="inlineStr">
        <is>
          <t>RL7-INTSL-RIO1</t>
        </is>
      </c>
      <c r="J1488" s="133" t="n">
        <v>18</v>
      </c>
      <c r="K1488" s="129" t="n">
        <v>4</v>
      </c>
      <c r="L1488" s="129" t="n">
        <v>7</v>
      </c>
      <c r="M1488" s="129" t="inlineStr">
        <is>
          <t>24 VDC DO</t>
        </is>
      </c>
      <c r="N1488" s="129" t="inlineStr">
        <is>
          <t>5069-OB16</t>
        </is>
      </c>
      <c r="O1488" s="146" t="n"/>
      <c r="P1488" s="146" t="n"/>
      <c r="Q1488" s="146" t="n"/>
      <c r="R1488" s="146" t="n"/>
      <c r="S1488" s="146" t="n"/>
      <c r="T1488" s="146" t="n"/>
      <c r="U1488" s="146" t="n"/>
      <c r="V1488" s="146" t="n"/>
      <c r="W1488" s="146" t="n"/>
      <c r="X1488" s="146" t="n"/>
      <c r="Y1488" s="146" t="n"/>
      <c r="Z1488" s="143" t="n"/>
    </row>
    <row r="1489">
      <c r="A1489" s="203">
        <f>ROW()-1</f>
        <v/>
      </c>
      <c r="B1489" s="133" t="n"/>
      <c r="C1489" s="263" t="n"/>
      <c r="D1489" s="264" t="n"/>
      <c r="E1489" s="133" t="n"/>
      <c r="F1489" s="141" t="inlineStr">
        <is>
          <t>SPARE</t>
        </is>
      </c>
      <c r="G1489" s="131" t="n"/>
      <c r="H1489" s="133" t="n"/>
      <c r="I1489" s="131" t="inlineStr">
        <is>
          <t>RL7-INTSL-RIO1</t>
        </is>
      </c>
      <c r="J1489" s="133" t="n">
        <v>18</v>
      </c>
      <c r="K1489" s="129" t="n">
        <v>4</v>
      </c>
      <c r="L1489" s="129" t="n">
        <v>8</v>
      </c>
      <c r="M1489" s="129" t="inlineStr">
        <is>
          <t>24 VDC DO</t>
        </is>
      </c>
      <c r="N1489" s="129" t="inlineStr">
        <is>
          <t>5069-OB16</t>
        </is>
      </c>
      <c r="O1489" s="146" t="n"/>
      <c r="P1489" s="146" t="n"/>
      <c r="Q1489" s="146" t="n"/>
      <c r="R1489" s="146" t="n"/>
      <c r="S1489" s="146" t="n"/>
      <c r="T1489" s="146" t="n"/>
      <c r="U1489" s="146" t="n"/>
      <c r="V1489" s="146" t="n"/>
      <c r="W1489" s="146" t="n"/>
      <c r="X1489" s="146" t="n"/>
      <c r="Y1489" s="146" t="n"/>
      <c r="Z1489" s="143" t="n"/>
    </row>
    <row r="1490" customFormat="1" s="149">
      <c r="A1490" s="203">
        <f>ROW()-1</f>
        <v/>
      </c>
      <c r="B1490" s="133" t="n"/>
      <c r="C1490" s="263" t="n"/>
      <c r="D1490" s="264" t="n"/>
      <c r="E1490" s="133" t="n"/>
      <c r="F1490" s="141" t="inlineStr">
        <is>
          <t>SPARE</t>
        </is>
      </c>
      <c r="G1490" s="131" t="n"/>
      <c r="H1490" s="133" t="n"/>
      <c r="I1490" s="131" t="inlineStr">
        <is>
          <t>RL7-INTSL-RIO1</t>
        </is>
      </c>
      <c r="J1490" s="133" t="n">
        <v>18</v>
      </c>
      <c r="K1490" s="129" t="n">
        <v>4</v>
      </c>
      <c r="L1490" s="129" t="n">
        <v>9</v>
      </c>
      <c r="M1490" s="129" t="inlineStr">
        <is>
          <t>24 VDC DO</t>
        </is>
      </c>
      <c r="N1490" s="129" t="inlineStr">
        <is>
          <t>5069-OB16</t>
        </is>
      </c>
      <c r="O1490" s="146" t="n"/>
      <c r="P1490" s="146" t="n"/>
      <c r="Q1490" s="146" t="n"/>
      <c r="R1490" s="146" t="n"/>
      <c r="S1490" s="146" t="n"/>
      <c r="T1490" s="146" t="n"/>
      <c r="U1490" s="146" t="n"/>
      <c r="V1490" s="146" t="n"/>
      <c r="W1490" s="146" t="n"/>
      <c r="X1490" s="146" t="n"/>
      <c r="Y1490" s="146" t="n"/>
      <c r="Z1490" s="143" t="n"/>
    </row>
    <row r="1491" customFormat="1" s="149">
      <c r="A1491" s="203">
        <f>ROW()-1</f>
        <v/>
      </c>
      <c r="B1491" s="133" t="n"/>
      <c r="C1491" s="263" t="n"/>
      <c r="D1491" s="264" t="n"/>
      <c r="E1491" s="133" t="n"/>
      <c r="F1491" s="141" t="inlineStr">
        <is>
          <t>SPARE</t>
        </is>
      </c>
      <c r="G1491" s="131" t="n"/>
      <c r="H1491" s="133" t="n"/>
      <c r="I1491" s="131" t="inlineStr">
        <is>
          <t>RL7-INTSL-RIO1</t>
        </is>
      </c>
      <c r="J1491" s="133" t="n">
        <v>18</v>
      </c>
      <c r="K1491" s="129" t="n">
        <v>4</v>
      </c>
      <c r="L1491" s="129" t="n">
        <v>10</v>
      </c>
      <c r="M1491" s="129" t="inlineStr">
        <is>
          <t>24 VDC DO</t>
        </is>
      </c>
      <c r="N1491" s="129" t="inlineStr">
        <is>
          <t>5069-OB16</t>
        </is>
      </c>
      <c r="O1491" s="146" t="n"/>
      <c r="P1491" s="146" t="n"/>
      <c r="Q1491" s="146" t="n"/>
      <c r="R1491" s="146" t="n"/>
      <c r="S1491" s="146" t="n"/>
      <c r="T1491" s="146" t="n"/>
      <c r="U1491" s="146" t="n"/>
      <c r="V1491" s="146" t="n"/>
      <c r="W1491" s="146" t="n"/>
      <c r="X1491" s="146" t="n"/>
      <c r="Y1491" s="146" t="n"/>
      <c r="Z1491" s="143" t="n"/>
    </row>
    <row r="1492" customFormat="1" s="149">
      <c r="A1492" s="203">
        <f>ROW()-1</f>
        <v/>
      </c>
      <c r="B1492" s="133" t="n"/>
      <c r="C1492" s="263" t="n"/>
      <c r="D1492" s="264" t="n"/>
      <c r="E1492" s="133" t="n"/>
      <c r="F1492" s="141" t="inlineStr">
        <is>
          <t>SPARE</t>
        </is>
      </c>
      <c r="G1492" s="131" t="n"/>
      <c r="H1492" s="133" t="n"/>
      <c r="I1492" s="131" t="inlineStr">
        <is>
          <t>RL7-INTSL-RIO1</t>
        </is>
      </c>
      <c r="J1492" s="133" t="n">
        <v>18</v>
      </c>
      <c r="K1492" s="129" t="n">
        <v>4</v>
      </c>
      <c r="L1492" s="129" t="n">
        <v>11</v>
      </c>
      <c r="M1492" s="129" t="inlineStr">
        <is>
          <t>24 VDC DO</t>
        </is>
      </c>
      <c r="N1492" s="129" t="inlineStr">
        <is>
          <t>5069-OB16</t>
        </is>
      </c>
      <c r="O1492" s="146" t="n"/>
      <c r="P1492" s="146" t="n"/>
      <c r="Q1492" s="146" t="n"/>
      <c r="R1492" s="146" t="n"/>
      <c r="S1492" s="146" t="n"/>
      <c r="T1492" s="146" t="n"/>
      <c r="U1492" s="146" t="n"/>
      <c r="V1492" s="146" t="n"/>
      <c r="W1492" s="146" t="n"/>
      <c r="X1492" s="146" t="n"/>
      <c r="Y1492" s="146" t="n"/>
      <c r="Z1492" s="143" t="n"/>
    </row>
    <row r="1493" customFormat="1" s="149">
      <c r="A1493" s="203">
        <f>ROW()-1</f>
        <v/>
      </c>
      <c r="B1493" s="133" t="n"/>
      <c r="C1493" s="263" t="n"/>
      <c r="D1493" s="264" t="n"/>
      <c r="E1493" s="133" t="n"/>
      <c r="F1493" s="141" t="inlineStr">
        <is>
          <t>SPARE</t>
        </is>
      </c>
      <c r="G1493" s="131" t="n"/>
      <c r="H1493" s="133" t="n"/>
      <c r="I1493" s="131" t="inlineStr">
        <is>
          <t>RL7-INTSL-RIO1</t>
        </is>
      </c>
      <c r="J1493" s="133" t="n">
        <v>18</v>
      </c>
      <c r="K1493" s="129" t="n">
        <v>4</v>
      </c>
      <c r="L1493" s="129" t="n">
        <v>12</v>
      </c>
      <c r="M1493" s="129" t="inlineStr">
        <is>
          <t>24 VDC DO</t>
        </is>
      </c>
      <c r="N1493" s="129" t="inlineStr">
        <is>
          <t>5069-OB16</t>
        </is>
      </c>
      <c r="O1493" s="146" t="n"/>
      <c r="P1493" s="146" t="n"/>
      <c r="Q1493" s="146" t="n"/>
      <c r="R1493" s="146" t="n"/>
      <c r="S1493" s="146" t="n"/>
      <c r="T1493" s="146" t="n"/>
      <c r="U1493" s="146" t="n"/>
      <c r="V1493" s="146" t="n"/>
      <c r="W1493" s="146" t="n"/>
      <c r="X1493" s="146" t="n"/>
      <c r="Y1493" s="146" t="n"/>
      <c r="Z1493" s="143" t="n"/>
    </row>
    <row r="1494" customFormat="1" s="149">
      <c r="A1494" s="203">
        <f>ROW()-1</f>
        <v/>
      </c>
      <c r="B1494" s="133" t="n"/>
      <c r="C1494" s="263" t="n"/>
      <c r="D1494" s="264" t="n"/>
      <c r="E1494" s="133" t="n"/>
      <c r="F1494" s="141" t="inlineStr">
        <is>
          <t>SPARE</t>
        </is>
      </c>
      <c r="G1494" s="131" t="n"/>
      <c r="H1494" s="133" t="n"/>
      <c r="I1494" s="131" t="inlineStr">
        <is>
          <t>RL7-INTSL-RIO1</t>
        </is>
      </c>
      <c r="J1494" s="133" t="n">
        <v>18</v>
      </c>
      <c r="K1494" s="129" t="n">
        <v>4</v>
      </c>
      <c r="L1494" s="129" t="n">
        <v>13</v>
      </c>
      <c r="M1494" s="129" t="inlineStr">
        <is>
          <t>24 VDC DO</t>
        </is>
      </c>
      <c r="N1494" s="129" t="inlineStr">
        <is>
          <t>5069-OB16</t>
        </is>
      </c>
      <c r="O1494" s="146" t="n"/>
      <c r="P1494" s="146" t="n"/>
      <c r="Q1494" s="146" t="n"/>
      <c r="R1494" s="146" t="n"/>
      <c r="S1494" s="146" t="n"/>
      <c r="T1494" s="146" t="n"/>
      <c r="U1494" s="146" t="n"/>
      <c r="V1494" s="146" t="n"/>
      <c r="W1494" s="146" t="n"/>
      <c r="X1494" s="146" t="n"/>
      <c r="Y1494" s="146" t="n"/>
      <c r="Z1494" s="143" t="n"/>
    </row>
    <row r="1495">
      <c r="A1495" s="203">
        <f>ROW()-1</f>
        <v/>
      </c>
      <c r="B1495" s="133" t="n"/>
      <c r="C1495" s="263" t="n"/>
      <c r="D1495" s="264" t="n"/>
      <c r="E1495" s="133" t="n"/>
      <c r="F1495" s="141" t="inlineStr">
        <is>
          <t>SPARE</t>
        </is>
      </c>
      <c r="G1495" s="131" t="n"/>
      <c r="H1495" s="133" t="n"/>
      <c r="I1495" s="131" t="inlineStr">
        <is>
          <t>RL7-INTSL-RIO1</t>
        </is>
      </c>
      <c r="J1495" s="133" t="n">
        <v>18</v>
      </c>
      <c r="K1495" s="129" t="n">
        <v>4</v>
      </c>
      <c r="L1495" s="129" t="n">
        <v>14</v>
      </c>
      <c r="M1495" s="129" t="inlineStr">
        <is>
          <t>24 VDC DO</t>
        </is>
      </c>
      <c r="N1495" s="129" t="inlineStr">
        <is>
          <t>5069-OB16</t>
        </is>
      </c>
      <c r="O1495" s="146" t="n"/>
      <c r="P1495" s="146" t="n"/>
      <c r="Q1495" s="146" t="n"/>
      <c r="R1495" s="146" t="n"/>
      <c r="S1495" s="146" t="n"/>
      <c r="T1495" s="146" t="n"/>
      <c r="U1495" s="146" t="n"/>
      <c r="V1495" s="146" t="n"/>
      <c r="W1495" s="146" t="n"/>
      <c r="X1495" s="146" t="n"/>
      <c r="Y1495" s="146" t="n"/>
      <c r="Z1495" s="143" t="n"/>
    </row>
    <row r="1496">
      <c r="A1496" s="203">
        <f>ROW()-1</f>
        <v/>
      </c>
      <c r="B1496" s="133" t="n"/>
      <c r="C1496" s="263" t="n"/>
      <c r="D1496" s="264" t="n"/>
      <c r="E1496" s="133" t="n"/>
      <c r="F1496" s="141" t="inlineStr">
        <is>
          <t>SPARE</t>
        </is>
      </c>
      <c r="G1496" s="131" t="n"/>
      <c r="H1496" s="133" t="n"/>
      <c r="I1496" s="131" t="inlineStr">
        <is>
          <t>RL7-INTSL-RIO1</t>
        </is>
      </c>
      <c r="J1496" s="133" t="n">
        <v>18</v>
      </c>
      <c r="K1496" s="129" t="n">
        <v>4</v>
      </c>
      <c r="L1496" s="129" t="n">
        <v>15</v>
      </c>
      <c r="M1496" s="129" t="inlineStr">
        <is>
          <t>24 VDC DO</t>
        </is>
      </c>
      <c r="N1496" s="129" t="inlineStr">
        <is>
          <t>5069-OB16</t>
        </is>
      </c>
      <c r="O1496" s="146" t="n"/>
      <c r="P1496" s="146" t="n"/>
      <c r="Q1496" s="146" t="n"/>
      <c r="R1496" s="146" t="n"/>
      <c r="S1496" s="146" t="n"/>
      <c r="T1496" s="146" t="n"/>
      <c r="U1496" s="146" t="n"/>
      <c r="V1496" s="146" t="n"/>
      <c r="W1496" s="146" t="n"/>
      <c r="X1496" s="146" t="n"/>
      <c r="Y1496" s="146" t="n"/>
      <c r="Z1496" s="143" t="n"/>
    </row>
    <row r="1497">
      <c r="A1497" s="203">
        <f>ROW()-1</f>
        <v/>
      </c>
      <c r="B1497" s="128" t="n"/>
      <c r="C1497" s="263" t="n"/>
      <c r="D1497" s="262" t="n"/>
      <c r="E1497" s="128" t="n"/>
      <c r="F1497" s="138" t="inlineStr">
        <is>
          <t>ADDRESS RESERVE MODULE</t>
        </is>
      </c>
      <c r="G1497" s="131" t="n"/>
      <c r="H1497" s="128" t="n"/>
      <c r="I1497" s="131" t="inlineStr">
        <is>
          <t>RL7-INTSL-RIO1</t>
        </is>
      </c>
      <c r="J1497" s="133" t="n">
        <v>18</v>
      </c>
      <c r="K1497" s="129" t="n">
        <v>5</v>
      </c>
      <c r="L1497" s="129" t="n">
        <v>0</v>
      </c>
      <c r="M1497" s="129" t="inlineStr">
        <is>
          <t>ARM</t>
        </is>
      </c>
      <c r="N1497" s="129" t="inlineStr">
        <is>
          <t>5069-ARM</t>
        </is>
      </c>
      <c r="O1497" s="139" t="n"/>
      <c r="P1497" s="127" t="n"/>
      <c r="Q1497" s="127" t="n"/>
      <c r="R1497" s="127" t="n"/>
      <c r="S1497" s="127" t="n"/>
      <c r="T1497" s="127" t="n"/>
      <c r="U1497" s="127" t="n"/>
      <c r="V1497" s="127" t="n"/>
      <c r="W1497" s="127" t="n"/>
      <c r="X1497" s="127" t="n"/>
      <c r="Y1497" s="127" t="n"/>
      <c r="Z1497" s="140" t="n"/>
    </row>
    <row r="1498" customFormat="1" s="149">
      <c r="A1498" s="203">
        <f>ROW()-1</f>
        <v/>
      </c>
      <c r="B1498" s="133" t="n"/>
      <c r="C1498" s="263" t="n"/>
      <c r="D1498" s="264" t="n"/>
      <c r="E1498" s="133" t="n"/>
      <c r="F1498" s="141" t="inlineStr">
        <is>
          <t>SPARE</t>
        </is>
      </c>
      <c r="G1498" s="131" t="n"/>
      <c r="H1498" s="133" t="n"/>
      <c r="I1498" s="131" t="inlineStr">
        <is>
          <t>RL7-INTSL-RIO1</t>
        </is>
      </c>
      <c r="J1498" s="133" t="n">
        <v>18</v>
      </c>
      <c r="K1498" s="129" t="n">
        <v>6</v>
      </c>
      <c r="L1498" s="129" t="n">
        <v>6</v>
      </c>
      <c r="M1498" s="129" t="inlineStr">
        <is>
          <t>4-20 mA AI</t>
        </is>
      </c>
      <c r="N1498" s="129" t="inlineStr">
        <is>
          <t>5069-IF8</t>
        </is>
      </c>
      <c r="O1498" s="160" t="n"/>
      <c r="P1498" s="146" t="n"/>
      <c r="Q1498" s="146" t="n"/>
      <c r="R1498" s="146" t="n"/>
      <c r="S1498" s="146" t="n"/>
      <c r="T1498" s="146" t="n"/>
      <c r="U1498" s="146" t="n"/>
      <c r="V1498" s="146" t="n"/>
      <c r="W1498" s="146" t="n"/>
      <c r="X1498" s="146" t="n"/>
      <c r="Y1498" s="146" t="n"/>
      <c r="Z1498" s="143" t="n"/>
    </row>
    <row r="1499" customFormat="1" s="149">
      <c r="A1499" s="203">
        <f>ROW()-1</f>
        <v/>
      </c>
      <c r="B1499" s="133" t="n"/>
      <c r="C1499" s="263" t="n"/>
      <c r="D1499" s="264" t="n"/>
      <c r="E1499" s="133" t="n"/>
      <c r="F1499" s="141" t="inlineStr">
        <is>
          <t>SPARE</t>
        </is>
      </c>
      <c r="G1499" s="131" t="n"/>
      <c r="H1499" s="133" t="n"/>
      <c r="I1499" s="131" t="inlineStr">
        <is>
          <t>RL7-INTSL-RIO1</t>
        </is>
      </c>
      <c r="J1499" s="133" t="n">
        <v>18</v>
      </c>
      <c r="K1499" s="129" t="n">
        <v>6</v>
      </c>
      <c r="L1499" s="129" t="n">
        <v>7</v>
      </c>
      <c r="M1499" s="129" t="inlineStr">
        <is>
          <t>4-20 mA AI</t>
        </is>
      </c>
      <c r="N1499" s="129" t="inlineStr">
        <is>
          <t>5069-IF8</t>
        </is>
      </c>
      <c r="O1499" s="160" t="n"/>
      <c r="P1499" s="146" t="n"/>
      <c r="Q1499" s="146" t="n"/>
      <c r="R1499" s="146" t="n"/>
      <c r="S1499" s="146" t="n"/>
      <c r="T1499" s="146" t="n"/>
      <c r="U1499" s="146" t="n"/>
      <c r="V1499" s="146" t="n"/>
      <c r="W1499" s="146" t="n"/>
      <c r="X1499" s="146" t="n"/>
      <c r="Y1499" s="146" t="n"/>
      <c r="Z1499" s="143" t="n"/>
    </row>
    <row r="1500" customFormat="1" s="149">
      <c r="A1500" s="203">
        <f>ROW()-1</f>
        <v/>
      </c>
      <c r="B1500" s="133" t="n"/>
      <c r="C1500" s="317" t="inlineStr">
        <is>
          <t>RL7-LINE-FIT-03</t>
        </is>
      </c>
      <c r="D1500" s="264" t="inlineStr">
        <is>
          <t>M2A-4</t>
        </is>
      </c>
      <c r="E1500" s="133" t="n"/>
      <c r="F1500" s="141" t="inlineStr">
        <is>
          <t>LINE PHWS140 FLOW</t>
        </is>
      </c>
      <c r="G1500" s="131" t="n"/>
      <c r="H1500" s="133" t="n"/>
      <c r="I1500" s="131" t="inlineStr">
        <is>
          <t>RL7-INTSL-RIO1</t>
        </is>
      </c>
      <c r="J1500" s="133" t="n">
        <v>18</v>
      </c>
      <c r="K1500" s="129" t="n">
        <v>7</v>
      </c>
      <c r="L1500" s="129" t="n">
        <v>6</v>
      </c>
      <c r="M1500" s="129" t="inlineStr">
        <is>
          <t>4-20 mA AI</t>
        </is>
      </c>
      <c r="N1500" s="129" t="inlineStr">
        <is>
          <t>5069-IF8</t>
        </is>
      </c>
      <c r="O1500" s="160" t="inlineStr">
        <is>
          <t>0 - 125 GPM</t>
        </is>
      </c>
      <c r="P1500" s="146" t="n"/>
      <c r="Q1500" s="146" t="n"/>
      <c r="R1500" s="146" t="n"/>
      <c r="S1500" s="146" t="n"/>
      <c r="T1500" s="146" t="n"/>
      <c r="U1500" s="146" t="n"/>
      <c r="V1500" s="146" t="n"/>
      <c r="W1500" s="146" t="n"/>
      <c r="X1500" s="146" t="n"/>
      <c r="Y1500" s="146" t="n"/>
      <c r="Z1500" s="143" t="n"/>
      <c r="AA1500" t="inlineStr">
        <is>
          <t>Not found in PDF</t>
        </is>
      </c>
      <c r="AC1500" t="inlineStr">
        <is>
          <t>Low</t>
        </is>
      </c>
      <c r="AM1500" t="inlineStr">
        <is>
          <t>all pages</t>
        </is>
      </c>
      <c r="AN1500" t="inlineStr">
        <is>
          <t>No</t>
        </is>
      </c>
      <c r="AO1500" t="inlineStr">
        <is>
          <t>no sheet column/value supplied</t>
        </is>
      </c>
    </row>
    <row r="1501" customFormat="1" s="149">
      <c r="A1501" s="203">
        <f>ROW()-1</f>
        <v/>
      </c>
      <c r="B1501" s="133" t="n"/>
      <c r="C1501" s="317" t="inlineStr">
        <is>
          <t>RL7-LINE-FIT-05</t>
        </is>
      </c>
      <c r="D1501" s="264" t="inlineStr">
        <is>
          <t>M2A-6</t>
        </is>
      </c>
      <c r="E1501" s="133" t="n"/>
      <c r="F1501" s="141" t="inlineStr">
        <is>
          <t>LINE PHWR140 FLOW</t>
        </is>
      </c>
      <c r="G1501" s="131" t="n"/>
      <c r="H1501" s="133" t="n"/>
      <c r="I1501" s="131" t="inlineStr">
        <is>
          <t>RL7-INTSL-RIO1</t>
        </is>
      </c>
      <c r="J1501" s="133" t="n">
        <v>18</v>
      </c>
      <c r="K1501" s="129" t="n">
        <v>7</v>
      </c>
      <c r="L1501" s="129" t="n">
        <v>7</v>
      </c>
      <c r="M1501" s="129" t="inlineStr">
        <is>
          <t>4-20 mA AI</t>
        </is>
      </c>
      <c r="N1501" s="129" t="inlineStr">
        <is>
          <t>5069-IF8</t>
        </is>
      </c>
      <c r="O1501" s="160" t="inlineStr">
        <is>
          <t>0 - 125 GPM</t>
        </is>
      </c>
      <c r="P1501" s="146" t="n"/>
      <c r="Q1501" s="146" t="n"/>
      <c r="R1501" s="146" t="n"/>
      <c r="S1501" s="146" t="n"/>
      <c r="T1501" s="146" t="n"/>
      <c r="U1501" s="146" t="n"/>
      <c r="V1501" s="146" t="n"/>
      <c r="W1501" s="146" t="n"/>
      <c r="X1501" s="146" t="n"/>
      <c r="Y1501" s="146" t="n"/>
      <c r="Z1501" s="143" t="n"/>
      <c r="AA1501" t="inlineStr">
        <is>
          <t>Not found in PDF</t>
        </is>
      </c>
      <c r="AC1501" t="inlineStr">
        <is>
          <t>Low</t>
        </is>
      </c>
      <c r="AM1501" t="inlineStr">
        <is>
          <t>all pages</t>
        </is>
      </c>
      <c r="AN1501" t="inlineStr">
        <is>
          <t>No</t>
        </is>
      </c>
      <c r="AO1501" t="inlineStr">
        <is>
          <t>no sheet column/value supplied</t>
        </is>
      </c>
    </row>
    <row r="1502" customFormat="1" s="149">
      <c r="A1502" s="203">
        <f>ROW()-1</f>
        <v/>
      </c>
      <c r="B1502" s="133" t="n"/>
      <c r="C1502" s="317" t="inlineStr">
        <is>
          <t>RL7-LINE-FIT-01</t>
        </is>
      </c>
      <c r="D1502" s="264" t="inlineStr">
        <is>
          <t>M2A-2</t>
        </is>
      </c>
      <c r="E1502" s="133" t="n"/>
      <c r="F1502" s="141" t="inlineStr">
        <is>
          <t>LINE PCW FLOW</t>
        </is>
      </c>
      <c r="G1502" s="131" t="n"/>
      <c r="H1502" s="133" t="inlineStr">
        <is>
          <t>INTSL</t>
        </is>
      </c>
      <c r="I1502" s="131" t="inlineStr">
        <is>
          <t>RL7-INTSL-RIO1</t>
        </is>
      </c>
      <c r="J1502" s="133" t="n">
        <v>18</v>
      </c>
      <c r="K1502" s="129" t="n">
        <v>8</v>
      </c>
      <c r="L1502" s="129" t="n">
        <v>4</v>
      </c>
      <c r="M1502" s="129" t="inlineStr">
        <is>
          <t>4-20 mA AI</t>
        </is>
      </c>
      <c r="N1502" s="129" t="inlineStr">
        <is>
          <t>5069-IF8</t>
        </is>
      </c>
      <c r="O1502" s="160" t="inlineStr">
        <is>
          <t>0 - 650 GPM</t>
        </is>
      </c>
      <c r="P1502" s="146" t="n"/>
      <c r="Q1502" s="146" t="n"/>
      <c r="R1502" s="146" t="n"/>
      <c r="S1502" s="146" t="n"/>
      <c r="T1502" s="146" t="n"/>
      <c r="U1502" s="146" t="n"/>
      <c r="V1502" s="146" t="n"/>
      <c r="W1502" s="146" t="n"/>
      <c r="X1502" s="146" t="n"/>
      <c r="Y1502" s="146" t="n"/>
      <c r="Z1502" s="143" t="n"/>
      <c r="AA1502" t="inlineStr">
        <is>
          <t>Not found in PDF</t>
        </is>
      </c>
      <c r="AC1502" t="inlineStr">
        <is>
          <t>Low</t>
        </is>
      </c>
      <c r="AM1502" t="inlineStr">
        <is>
          <t>all pages</t>
        </is>
      </c>
      <c r="AN1502" t="inlineStr">
        <is>
          <t>No</t>
        </is>
      </c>
      <c r="AO1502" t="inlineStr">
        <is>
          <t>no sheet column/value supplied</t>
        </is>
      </c>
    </row>
    <row r="1503">
      <c r="A1503" s="203">
        <f>ROW()-1</f>
        <v/>
      </c>
      <c r="B1503" s="133" t="n"/>
      <c r="C1503" s="317" t="inlineStr">
        <is>
          <t>RL7-LINE-FIT-02</t>
        </is>
      </c>
      <c r="D1503" s="264" t="inlineStr">
        <is>
          <t>M2A-3</t>
        </is>
      </c>
      <c r="E1503" s="133" t="n"/>
      <c r="F1503" s="141" t="inlineStr">
        <is>
          <t>LINE HPWS FLOW</t>
        </is>
      </c>
      <c r="G1503" s="131" t="n"/>
      <c r="H1503" s="133" t="inlineStr">
        <is>
          <t>INTSL</t>
        </is>
      </c>
      <c r="I1503" s="131" t="inlineStr">
        <is>
          <t>RL7-INTSL-RIO1</t>
        </is>
      </c>
      <c r="J1503" s="133" t="n">
        <v>18</v>
      </c>
      <c r="K1503" s="129" t="n">
        <v>8</v>
      </c>
      <c r="L1503" s="129" t="n">
        <v>5</v>
      </c>
      <c r="M1503" s="129" t="inlineStr">
        <is>
          <t>4-20 mA AI</t>
        </is>
      </c>
      <c r="N1503" s="129" t="inlineStr">
        <is>
          <t>5069-IF8</t>
        </is>
      </c>
      <c r="O1503" s="160" t="inlineStr">
        <is>
          <t>0 - 250 GPM</t>
        </is>
      </c>
      <c r="P1503" s="146" t="n"/>
      <c r="Q1503" s="146" t="n"/>
      <c r="R1503" s="146" t="n"/>
      <c r="S1503" s="146" t="n"/>
      <c r="T1503" s="146" t="n"/>
      <c r="U1503" s="146" t="n"/>
      <c r="V1503" s="146" t="n"/>
      <c r="W1503" s="146" t="n"/>
      <c r="X1503" s="146" t="n"/>
      <c r="Y1503" s="146" t="n"/>
      <c r="Z1503" s="143" t="n"/>
      <c r="AA1503" t="inlineStr">
        <is>
          <t>Not found in PDF</t>
        </is>
      </c>
      <c r="AC1503" t="inlineStr">
        <is>
          <t>Low</t>
        </is>
      </c>
      <c r="AM1503" t="inlineStr">
        <is>
          <t>all pages</t>
        </is>
      </c>
      <c r="AN1503" t="inlineStr">
        <is>
          <t>No</t>
        </is>
      </c>
      <c r="AO1503" t="inlineStr">
        <is>
          <t>no sheet column/value supplied</t>
        </is>
      </c>
    </row>
    <row r="1504">
      <c r="A1504" s="203">
        <f>ROW()-1</f>
        <v/>
      </c>
      <c r="B1504" s="133" t="n"/>
      <c r="C1504" s="317" t="inlineStr">
        <is>
          <t>RL7-LINE-FIT-04</t>
        </is>
      </c>
      <c r="D1504" s="264" t="inlineStr">
        <is>
          <t>M2A-5</t>
        </is>
      </c>
      <c r="E1504" s="133" t="n"/>
      <c r="F1504" s="141" t="inlineStr">
        <is>
          <t>LINE HPWR FLOW</t>
        </is>
      </c>
      <c r="G1504" s="131" t="n"/>
      <c r="H1504" s="133" t="inlineStr">
        <is>
          <t>INTSL</t>
        </is>
      </c>
      <c r="I1504" s="131" t="inlineStr">
        <is>
          <t>RL7-INTSL-RIO1</t>
        </is>
      </c>
      <c r="J1504" s="133" t="n">
        <v>18</v>
      </c>
      <c r="K1504" s="129" t="n">
        <v>8</v>
      </c>
      <c r="L1504" s="129" t="n">
        <v>6</v>
      </c>
      <c r="M1504" s="129" t="inlineStr">
        <is>
          <t>4-20 mA AI</t>
        </is>
      </c>
      <c r="N1504" s="129" t="inlineStr">
        <is>
          <t>5069-IF8</t>
        </is>
      </c>
      <c r="O1504" s="160" t="inlineStr">
        <is>
          <t>0 - 250 GPM</t>
        </is>
      </c>
      <c r="P1504" s="146" t="n"/>
      <c r="Q1504" s="146" t="n"/>
      <c r="R1504" s="146" t="n"/>
      <c r="S1504" s="146" t="n"/>
      <c r="T1504" s="146" t="n"/>
      <c r="U1504" s="146" t="n"/>
      <c r="V1504" s="146" t="n"/>
      <c r="W1504" s="146" t="n"/>
      <c r="X1504" s="146" t="n"/>
      <c r="Y1504" s="146" t="n"/>
      <c r="Z1504" s="143" t="n"/>
      <c r="AA1504" t="inlineStr">
        <is>
          <t>Not found in PDF</t>
        </is>
      </c>
      <c r="AC1504" t="inlineStr">
        <is>
          <t>Low</t>
        </is>
      </c>
      <c r="AM1504" t="inlineStr">
        <is>
          <t>all pages</t>
        </is>
      </c>
      <c r="AN1504" t="inlineStr">
        <is>
          <t>No</t>
        </is>
      </c>
      <c r="AO1504" t="inlineStr">
        <is>
          <t>no sheet column/value supplied</t>
        </is>
      </c>
    </row>
    <row r="1505">
      <c r="A1505" s="203">
        <f>ROW()-1</f>
        <v/>
      </c>
      <c r="B1505" s="133" t="n"/>
      <c r="C1505" s="263" t="n"/>
      <c r="D1505" s="264" t="n"/>
      <c r="E1505" s="133" t="n"/>
      <c r="F1505" s="4" t="inlineStr">
        <is>
          <t>SPARE</t>
        </is>
      </c>
      <c r="G1505" s="131" t="n"/>
      <c r="H1505" s="133" t="n"/>
      <c r="I1505" s="131" t="inlineStr">
        <is>
          <t>RL7-INTSL-RIO1</t>
        </is>
      </c>
      <c r="J1505" s="133" t="n">
        <v>18</v>
      </c>
      <c r="K1505" s="129" t="n">
        <v>8</v>
      </c>
      <c r="L1505" s="129" t="n">
        <v>7</v>
      </c>
      <c r="M1505" s="129" t="inlineStr">
        <is>
          <t>4-20 mA AI</t>
        </is>
      </c>
      <c r="N1505" s="129" t="inlineStr">
        <is>
          <t>5069-IF8</t>
        </is>
      </c>
      <c r="O1505" s="160" t="n"/>
      <c r="P1505" s="146" t="n"/>
      <c r="Q1505" s="146" t="n"/>
      <c r="R1505" s="146" t="n"/>
      <c r="S1505" s="146" t="n"/>
      <c r="T1505" s="146" t="n"/>
      <c r="U1505" s="146" t="n"/>
      <c r="V1505" s="146" t="n"/>
      <c r="W1505" s="146" t="n"/>
      <c r="X1505" s="146" t="n"/>
      <c r="Y1505" s="146" t="n"/>
      <c r="Z1505" s="143" t="n"/>
    </row>
    <row r="1506" customFormat="1" s="136">
      <c r="A1506" s="203">
        <f>ROW()-1</f>
        <v/>
      </c>
      <c r="B1506" s="133" t="n"/>
      <c r="C1506" s="264" t="n"/>
      <c r="D1506" s="264" t="n"/>
      <c r="E1506" s="133" t="n"/>
      <c r="F1506" s="4" t="inlineStr">
        <is>
          <t>SPARE</t>
        </is>
      </c>
      <c r="G1506" s="131" t="n"/>
      <c r="H1506" s="133" t="n"/>
      <c r="I1506" s="131" t="inlineStr">
        <is>
          <t>RL7-INTSL-RIO1</t>
        </is>
      </c>
      <c r="J1506" s="133" t="n">
        <v>18</v>
      </c>
      <c r="K1506" s="129" t="n">
        <v>9</v>
      </c>
      <c r="L1506" s="129" t="n">
        <v>4</v>
      </c>
      <c r="M1506" s="129" t="inlineStr">
        <is>
          <t>4-20 mA AI</t>
        </is>
      </c>
      <c r="N1506" s="129" t="inlineStr">
        <is>
          <t>5069-IF8</t>
        </is>
      </c>
      <c r="O1506" s="160" t="n"/>
      <c r="P1506" s="146" t="n"/>
      <c r="Q1506" s="146" t="n"/>
      <c r="R1506" s="146" t="n"/>
      <c r="S1506" s="146" t="n"/>
      <c r="T1506" s="146" t="n"/>
      <c r="U1506" s="146" t="n"/>
      <c r="V1506" s="146" t="n"/>
      <c r="W1506" s="146" t="n"/>
      <c r="X1506" s="146" t="n"/>
      <c r="Y1506" s="146" t="n"/>
      <c r="Z1506" s="143" t="inlineStr">
        <is>
          <t>MULTI-VARIABLE XMTR, INCLUDES PRESSURE &amp; TEMP</t>
        </is>
      </c>
    </row>
    <row r="1507">
      <c r="A1507" s="203">
        <f>ROW()-1</f>
        <v/>
      </c>
      <c r="B1507" s="133" t="n"/>
      <c r="C1507" s="264" t="n"/>
      <c r="D1507" s="264" t="n"/>
      <c r="E1507" s="133" t="n"/>
      <c r="F1507" s="4" t="inlineStr">
        <is>
          <t>SPARE</t>
        </is>
      </c>
      <c r="G1507" s="131" t="n"/>
      <c r="H1507" s="133" t="n"/>
      <c r="I1507" s="131" t="inlineStr">
        <is>
          <t>RL7-INTSL-RIO1</t>
        </is>
      </c>
      <c r="J1507" s="133" t="n">
        <v>18</v>
      </c>
      <c r="K1507" s="129" t="n">
        <v>9</v>
      </c>
      <c r="L1507" s="129" t="n">
        <v>5</v>
      </c>
      <c r="M1507" s="129" t="inlineStr">
        <is>
          <t>4-20 mA AI</t>
        </is>
      </c>
      <c r="N1507" s="129" t="inlineStr">
        <is>
          <t>5069-IF8</t>
        </is>
      </c>
      <c r="O1507" s="160" t="n"/>
      <c r="P1507" s="146" t="n"/>
      <c r="Q1507" s="146" t="n"/>
      <c r="R1507" s="146" t="n"/>
      <c r="S1507" s="146" t="n"/>
      <c r="T1507" s="146" t="n"/>
      <c r="U1507" s="146" t="n"/>
      <c r="V1507" s="146" t="n"/>
      <c r="W1507" s="146" t="n"/>
      <c r="X1507" s="146" t="n"/>
      <c r="Y1507" s="146" t="n"/>
      <c r="Z1507" s="143" t="inlineStr">
        <is>
          <t>MULTI-VARIABLE XMTR, INCLUDES PRESSURE &amp; TEMP</t>
        </is>
      </c>
    </row>
    <row r="1508" customFormat="1" s="149">
      <c r="A1508" s="203">
        <f>ROW()-1</f>
        <v/>
      </c>
      <c r="B1508" s="133" t="n"/>
      <c r="C1508" s="264" t="n"/>
      <c r="D1508" s="264" t="n"/>
      <c r="E1508" s="133" t="n"/>
      <c r="F1508" s="4" t="inlineStr">
        <is>
          <t>SPARE</t>
        </is>
      </c>
      <c r="G1508" s="131" t="n"/>
      <c r="H1508" s="133" t="n"/>
      <c r="I1508" s="131" t="inlineStr">
        <is>
          <t>RL7-INTSL-RIO1</t>
        </is>
      </c>
      <c r="J1508" s="133" t="n">
        <v>18</v>
      </c>
      <c r="K1508" s="129" t="n">
        <v>9</v>
      </c>
      <c r="L1508" s="129" t="n">
        <v>6</v>
      </c>
      <c r="M1508" s="129" t="inlineStr">
        <is>
          <t>4-20 mA AI</t>
        </is>
      </c>
      <c r="N1508" s="129" t="inlineStr">
        <is>
          <t>5069-IF8</t>
        </is>
      </c>
      <c r="O1508" s="160" t="n"/>
      <c r="P1508" s="146" t="n"/>
      <c r="Q1508" s="146" t="n"/>
      <c r="R1508" s="146" t="n"/>
      <c r="S1508" s="146" t="n"/>
      <c r="T1508" s="146" t="n"/>
      <c r="U1508" s="146" t="n"/>
      <c r="V1508" s="146" t="n"/>
      <c r="W1508" s="146" t="n"/>
      <c r="X1508" s="146" t="n"/>
      <c r="Y1508" s="146" t="n"/>
      <c r="Z1508" s="143" t="inlineStr">
        <is>
          <t>MULTI-VARIABLE XMTR, INCLUDES PRESSURE &amp; TEMP</t>
        </is>
      </c>
    </row>
    <row r="1509" customFormat="1" s="149">
      <c r="A1509" s="203">
        <f>ROW()-1</f>
        <v/>
      </c>
      <c r="B1509" s="133" t="n"/>
      <c r="C1509" s="263" t="n"/>
      <c r="D1509" s="264" t="n"/>
      <c r="E1509" s="133" t="n"/>
      <c r="F1509" s="4" t="inlineStr">
        <is>
          <t>SPARE</t>
        </is>
      </c>
      <c r="G1509" s="131" t="n"/>
      <c r="H1509" s="133" t="n"/>
      <c r="I1509" s="131" t="inlineStr">
        <is>
          <t>RL7-INTSL-RIO1</t>
        </is>
      </c>
      <c r="J1509" s="133" t="n">
        <v>18</v>
      </c>
      <c r="K1509" s="129" t="n">
        <v>9</v>
      </c>
      <c r="L1509" s="129" t="n">
        <v>7</v>
      </c>
      <c r="M1509" s="129" t="inlineStr">
        <is>
          <t>4-20 mA AI</t>
        </is>
      </c>
      <c r="N1509" s="129" t="inlineStr">
        <is>
          <t>5069-IF8</t>
        </is>
      </c>
      <c r="O1509" s="160" t="n"/>
      <c r="P1509" s="146" t="n"/>
      <c r="Q1509" s="146" t="n"/>
      <c r="R1509" s="146" t="n"/>
      <c r="S1509" s="146" t="n"/>
      <c r="T1509" s="146" t="n"/>
      <c r="U1509" s="146" t="n"/>
      <c r="V1509" s="146" t="n"/>
      <c r="W1509" s="146" t="n"/>
      <c r="X1509" s="146" t="n"/>
      <c r="Y1509" s="146" t="n"/>
      <c r="Z1509" s="143" t="n"/>
    </row>
    <row r="1510" customFormat="1" s="149">
      <c r="A1510" s="203">
        <f>ROW()-1</f>
        <v/>
      </c>
      <c r="B1510" s="133" t="n"/>
      <c r="C1510" s="264" t="n"/>
      <c r="D1510" s="264" t="n"/>
      <c r="E1510" s="133" t="n"/>
      <c r="F1510" s="4" t="inlineStr">
        <is>
          <t>SPARE</t>
        </is>
      </c>
      <c r="G1510" s="131" t="n"/>
      <c r="H1510" s="133" t="n"/>
      <c r="I1510" s="131" t="inlineStr">
        <is>
          <t>RL7-INTSL-RIO1</t>
        </is>
      </c>
      <c r="J1510" s="133" t="n">
        <v>18</v>
      </c>
      <c r="K1510" s="129" t="n">
        <v>10</v>
      </c>
      <c r="L1510" s="129" t="n">
        <v>5</v>
      </c>
      <c r="M1510" s="129" t="inlineStr">
        <is>
          <t>4-20 mA AI</t>
        </is>
      </c>
      <c r="N1510" s="129" t="inlineStr">
        <is>
          <t>5069-IF8</t>
        </is>
      </c>
      <c r="O1510" s="160" t="n"/>
      <c r="P1510" s="146" t="n"/>
      <c r="Q1510" s="146" t="n"/>
      <c r="R1510" s="146" t="n"/>
      <c r="S1510" s="146" t="n"/>
      <c r="T1510" s="146" t="n"/>
      <c r="U1510" s="146" t="n"/>
      <c r="V1510" s="146" t="n"/>
      <c r="W1510" s="146" t="n"/>
      <c r="X1510" s="146" t="n"/>
      <c r="Y1510" s="146" t="n"/>
      <c r="Z1510" s="143" t="inlineStr">
        <is>
          <t>MULTI-VARIABLE XMTR, INCLUDES PRESSURE &amp; TEMP</t>
        </is>
      </c>
    </row>
    <row r="1511" customFormat="1" s="149">
      <c r="A1511" s="203">
        <f>ROW()-1</f>
        <v/>
      </c>
      <c r="B1511" s="133" t="n"/>
      <c r="C1511" s="264" t="n"/>
      <c r="D1511" s="264" t="n"/>
      <c r="E1511" s="133" t="n"/>
      <c r="F1511" s="4" t="inlineStr">
        <is>
          <t>SPARE</t>
        </is>
      </c>
      <c r="G1511" s="131" t="n"/>
      <c r="H1511" s="133" t="n"/>
      <c r="I1511" s="131" t="inlineStr">
        <is>
          <t>RL7-INTSL-RIO1</t>
        </is>
      </c>
      <c r="J1511" s="133" t="n">
        <v>18</v>
      </c>
      <c r="K1511" s="129" t="n">
        <v>10</v>
      </c>
      <c r="L1511" s="129" t="n">
        <v>6</v>
      </c>
      <c r="M1511" s="129" t="inlineStr">
        <is>
          <t>4-20 mA AI</t>
        </is>
      </c>
      <c r="N1511" s="129" t="inlineStr">
        <is>
          <t>5069-IF8</t>
        </is>
      </c>
      <c r="O1511" s="160" t="n"/>
      <c r="P1511" s="146" t="n"/>
      <c r="Q1511" s="146" t="n"/>
      <c r="R1511" s="146" t="n"/>
      <c r="S1511" s="146" t="n"/>
      <c r="T1511" s="146" t="n"/>
      <c r="U1511" s="146" t="n"/>
      <c r="V1511" s="146" t="n"/>
      <c r="W1511" s="146" t="n"/>
      <c r="X1511" s="146" t="n"/>
      <c r="Y1511" s="146" t="n"/>
      <c r="Z1511" s="143" t="inlineStr">
        <is>
          <t>MULTI-VARIABLE XMTR, INCLUDES PRESSURE &amp; TEMP</t>
        </is>
      </c>
    </row>
    <row r="1512">
      <c r="A1512" s="203">
        <f>ROW()-1</f>
        <v/>
      </c>
      <c r="B1512" s="133" t="n"/>
      <c r="C1512" s="263" t="n"/>
      <c r="D1512" s="264" t="n"/>
      <c r="E1512" s="133" t="n"/>
      <c r="F1512" s="4" t="inlineStr">
        <is>
          <t>SPARE</t>
        </is>
      </c>
      <c r="G1512" s="131" t="n"/>
      <c r="H1512" s="133" t="n"/>
      <c r="I1512" s="131" t="inlineStr">
        <is>
          <t>RL7-INTSL-RIO1</t>
        </is>
      </c>
      <c r="J1512" s="133" t="n">
        <v>18</v>
      </c>
      <c r="K1512" s="129" t="n">
        <v>10</v>
      </c>
      <c r="L1512" s="129" t="n">
        <v>7</v>
      </c>
      <c r="M1512" s="129" t="inlineStr">
        <is>
          <t>4-20 mA AI</t>
        </is>
      </c>
      <c r="N1512" s="129" t="inlineStr">
        <is>
          <t>5069-IF8</t>
        </is>
      </c>
      <c r="O1512" s="160" t="n"/>
      <c r="P1512" s="146" t="n"/>
      <c r="Q1512" s="146" t="n"/>
      <c r="R1512" s="146" t="n"/>
      <c r="S1512" s="146" t="n"/>
      <c r="T1512" s="146" t="n"/>
      <c r="U1512" s="146" t="n"/>
      <c r="V1512" s="146" t="n"/>
      <c r="W1512" s="146" t="n"/>
      <c r="X1512" s="146" t="n"/>
      <c r="Y1512" s="146" t="n"/>
      <c r="Z1512" s="143" t="n"/>
    </row>
    <row r="1513" customFormat="1" s="149">
      <c r="A1513" s="203">
        <f>ROW()-1</f>
        <v/>
      </c>
      <c r="B1513" s="128" t="n"/>
      <c r="C1513" s="263" t="n"/>
      <c r="D1513" s="262" t="n"/>
      <c r="E1513" s="128" t="n"/>
      <c r="F1513" s="138" t="inlineStr">
        <is>
          <t>ADDRESS RESERVE MODULE</t>
        </is>
      </c>
      <c r="G1513" s="131" t="n"/>
      <c r="H1513" s="128" t="n"/>
      <c r="I1513" s="131" t="inlineStr">
        <is>
          <t>RL7-INTSL-RIO1</t>
        </is>
      </c>
      <c r="J1513" s="133" t="n">
        <v>18</v>
      </c>
      <c r="K1513" s="129" t="n">
        <v>11</v>
      </c>
      <c r="L1513" s="129" t="n">
        <v>0</v>
      </c>
      <c r="M1513" s="129" t="inlineStr">
        <is>
          <t>ARM</t>
        </is>
      </c>
      <c r="N1513" s="129" t="inlineStr">
        <is>
          <t>5069-ARM</t>
        </is>
      </c>
      <c r="O1513" s="139" t="n"/>
      <c r="P1513" s="127" t="n"/>
      <c r="Q1513" s="127" t="n"/>
      <c r="R1513" s="127" t="n"/>
      <c r="S1513" s="127" t="n"/>
      <c r="T1513" s="127" t="n"/>
      <c r="U1513" s="127" t="n"/>
      <c r="V1513" s="127" t="n"/>
      <c r="W1513" s="127" t="n"/>
      <c r="X1513" s="127" t="n"/>
      <c r="Y1513" s="127" t="n"/>
      <c r="Z1513" s="140" t="n"/>
    </row>
    <row r="1514" customFormat="1" s="149">
      <c r="A1514" s="203">
        <f>ROW()-1</f>
        <v/>
      </c>
      <c r="B1514" s="133" t="n"/>
      <c r="C1514" s="263" t="n"/>
      <c r="D1514" s="264" t="n"/>
      <c r="E1514" s="133" t="n"/>
      <c r="F1514" s="141" t="inlineStr">
        <is>
          <t>SPARE</t>
        </is>
      </c>
      <c r="G1514" s="131" t="n"/>
      <c r="H1514" s="133" t="n"/>
      <c r="I1514" s="131" t="inlineStr">
        <is>
          <t>RL7-INTSL-RIO1</t>
        </is>
      </c>
      <c r="J1514" s="133" t="n">
        <v>18</v>
      </c>
      <c r="K1514" s="129" t="n">
        <v>12</v>
      </c>
      <c r="L1514" s="129" t="n">
        <v>4</v>
      </c>
      <c r="M1514" s="129" t="inlineStr">
        <is>
          <t>4-20 mA AO</t>
        </is>
      </c>
      <c r="N1514" s="129" t="inlineStr">
        <is>
          <t>5069-OF8</t>
        </is>
      </c>
      <c r="O1514" s="160" t="n"/>
      <c r="P1514" s="146" t="n"/>
      <c r="Q1514" s="146" t="n"/>
      <c r="R1514" s="146" t="n"/>
      <c r="S1514" s="146" t="n"/>
      <c r="T1514" s="146" t="n"/>
      <c r="U1514" s="146" t="n"/>
      <c r="V1514" s="146" t="n"/>
      <c r="W1514" s="146" t="n"/>
      <c r="X1514" s="146" t="n"/>
      <c r="Y1514" s="146" t="n"/>
      <c r="Z1514" s="143" t="n"/>
    </row>
    <row r="1515" customFormat="1" s="149">
      <c r="A1515" s="203">
        <f>ROW()-1</f>
        <v/>
      </c>
      <c r="B1515" s="133" t="n"/>
      <c r="C1515" s="263" t="n"/>
      <c r="D1515" s="264" t="n"/>
      <c r="E1515" s="133" t="n"/>
      <c r="F1515" s="141" t="inlineStr">
        <is>
          <t>SPARE</t>
        </is>
      </c>
      <c r="G1515" s="131" t="n"/>
      <c r="H1515" s="133" t="n"/>
      <c r="I1515" s="131" t="inlineStr">
        <is>
          <t>RL7-INTSL-RIO1</t>
        </is>
      </c>
      <c r="J1515" s="133" t="n">
        <v>18</v>
      </c>
      <c r="K1515" s="129" t="n">
        <v>12</v>
      </c>
      <c r="L1515" s="129" t="n">
        <v>5</v>
      </c>
      <c r="M1515" s="129" t="inlineStr">
        <is>
          <t>4-20 mA AO</t>
        </is>
      </c>
      <c r="N1515" s="129" t="inlineStr">
        <is>
          <t>5069-OF8</t>
        </is>
      </c>
      <c r="O1515" s="160" t="n"/>
      <c r="P1515" s="146" t="n"/>
      <c r="Q1515" s="146" t="n"/>
      <c r="R1515" s="146" t="n"/>
      <c r="S1515" s="146" t="n"/>
      <c r="T1515" s="146" t="n"/>
      <c r="U1515" s="146" t="n"/>
      <c r="V1515" s="146" t="n"/>
      <c r="W1515" s="146" t="n"/>
      <c r="X1515" s="146" t="n"/>
      <c r="Y1515" s="146" t="n"/>
      <c r="Z1515" s="143" t="n"/>
    </row>
    <row r="1516">
      <c r="A1516" s="203">
        <f>ROW()-1</f>
        <v/>
      </c>
      <c r="B1516" s="133" t="n"/>
      <c r="C1516" s="263" t="n"/>
      <c r="D1516" s="264" t="n"/>
      <c r="E1516" s="133" t="n"/>
      <c r="F1516" s="141" t="inlineStr">
        <is>
          <t>SPARE</t>
        </is>
      </c>
      <c r="G1516" s="131" t="n"/>
      <c r="H1516" s="133" t="n"/>
      <c r="I1516" s="131" t="inlineStr">
        <is>
          <t>RL7-INTSL-RIO1</t>
        </is>
      </c>
      <c r="J1516" s="133" t="n">
        <v>18</v>
      </c>
      <c r="K1516" s="129" t="n">
        <v>12</v>
      </c>
      <c r="L1516" s="129" t="n">
        <v>6</v>
      </c>
      <c r="M1516" s="129" t="inlineStr">
        <is>
          <t>4-20 mA AO</t>
        </is>
      </c>
      <c r="N1516" s="129" t="inlineStr">
        <is>
          <t>5069-OF8</t>
        </is>
      </c>
      <c r="O1516" s="160" t="n"/>
      <c r="P1516" s="146" t="n"/>
      <c r="Q1516" s="146" t="n"/>
      <c r="R1516" s="146" t="n"/>
      <c r="S1516" s="146" t="n"/>
      <c r="T1516" s="146" t="n"/>
      <c r="U1516" s="146" t="n"/>
      <c r="V1516" s="146" t="n"/>
      <c r="W1516" s="146" t="n"/>
      <c r="X1516" s="146" t="n"/>
      <c r="Y1516" s="146" t="n"/>
      <c r="Z1516" s="143" t="n"/>
    </row>
    <row r="1517">
      <c r="A1517" s="203">
        <f>ROW()-1</f>
        <v/>
      </c>
      <c r="B1517" s="133" t="n"/>
      <c r="C1517" s="263" t="n"/>
      <c r="D1517" s="264" t="n"/>
      <c r="E1517" s="133" t="n"/>
      <c r="F1517" s="141" t="inlineStr">
        <is>
          <t>SPARE</t>
        </is>
      </c>
      <c r="G1517" s="131" t="n"/>
      <c r="H1517" s="133" t="n"/>
      <c r="I1517" s="131" t="inlineStr">
        <is>
          <t>RL7-INTSL-RIO1</t>
        </is>
      </c>
      <c r="J1517" s="133" t="n">
        <v>18</v>
      </c>
      <c r="K1517" s="129" t="n">
        <v>12</v>
      </c>
      <c r="L1517" s="129" t="n">
        <v>7</v>
      </c>
      <c r="M1517" s="129" t="inlineStr">
        <is>
          <t>4-20 mA AO</t>
        </is>
      </c>
      <c r="N1517" s="129" t="inlineStr">
        <is>
          <t>5069-OF8</t>
        </is>
      </c>
      <c r="O1517" s="160" t="n"/>
      <c r="P1517" s="146" t="n"/>
      <c r="Q1517" s="146" t="n"/>
      <c r="R1517" s="146" t="n"/>
      <c r="S1517" s="146" t="n"/>
      <c r="T1517" s="146" t="n"/>
      <c r="U1517" s="146" t="n"/>
      <c r="V1517" s="146" t="n"/>
      <c r="W1517" s="146" t="n"/>
      <c r="X1517" s="146" t="n"/>
      <c r="Y1517" s="146" t="n"/>
      <c r="Z1517" s="143" t="n"/>
    </row>
    <row r="1518">
      <c r="A1518" s="203">
        <f>ROW()-1</f>
        <v/>
      </c>
      <c r="B1518" s="133" t="n"/>
      <c r="C1518" s="263" t="n"/>
      <c r="D1518" s="264" t="n"/>
      <c r="E1518" s="133" t="n"/>
      <c r="F1518" s="141" t="inlineStr">
        <is>
          <t>SPARE</t>
        </is>
      </c>
      <c r="G1518" s="131" t="n"/>
      <c r="H1518" s="133" t="n"/>
      <c r="I1518" s="131" t="inlineStr">
        <is>
          <t>RL7-INTSL-RIO1</t>
        </is>
      </c>
      <c r="J1518" s="133" t="n">
        <v>18</v>
      </c>
      <c r="K1518" s="129" t="n">
        <v>13</v>
      </c>
      <c r="L1518" s="129" t="n">
        <v>4</v>
      </c>
      <c r="M1518" s="129" t="inlineStr">
        <is>
          <t>4-20 mA AO</t>
        </is>
      </c>
      <c r="N1518" s="129" t="inlineStr">
        <is>
          <t>5069-OF8</t>
        </is>
      </c>
      <c r="O1518" s="160" t="n"/>
      <c r="P1518" s="146" t="n"/>
      <c r="Q1518" s="146" t="n"/>
      <c r="R1518" s="146" t="n"/>
      <c r="S1518" s="146" t="n"/>
      <c r="T1518" s="146" t="n"/>
      <c r="U1518" s="146" t="n"/>
      <c r="V1518" s="146" t="n"/>
      <c r="W1518" s="146" t="n"/>
      <c r="X1518" s="146" t="n"/>
      <c r="Y1518" s="146" t="n"/>
      <c r="Z1518" s="143" t="n"/>
    </row>
    <row r="1519">
      <c r="A1519" s="203">
        <f>ROW()-1</f>
        <v/>
      </c>
      <c r="B1519" s="133" t="n"/>
      <c r="C1519" s="263" t="n"/>
      <c r="D1519" s="264" t="n"/>
      <c r="E1519" s="133" t="n"/>
      <c r="F1519" s="141" t="inlineStr">
        <is>
          <t>SPARE</t>
        </is>
      </c>
      <c r="G1519" s="131" t="n"/>
      <c r="H1519" s="133" t="n"/>
      <c r="I1519" s="131" t="inlineStr">
        <is>
          <t>RL7-INTSL-RIO1</t>
        </is>
      </c>
      <c r="J1519" s="133" t="n">
        <v>18</v>
      </c>
      <c r="K1519" s="129" t="n">
        <v>13</v>
      </c>
      <c r="L1519" s="129" t="n">
        <v>5</v>
      </c>
      <c r="M1519" s="129" t="inlineStr">
        <is>
          <t>4-20 mA AO</t>
        </is>
      </c>
      <c r="N1519" s="129" t="inlineStr">
        <is>
          <t>5069-OF8</t>
        </is>
      </c>
      <c r="O1519" s="160" t="n"/>
      <c r="P1519" s="146" t="n"/>
      <c r="Q1519" s="146" t="n"/>
      <c r="R1519" s="146" t="n"/>
      <c r="S1519" s="146" t="n"/>
      <c r="T1519" s="146" t="n"/>
      <c r="U1519" s="146" t="n"/>
      <c r="V1519" s="146" t="n"/>
      <c r="W1519" s="146" t="n"/>
      <c r="X1519" s="146" t="n"/>
      <c r="Y1519" s="146" t="n"/>
      <c r="Z1519" s="143" t="n"/>
    </row>
    <row r="1520">
      <c r="A1520" s="203">
        <f>ROW()-1</f>
        <v/>
      </c>
      <c r="B1520" s="133" t="n"/>
      <c r="C1520" s="263" t="n"/>
      <c r="D1520" s="264" t="n"/>
      <c r="E1520" s="133" t="n"/>
      <c r="F1520" s="141" t="inlineStr">
        <is>
          <t>SPARE</t>
        </is>
      </c>
      <c r="G1520" s="131" t="n"/>
      <c r="H1520" s="133" t="n"/>
      <c r="I1520" s="131" t="inlineStr">
        <is>
          <t>RL7-INTSL-RIO1</t>
        </is>
      </c>
      <c r="J1520" s="133" t="n">
        <v>18</v>
      </c>
      <c r="K1520" s="129" t="n">
        <v>13</v>
      </c>
      <c r="L1520" s="129" t="n">
        <v>6</v>
      </c>
      <c r="M1520" s="129" t="inlineStr">
        <is>
          <t>4-20 mA AO</t>
        </is>
      </c>
      <c r="N1520" s="129" t="inlineStr">
        <is>
          <t>5069-OF8</t>
        </is>
      </c>
      <c r="O1520" s="160" t="n"/>
      <c r="P1520" s="146" t="n"/>
      <c r="Q1520" s="146" t="n"/>
      <c r="R1520" s="146" t="n"/>
      <c r="S1520" s="146" t="n"/>
      <c r="T1520" s="146" t="n"/>
      <c r="U1520" s="146" t="n"/>
      <c r="V1520" s="146" t="n"/>
      <c r="W1520" s="146" t="n"/>
      <c r="X1520" s="146" t="n"/>
      <c r="Y1520" s="146" t="n"/>
      <c r="Z1520" s="143" t="n"/>
    </row>
    <row r="1521" customFormat="1" s="136">
      <c r="A1521" s="203">
        <f>ROW()-1</f>
        <v/>
      </c>
      <c r="B1521" s="133" t="n"/>
      <c r="C1521" s="263" t="n"/>
      <c r="D1521" s="264" t="n"/>
      <c r="E1521" s="133" t="n"/>
      <c r="F1521" s="141" t="inlineStr">
        <is>
          <t>SPARE</t>
        </is>
      </c>
      <c r="G1521" s="131" t="n"/>
      <c r="H1521" s="133" t="n"/>
      <c r="I1521" s="131" t="inlineStr">
        <is>
          <t>RL7-INTSL-RIO1</t>
        </is>
      </c>
      <c r="J1521" s="133" t="n">
        <v>18</v>
      </c>
      <c r="K1521" s="129" t="n">
        <v>13</v>
      </c>
      <c r="L1521" s="129" t="n">
        <v>7</v>
      </c>
      <c r="M1521" s="129" t="inlineStr">
        <is>
          <t>4-20 mA AO</t>
        </is>
      </c>
      <c r="N1521" s="129" t="inlineStr">
        <is>
          <t>5069-OF8</t>
        </is>
      </c>
      <c r="O1521" s="160" t="n"/>
      <c r="P1521" s="146" t="n"/>
      <c r="Q1521" s="146" t="n"/>
      <c r="R1521" s="146" t="n"/>
      <c r="S1521" s="146" t="n"/>
      <c r="T1521" s="146" t="n"/>
      <c r="U1521" s="146" t="n"/>
      <c r="V1521" s="146" t="n"/>
      <c r="W1521" s="146" t="n"/>
      <c r="X1521" s="146" t="n"/>
      <c r="Y1521" s="146" t="n"/>
      <c r="Z1521" s="143" t="n"/>
    </row>
    <row r="1522">
      <c r="A1522" s="203">
        <f>ROW()-1</f>
        <v/>
      </c>
      <c r="B1522" s="133" t="n"/>
      <c r="C1522" s="263" t="n"/>
      <c r="D1522" s="264" t="n"/>
      <c r="E1522" s="133" t="n"/>
      <c r="F1522" s="141" t="inlineStr">
        <is>
          <t>SPARE</t>
        </is>
      </c>
      <c r="G1522" s="131" t="n"/>
      <c r="H1522" s="133" t="n"/>
      <c r="I1522" s="131" t="inlineStr">
        <is>
          <t>RL7-INTSL-RIO1</t>
        </is>
      </c>
      <c r="J1522" s="133" t="n">
        <v>18</v>
      </c>
      <c r="K1522" s="129" t="n">
        <v>14</v>
      </c>
      <c r="L1522" s="129" t="n">
        <v>10</v>
      </c>
      <c r="M1522" s="129" t="inlineStr">
        <is>
          <t>24 VDC DO</t>
        </is>
      </c>
      <c r="N1522" s="129" t="inlineStr">
        <is>
          <t>5069-OB16</t>
        </is>
      </c>
      <c r="O1522" s="146" t="n"/>
      <c r="P1522" s="146" t="n"/>
      <c r="Q1522" s="146" t="n"/>
      <c r="R1522" s="146" t="n"/>
      <c r="S1522" s="146" t="n"/>
      <c r="T1522" s="146" t="n"/>
      <c r="U1522" s="146" t="n"/>
      <c r="V1522" s="146" t="n"/>
      <c r="W1522" s="146" t="n"/>
      <c r="X1522" s="146" t="n"/>
      <c r="Y1522" s="146" t="n"/>
      <c r="Z1522" s="143" t="n"/>
    </row>
    <row r="1523">
      <c r="A1523" s="203">
        <f>ROW()-1</f>
        <v/>
      </c>
      <c r="B1523" s="133" t="n"/>
      <c r="C1523" s="263" t="n"/>
      <c r="D1523" s="264" t="n"/>
      <c r="E1523" s="133" t="n"/>
      <c r="F1523" s="141" t="inlineStr">
        <is>
          <t>SPARE</t>
        </is>
      </c>
      <c r="G1523" s="131" t="n"/>
      <c r="H1523" s="133" t="n"/>
      <c r="I1523" s="131" t="inlineStr">
        <is>
          <t>RL7-INTSL-RIO1</t>
        </is>
      </c>
      <c r="J1523" s="133" t="n">
        <v>18</v>
      </c>
      <c r="K1523" s="129" t="n">
        <v>14</v>
      </c>
      <c r="L1523" s="129" t="n">
        <v>11</v>
      </c>
      <c r="M1523" s="129" t="inlineStr">
        <is>
          <t>24 VDC DO</t>
        </is>
      </c>
      <c r="N1523" s="129" t="inlineStr">
        <is>
          <t>5069-OB16</t>
        </is>
      </c>
      <c r="O1523" s="146" t="n"/>
      <c r="P1523" s="146" t="n"/>
      <c r="Q1523" s="146" t="n"/>
      <c r="R1523" s="146" t="n"/>
      <c r="S1523" s="146" t="n"/>
      <c r="T1523" s="146" t="n"/>
      <c r="U1523" s="146" t="n"/>
      <c r="V1523" s="146" t="n"/>
      <c r="W1523" s="146" t="n"/>
      <c r="X1523" s="146" t="n"/>
      <c r="Y1523" s="146" t="n"/>
      <c r="Z1523" s="143" t="n"/>
    </row>
    <row r="1524">
      <c r="A1524" s="203">
        <f>ROW()-1</f>
        <v/>
      </c>
      <c r="B1524" s="133" t="n"/>
      <c r="C1524" s="263" t="n"/>
      <c r="D1524" s="264" t="n"/>
      <c r="E1524" s="133" t="n"/>
      <c r="F1524" s="141" t="inlineStr">
        <is>
          <t>SPARE</t>
        </is>
      </c>
      <c r="G1524" s="131" t="n"/>
      <c r="H1524" s="133" t="n"/>
      <c r="I1524" s="131" t="inlineStr">
        <is>
          <t>RL7-INTSL-RIO1</t>
        </is>
      </c>
      <c r="J1524" s="133" t="n">
        <v>18</v>
      </c>
      <c r="K1524" s="129" t="n">
        <v>14</v>
      </c>
      <c r="L1524" s="129" t="n">
        <v>12</v>
      </c>
      <c r="M1524" s="129" t="inlineStr">
        <is>
          <t>24 VDC DO</t>
        </is>
      </c>
      <c r="N1524" s="129" t="inlineStr">
        <is>
          <t>5069-OB16</t>
        </is>
      </c>
      <c r="O1524" s="146" t="n"/>
      <c r="P1524" s="146" t="n"/>
      <c r="Q1524" s="146" t="n"/>
      <c r="R1524" s="146" t="n"/>
      <c r="S1524" s="146" t="n"/>
      <c r="T1524" s="146" t="n"/>
      <c r="U1524" s="146" t="n"/>
      <c r="V1524" s="146" t="n"/>
      <c r="W1524" s="146" t="n"/>
      <c r="X1524" s="146" t="n"/>
      <c r="Y1524" s="146" t="n"/>
      <c r="Z1524" s="143" t="n"/>
    </row>
    <row r="1525">
      <c r="A1525" s="203">
        <f>ROW()-1</f>
        <v/>
      </c>
      <c r="B1525" s="133" t="n"/>
      <c r="C1525" s="263" t="n"/>
      <c r="D1525" s="264" t="n"/>
      <c r="E1525" s="133" t="n"/>
      <c r="F1525" s="141" t="inlineStr">
        <is>
          <t>SPARE</t>
        </is>
      </c>
      <c r="G1525" s="131" t="n"/>
      <c r="H1525" s="133" t="n"/>
      <c r="I1525" s="131" t="inlineStr">
        <is>
          <t>RL7-INTSL-RIO1</t>
        </is>
      </c>
      <c r="J1525" s="133" t="n">
        <v>18</v>
      </c>
      <c r="K1525" s="129" t="n">
        <v>14</v>
      </c>
      <c r="L1525" s="129" t="n">
        <v>13</v>
      </c>
      <c r="M1525" s="129" t="inlineStr">
        <is>
          <t>24 VDC DO</t>
        </is>
      </c>
      <c r="N1525" s="129" t="inlineStr">
        <is>
          <t>5069-OB16</t>
        </is>
      </c>
      <c r="O1525" s="146" t="n"/>
      <c r="P1525" s="146" t="n"/>
      <c r="Q1525" s="146" t="n"/>
      <c r="R1525" s="146" t="n"/>
      <c r="S1525" s="146" t="n"/>
      <c r="T1525" s="146" t="n"/>
      <c r="U1525" s="146" t="n"/>
      <c r="V1525" s="146" t="n"/>
      <c r="W1525" s="146" t="n"/>
      <c r="X1525" s="146" t="n"/>
      <c r="Y1525" s="146" t="n"/>
      <c r="Z1525" s="143" t="n"/>
    </row>
    <row r="1526">
      <c r="A1526" s="203">
        <f>ROW()-1</f>
        <v/>
      </c>
      <c r="B1526" s="133" t="n"/>
      <c r="C1526" s="263" t="n"/>
      <c r="D1526" s="264" t="n"/>
      <c r="E1526" s="133" t="n"/>
      <c r="F1526" s="141" t="inlineStr">
        <is>
          <t>SPARE</t>
        </is>
      </c>
      <c r="G1526" s="131" t="n"/>
      <c r="H1526" s="133" t="n"/>
      <c r="I1526" s="131" t="inlineStr">
        <is>
          <t>RL7-INTSL-RIO1</t>
        </is>
      </c>
      <c r="J1526" s="133" t="n">
        <v>18</v>
      </c>
      <c r="K1526" s="129" t="n">
        <v>14</v>
      </c>
      <c r="L1526" s="129" t="n">
        <v>14</v>
      </c>
      <c r="M1526" s="129" t="inlineStr">
        <is>
          <t>24 VDC DO</t>
        </is>
      </c>
      <c r="N1526" s="129" t="inlineStr">
        <is>
          <t>5069-OB16</t>
        </is>
      </c>
      <c r="O1526" s="146" t="n"/>
      <c r="P1526" s="146" t="n"/>
      <c r="Q1526" s="146" t="n"/>
      <c r="R1526" s="146" t="n"/>
      <c r="S1526" s="146" t="n"/>
      <c r="T1526" s="146" t="n"/>
      <c r="U1526" s="146" t="n"/>
      <c r="V1526" s="146" t="n"/>
      <c r="W1526" s="146" t="n"/>
      <c r="X1526" s="146" t="n"/>
      <c r="Y1526" s="146" t="n"/>
      <c r="Z1526" s="143" t="n"/>
    </row>
    <row r="1527">
      <c r="A1527" s="203">
        <f>ROW()-1</f>
        <v/>
      </c>
      <c r="B1527" s="133" t="n"/>
      <c r="C1527" s="263" t="n"/>
      <c r="D1527" s="264" t="n"/>
      <c r="E1527" s="133" t="n"/>
      <c r="F1527" s="141" t="inlineStr">
        <is>
          <t>SPARE</t>
        </is>
      </c>
      <c r="G1527" s="131" t="n"/>
      <c r="H1527" s="133" t="n"/>
      <c r="I1527" s="131" t="inlineStr">
        <is>
          <t>RL7-INTSL-RIO1</t>
        </is>
      </c>
      <c r="J1527" s="133" t="n">
        <v>18</v>
      </c>
      <c r="K1527" s="129" t="n">
        <v>14</v>
      </c>
      <c r="L1527" s="129" t="n">
        <v>15</v>
      </c>
      <c r="M1527" s="129" t="inlineStr">
        <is>
          <t>24 VDC DO</t>
        </is>
      </c>
      <c r="N1527" s="129" t="inlineStr">
        <is>
          <t>5069-OB16</t>
        </is>
      </c>
      <c r="O1527" s="146" t="n"/>
      <c r="P1527" s="146" t="n"/>
      <c r="Q1527" s="146" t="n"/>
      <c r="R1527" s="146" t="n"/>
      <c r="S1527" s="146" t="n"/>
      <c r="T1527" s="146" t="n"/>
      <c r="U1527" s="146" t="n"/>
      <c r="V1527" s="146" t="n"/>
      <c r="W1527" s="146" t="n"/>
      <c r="X1527" s="146" t="n"/>
      <c r="Y1527" s="146" t="n"/>
      <c r="Z1527" s="143" t="n"/>
    </row>
    <row r="1528">
      <c r="A1528" s="203">
        <f>ROW()-1</f>
        <v/>
      </c>
      <c r="B1528" s="128" t="n"/>
      <c r="C1528" s="263" t="n"/>
      <c r="D1528" s="262" t="n"/>
      <c r="E1528" s="128" t="n"/>
      <c r="F1528" s="141" t="inlineStr">
        <is>
          <t>SPARE</t>
        </is>
      </c>
      <c r="G1528" s="131" t="n"/>
      <c r="H1528" s="128" t="n"/>
      <c r="I1528" s="131" t="inlineStr">
        <is>
          <t>RL7-INTSL-RIO1</t>
        </is>
      </c>
      <c r="J1528" s="133" t="n">
        <v>18</v>
      </c>
      <c r="K1528" s="129" t="n">
        <v>15</v>
      </c>
      <c r="L1528" s="129" t="n">
        <v>2</v>
      </c>
      <c r="M1528" s="129" t="inlineStr">
        <is>
          <t>24 VDC SI</t>
        </is>
      </c>
      <c r="N1528" s="129" t="inlineStr">
        <is>
          <t>5069-IB8S</t>
        </is>
      </c>
      <c r="O1528" s="139" t="n"/>
      <c r="P1528" s="127" t="n"/>
      <c r="Q1528" s="127" t="n"/>
      <c r="R1528" s="127" t="n"/>
      <c r="S1528" s="127" t="n"/>
      <c r="T1528" s="127" t="n"/>
      <c r="U1528" s="127" t="n"/>
      <c r="V1528" s="127" t="n"/>
      <c r="W1528" s="127" t="n"/>
      <c r="X1528" s="127" t="n"/>
      <c r="Y1528" s="127" t="n"/>
      <c r="Z1528" s="153" t="n"/>
    </row>
    <row r="1529" customFormat="1" s="136">
      <c r="A1529" s="203">
        <f>ROW()-1</f>
        <v/>
      </c>
      <c r="B1529" s="128" t="n"/>
      <c r="C1529" s="263" t="n"/>
      <c r="D1529" s="262" t="n"/>
      <c r="E1529" s="128" t="n"/>
      <c r="F1529" s="141" t="inlineStr">
        <is>
          <t>SPARE</t>
        </is>
      </c>
      <c r="G1529" s="131" t="n"/>
      <c r="H1529" s="128" t="n"/>
      <c r="I1529" s="131" t="inlineStr">
        <is>
          <t>RL7-INTSL-RIO1</t>
        </is>
      </c>
      <c r="J1529" s="133" t="n">
        <v>18</v>
      </c>
      <c r="K1529" s="129" t="n">
        <v>15</v>
      </c>
      <c r="L1529" s="129" t="n">
        <v>3</v>
      </c>
      <c r="M1529" s="129" t="inlineStr">
        <is>
          <t>24 VDC SI</t>
        </is>
      </c>
      <c r="N1529" s="129" t="inlineStr">
        <is>
          <t>5069-IB8S</t>
        </is>
      </c>
      <c r="O1529" s="139" t="n"/>
      <c r="P1529" s="127" t="n"/>
      <c r="Q1529" s="127" t="n"/>
      <c r="R1529" s="127" t="n"/>
      <c r="S1529" s="127" t="n"/>
      <c r="T1529" s="127" t="n"/>
      <c r="U1529" s="127" t="n"/>
      <c r="V1529" s="127" t="n"/>
      <c r="W1529" s="127" t="n"/>
      <c r="X1529" s="127" t="n"/>
      <c r="Y1529" s="127" t="n"/>
      <c r="Z1529" s="153" t="n"/>
    </row>
    <row r="1530">
      <c r="A1530" s="203">
        <f>ROW()-1</f>
        <v/>
      </c>
      <c r="B1530" s="128" t="n"/>
      <c r="C1530" s="263" t="n"/>
      <c r="D1530" s="262" t="n"/>
      <c r="E1530" s="128" t="n"/>
      <c r="F1530" s="141" t="inlineStr">
        <is>
          <t>SPARE</t>
        </is>
      </c>
      <c r="G1530" s="131" t="n"/>
      <c r="H1530" s="128" t="n"/>
      <c r="I1530" s="131" t="inlineStr">
        <is>
          <t>RL7-INTSL-RIO1</t>
        </is>
      </c>
      <c r="J1530" s="133" t="n">
        <v>18</v>
      </c>
      <c r="K1530" s="129" t="n">
        <v>15</v>
      </c>
      <c r="L1530" s="129" t="n">
        <v>4</v>
      </c>
      <c r="M1530" s="129" t="inlineStr">
        <is>
          <t>24 VDC SI</t>
        </is>
      </c>
      <c r="N1530" s="129" t="inlineStr">
        <is>
          <t>5069-IB8S</t>
        </is>
      </c>
      <c r="O1530" s="139" t="n"/>
      <c r="P1530" s="127" t="n"/>
      <c r="Q1530" s="127" t="n"/>
      <c r="R1530" s="127" t="n"/>
      <c r="S1530" s="127" t="n"/>
      <c r="T1530" s="127" t="n"/>
      <c r="U1530" s="127" t="n"/>
      <c r="V1530" s="127" t="n"/>
      <c r="W1530" s="127" t="n"/>
      <c r="X1530" s="127" t="n"/>
      <c r="Y1530" s="127" t="n"/>
      <c r="Z1530" s="153" t="n"/>
    </row>
    <row r="1531">
      <c r="A1531" s="203">
        <f>ROW()-1</f>
        <v/>
      </c>
      <c r="B1531" s="128" t="n"/>
      <c r="C1531" s="263" t="n"/>
      <c r="D1531" s="262" t="n"/>
      <c r="E1531" s="128" t="n"/>
      <c r="F1531" s="141" t="inlineStr">
        <is>
          <t>SPARE</t>
        </is>
      </c>
      <c r="G1531" s="131" t="n"/>
      <c r="H1531" s="128" t="n"/>
      <c r="I1531" s="131" t="inlineStr">
        <is>
          <t>RL7-INTSL-RIO1</t>
        </is>
      </c>
      <c r="J1531" s="133" t="n">
        <v>18</v>
      </c>
      <c r="K1531" s="129" t="n">
        <v>15</v>
      </c>
      <c r="L1531" s="129" t="n">
        <v>5</v>
      </c>
      <c r="M1531" s="129" t="inlineStr">
        <is>
          <t>24 VDC SI</t>
        </is>
      </c>
      <c r="N1531" s="129" t="inlineStr">
        <is>
          <t>5069-IB8S</t>
        </is>
      </c>
      <c r="O1531" s="139" t="n"/>
      <c r="P1531" s="127" t="n"/>
      <c r="Q1531" s="127" t="n"/>
      <c r="R1531" s="127" t="n"/>
      <c r="S1531" s="127" t="n"/>
      <c r="T1531" s="127" t="n"/>
      <c r="U1531" s="127" t="n"/>
      <c r="V1531" s="127" t="n"/>
      <c r="W1531" s="127" t="n"/>
      <c r="X1531" s="127" t="n"/>
      <c r="Y1531" s="127" t="n"/>
      <c r="Z1531" s="153" t="n"/>
    </row>
    <row r="1532">
      <c r="A1532" s="203">
        <f>ROW()-1</f>
        <v/>
      </c>
      <c r="B1532" s="128" t="n"/>
      <c r="C1532" s="263" t="n"/>
      <c r="D1532" s="262" t="n"/>
      <c r="E1532" s="128" t="n"/>
      <c r="F1532" s="141" t="inlineStr">
        <is>
          <t>SPARE</t>
        </is>
      </c>
      <c r="G1532" s="131" t="n"/>
      <c r="H1532" s="128" t="n"/>
      <c r="I1532" s="131" t="inlineStr">
        <is>
          <t>RL7-INTSL-RIO1</t>
        </is>
      </c>
      <c r="J1532" s="133" t="n">
        <v>18</v>
      </c>
      <c r="K1532" s="129" t="n">
        <v>15</v>
      </c>
      <c r="L1532" s="129" t="n">
        <v>6</v>
      </c>
      <c r="M1532" s="129" t="inlineStr">
        <is>
          <t>24 VDC SI</t>
        </is>
      </c>
      <c r="N1532" s="129" t="inlineStr">
        <is>
          <t>5069-IB8S</t>
        </is>
      </c>
      <c r="O1532" s="139" t="n"/>
      <c r="P1532" s="127" t="n"/>
      <c r="Z1532" s="220" t="n"/>
    </row>
    <row r="1533">
      <c r="A1533" s="203">
        <f>ROW()-1</f>
        <v/>
      </c>
      <c r="B1533" s="128" t="n"/>
      <c r="C1533" s="263" t="n"/>
      <c r="D1533" s="262" t="n"/>
      <c r="E1533" s="128" t="n"/>
      <c r="F1533" s="141" t="inlineStr">
        <is>
          <t>SPARE</t>
        </is>
      </c>
      <c r="G1533" s="131" t="n"/>
      <c r="H1533" s="128" t="n"/>
      <c r="I1533" s="131" t="inlineStr">
        <is>
          <t>RL7-INTSL-RIO1</t>
        </is>
      </c>
      <c r="J1533" s="133" t="n">
        <v>18</v>
      </c>
      <c r="K1533" s="129" t="n">
        <v>15</v>
      </c>
      <c r="L1533" s="129" t="n">
        <v>7</v>
      </c>
      <c r="M1533" s="129" t="inlineStr">
        <is>
          <t>24 VDC SI</t>
        </is>
      </c>
      <c r="N1533" s="129" t="inlineStr">
        <is>
          <t>5069-IB8S</t>
        </is>
      </c>
      <c r="O1533" s="139" t="n"/>
      <c r="P1533" s="127" t="n"/>
      <c r="Q1533" s="127" t="n"/>
      <c r="R1533" s="127" t="n"/>
      <c r="S1533" s="127" t="n"/>
      <c r="T1533" s="127" t="n"/>
      <c r="U1533" s="127" t="n"/>
      <c r="V1533" s="127" t="n"/>
      <c r="W1533" s="127" t="n"/>
      <c r="X1533" s="127" t="n"/>
      <c r="Y1533" s="127" t="n"/>
      <c r="Z1533" s="153" t="n"/>
    </row>
    <row r="1534">
      <c r="A1534" s="203">
        <f>ROW()-1</f>
        <v/>
      </c>
      <c r="B1534" s="133" t="n"/>
      <c r="C1534" s="263" t="n"/>
      <c r="D1534" s="264" t="n"/>
      <c r="E1534" s="133" t="n"/>
      <c r="F1534" s="141" t="inlineStr">
        <is>
          <t>SPARE</t>
        </is>
      </c>
      <c r="G1534" s="131" t="n"/>
      <c r="H1534" s="133" t="n"/>
      <c r="I1534" s="142" t="inlineStr">
        <is>
          <t>RL7-INTSL-RIO2</t>
        </is>
      </c>
      <c r="J1534" s="133" t="n">
        <v>19</v>
      </c>
      <c r="K1534" s="129" t="n">
        <v>2</v>
      </c>
      <c r="L1534" s="129" t="n">
        <v>12</v>
      </c>
      <c r="M1534" s="129" t="inlineStr">
        <is>
          <t>24 VDC DI</t>
        </is>
      </c>
      <c r="N1534" s="129" t="inlineStr">
        <is>
          <t>5069-IB16</t>
        </is>
      </c>
      <c r="O1534" s="146" t="n"/>
      <c r="P1534" s="146" t="n"/>
      <c r="Q1534" s="146" t="n"/>
      <c r="R1534" s="146" t="n"/>
      <c r="S1534" s="146" t="n"/>
      <c r="T1534" s="146" t="n"/>
      <c r="U1534" s="146" t="n"/>
      <c r="V1534" s="146" t="n"/>
      <c r="W1534" s="146" t="n"/>
      <c r="X1534" s="146" t="n"/>
      <c r="Y1534" s="146" t="n"/>
      <c r="Z1534" s="143" t="n"/>
    </row>
    <row r="1535">
      <c r="A1535" s="203">
        <f>ROW()-1</f>
        <v/>
      </c>
      <c r="B1535" s="133" t="n"/>
      <c r="C1535" s="263" t="n"/>
      <c r="D1535" s="264" t="n"/>
      <c r="E1535" s="133" t="n"/>
      <c r="F1535" s="141" t="inlineStr">
        <is>
          <t>SPARE</t>
        </is>
      </c>
      <c r="G1535" s="131" t="n"/>
      <c r="H1535" s="133" t="n"/>
      <c r="I1535" s="142" t="inlineStr">
        <is>
          <t>RL7-INTSL-RIO2</t>
        </is>
      </c>
      <c r="J1535" s="133" t="n">
        <v>19</v>
      </c>
      <c r="K1535" s="129" t="n">
        <v>2</v>
      </c>
      <c r="L1535" s="129" t="n">
        <v>13</v>
      </c>
      <c r="M1535" s="129" t="inlineStr">
        <is>
          <t>24 VDC DI</t>
        </is>
      </c>
      <c r="N1535" s="129" t="inlineStr">
        <is>
          <t>5069-IB16</t>
        </is>
      </c>
      <c r="O1535" s="146" t="n"/>
      <c r="P1535" s="146" t="n"/>
      <c r="Q1535" s="146" t="n"/>
      <c r="R1535" s="146" t="n"/>
      <c r="S1535" s="146" t="n"/>
      <c r="T1535" s="146" t="n"/>
      <c r="U1535" s="146" t="n"/>
      <c r="V1535" s="146" t="n"/>
      <c r="W1535" s="146" t="n"/>
      <c r="X1535" s="146" t="n"/>
      <c r="Y1535" s="146" t="n"/>
      <c r="Z1535" s="143" t="n"/>
    </row>
    <row r="1536">
      <c r="A1536" s="203">
        <f>ROW()-1</f>
        <v/>
      </c>
      <c r="B1536" s="133" t="n"/>
      <c r="C1536" s="263" t="n"/>
      <c r="D1536" s="264" t="n"/>
      <c r="E1536" s="133" t="n"/>
      <c r="F1536" s="141" t="inlineStr">
        <is>
          <t>SPARE</t>
        </is>
      </c>
      <c r="G1536" s="131" t="n"/>
      <c r="H1536" s="133" t="n"/>
      <c r="I1536" s="142" t="inlineStr">
        <is>
          <t>RL7-INTSL-RIO2</t>
        </is>
      </c>
      <c r="J1536" s="133" t="n">
        <v>19</v>
      </c>
      <c r="K1536" s="129" t="n">
        <v>2</v>
      </c>
      <c r="L1536" s="129" t="n">
        <v>14</v>
      </c>
      <c r="M1536" s="129" t="inlineStr">
        <is>
          <t>24 VDC DI</t>
        </is>
      </c>
      <c r="N1536" s="129" t="inlineStr">
        <is>
          <t>5069-IB16</t>
        </is>
      </c>
      <c r="O1536" s="146" t="n"/>
      <c r="P1536" s="146" t="n"/>
      <c r="Q1536" s="146" t="n"/>
      <c r="R1536" s="146" t="n"/>
      <c r="S1536" s="146" t="n"/>
      <c r="T1536" s="146" t="n"/>
      <c r="U1536" s="146" t="n"/>
      <c r="V1536" s="146" t="n"/>
      <c r="W1536" s="146" t="n"/>
      <c r="X1536" s="146" t="n"/>
      <c r="Y1536" s="146" t="n"/>
      <c r="Z1536" s="143" t="n"/>
    </row>
    <row r="1537">
      <c r="A1537" s="203">
        <f>ROW()-1</f>
        <v/>
      </c>
      <c r="B1537" s="133" t="n"/>
      <c r="C1537" s="263" t="n"/>
      <c r="D1537" s="264" t="n"/>
      <c r="E1537" s="133" t="n"/>
      <c r="F1537" s="141" t="inlineStr">
        <is>
          <t>SPARE</t>
        </is>
      </c>
      <c r="G1537" s="131" t="n"/>
      <c r="H1537" s="133" t="n"/>
      <c r="I1537" s="142" t="inlineStr">
        <is>
          <t>RL7-INTSL-RIO2</t>
        </is>
      </c>
      <c r="J1537" s="133" t="n">
        <v>19</v>
      </c>
      <c r="K1537" s="129" t="n">
        <v>2</v>
      </c>
      <c r="L1537" s="129" t="n">
        <v>15</v>
      </c>
      <c r="M1537" s="129" t="inlineStr">
        <is>
          <t>24 VDC DI</t>
        </is>
      </c>
      <c r="N1537" s="129" t="inlineStr">
        <is>
          <t>5069-IB16</t>
        </is>
      </c>
      <c r="O1537" s="146" t="n"/>
      <c r="P1537" s="146" t="n"/>
      <c r="Q1537" s="146" t="n"/>
      <c r="R1537" s="146" t="n"/>
      <c r="S1537" s="146" t="n"/>
      <c r="T1537" s="146" t="n"/>
      <c r="U1537" s="146" t="n"/>
      <c r="V1537" s="146" t="n"/>
      <c r="W1537" s="146" t="n"/>
      <c r="X1537" s="146" t="n"/>
      <c r="Y1537" s="146" t="n"/>
      <c r="Z1537" s="143" t="n"/>
    </row>
    <row r="1538" customFormat="1" s="136">
      <c r="A1538" s="203">
        <f>ROW()-1</f>
        <v/>
      </c>
      <c r="B1538" s="133" t="n"/>
      <c r="C1538" s="263" t="n"/>
      <c r="D1538" s="264" t="n"/>
      <c r="E1538" s="133" t="n"/>
      <c r="F1538" s="141" t="inlineStr">
        <is>
          <t>SPARE</t>
        </is>
      </c>
      <c r="G1538" s="131" t="n"/>
      <c r="H1538" s="133" t="n"/>
      <c r="I1538" s="142" t="inlineStr">
        <is>
          <t>RL7-INTSL-RIO2</t>
        </is>
      </c>
      <c r="J1538" s="133" t="n">
        <v>19</v>
      </c>
      <c r="K1538" s="129" t="n">
        <v>3</v>
      </c>
      <c r="L1538" s="129" t="n">
        <v>12</v>
      </c>
      <c r="M1538" s="129" t="inlineStr">
        <is>
          <t>24 VDC DI</t>
        </is>
      </c>
      <c r="N1538" s="129" t="inlineStr">
        <is>
          <t>5069-IB16</t>
        </is>
      </c>
      <c r="O1538" s="146" t="n"/>
      <c r="P1538" s="146" t="n"/>
      <c r="Q1538" s="146" t="n"/>
      <c r="R1538" s="146" t="n"/>
      <c r="S1538" s="146" t="n"/>
      <c r="T1538" s="146" t="n"/>
      <c r="U1538" s="146" t="n"/>
      <c r="V1538" s="146" t="n"/>
      <c r="W1538" s="146" t="n"/>
      <c r="X1538" s="146" t="n"/>
      <c r="Y1538" s="146" t="n"/>
      <c r="Z1538" s="143" t="n"/>
    </row>
    <row r="1539">
      <c r="A1539" s="203">
        <f>ROW()-1</f>
        <v/>
      </c>
      <c r="B1539" s="133" t="n"/>
      <c r="C1539" s="263" t="n"/>
      <c r="D1539" s="264" t="n"/>
      <c r="E1539" s="133" t="n"/>
      <c r="F1539" s="141" t="inlineStr">
        <is>
          <t>SPARE</t>
        </is>
      </c>
      <c r="G1539" s="131" t="n"/>
      <c r="H1539" s="133" t="n"/>
      <c r="I1539" s="142" t="inlineStr">
        <is>
          <t>RL7-INTSL-RIO2</t>
        </is>
      </c>
      <c r="J1539" s="133" t="n">
        <v>19</v>
      </c>
      <c r="K1539" s="129" t="n">
        <v>3</v>
      </c>
      <c r="L1539" s="129" t="n">
        <v>13</v>
      </c>
      <c r="M1539" s="129" t="inlineStr">
        <is>
          <t>24 VDC DI</t>
        </is>
      </c>
      <c r="N1539" s="129" t="inlineStr">
        <is>
          <t>5069-IB16</t>
        </is>
      </c>
      <c r="O1539" s="146" t="n"/>
      <c r="P1539" s="146" t="n"/>
      <c r="Q1539" s="146" t="n"/>
      <c r="R1539" s="146" t="n"/>
      <c r="S1539" s="146" t="n"/>
      <c r="T1539" s="146" t="n"/>
      <c r="U1539" s="146" t="n"/>
      <c r="V1539" s="146" t="n"/>
      <c r="W1539" s="146" t="n"/>
      <c r="X1539" s="146" t="n"/>
      <c r="Y1539" s="146" t="n"/>
      <c r="Z1539" s="143" t="n"/>
    </row>
    <row r="1540">
      <c r="A1540" s="203">
        <f>ROW()-1</f>
        <v/>
      </c>
      <c r="B1540" s="133" t="n"/>
      <c r="C1540" s="263" t="n"/>
      <c r="D1540" s="264" t="n"/>
      <c r="E1540" s="133" t="n"/>
      <c r="F1540" s="141" t="inlineStr">
        <is>
          <t>SPARE</t>
        </is>
      </c>
      <c r="G1540" s="131" t="n"/>
      <c r="H1540" s="133" t="n"/>
      <c r="I1540" s="142" t="inlineStr">
        <is>
          <t>RL7-INTSL-RIO2</t>
        </is>
      </c>
      <c r="J1540" s="133" t="n">
        <v>19</v>
      </c>
      <c r="K1540" s="129" t="n">
        <v>3</v>
      </c>
      <c r="L1540" s="129" t="n">
        <v>14</v>
      </c>
      <c r="M1540" s="129" t="inlineStr">
        <is>
          <t>24 VDC DI</t>
        </is>
      </c>
      <c r="N1540" s="129" t="inlineStr">
        <is>
          <t>5069-IB16</t>
        </is>
      </c>
      <c r="O1540" s="146" t="n"/>
      <c r="P1540" s="146" t="n"/>
      <c r="Q1540" s="146" t="n"/>
      <c r="R1540" s="146" t="n"/>
      <c r="S1540" s="146" t="n"/>
      <c r="T1540" s="146" t="n"/>
      <c r="U1540" s="146" t="n"/>
      <c r="V1540" s="146" t="n"/>
      <c r="W1540" s="146" t="n"/>
      <c r="X1540" s="146" t="n"/>
      <c r="Y1540" s="146" t="n"/>
      <c r="Z1540" s="143" t="n"/>
    </row>
    <row r="1541">
      <c r="A1541" s="203">
        <f>ROW()-1</f>
        <v/>
      </c>
      <c r="B1541" s="133" t="n"/>
      <c r="C1541" s="263" t="n"/>
      <c r="D1541" s="264" t="n"/>
      <c r="E1541" s="133" t="n"/>
      <c r="F1541" s="141" t="inlineStr">
        <is>
          <t>SPARE</t>
        </is>
      </c>
      <c r="G1541" s="131" t="n"/>
      <c r="H1541" s="133" t="n"/>
      <c r="I1541" s="142" t="inlineStr">
        <is>
          <t>RL7-INTSL-RIO2</t>
        </is>
      </c>
      <c r="J1541" s="133" t="n">
        <v>19</v>
      </c>
      <c r="K1541" s="129" t="n">
        <v>3</v>
      </c>
      <c r="L1541" s="129" t="n">
        <v>15</v>
      </c>
      <c r="M1541" s="129" t="inlineStr">
        <is>
          <t>24 VDC DI</t>
        </is>
      </c>
      <c r="N1541" s="129" t="inlineStr">
        <is>
          <t>5069-IB16</t>
        </is>
      </c>
      <c r="O1541" s="146" t="n"/>
      <c r="P1541" s="146" t="n"/>
      <c r="Q1541" s="146" t="n"/>
      <c r="R1541" s="146" t="n"/>
      <c r="S1541" s="146" t="n"/>
      <c r="T1541" s="146" t="n"/>
      <c r="U1541" s="146" t="n"/>
      <c r="V1541" s="146" t="n"/>
      <c r="W1541" s="146" t="n"/>
      <c r="X1541" s="146" t="n"/>
      <c r="Y1541" s="146" t="n"/>
      <c r="Z1541" s="143" t="n"/>
    </row>
    <row r="1542">
      <c r="A1542" s="203">
        <f>ROW()-1</f>
        <v/>
      </c>
      <c r="B1542" s="133" t="n"/>
      <c r="C1542" s="263" t="n"/>
      <c r="D1542" s="264" t="n"/>
      <c r="E1542" s="133" t="n"/>
      <c r="F1542" s="141" t="inlineStr">
        <is>
          <t>ADDRESS RESERVE MODULE</t>
        </is>
      </c>
      <c r="G1542" s="142" t="n"/>
      <c r="H1542" s="133" t="n"/>
      <c r="I1542" s="142" t="inlineStr">
        <is>
          <t>RL7-INTSL-RIO2</t>
        </is>
      </c>
      <c r="J1542" s="133" t="n">
        <v>19</v>
      </c>
      <c r="K1542" s="133" t="n">
        <v>4</v>
      </c>
      <c r="L1542" s="133" t="n">
        <v>0</v>
      </c>
      <c r="M1542" s="133" t="inlineStr">
        <is>
          <t>ARM</t>
        </is>
      </c>
      <c r="N1542" s="129" t="inlineStr">
        <is>
          <t>5069-ARM</t>
        </is>
      </c>
      <c r="O1542" s="139" t="n"/>
      <c r="P1542" s="127" t="n"/>
      <c r="Q1542" s="127" t="n"/>
      <c r="R1542" s="127" t="n"/>
      <c r="S1542" s="127" t="n"/>
      <c r="T1542" s="127" t="n"/>
      <c r="U1542" s="127" t="n"/>
      <c r="V1542" s="127" t="n"/>
      <c r="W1542" s="127" t="n"/>
      <c r="X1542" s="127" t="n"/>
      <c r="Y1542" s="127" t="n"/>
      <c r="Z1542" s="140" t="n"/>
    </row>
    <row r="1543">
      <c r="A1543" s="203">
        <f>ROW()-1</f>
        <v/>
      </c>
      <c r="B1543" s="133" t="n"/>
      <c r="C1543" s="263" t="n"/>
      <c r="D1543" s="264" t="n"/>
      <c r="E1543" s="133" t="n"/>
      <c r="F1543" s="141" t="inlineStr">
        <is>
          <t>SPARE</t>
        </is>
      </c>
      <c r="G1543" s="131" t="n"/>
      <c r="H1543" s="133" t="n"/>
      <c r="I1543" s="142" t="inlineStr">
        <is>
          <t>RL7-INTSL-RIO2</t>
        </is>
      </c>
      <c r="J1543" s="133" t="n">
        <v>19</v>
      </c>
      <c r="K1543" s="129" t="n">
        <v>5</v>
      </c>
      <c r="L1543" s="129" t="n">
        <v>14</v>
      </c>
      <c r="M1543" s="129" t="inlineStr">
        <is>
          <t>24 VDC DO</t>
        </is>
      </c>
      <c r="N1543" s="129" t="inlineStr">
        <is>
          <t>5069-OB16</t>
        </is>
      </c>
      <c r="O1543" s="146" t="n"/>
      <c r="P1543" s="146" t="n"/>
      <c r="Q1543" s="146" t="n"/>
      <c r="R1543" s="146" t="n"/>
      <c r="S1543" s="146" t="n"/>
      <c r="T1543" s="146" t="n"/>
      <c r="U1543" s="146" t="n"/>
      <c r="V1543" s="146" t="n"/>
      <c r="W1543" s="146" t="n"/>
      <c r="X1543" s="146" t="n"/>
      <c r="Y1543" s="146" t="n"/>
      <c r="Z1543" s="143" t="n"/>
    </row>
    <row r="1544">
      <c r="A1544" s="203">
        <f>ROW()-1</f>
        <v/>
      </c>
      <c r="B1544" s="133" t="n"/>
      <c r="C1544" s="263" t="n"/>
      <c r="D1544" s="264" t="n"/>
      <c r="E1544" s="133" t="n"/>
      <c r="F1544" s="141" t="inlineStr">
        <is>
          <t>SPARE</t>
        </is>
      </c>
      <c r="G1544" s="131" t="n"/>
      <c r="H1544" s="133" t="n"/>
      <c r="I1544" s="142" t="inlineStr">
        <is>
          <t>RL7-INTSL-RIO2</t>
        </is>
      </c>
      <c r="J1544" s="133" t="n">
        <v>19</v>
      </c>
      <c r="K1544" s="129" t="n">
        <v>5</v>
      </c>
      <c r="L1544" s="129" t="n">
        <v>15</v>
      </c>
      <c r="M1544" s="129" t="inlineStr">
        <is>
          <t>24 VDC DO</t>
        </is>
      </c>
      <c r="N1544" s="129" t="inlineStr">
        <is>
          <t>5069-OB16</t>
        </is>
      </c>
      <c r="O1544" s="146" t="n"/>
      <c r="P1544" s="146" t="n"/>
      <c r="Q1544" s="146" t="n"/>
      <c r="R1544" s="146" t="n"/>
      <c r="S1544" s="146" t="n"/>
      <c r="T1544" s="146" t="n"/>
      <c r="U1544" s="146" t="n"/>
      <c r="V1544" s="146" t="n"/>
      <c r="W1544" s="146" t="n"/>
      <c r="X1544" s="146" t="n"/>
      <c r="Y1544" s="146" t="n"/>
      <c r="Z1544" s="143" t="n"/>
    </row>
    <row r="1545">
      <c r="A1545" s="203">
        <f>ROW()-1</f>
        <v/>
      </c>
      <c r="B1545" s="133" t="n"/>
      <c r="C1545" s="263" t="n"/>
      <c r="D1545" s="264" t="n"/>
      <c r="E1545" s="133" t="n"/>
      <c r="F1545" s="141" t="inlineStr">
        <is>
          <t>SPARE</t>
        </is>
      </c>
      <c r="G1545" s="131" t="n"/>
      <c r="H1545" s="133" t="n"/>
      <c r="I1545" s="142" t="inlineStr">
        <is>
          <t>RL7-INTSL-RIO2</t>
        </is>
      </c>
      <c r="J1545" s="133" t="n">
        <v>19</v>
      </c>
      <c r="K1545" s="129" t="n">
        <v>6</v>
      </c>
      <c r="L1545" s="129" t="n">
        <v>8</v>
      </c>
      <c r="M1545" s="129" t="inlineStr">
        <is>
          <t>24 VDC DO</t>
        </is>
      </c>
      <c r="N1545" s="129" t="inlineStr">
        <is>
          <t>5069-OB16</t>
        </is>
      </c>
      <c r="O1545" s="146" t="n"/>
      <c r="P1545" s="146" t="n"/>
      <c r="Q1545" s="146" t="n"/>
      <c r="R1545" s="146" t="n"/>
      <c r="S1545" s="146" t="n"/>
      <c r="T1545" s="146" t="n"/>
      <c r="U1545" s="146" t="n"/>
      <c r="V1545" s="146" t="n"/>
      <c r="W1545" s="146" t="n"/>
      <c r="X1545" s="146" t="n"/>
      <c r="Y1545" s="146" t="n"/>
      <c r="Z1545" s="143" t="n"/>
    </row>
    <row r="1546" customFormat="1" s="136">
      <c r="A1546" s="203">
        <f>ROW()-1</f>
        <v/>
      </c>
      <c r="B1546" s="133" t="n"/>
      <c r="C1546" s="263" t="n"/>
      <c r="D1546" s="264" t="n"/>
      <c r="E1546" s="133" t="n"/>
      <c r="F1546" s="141" t="inlineStr">
        <is>
          <t>SPARE</t>
        </is>
      </c>
      <c r="G1546" s="131" t="n"/>
      <c r="H1546" s="133" t="n"/>
      <c r="I1546" s="142" t="inlineStr">
        <is>
          <t>RL7-INTSL-RIO2</t>
        </is>
      </c>
      <c r="J1546" s="133" t="n">
        <v>19</v>
      </c>
      <c r="K1546" s="129" t="n">
        <v>6</v>
      </c>
      <c r="L1546" s="129" t="n">
        <v>9</v>
      </c>
      <c r="M1546" s="129" t="inlineStr">
        <is>
          <t>24 VDC DO</t>
        </is>
      </c>
      <c r="N1546" s="129" t="inlineStr">
        <is>
          <t>5069-OB16</t>
        </is>
      </c>
      <c r="O1546" s="146" t="n"/>
      <c r="P1546" s="146" t="n"/>
      <c r="Q1546" s="146" t="n"/>
      <c r="R1546" s="146" t="n"/>
      <c r="S1546" s="146" t="n"/>
      <c r="T1546" s="146" t="n"/>
      <c r="U1546" s="146" t="n"/>
      <c r="V1546" s="146" t="n"/>
      <c r="W1546" s="146" t="n"/>
      <c r="X1546" s="146" t="n"/>
      <c r="Y1546" s="146" t="n"/>
      <c r="Z1546" s="143" t="n"/>
    </row>
    <row r="1547">
      <c r="A1547" s="203">
        <f>ROW()-1</f>
        <v/>
      </c>
      <c r="B1547" s="133" t="n"/>
      <c r="C1547" s="263" t="n"/>
      <c r="D1547" s="264" t="n"/>
      <c r="E1547" s="133" t="n"/>
      <c r="F1547" s="141" t="inlineStr">
        <is>
          <t>SPARE</t>
        </is>
      </c>
      <c r="G1547" s="131" t="n"/>
      <c r="H1547" s="133" t="n"/>
      <c r="I1547" s="142" t="inlineStr">
        <is>
          <t>RL7-INTSL-RIO2</t>
        </is>
      </c>
      <c r="J1547" s="133" t="n">
        <v>19</v>
      </c>
      <c r="K1547" s="129" t="n">
        <v>6</v>
      </c>
      <c r="L1547" s="129" t="n">
        <v>10</v>
      </c>
      <c r="M1547" s="129" t="inlineStr">
        <is>
          <t>24 VDC DO</t>
        </is>
      </c>
      <c r="N1547" s="129" t="inlineStr">
        <is>
          <t>5069-OB16</t>
        </is>
      </c>
      <c r="O1547" s="146" t="n"/>
      <c r="P1547" s="146" t="n"/>
      <c r="Q1547" s="146" t="n"/>
      <c r="R1547" s="146" t="n"/>
      <c r="S1547" s="146" t="n"/>
      <c r="T1547" s="146" t="n"/>
      <c r="U1547" s="146" t="n"/>
      <c r="V1547" s="146" t="n"/>
      <c r="W1547" s="146" t="n"/>
      <c r="X1547" s="146" t="n"/>
      <c r="Y1547" s="146" t="n"/>
      <c r="Z1547" s="143" t="n"/>
    </row>
    <row r="1548">
      <c r="A1548" s="203">
        <f>ROW()-1</f>
        <v/>
      </c>
      <c r="B1548" s="133" t="n"/>
      <c r="C1548" s="263" t="n"/>
      <c r="D1548" s="264" t="n"/>
      <c r="E1548" s="133" t="n"/>
      <c r="F1548" s="141" t="inlineStr">
        <is>
          <t>SPARE</t>
        </is>
      </c>
      <c r="G1548" s="131" t="n"/>
      <c r="H1548" s="133" t="n"/>
      <c r="I1548" s="142" t="inlineStr">
        <is>
          <t>RL7-INTSL-RIO2</t>
        </is>
      </c>
      <c r="J1548" s="133" t="n">
        <v>19</v>
      </c>
      <c r="K1548" s="129" t="n">
        <v>6</v>
      </c>
      <c r="L1548" s="129" t="n">
        <v>11</v>
      </c>
      <c r="M1548" s="129" t="inlineStr">
        <is>
          <t>24 VDC DO</t>
        </is>
      </c>
      <c r="N1548" s="129" t="inlineStr">
        <is>
          <t>5069-OB16</t>
        </is>
      </c>
      <c r="O1548" s="146" t="n"/>
      <c r="P1548" s="146" t="n"/>
      <c r="Q1548" s="146" t="n"/>
      <c r="R1548" s="146" t="n"/>
      <c r="S1548" s="146" t="n"/>
      <c r="T1548" s="146" t="n"/>
      <c r="U1548" s="146" t="n"/>
      <c r="V1548" s="146" t="n"/>
      <c r="W1548" s="146" t="n"/>
      <c r="X1548" s="146" t="n"/>
      <c r="Y1548" s="146" t="n"/>
      <c r="Z1548" s="143" t="n"/>
    </row>
    <row r="1549">
      <c r="A1549" s="203">
        <f>ROW()-1</f>
        <v/>
      </c>
      <c r="B1549" s="133" t="n"/>
      <c r="C1549" s="263" t="n"/>
      <c r="D1549" s="264" t="n"/>
      <c r="E1549" s="133" t="n"/>
      <c r="F1549" s="141" t="inlineStr">
        <is>
          <t>SPARE</t>
        </is>
      </c>
      <c r="G1549" s="131" t="n"/>
      <c r="H1549" s="133" t="n"/>
      <c r="I1549" s="142" t="inlineStr">
        <is>
          <t>RL7-INTSL-RIO2</t>
        </is>
      </c>
      <c r="J1549" s="133" t="n">
        <v>19</v>
      </c>
      <c r="K1549" s="129" t="n">
        <v>6</v>
      </c>
      <c r="L1549" s="129" t="n">
        <v>12</v>
      </c>
      <c r="M1549" s="129" t="inlineStr">
        <is>
          <t>24 VDC DO</t>
        </is>
      </c>
      <c r="N1549" s="129" t="inlineStr">
        <is>
          <t>5069-OB16</t>
        </is>
      </c>
      <c r="O1549" s="146" t="n"/>
      <c r="P1549" s="146" t="n"/>
      <c r="Q1549" s="146" t="n"/>
      <c r="R1549" s="146" t="n"/>
      <c r="S1549" s="146" t="n"/>
      <c r="T1549" s="146" t="n"/>
      <c r="U1549" s="146" t="n"/>
      <c r="V1549" s="146" t="n"/>
      <c r="W1549" s="146" t="n"/>
      <c r="X1549" s="146" t="n"/>
      <c r="Y1549" s="146" t="n"/>
      <c r="Z1549" s="143" t="n"/>
    </row>
    <row r="1550">
      <c r="A1550" s="203">
        <f>ROW()-1</f>
        <v/>
      </c>
      <c r="B1550" s="133" t="n"/>
      <c r="C1550" s="263" t="n"/>
      <c r="D1550" s="264" t="n"/>
      <c r="E1550" s="133" t="n"/>
      <c r="F1550" s="141" t="inlineStr">
        <is>
          <t>SPARE</t>
        </is>
      </c>
      <c r="G1550" s="131" t="n"/>
      <c r="H1550" s="133" t="n"/>
      <c r="I1550" s="142" t="inlineStr">
        <is>
          <t>RL7-INTSL-RIO2</t>
        </is>
      </c>
      <c r="J1550" s="133" t="n">
        <v>19</v>
      </c>
      <c r="K1550" s="129" t="n">
        <v>6</v>
      </c>
      <c r="L1550" s="129" t="n">
        <v>13</v>
      </c>
      <c r="M1550" s="129" t="inlineStr">
        <is>
          <t>24 VDC DO</t>
        </is>
      </c>
      <c r="N1550" s="129" t="inlineStr">
        <is>
          <t>5069-OB16</t>
        </is>
      </c>
      <c r="O1550" s="146" t="n"/>
      <c r="P1550" s="146" t="n"/>
      <c r="Q1550" s="146" t="n"/>
      <c r="R1550" s="146" t="n"/>
      <c r="S1550" s="146" t="n"/>
      <c r="T1550" s="146" t="n"/>
      <c r="U1550" s="146" t="n"/>
      <c r="V1550" s="146" t="n"/>
      <c r="W1550" s="146" t="n"/>
      <c r="X1550" s="146" t="n"/>
      <c r="Y1550" s="146" t="n"/>
      <c r="Z1550" s="143" t="n"/>
    </row>
    <row r="1551">
      <c r="A1551" s="203">
        <f>ROW()-1</f>
        <v/>
      </c>
      <c r="B1551" s="133" t="n"/>
      <c r="C1551" s="263" t="n"/>
      <c r="D1551" s="264" t="n"/>
      <c r="E1551" s="133" t="n"/>
      <c r="F1551" s="141" t="inlineStr">
        <is>
          <t>SPARE</t>
        </is>
      </c>
      <c r="G1551" s="131" t="n"/>
      <c r="H1551" s="133" t="n"/>
      <c r="I1551" s="142" t="inlineStr">
        <is>
          <t>RL7-INTSL-RIO2</t>
        </is>
      </c>
      <c r="J1551" s="133" t="n">
        <v>19</v>
      </c>
      <c r="K1551" s="129" t="n">
        <v>6</v>
      </c>
      <c r="L1551" s="129" t="n">
        <v>14</v>
      </c>
      <c r="M1551" s="129" t="inlineStr">
        <is>
          <t>24 VDC DO</t>
        </is>
      </c>
      <c r="N1551" s="129" t="inlineStr">
        <is>
          <t>5069-OB16</t>
        </is>
      </c>
      <c r="O1551" s="146" t="n"/>
      <c r="P1551" s="146" t="n"/>
      <c r="Q1551" s="146" t="n"/>
      <c r="R1551" s="146" t="n"/>
      <c r="S1551" s="146" t="n"/>
      <c r="T1551" s="146" t="n"/>
      <c r="U1551" s="146" t="n"/>
      <c r="V1551" s="146" t="n"/>
      <c r="W1551" s="146" t="n"/>
      <c r="X1551" s="146" t="n"/>
      <c r="Y1551" s="146" t="n"/>
      <c r="Z1551" s="143" t="n"/>
    </row>
    <row r="1552">
      <c r="A1552" s="203">
        <f>ROW()-1</f>
        <v/>
      </c>
      <c r="B1552" s="133" t="n"/>
      <c r="C1552" s="263" t="n"/>
      <c r="D1552" s="264" t="n"/>
      <c r="E1552" s="133" t="n"/>
      <c r="F1552" s="141" t="inlineStr">
        <is>
          <t>SPARE</t>
        </is>
      </c>
      <c r="G1552" s="131" t="n"/>
      <c r="H1552" s="133" t="n"/>
      <c r="I1552" s="142" t="inlineStr">
        <is>
          <t>RL7-INTSL-RIO2</t>
        </is>
      </c>
      <c r="J1552" s="133" t="n">
        <v>19</v>
      </c>
      <c r="K1552" s="129" t="n">
        <v>6</v>
      </c>
      <c r="L1552" s="129" t="n">
        <v>15</v>
      </c>
      <c r="M1552" s="129" t="inlineStr">
        <is>
          <t>24 VDC DO</t>
        </is>
      </c>
      <c r="N1552" s="129" t="inlineStr">
        <is>
          <t>5069-OB16</t>
        </is>
      </c>
      <c r="O1552" s="146" t="n"/>
      <c r="P1552" s="146" t="n"/>
      <c r="Q1552" s="146" t="n"/>
      <c r="R1552" s="146" t="n"/>
      <c r="S1552" s="146" t="n"/>
      <c r="T1552" s="146" t="n"/>
      <c r="U1552" s="146" t="n"/>
      <c r="V1552" s="146" t="n"/>
      <c r="W1552" s="146" t="n"/>
      <c r="X1552" s="146" t="n"/>
      <c r="Y1552" s="146" t="n"/>
      <c r="Z1552" s="143" t="n"/>
    </row>
    <row r="1553">
      <c r="A1553" s="203">
        <f>ROW()-1</f>
        <v/>
      </c>
      <c r="B1553" s="128" t="inlineStr">
        <is>
          <t>RL7-CHR-201-XV-03</t>
        </is>
      </c>
      <c r="C1553" s="263" t="n"/>
      <c r="D1553" s="262" t="n"/>
      <c r="E1553" s="128" t="n"/>
      <c r="F1553" s="141" t="inlineStr">
        <is>
          <t>SPARE</t>
        </is>
      </c>
      <c r="G1553" s="131" t="n"/>
      <c r="H1553" s="133" t="n"/>
      <c r="I1553" s="142" t="inlineStr">
        <is>
          <t>RL7-INTSL-RIO2</t>
        </is>
      </c>
      <c r="J1553" s="133" t="n">
        <v>19</v>
      </c>
      <c r="K1553" s="129" t="n">
        <v>7</v>
      </c>
      <c r="L1553" s="129" t="n">
        <v>4</v>
      </c>
      <c r="M1553" s="129" t="inlineStr">
        <is>
          <t>24 VDC DO</t>
        </is>
      </c>
      <c r="N1553" s="129" t="inlineStr">
        <is>
          <t>5069-OB16</t>
        </is>
      </c>
      <c r="O1553" s="139" t="n"/>
      <c r="P1553" s="127" t="n"/>
      <c r="Q1553" s="127" t="n"/>
      <c r="R1553" s="127" t="n"/>
      <c r="S1553" s="127" t="n"/>
      <c r="T1553" s="127" t="n"/>
      <c r="U1553" s="127" t="n"/>
      <c r="V1553" s="127" t="n"/>
      <c r="W1553" s="127" t="n"/>
      <c r="X1553" s="127" t="n"/>
      <c r="Y1553" s="127" t="n"/>
      <c r="Z1553" s="140" t="n"/>
    </row>
    <row r="1554">
      <c r="A1554" s="203">
        <f>ROW()-1</f>
        <v/>
      </c>
      <c r="B1554" s="128" t="inlineStr">
        <is>
          <t>RL7-CHR-201-XV-04</t>
        </is>
      </c>
      <c r="C1554" s="263" t="n"/>
      <c r="D1554" s="262" t="n"/>
      <c r="E1554" s="128" t="n"/>
      <c r="F1554" s="141" t="inlineStr">
        <is>
          <t>SPARE</t>
        </is>
      </c>
      <c r="G1554" s="131" t="n"/>
      <c r="H1554" s="133" t="n"/>
      <c r="I1554" s="142" t="inlineStr">
        <is>
          <t>RL7-INTSL-RIO2</t>
        </is>
      </c>
      <c r="J1554" s="133" t="n">
        <v>19</v>
      </c>
      <c r="K1554" s="129" t="n">
        <v>7</v>
      </c>
      <c r="L1554" s="129" t="n">
        <v>5</v>
      </c>
      <c r="M1554" s="129" t="inlineStr">
        <is>
          <t>24 VDC DO</t>
        </is>
      </c>
      <c r="N1554" s="129" t="inlineStr">
        <is>
          <t>5069-OB16</t>
        </is>
      </c>
      <c r="O1554" s="139" t="n"/>
      <c r="P1554" s="127" t="n"/>
      <c r="Q1554" s="127" t="n"/>
      <c r="R1554" s="127" t="n"/>
      <c r="S1554" s="127" t="n"/>
      <c r="T1554" s="127" t="n"/>
      <c r="U1554" s="127" t="n"/>
      <c r="V1554" s="127" t="n"/>
      <c r="W1554" s="127" t="n"/>
      <c r="X1554" s="127" t="n"/>
      <c r="Y1554" s="127" t="n"/>
      <c r="Z1554" s="140" t="n"/>
    </row>
    <row r="1555">
      <c r="A1555" s="203">
        <f>ROW()-1</f>
        <v/>
      </c>
      <c r="B1555" s="133" t="n"/>
      <c r="C1555" s="263" t="n"/>
      <c r="D1555" s="264" t="n"/>
      <c r="E1555" s="133" t="n"/>
      <c r="F1555" s="141" t="inlineStr">
        <is>
          <t>SPARE</t>
        </is>
      </c>
      <c r="G1555" s="131" t="n"/>
      <c r="H1555" s="133" t="n"/>
      <c r="I1555" s="142" t="inlineStr">
        <is>
          <t>RL7-INTSL-RIO2</t>
        </is>
      </c>
      <c r="J1555" s="133" t="n">
        <v>19</v>
      </c>
      <c r="K1555" s="129" t="n">
        <v>7</v>
      </c>
      <c r="L1555" s="129" t="n">
        <v>6</v>
      </c>
      <c r="M1555" s="129" t="inlineStr">
        <is>
          <t>24 VDC DO</t>
        </is>
      </c>
      <c r="N1555" s="129" t="inlineStr">
        <is>
          <t>5069-OB16</t>
        </is>
      </c>
      <c r="O1555" s="146" t="n"/>
      <c r="P1555" s="146" t="n"/>
      <c r="Q1555" s="146" t="n"/>
      <c r="R1555" s="146" t="n"/>
      <c r="S1555" s="146" t="n"/>
      <c r="T1555" s="146" t="n"/>
      <c r="U1555" s="146" t="n"/>
      <c r="V1555" s="146" t="n"/>
      <c r="W1555" s="146" t="n"/>
      <c r="X1555" s="146" t="n"/>
      <c r="Y1555" s="146" t="n"/>
      <c r="Z1555" s="143" t="n"/>
    </row>
    <row r="1556">
      <c r="A1556" s="203">
        <f>ROW()-1</f>
        <v/>
      </c>
      <c r="B1556" s="133" t="n"/>
      <c r="C1556" s="263" t="n"/>
      <c r="D1556" s="264" t="n"/>
      <c r="E1556" s="133" t="n"/>
      <c r="F1556" s="141" t="inlineStr">
        <is>
          <t>SPARE</t>
        </is>
      </c>
      <c r="G1556" s="131" t="n"/>
      <c r="H1556" s="133" t="n"/>
      <c r="I1556" s="142" t="inlineStr">
        <is>
          <t>RL7-INTSL-RIO2</t>
        </is>
      </c>
      <c r="J1556" s="133" t="n">
        <v>19</v>
      </c>
      <c r="K1556" s="129" t="n">
        <v>7</v>
      </c>
      <c r="L1556" s="129" t="n">
        <v>7</v>
      </c>
      <c r="M1556" s="129" t="inlineStr">
        <is>
          <t>24 VDC DO</t>
        </is>
      </c>
      <c r="N1556" s="129" t="inlineStr">
        <is>
          <t>5069-OB16</t>
        </is>
      </c>
      <c r="O1556" s="146" t="n"/>
      <c r="P1556" s="146" t="n"/>
      <c r="Q1556" s="146" t="n"/>
      <c r="R1556" s="146" t="n"/>
      <c r="S1556" s="146" t="n"/>
      <c r="T1556" s="146" t="n"/>
      <c r="U1556" s="146" t="n"/>
      <c r="V1556" s="146" t="n"/>
      <c r="W1556" s="146" t="n"/>
      <c r="X1556" s="146" t="n"/>
      <c r="Y1556" s="146" t="n"/>
      <c r="Z1556" s="143" t="n"/>
    </row>
    <row r="1557">
      <c r="A1557" s="203">
        <f>ROW()-1</f>
        <v/>
      </c>
      <c r="B1557" s="133" t="n"/>
      <c r="C1557" s="263" t="n"/>
      <c r="D1557" s="264" t="n"/>
      <c r="E1557" s="133" t="n"/>
      <c r="F1557" s="141" t="inlineStr">
        <is>
          <t>SPARE</t>
        </is>
      </c>
      <c r="G1557" s="131" t="n"/>
      <c r="H1557" s="133" t="n"/>
      <c r="I1557" s="142" t="inlineStr">
        <is>
          <t>RL7-INTSL-RIO2</t>
        </is>
      </c>
      <c r="J1557" s="133" t="n">
        <v>19</v>
      </c>
      <c r="K1557" s="129" t="n">
        <v>7</v>
      </c>
      <c r="L1557" s="129" t="n">
        <v>8</v>
      </c>
      <c r="M1557" s="129" t="inlineStr">
        <is>
          <t>24 VDC DO</t>
        </is>
      </c>
      <c r="N1557" s="129" t="inlineStr">
        <is>
          <t>5069-OB16</t>
        </is>
      </c>
      <c r="O1557" s="146" t="n"/>
      <c r="P1557" s="146" t="n"/>
      <c r="Q1557" s="260" t="n"/>
      <c r="R1557" s="260" t="n"/>
      <c r="S1557" s="260" t="n"/>
      <c r="T1557" s="260" t="n"/>
      <c r="U1557" s="260" t="n"/>
      <c r="V1557" s="260" t="n"/>
      <c r="W1557" s="260" t="n"/>
      <c r="X1557" s="260" t="n"/>
      <c r="Y1557" s="260" t="n"/>
      <c r="Z1557" s="261" t="n"/>
    </row>
    <row r="1558">
      <c r="A1558" s="203">
        <f>ROW()-1</f>
        <v/>
      </c>
      <c r="B1558" s="133" t="n"/>
      <c r="C1558" s="263" t="n"/>
      <c r="D1558" s="264" t="n"/>
      <c r="E1558" s="133" t="n"/>
      <c r="F1558" s="141" t="inlineStr">
        <is>
          <t>SPARE</t>
        </is>
      </c>
      <c r="G1558" s="131" t="n"/>
      <c r="H1558" s="133" t="n"/>
      <c r="I1558" s="142" t="inlineStr">
        <is>
          <t>RL7-INTSL-RIO2</t>
        </is>
      </c>
      <c r="J1558" s="133" t="n">
        <v>19</v>
      </c>
      <c r="K1558" s="129" t="n">
        <v>7</v>
      </c>
      <c r="L1558" s="129" t="n">
        <v>9</v>
      </c>
      <c r="M1558" s="129" t="inlineStr">
        <is>
          <t>24 VDC DO</t>
        </is>
      </c>
      <c r="N1558" s="129" t="inlineStr">
        <is>
          <t>5069-OB16</t>
        </is>
      </c>
      <c r="O1558" s="146" t="n"/>
      <c r="P1558" s="146" t="n"/>
      <c r="Q1558" s="146" t="n"/>
      <c r="R1558" s="146" t="n"/>
      <c r="S1558" s="146" t="n"/>
      <c r="T1558" s="146" t="n"/>
      <c r="U1558" s="146" t="n"/>
      <c r="V1558" s="146" t="n"/>
      <c r="W1558" s="146" t="n"/>
      <c r="X1558" s="146" t="n"/>
      <c r="Y1558" s="146" t="n"/>
      <c r="Z1558" s="143" t="n"/>
    </row>
    <row r="1559">
      <c r="A1559" s="203">
        <f>ROW()-1</f>
        <v/>
      </c>
      <c r="B1559" s="133" t="n"/>
      <c r="C1559" s="263" t="n"/>
      <c r="D1559" s="264" t="n"/>
      <c r="E1559" s="133" t="n"/>
      <c r="F1559" s="141" t="inlineStr">
        <is>
          <t>SPARE</t>
        </is>
      </c>
      <c r="G1559" s="131" t="n"/>
      <c r="H1559" s="133" t="n"/>
      <c r="I1559" s="142" t="inlineStr">
        <is>
          <t>RL7-INTSL-RIO2</t>
        </is>
      </c>
      <c r="J1559" s="133" t="n">
        <v>19</v>
      </c>
      <c r="K1559" s="129" t="n">
        <v>7</v>
      </c>
      <c r="L1559" s="129" t="n">
        <v>10</v>
      </c>
      <c r="M1559" s="129" t="inlineStr">
        <is>
          <t>24 VDC DO</t>
        </is>
      </c>
      <c r="N1559" s="129" t="inlineStr">
        <is>
          <t>5069-OB16</t>
        </is>
      </c>
      <c r="O1559" s="146" t="n"/>
      <c r="P1559" s="146" t="n"/>
      <c r="Q1559" s="146" t="n"/>
      <c r="R1559" s="146" t="n"/>
      <c r="S1559" s="146" t="n"/>
      <c r="T1559" s="146" t="n"/>
      <c r="U1559" s="146" t="n"/>
      <c r="V1559" s="146" t="n"/>
      <c r="W1559" s="146" t="n"/>
      <c r="X1559" s="146" t="n"/>
      <c r="Y1559" s="146" t="n"/>
      <c r="Z1559" s="143" t="n"/>
    </row>
    <row r="1560">
      <c r="A1560" s="203">
        <f>ROW()-1</f>
        <v/>
      </c>
      <c r="B1560" s="133" t="n"/>
      <c r="C1560" s="263" t="n"/>
      <c r="D1560" s="264" t="n"/>
      <c r="E1560" s="133" t="n"/>
      <c r="F1560" s="141" t="inlineStr">
        <is>
          <t>SPARE</t>
        </is>
      </c>
      <c r="G1560" s="131" t="n"/>
      <c r="H1560" s="133" t="n"/>
      <c r="I1560" s="142" t="inlineStr">
        <is>
          <t>RL7-INTSL-RIO2</t>
        </is>
      </c>
      <c r="J1560" s="133" t="n">
        <v>19</v>
      </c>
      <c r="K1560" s="129" t="n">
        <v>7</v>
      </c>
      <c r="L1560" s="129" t="n">
        <v>11</v>
      </c>
      <c r="M1560" s="129" t="inlineStr">
        <is>
          <t>24 VDC DO</t>
        </is>
      </c>
      <c r="N1560" s="129" t="inlineStr">
        <is>
          <t>5069-OB16</t>
        </is>
      </c>
      <c r="O1560" s="146" t="n"/>
      <c r="P1560" s="146" t="n"/>
      <c r="Q1560" s="146" t="n"/>
      <c r="R1560" s="146" t="n"/>
      <c r="S1560" s="146" t="n"/>
      <c r="T1560" s="146" t="n"/>
      <c r="U1560" s="146" t="n"/>
      <c r="V1560" s="146" t="n"/>
      <c r="W1560" s="146" t="n"/>
      <c r="X1560" s="146" t="n"/>
      <c r="Y1560" s="146" t="n"/>
      <c r="Z1560" s="143" t="n"/>
    </row>
    <row r="1561">
      <c r="A1561" s="203">
        <f>ROW()-1</f>
        <v/>
      </c>
      <c r="B1561" s="133" t="n"/>
      <c r="C1561" s="263" t="n"/>
      <c r="D1561" s="264" t="n"/>
      <c r="E1561" s="133" t="n"/>
      <c r="F1561" s="141" t="inlineStr">
        <is>
          <t>SPARE</t>
        </is>
      </c>
      <c r="G1561" s="131" t="n"/>
      <c r="H1561" s="133" t="n"/>
      <c r="I1561" s="142" t="inlineStr">
        <is>
          <t>RL7-INTSL-RIO2</t>
        </is>
      </c>
      <c r="J1561" s="133" t="n">
        <v>19</v>
      </c>
      <c r="K1561" s="129" t="n">
        <v>7</v>
      </c>
      <c r="L1561" s="129" t="n">
        <v>12</v>
      </c>
      <c r="M1561" s="129" t="inlineStr">
        <is>
          <t>24 VDC DO</t>
        </is>
      </c>
      <c r="N1561" s="129" t="inlineStr">
        <is>
          <t>5069-OB16</t>
        </is>
      </c>
      <c r="O1561" s="146" t="n"/>
      <c r="P1561" s="146" t="n"/>
      <c r="Q1561" s="146" t="n"/>
      <c r="R1561" s="146" t="n"/>
      <c r="S1561" s="146" t="n"/>
      <c r="T1561" s="146" t="n"/>
      <c r="U1561" s="146" t="n"/>
      <c r="V1561" s="146" t="n"/>
      <c r="W1561" s="146" t="n"/>
      <c r="X1561" s="146" t="n"/>
      <c r="Y1561" s="146" t="n"/>
      <c r="Z1561" s="143" t="n"/>
    </row>
    <row r="1562">
      <c r="A1562" s="203">
        <f>ROW()-1</f>
        <v/>
      </c>
      <c r="B1562" s="133" t="n"/>
      <c r="C1562" s="263" t="n"/>
      <c r="D1562" s="264" t="n"/>
      <c r="E1562" s="133" t="n"/>
      <c r="F1562" s="141" t="inlineStr">
        <is>
          <t>SPARE</t>
        </is>
      </c>
      <c r="G1562" s="131" t="n"/>
      <c r="H1562" s="133" t="n"/>
      <c r="I1562" s="142" t="inlineStr">
        <is>
          <t>RL7-INTSL-RIO2</t>
        </is>
      </c>
      <c r="J1562" s="133" t="n">
        <v>19</v>
      </c>
      <c r="K1562" s="129" t="n">
        <v>7</v>
      </c>
      <c r="L1562" s="129" t="n">
        <v>13</v>
      </c>
      <c r="M1562" s="129" t="inlineStr">
        <is>
          <t>24 VDC DO</t>
        </is>
      </c>
      <c r="N1562" s="129" t="inlineStr">
        <is>
          <t>5069-OB16</t>
        </is>
      </c>
      <c r="O1562" s="146" t="n"/>
      <c r="P1562" s="146" t="n"/>
      <c r="Q1562" s="146" t="n"/>
      <c r="R1562" s="146" t="n"/>
      <c r="S1562" s="146" t="n"/>
      <c r="T1562" s="146" t="n"/>
      <c r="U1562" s="146" t="n"/>
      <c r="V1562" s="146" t="n"/>
      <c r="W1562" s="146" t="n"/>
      <c r="X1562" s="146" t="n"/>
      <c r="Y1562" s="146" t="n"/>
      <c r="Z1562" s="143" t="n"/>
    </row>
    <row r="1563">
      <c r="A1563" s="203">
        <f>ROW()-1</f>
        <v/>
      </c>
      <c r="B1563" s="133" t="n"/>
      <c r="C1563" s="263" t="n"/>
      <c r="D1563" s="264" t="n"/>
      <c r="E1563" s="133" t="n"/>
      <c r="F1563" s="141" t="inlineStr">
        <is>
          <t>SPARE</t>
        </is>
      </c>
      <c r="G1563" s="131" t="n"/>
      <c r="H1563" s="133" t="n"/>
      <c r="I1563" s="142" t="inlineStr">
        <is>
          <t>RL7-INTSL-RIO2</t>
        </is>
      </c>
      <c r="J1563" s="133" t="n">
        <v>19</v>
      </c>
      <c r="K1563" s="129" t="n">
        <v>7</v>
      </c>
      <c r="L1563" s="129" t="n">
        <v>14</v>
      </c>
      <c r="M1563" s="129" t="inlineStr">
        <is>
          <t>24 VDC DO</t>
        </is>
      </c>
      <c r="N1563" s="129" t="inlineStr">
        <is>
          <t>5069-OB16</t>
        </is>
      </c>
      <c r="O1563" s="146" t="n"/>
      <c r="P1563" s="146" t="n"/>
      <c r="Q1563" s="146" t="n"/>
      <c r="R1563" s="146" t="n"/>
      <c r="S1563" s="146" t="n"/>
      <c r="T1563" s="146" t="n"/>
      <c r="U1563" s="146" t="n"/>
      <c r="V1563" s="146" t="n"/>
      <c r="W1563" s="146" t="n"/>
      <c r="X1563" s="146" t="n"/>
      <c r="Y1563" s="146" t="n"/>
      <c r="Z1563" s="143" t="n"/>
    </row>
    <row r="1564">
      <c r="A1564" s="203">
        <f>ROW()-1</f>
        <v/>
      </c>
      <c r="B1564" s="133" t="n"/>
      <c r="C1564" s="263" t="n"/>
      <c r="D1564" s="264" t="n"/>
      <c r="E1564" s="133" t="n"/>
      <c r="F1564" s="141" t="inlineStr">
        <is>
          <t>SPARE</t>
        </is>
      </c>
      <c r="G1564" s="131" t="n"/>
      <c r="H1564" s="133" t="n"/>
      <c r="I1564" s="142" t="inlineStr">
        <is>
          <t>RL7-INTSL-RIO2</t>
        </is>
      </c>
      <c r="J1564" s="133" t="n">
        <v>19</v>
      </c>
      <c r="K1564" s="129" t="n">
        <v>7</v>
      </c>
      <c r="L1564" s="129" t="n">
        <v>15</v>
      </c>
      <c r="M1564" s="129" t="inlineStr">
        <is>
          <t>24 VDC DO</t>
        </is>
      </c>
      <c r="N1564" s="129" t="inlineStr">
        <is>
          <t>5069-OB16</t>
        </is>
      </c>
      <c r="O1564" s="146" t="n"/>
      <c r="P1564" s="146" t="n"/>
      <c r="Q1564" s="146" t="n"/>
      <c r="R1564" s="146" t="n"/>
      <c r="S1564" s="146" t="n"/>
      <c r="T1564" s="146" t="n"/>
      <c r="U1564" s="146" t="n"/>
      <c r="V1564" s="146" t="n"/>
      <c r="W1564" s="146" t="n"/>
      <c r="X1564" s="146" t="n"/>
      <c r="Y1564" s="146" t="n"/>
      <c r="Z1564" s="143" t="n"/>
    </row>
    <row r="1565">
      <c r="A1565" s="203">
        <f>ROW()-1</f>
        <v/>
      </c>
      <c r="B1565" s="128" t="n"/>
      <c r="C1565" s="263" t="n"/>
      <c r="D1565" s="262" t="n"/>
      <c r="E1565" s="128" t="n"/>
      <c r="F1565" s="138" t="inlineStr">
        <is>
          <t>ADDRESS RESERVE MODULE</t>
        </is>
      </c>
      <c r="G1565" s="131" t="n"/>
      <c r="H1565" s="128" t="n"/>
      <c r="I1565" s="142" t="inlineStr">
        <is>
          <t>RL7-INTSL-RIO2</t>
        </is>
      </c>
      <c r="J1565" s="133" t="n">
        <v>19</v>
      </c>
      <c r="K1565" s="129" t="n">
        <v>8</v>
      </c>
      <c r="L1565" s="129" t="n">
        <v>0</v>
      </c>
      <c r="M1565" s="129" t="inlineStr">
        <is>
          <t>ARM</t>
        </is>
      </c>
      <c r="N1565" s="129" t="inlineStr">
        <is>
          <t>5069-ARM</t>
        </is>
      </c>
      <c r="O1565" s="139" t="n"/>
      <c r="P1565" s="127" t="n"/>
      <c r="Q1565" s="127" t="n"/>
      <c r="R1565" s="127" t="n"/>
      <c r="S1565" s="127" t="n"/>
      <c r="T1565" s="127" t="n"/>
      <c r="U1565" s="127" t="n"/>
      <c r="V1565" s="127" t="n"/>
      <c r="W1565" s="127" t="n"/>
      <c r="X1565" s="127" t="n"/>
      <c r="Y1565" s="127" t="n"/>
      <c r="Z1565" s="140" t="n"/>
    </row>
    <row r="1566">
      <c r="A1566" s="203">
        <f>ROW()-1</f>
        <v/>
      </c>
      <c r="B1566" s="133" t="n"/>
      <c r="C1566" s="263" t="n"/>
      <c r="D1566" s="264" t="n"/>
      <c r="E1566" s="133" t="n"/>
      <c r="F1566" s="141" t="inlineStr">
        <is>
          <t>SPARE</t>
        </is>
      </c>
      <c r="G1566" s="131" t="n"/>
      <c r="H1566" s="133" t="n"/>
      <c r="I1566" s="142" t="inlineStr">
        <is>
          <t>RL7-INTSL-RIO2</t>
        </is>
      </c>
      <c r="J1566" s="133" t="n">
        <v>19</v>
      </c>
      <c r="K1566" s="129" t="n">
        <v>9</v>
      </c>
      <c r="L1566" s="129" t="n">
        <v>7</v>
      </c>
      <c r="M1566" s="129" t="inlineStr">
        <is>
          <t>4-20 mA AI</t>
        </is>
      </c>
      <c r="N1566" s="129" t="inlineStr">
        <is>
          <t>5069-IF8</t>
        </is>
      </c>
      <c r="O1566" s="160" t="n"/>
      <c r="P1566" s="146" t="n"/>
      <c r="Q1566" s="146" t="n"/>
      <c r="R1566" s="146" t="n"/>
      <c r="S1566" s="146" t="n"/>
      <c r="T1566" s="146" t="n"/>
      <c r="U1566" s="146" t="n"/>
      <c r="V1566" s="146" t="n"/>
      <c r="W1566" s="146" t="n"/>
      <c r="X1566" s="146" t="n"/>
      <c r="Y1566" s="146" t="n"/>
      <c r="Z1566" s="143" t="n"/>
    </row>
    <row r="1567">
      <c r="A1567" s="203">
        <f>ROW()-1</f>
        <v/>
      </c>
      <c r="B1567" s="133" t="n"/>
      <c r="C1567" s="263" t="n"/>
      <c r="D1567" s="264" t="n"/>
      <c r="E1567" s="133" t="n"/>
      <c r="F1567" s="141" t="inlineStr">
        <is>
          <t>SPARE</t>
        </is>
      </c>
      <c r="G1567" s="131" t="n"/>
      <c r="H1567" s="133" t="n"/>
      <c r="I1567" s="142" t="inlineStr">
        <is>
          <t>RL7-INTSL-RIO2</t>
        </is>
      </c>
      <c r="J1567" s="133" t="n">
        <v>19</v>
      </c>
      <c r="K1567" s="129" t="n">
        <v>10</v>
      </c>
      <c r="L1567" s="129" t="n">
        <v>3</v>
      </c>
      <c r="M1567" s="129" t="inlineStr">
        <is>
          <t>4-20 mA AI</t>
        </is>
      </c>
      <c r="N1567" s="129" t="inlineStr">
        <is>
          <t>5069-IF8</t>
        </is>
      </c>
      <c r="O1567" s="160" t="n"/>
      <c r="P1567" s="146" t="n"/>
      <c r="Q1567" s="146" t="n"/>
      <c r="R1567" s="146" t="n"/>
      <c r="S1567" s="146" t="n"/>
      <c r="T1567" s="146" t="n"/>
      <c r="U1567" s="146" t="n"/>
      <c r="V1567" s="146" t="n"/>
      <c r="W1567" s="146" t="n"/>
      <c r="X1567" s="146" t="n"/>
      <c r="Y1567" s="146" t="n"/>
      <c r="Z1567" s="143" t="n"/>
    </row>
    <row r="1568">
      <c r="A1568" s="203">
        <f>ROW()-1</f>
        <v/>
      </c>
      <c r="B1568" s="133" t="n"/>
      <c r="C1568" s="263" t="n"/>
      <c r="D1568" s="264" t="n"/>
      <c r="E1568" s="133" t="n"/>
      <c r="F1568" s="141" t="inlineStr">
        <is>
          <t>SPARE</t>
        </is>
      </c>
      <c r="G1568" s="131" t="n"/>
      <c r="H1568" s="133" t="n"/>
      <c r="I1568" s="142" t="inlineStr">
        <is>
          <t>RL7-INTSL-RIO2</t>
        </is>
      </c>
      <c r="J1568" s="133" t="n">
        <v>19</v>
      </c>
      <c r="K1568" s="129" t="n">
        <v>10</v>
      </c>
      <c r="L1568" s="129" t="n">
        <v>4</v>
      </c>
      <c r="M1568" s="129" t="inlineStr">
        <is>
          <t>4-20 mA AI</t>
        </is>
      </c>
      <c r="N1568" s="129" t="inlineStr">
        <is>
          <t>5069-IF8</t>
        </is>
      </c>
      <c r="O1568" s="160" t="n"/>
      <c r="P1568" s="146" t="n"/>
      <c r="Q1568" s="146" t="n"/>
      <c r="R1568" s="146" t="n"/>
      <c r="S1568" s="146" t="n"/>
      <c r="T1568" s="146" t="n"/>
      <c r="U1568" s="146" t="n"/>
      <c r="V1568" s="146" t="n"/>
      <c r="W1568" s="146" t="n"/>
      <c r="X1568" s="146" t="n"/>
      <c r="Y1568" s="146" t="n"/>
      <c r="Z1568" s="143" t="n"/>
    </row>
    <row r="1569">
      <c r="A1569" s="203">
        <f>ROW()-1</f>
        <v/>
      </c>
      <c r="B1569" s="133" t="n"/>
      <c r="C1569" s="263" t="n"/>
      <c r="D1569" s="264" t="n"/>
      <c r="E1569" s="133" t="n"/>
      <c r="F1569" s="141" t="inlineStr">
        <is>
          <t>SPARE</t>
        </is>
      </c>
      <c r="G1569" s="131" t="n"/>
      <c r="H1569" s="133" t="n"/>
      <c r="I1569" s="142" t="inlineStr">
        <is>
          <t>RL7-INTSL-RIO2</t>
        </is>
      </c>
      <c r="J1569" s="133" t="n">
        <v>19</v>
      </c>
      <c r="K1569" s="129" t="n">
        <v>10</v>
      </c>
      <c r="L1569" s="129" t="n">
        <v>5</v>
      </c>
      <c r="M1569" s="129" t="inlineStr">
        <is>
          <t>4-20 mA AI</t>
        </is>
      </c>
      <c r="N1569" s="129" t="inlineStr">
        <is>
          <t>5069-IF8</t>
        </is>
      </c>
      <c r="O1569" s="160" t="n"/>
      <c r="P1569" s="146" t="n"/>
      <c r="Q1569" s="146" t="n"/>
      <c r="R1569" s="146" t="n"/>
      <c r="S1569" s="146" t="n"/>
      <c r="T1569" s="146" t="n"/>
      <c r="U1569" s="146" t="n"/>
      <c r="V1569" s="146" t="n"/>
      <c r="W1569" s="146" t="n"/>
      <c r="X1569" s="146" t="n"/>
      <c r="Y1569" s="146" t="n"/>
      <c r="Z1569" s="143" t="n"/>
    </row>
    <row r="1570">
      <c r="A1570" s="203">
        <f>ROW()-1</f>
        <v/>
      </c>
      <c r="B1570" s="133" t="n"/>
      <c r="C1570" s="263" t="n"/>
      <c r="D1570" s="264" t="n"/>
      <c r="E1570" s="133" t="n"/>
      <c r="F1570" s="141" t="inlineStr">
        <is>
          <t>SPARE</t>
        </is>
      </c>
      <c r="G1570" s="131" t="n"/>
      <c r="H1570" s="133" t="n"/>
      <c r="I1570" s="142" t="inlineStr">
        <is>
          <t>RL7-INTSL-RIO2</t>
        </is>
      </c>
      <c r="J1570" s="133" t="n">
        <v>19</v>
      </c>
      <c r="K1570" s="129" t="n">
        <v>10</v>
      </c>
      <c r="L1570" s="129" t="n">
        <v>6</v>
      </c>
      <c r="M1570" s="129" t="inlineStr">
        <is>
          <t>4-20 mA AI</t>
        </is>
      </c>
      <c r="N1570" s="129" t="inlineStr">
        <is>
          <t>5069-IF8</t>
        </is>
      </c>
      <c r="O1570" s="160" t="n"/>
      <c r="P1570" s="146" t="n"/>
      <c r="Q1570" s="146" t="n"/>
      <c r="R1570" s="146" t="n"/>
      <c r="S1570" s="146" t="n"/>
      <c r="T1570" s="146" t="n"/>
      <c r="U1570" s="146" t="n"/>
      <c r="V1570" s="146" t="n"/>
      <c r="W1570" s="146" t="n"/>
      <c r="X1570" s="146" t="n"/>
      <c r="Y1570" s="146" t="n"/>
      <c r="Z1570" s="143" t="n"/>
    </row>
    <row r="1571">
      <c r="A1571" s="203">
        <f>ROW()-1</f>
        <v/>
      </c>
      <c r="B1571" s="133" t="n"/>
      <c r="C1571" s="263" t="n"/>
      <c r="D1571" s="264" t="n"/>
      <c r="E1571" s="133" t="n"/>
      <c r="F1571" s="141" t="inlineStr">
        <is>
          <t>SPARE</t>
        </is>
      </c>
      <c r="G1571" s="131" t="n"/>
      <c r="H1571" s="133" t="n"/>
      <c r="I1571" s="142" t="inlineStr">
        <is>
          <t>RL7-INTSL-RIO2</t>
        </is>
      </c>
      <c r="J1571" s="133" t="n">
        <v>19</v>
      </c>
      <c r="K1571" s="129" t="n">
        <v>10</v>
      </c>
      <c r="L1571" s="129" t="n">
        <v>7</v>
      </c>
      <c r="M1571" s="129" t="inlineStr">
        <is>
          <t>4-20 mA AI</t>
        </is>
      </c>
      <c r="N1571" s="129" t="inlineStr">
        <is>
          <t>5069-IF8</t>
        </is>
      </c>
      <c r="O1571" s="160" t="n"/>
      <c r="P1571" s="146" t="n"/>
      <c r="Q1571" s="146" t="n"/>
      <c r="R1571" s="146" t="n"/>
      <c r="S1571" s="146" t="n"/>
      <c r="T1571" s="146" t="n"/>
      <c r="U1571" s="146" t="n"/>
      <c r="V1571" s="146" t="n"/>
      <c r="W1571" s="146" t="n"/>
      <c r="X1571" s="146" t="n"/>
      <c r="Y1571" s="146" t="n"/>
      <c r="Z1571" s="143" t="n"/>
    </row>
    <row r="1572">
      <c r="A1572" s="203">
        <f>ROW()-1</f>
        <v/>
      </c>
      <c r="B1572" s="133" t="n"/>
      <c r="C1572" s="263" t="n"/>
      <c r="D1572" s="264" t="n"/>
      <c r="E1572" s="133" t="n"/>
      <c r="F1572" s="141" t="inlineStr">
        <is>
          <t>SPARE</t>
        </is>
      </c>
      <c r="G1572" s="131" t="n"/>
      <c r="H1572" s="133" t="n"/>
      <c r="I1572" s="142" t="inlineStr">
        <is>
          <t>RL7-INTSL-RIO2</t>
        </is>
      </c>
      <c r="J1572" s="133" t="n">
        <v>19</v>
      </c>
      <c r="K1572" s="129" t="n">
        <v>11</v>
      </c>
      <c r="L1572" s="129" t="n">
        <v>3</v>
      </c>
      <c r="M1572" s="129" t="inlineStr">
        <is>
          <t>4-20 mA AI</t>
        </is>
      </c>
      <c r="N1572" s="129" t="inlineStr">
        <is>
          <t>5069-IF8</t>
        </is>
      </c>
      <c r="O1572" s="160" t="n"/>
      <c r="P1572" s="146" t="n"/>
      <c r="Q1572" s="146" t="n"/>
      <c r="R1572" s="146" t="n"/>
      <c r="S1572" s="146" t="n"/>
      <c r="T1572" s="146" t="n"/>
      <c r="U1572" s="146" t="n"/>
      <c r="V1572" s="146" t="n"/>
      <c r="W1572" s="146" t="n"/>
      <c r="X1572" s="146" t="n"/>
      <c r="Y1572" s="146" t="n"/>
      <c r="Z1572" s="143" t="n"/>
    </row>
    <row r="1573">
      <c r="A1573" s="203">
        <f>ROW()-1</f>
        <v/>
      </c>
      <c r="B1573" s="133" t="n"/>
      <c r="C1573" s="263" t="n"/>
      <c r="D1573" s="264" t="n"/>
      <c r="E1573" s="133" t="n"/>
      <c r="F1573" s="141" t="inlineStr">
        <is>
          <t>SPARE</t>
        </is>
      </c>
      <c r="G1573" s="131" t="n"/>
      <c r="H1573" s="133" t="n"/>
      <c r="I1573" s="142" t="inlineStr">
        <is>
          <t>RL7-INTSL-RIO2</t>
        </is>
      </c>
      <c r="J1573" s="133" t="n">
        <v>19</v>
      </c>
      <c r="K1573" s="129" t="n">
        <v>11</v>
      </c>
      <c r="L1573" s="129" t="n">
        <v>4</v>
      </c>
      <c r="M1573" s="129" t="inlineStr">
        <is>
          <t>4-20 mA AI</t>
        </is>
      </c>
      <c r="N1573" s="129" t="inlineStr">
        <is>
          <t>5069-IF8</t>
        </is>
      </c>
      <c r="O1573" s="160" t="n"/>
      <c r="P1573" s="146" t="n"/>
      <c r="Q1573" s="146" t="n"/>
      <c r="R1573" s="146" t="n"/>
      <c r="S1573" s="146" t="n"/>
      <c r="T1573" s="146" t="n"/>
      <c r="U1573" s="146" t="n"/>
      <c r="V1573" s="146" t="n"/>
      <c r="W1573" s="146" t="n"/>
      <c r="X1573" s="146" t="n"/>
      <c r="Y1573" s="146" t="n"/>
      <c r="Z1573" s="143" t="n"/>
    </row>
    <row r="1574">
      <c r="A1574" s="203">
        <f>ROW()-1</f>
        <v/>
      </c>
      <c r="B1574" s="133" t="n"/>
      <c r="C1574" s="263" t="n"/>
      <c r="D1574" s="264" t="n"/>
      <c r="E1574" s="133" t="n"/>
      <c r="F1574" s="141" t="inlineStr">
        <is>
          <t>SPARE</t>
        </is>
      </c>
      <c r="G1574" s="131" t="n"/>
      <c r="H1574" s="133" t="n"/>
      <c r="I1574" s="142" t="inlineStr">
        <is>
          <t>RL7-INTSL-RIO2</t>
        </is>
      </c>
      <c r="J1574" s="133" t="n">
        <v>19</v>
      </c>
      <c r="K1574" s="129" t="n">
        <v>11</v>
      </c>
      <c r="L1574" s="129" t="n">
        <v>5</v>
      </c>
      <c r="M1574" s="129" t="inlineStr">
        <is>
          <t>4-20 mA AI</t>
        </is>
      </c>
      <c r="N1574" s="129" t="inlineStr">
        <is>
          <t>5069-IF8</t>
        </is>
      </c>
      <c r="O1574" s="160" t="n"/>
      <c r="P1574" s="146" t="n"/>
      <c r="Q1574" s="146" t="n"/>
      <c r="R1574" s="146" t="n"/>
      <c r="S1574" s="146" t="n"/>
      <c r="T1574" s="146" t="n"/>
      <c r="U1574" s="146" t="n"/>
      <c r="V1574" s="146" t="n"/>
      <c r="W1574" s="146" t="n"/>
      <c r="X1574" s="146" t="n"/>
      <c r="Y1574" s="146" t="n"/>
      <c r="Z1574" s="143" t="n"/>
    </row>
    <row r="1575">
      <c r="A1575" s="203">
        <f>ROW()-1</f>
        <v/>
      </c>
      <c r="B1575" s="133" t="n"/>
      <c r="C1575" s="263" t="n"/>
      <c r="D1575" s="264" t="n"/>
      <c r="E1575" s="133" t="n"/>
      <c r="F1575" s="141" t="inlineStr">
        <is>
          <t>SPARE</t>
        </is>
      </c>
      <c r="G1575" s="131" t="n"/>
      <c r="H1575" s="133" t="n"/>
      <c r="I1575" s="142" t="inlineStr">
        <is>
          <t>RL7-INTSL-RIO2</t>
        </is>
      </c>
      <c r="J1575" s="133" t="n">
        <v>19</v>
      </c>
      <c r="K1575" s="129" t="n">
        <v>11</v>
      </c>
      <c r="L1575" s="129" t="n">
        <v>6</v>
      </c>
      <c r="M1575" s="129" t="inlineStr">
        <is>
          <t>4-20 mA AI</t>
        </is>
      </c>
      <c r="N1575" s="129" t="inlineStr">
        <is>
          <t>5069-IF8</t>
        </is>
      </c>
      <c r="O1575" s="160" t="n"/>
      <c r="P1575" s="146" t="n"/>
      <c r="Q1575" s="146" t="n"/>
      <c r="R1575" s="146" t="n"/>
      <c r="S1575" s="146" t="n"/>
      <c r="T1575" s="146" t="n"/>
      <c r="U1575" s="146" t="n"/>
      <c r="V1575" s="146" t="n"/>
      <c r="W1575" s="146" t="n"/>
      <c r="X1575" s="146" t="n"/>
      <c r="Y1575" s="146" t="n"/>
      <c r="Z1575" s="143" t="n"/>
    </row>
    <row r="1576">
      <c r="A1576" s="203">
        <f>ROW()-1</f>
        <v/>
      </c>
      <c r="B1576" s="133" t="n"/>
      <c r="C1576" s="263" t="n"/>
      <c r="D1576" s="264" t="n"/>
      <c r="E1576" s="133" t="n"/>
      <c r="F1576" s="141" t="inlineStr">
        <is>
          <t>SPARE</t>
        </is>
      </c>
      <c r="G1576" s="131" t="n"/>
      <c r="H1576" s="133" t="n"/>
      <c r="I1576" s="142" t="inlineStr">
        <is>
          <t>RL7-INTSL-RIO2</t>
        </is>
      </c>
      <c r="J1576" s="133" t="n">
        <v>19</v>
      </c>
      <c r="K1576" s="129" t="n">
        <v>11</v>
      </c>
      <c r="L1576" s="129" t="n">
        <v>7</v>
      </c>
      <c r="M1576" s="129" t="inlineStr">
        <is>
          <t>4-20 mA AI</t>
        </is>
      </c>
      <c r="N1576" s="129" t="inlineStr">
        <is>
          <t>5069-IF8</t>
        </is>
      </c>
      <c r="O1576" s="160" t="n"/>
      <c r="P1576" s="146" t="n"/>
      <c r="Q1576" s="146" t="n"/>
      <c r="R1576" s="146" t="n"/>
      <c r="S1576" s="146" t="n"/>
      <c r="T1576" s="146" t="n"/>
      <c r="U1576" s="146" t="n"/>
      <c r="V1576" s="146" t="n"/>
      <c r="W1576" s="146" t="n"/>
      <c r="X1576" s="146" t="n"/>
      <c r="Y1576" s="146" t="n"/>
      <c r="Z1576" s="143" t="n"/>
    </row>
    <row r="1577">
      <c r="A1577" s="203">
        <f>ROW()-1</f>
        <v/>
      </c>
      <c r="B1577" s="128" t="n"/>
      <c r="C1577" s="263" t="n"/>
      <c r="D1577" s="262" t="n"/>
      <c r="E1577" s="128" t="n"/>
      <c r="F1577" s="138" t="inlineStr">
        <is>
          <t>ADDRESS RESERVE MODULE</t>
        </is>
      </c>
      <c r="G1577" s="131" t="n"/>
      <c r="H1577" s="128" t="n"/>
      <c r="I1577" s="142" t="inlineStr">
        <is>
          <t>RL7-INTSL-RIO2</t>
        </is>
      </c>
      <c r="J1577" s="133" t="n">
        <v>19</v>
      </c>
      <c r="K1577" s="129" t="n">
        <v>12</v>
      </c>
      <c r="L1577" s="129" t="n">
        <v>0</v>
      </c>
      <c r="M1577" s="129" t="inlineStr">
        <is>
          <t>ARM</t>
        </is>
      </c>
      <c r="N1577" s="129" t="inlineStr">
        <is>
          <t>5069-ARM</t>
        </is>
      </c>
      <c r="O1577" s="139" t="n"/>
      <c r="P1577" s="127" t="n"/>
      <c r="Q1577" s="127" t="n"/>
      <c r="R1577" s="127" t="n"/>
      <c r="S1577" s="127" t="n"/>
      <c r="T1577" s="127" t="n"/>
      <c r="U1577" s="127" t="n"/>
      <c r="V1577" s="127" t="n"/>
      <c r="W1577" s="127" t="n"/>
      <c r="X1577" s="127" t="n"/>
      <c r="Y1577" s="127" t="n"/>
      <c r="Z1577" s="140" t="n"/>
    </row>
    <row r="1578">
      <c r="A1578" s="203">
        <f>ROW()-1</f>
        <v/>
      </c>
      <c r="B1578" s="133" t="n"/>
      <c r="C1578" s="263" t="n"/>
      <c r="D1578" s="264" t="n"/>
      <c r="E1578" s="133" t="n"/>
      <c r="F1578" s="141" t="inlineStr">
        <is>
          <t>SPARE</t>
        </is>
      </c>
      <c r="G1578" s="131" t="n"/>
      <c r="H1578" s="133" t="n"/>
      <c r="I1578" s="142" t="inlineStr">
        <is>
          <t>RL7-INTSL-RIO2</t>
        </is>
      </c>
      <c r="J1578" s="133" t="n">
        <v>19</v>
      </c>
      <c r="K1578" s="129" t="n">
        <v>13</v>
      </c>
      <c r="L1578" s="129" t="n">
        <v>4</v>
      </c>
      <c r="M1578" s="129" t="inlineStr">
        <is>
          <t>4-20 mA AO</t>
        </is>
      </c>
      <c r="N1578" s="129" t="inlineStr">
        <is>
          <t>5069-OF8</t>
        </is>
      </c>
      <c r="O1578" s="160" t="n"/>
      <c r="P1578" s="146" t="n"/>
      <c r="Q1578" s="146" t="n"/>
      <c r="R1578" s="146" t="n"/>
      <c r="S1578" s="146" t="n"/>
      <c r="T1578" s="146" t="n"/>
      <c r="U1578" s="146" t="n"/>
      <c r="V1578" s="146" t="n"/>
      <c r="W1578" s="146" t="n"/>
      <c r="X1578" s="146" t="n"/>
      <c r="Y1578" s="146" t="n"/>
      <c r="Z1578" s="143" t="n"/>
    </row>
    <row r="1579">
      <c r="A1579" s="203">
        <f>ROW()-1</f>
        <v/>
      </c>
      <c r="B1579" s="133" t="n"/>
      <c r="C1579" s="263" t="n"/>
      <c r="D1579" s="264" t="n"/>
      <c r="E1579" s="133" t="n"/>
      <c r="F1579" s="141" t="inlineStr">
        <is>
          <t>SPARE</t>
        </is>
      </c>
      <c r="G1579" s="131" t="n"/>
      <c r="H1579" s="133" t="n"/>
      <c r="I1579" s="142" t="inlineStr">
        <is>
          <t>RL7-INTSL-RIO2</t>
        </is>
      </c>
      <c r="J1579" s="133" t="n">
        <v>19</v>
      </c>
      <c r="K1579" s="129" t="n">
        <v>13</v>
      </c>
      <c r="L1579" s="129" t="n">
        <v>5</v>
      </c>
      <c r="M1579" s="129" t="inlineStr">
        <is>
          <t>4-20 mA AO</t>
        </is>
      </c>
      <c r="N1579" s="129" t="inlineStr">
        <is>
          <t>5069-OF8</t>
        </is>
      </c>
      <c r="O1579" s="160" t="n"/>
      <c r="P1579" s="146" t="n"/>
      <c r="Q1579" s="146" t="n"/>
      <c r="R1579" s="146" t="n"/>
      <c r="S1579" s="146" t="n"/>
      <c r="T1579" s="146" t="n"/>
      <c r="U1579" s="146" t="n"/>
      <c r="V1579" s="146" t="n"/>
      <c r="W1579" s="146" t="n"/>
      <c r="X1579" s="146" t="n"/>
      <c r="Y1579" s="146" t="n"/>
      <c r="Z1579" s="143" t="n"/>
    </row>
    <row r="1580">
      <c r="A1580" s="203">
        <f>ROW()-1</f>
        <v/>
      </c>
      <c r="B1580" s="133" t="n"/>
      <c r="C1580" s="263" t="n"/>
      <c r="D1580" s="264" t="n"/>
      <c r="E1580" s="133" t="n"/>
      <c r="F1580" s="141" t="inlineStr">
        <is>
          <t>SPARE</t>
        </is>
      </c>
      <c r="G1580" s="131" t="n"/>
      <c r="H1580" s="133" t="n"/>
      <c r="I1580" s="142" t="inlineStr">
        <is>
          <t>RL7-INTSL-RIO2</t>
        </is>
      </c>
      <c r="J1580" s="133" t="n">
        <v>19</v>
      </c>
      <c r="K1580" s="129" t="n">
        <v>13</v>
      </c>
      <c r="L1580" s="129" t="n">
        <v>6</v>
      </c>
      <c r="M1580" s="129" t="inlineStr">
        <is>
          <t>4-20 mA AO</t>
        </is>
      </c>
      <c r="N1580" s="129" t="inlineStr">
        <is>
          <t>5069-OF8</t>
        </is>
      </c>
      <c r="O1580" s="160" t="n"/>
      <c r="P1580" s="146" t="n"/>
      <c r="Q1580" s="146" t="n"/>
      <c r="R1580" s="146" t="n"/>
      <c r="S1580" s="146" t="n"/>
      <c r="T1580" s="146" t="n"/>
      <c r="U1580" s="146" t="n"/>
      <c r="V1580" s="146" t="n"/>
      <c r="W1580" s="146" t="n"/>
      <c r="X1580" s="146" t="n"/>
      <c r="Y1580" s="146" t="n"/>
      <c r="Z1580" s="143" t="n"/>
    </row>
    <row r="1581">
      <c r="A1581" s="203">
        <f>ROW()-1</f>
        <v/>
      </c>
      <c r="B1581" s="133" t="n"/>
      <c r="C1581" s="263" t="n"/>
      <c r="D1581" s="264" t="n"/>
      <c r="E1581" s="133" t="n"/>
      <c r="F1581" s="141" t="inlineStr">
        <is>
          <t>SPARE</t>
        </is>
      </c>
      <c r="G1581" s="131" t="n"/>
      <c r="H1581" s="133" t="n"/>
      <c r="I1581" s="142" t="inlineStr">
        <is>
          <t>RL7-INTSL-RIO2</t>
        </is>
      </c>
      <c r="J1581" s="133" t="n">
        <v>19</v>
      </c>
      <c r="K1581" s="129" t="n">
        <v>13</v>
      </c>
      <c r="L1581" s="129" t="n">
        <v>7</v>
      </c>
      <c r="M1581" s="129" t="inlineStr">
        <is>
          <t>4-20 mA AO</t>
        </is>
      </c>
      <c r="N1581" s="129" t="inlineStr">
        <is>
          <t>5069-OF8</t>
        </is>
      </c>
      <c r="O1581" s="160" t="n"/>
      <c r="P1581" s="146" t="n"/>
      <c r="Q1581" s="146" t="n"/>
      <c r="R1581" s="146" t="n"/>
      <c r="S1581" s="146" t="n"/>
      <c r="T1581" s="146" t="n"/>
      <c r="U1581" s="146" t="n"/>
      <c r="V1581" s="146" t="n"/>
      <c r="W1581" s="146" t="n"/>
      <c r="X1581" s="146" t="n"/>
      <c r="Y1581" s="146" t="n"/>
      <c r="Z1581" s="143" t="n"/>
    </row>
    <row r="1582">
      <c r="A1582" s="203">
        <f>ROW()-1</f>
        <v/>
      </c>
      <c r="B1582" s="133" t="n"/>
      <c r="C1582" s="263" t="n"/>
      <c r="D1582" s="264" t="n"/>
      <c r="E1582" s="133" t="n"/>
      <c r="F1582" s="141" t="inlineStr">
        <is>
          <t>SPARE</t>
        </is>
      </c>
      <c r="G1582" s="131" t="n"/>
      <c r="H1582" s="133" t="n"/>
      <c r="I1582" s="142" t="inlineStr">
        <is>
          <t>RL7-INTSL-RIO2</t>
        </is>
      </c>
      <c r="J1582" s="133" t="n">
        <v>19</v>
      </c>
      <c r="K1582" s="129" t="n">
        <v>14</v>
      </c>
      <c r="L1582" s="129" t="n">
        <v>1</v>
      </c>
      <c r="M1582" s="129" t="inlineStr">
        <is>
          <t>I/V/T AI</t>
        </is>
      </c>
      <c r="N1582" s="129" t="inlineStr">
        <is>
          <t>5069-IY4</t>
        </is>
      </c>
      <c r="O1582" s="160" t="n"/>
      <c r="P1582" s="146" t="n"/>
      <c r="Q1582" s="146" t="n"/>
      <c r="R1582" s="146" t="n"/>
      <c r="S1582" s="146" t="n"/>
      <c r="T1582" s="146" t="n"/>
      <c r="U1582" s="146" t="n"/>
      <c r="V1582" s="146" t="n"/>
      <c r="W1582" s="146" t="n"/>
      <c r="X1582" s="146" t="n"/>
      <c r="Y1582" s="146" t="n"/>
      <c r="Z1582" s="143" t="n"/>
    </row>
    <row r="1583">
      <c r="A1583" s="203">
        <f>ROW()-1</f>
        <v/>
      </c>
      <c r="B1583" s="133" t="n"/>
      <c r="C1583" s="263" t="n"/>
      <c r="D1583" s="264" t="n"/>
      <c r="E1583" s="133" t="n"/>
      <c r="F1583" s="141" t="inlineStr">
        <is>
          <t>SPARE</t>
        </is>
      </c>
      <c r="G1583" s="131" t="n"/>
      <c r="H1583" s="133" t="n"/>
      <c r="I1583" s="142" t="inlineStr">
        <is>
          <t>RL7-INTSL-RIO2</t>
        </is>
      </c>
      <c r="J1583" s="133" t="n">
        <v>19</v>
      </c>
      <c r="K1583" s="129" t="n">
        <v>14</v>
      </c>
      <c r="L1583" s="129" t="n">
        <v>2</v>
      </c>
      <c r="M1583" s="129" t="inlineStr">
        <is>
          <t>I/V/T AI</t>
        </is>
      </c>
      <c r="N1583" s="129" t="inlineStr">
        <is>
          <t>5069-IY4</t>
        </is>
      </c>
      <c r="O1583" s="160" t="n"/>
      <c r="P1583" s="146" t="n"/>
      <c r="Q1583" s="146" t="n"/>
      <c r="R1583" s="146" t="n"/>
      <c r="S1583" s="146" t="n"/>
      <c r="T1583" s="146" t="n"/>
      <c r="U1583" s="146" t="n"/>
      <c r="V1583" s="146" t="n"/>
      <c r="W1583" s="146" t="n"/>
      <c r="X1583" s="146" t="n"/>
      <c r="Y1583" s="146" t="n"/>
      <c r="Z1583" s="143" t="n"/>
    </row>
    <row r="1584">
      <c r="A1584" s="203">
        <f>ROW()-1</f>
        <v/>
      </c>
      <c r="B1584" s="133" t="n"/>
      <c r="C1584" s="263" t="n"/>
      <c r="D1584" s="264" t="n"/>
      <c r="E1584" s="133" t="n"/>
      <c r="F1584" s="141" t="inlineStr">
        <is>
          <t>SPARE</t>
        </is>
      </c>
      <c r="G1584" s="131" t="n"/>
      <c r="H1584" s="133" t="n"/>
      <c r="I1584" s="142" t="inlineStr">
        <is>
          <t>RL7-INTSL-RIO2</t>
        </is>
      </c>
      <c r="J1584" s="133" t="n">
        <v>19</v>
      </c>
      <c r="K1584" s="129" t="n">
        <v>14</v>
      </c>
      <c r="L1584" s="129" t="n">
        <v>3</v>
      </c>
      <c r="M1584" s="129" t="inlineStr">
        <is>
          <t>I/V/T AI</t>
        </is>
      </c>
      <c r="N1584" s="129" t="inlineStr">
        <is>
          <t>5069-IY4</t>
        </is>
      </c>
      <c r="O1584" s="160" t="n"/>
      <c r="P1584" s="146" t="n"/>
      <c r="Q1584" s="146" t="n"/>
      <c r="R1584" s="146" t="n"/>
      <c r="S1584" s="146" t="n"/>
      <c r="T1584" s="146" t="n"/>
      <c r="U1584" s="146" t="n"/>
      <c r="V1584" s="146" t="n"/>
      <c r="W1584" s="146" t="n"/>
      <c r="X1584" s="146" t="n"/>
      <c r="Y1584" s="146" t="n"/>
      <c r="Z1584" s="143" t="n"/>
    </row>
    <row r="1585">
      <c r="A1585" s="203">
        <f>ROW()-1</f>
        <v/>
      </c>
      <c r="B1585" s="128" t="n"/>
      <c r="C1585" s="263" t="n"/>
      <c r="D1585" s="262" t="n"/>
      <c r="E1585" s="128" t="n"/>
      <c r="F1585" s="138" t="inlineStr">
        <is>
          <t>SPARE</t>
        </is>
      </c>
      <c r="G1585" s="131" t="n"/>
      <c r="H1585" s="128" t="n"/>
      <c r="I1585" s="132" t="inlineStr">
        <is>
          <t>RL7-DXPHX-RIO1</t>
        </is>
      </c>
      <c r="J1585" s="133" t="n">
        <v>20</v>
      </c>
      <c r="K1585" s="129" t="n">
        <v>0</v>
      </c>
      <c r="L1585" s="129" t="n">
        <v>6</v>
      </c>
      <c r="M1585" s="129" t="inlineStr">
        <is>
          <t>24 VDC DI</t>
        </is>
      </c>
      <c r="N1585" s="129" t="inlineStr">
        <is>
          <t>5069-IB16</t>
        </is>
      </c>
      <c r="O1585" s="139" t="n"/>
      <c r="P1585" s="127" t="n"/>
      <c r="Q1585" s="127" t="n"/>
      <c r="R1585" s="127" t="n"/>
      <c r="S1585" s="127" t="n"/>
      <c r="T1585" s="127" t="n"/>
      <c r="U1585" s="127" t="n"/>
      <c r="V1585" s="127" t="n"/>
      <c r="W1585" s="127" t="n"/>
      <c r="X1585" s="127" t="n"/>
      <c r="Y1585" s="127" t="n"/>
      <c r="Z1585" s="140" t="inlineStr">
        <is>
          <t>OEM PANEL</t>
        </is>
      </c>
    </row>
    <row r="1586">
      <c r="A1586" s="203">
        <f>ROW()-1</f>
        <v/>
      </c>
      <c r="B1586" s="128" t="n"/>
      <c r="C1586" s="263" t="n"/>
      <c r="D1586" s="262" t="n"/>
      <c r="E1586" s="128" t="n"/>
      <c r="F1586" s="138" t="inlineStr">
        <is>
          <t>SPARE</t>
        </is>
      </c>
      <c r="G1586" s="131" t="n"/>
      <c r="H1586" s="128" t="n"/>
      <c r="I1586" s="132" t="inlineStr">
        <is>
          <t>RL7-DXPHX-RIO1</t>
        </is>
      </c>
      <c r="J1586" s="133" t="n">
        <v>20</v>
      </c>
      <c r="K1586" s="129" t="n">
        <v>0</v>
      </c>
      <c r="L1586" s="129" t="n">
        <v>7</v>
      </c>
      <c r="M1586" s="129" t="inlineStr">
        <is>
          <t>24 VDC DI</t>
        </is>
      </c>
      <c r="N1586" s="129" t="inlineStr">
        <is>
          <t>5069-IB16</t>
        </is>
      </c>
      <c r="O1586" s="139" t="n"/>
      <c r="P1586" s="127" t="n"/>
      <c r="Q1586" s="127" t="n"/>
      <c r="R1586" s="127" t="n"/>
      <c r="S1586" s="127" t="n"/>
      <c r="T1586" s="127" t="n"/>
      <c r="U1586" s="127" t="n"/>
      <c r="V1586" s="127" t="n"/>
      <c r="W1586" s="127" t="n"/>
      <c r="X1586" s="127" t="n"/>
      <c r="Y1586" s="127" t="n"/>
      <c r="Z1586" s="140" t="inlineStr">
        <is>
          <t>OEM PANEL</t>
        </is>
      </c>
    </row>
    <row r="1587">
      <c r="A1587" s="203">
        <f>ROW()-1</f>
        <v/>
      </c>
      <c r="B1587" s="128" t="n"/>
      <c r="C1587" s="263" t="n"/>
      <c r="D1587" s="262" t="n"/>
      <c r="E1587" s="128" t="n"/>
      <c r="F1587" s="138" t="inlineStr">
        <is>
          <t>SPARE</t>
        </is>
      </c>
      <c r="G1587" s="131" t="n"/>
      <c r="H1587" s="128" t="n"/>
      <c r="I1587" s="132" t="inlineStr">
        <is>
          <t>RL7-DXPHX-RIO1</t>
        </is>
      </c>
      <c r="J1587" s="133" t="n">
        <v>20</v>
      </c>
      <c r="K1587" s="129" t="n">
        <v>0</v>
      </c>
      <c r="L1587" s="129" t="n">
        <v>8</v>
      </c>
      <c r="M1587" s="129" t="inlineStr">
        <is>
          <t>24 VDC DI</t>
        </is>
      </c>
      <c r="N1587" s="129" t="inlineStr">
        <is>
          <t>5069-IB16</t>
        </is>
      </c>
      <c r="O1587" s="139" t="n"/>
      <c r="P1587" s="127" t="n"/>
      <c r="Q1587" s="127" t="n"/>
      <c r="R1587" s="127" t="n"/>
      <c r="S1587" s="127" t="n"/>
      <c r="T1587" s="127" t="n"/>
      <c r="U1587" s="127" t="n"/>
      <c r="V1587" s="127" t="n"/>
      <c r="W1587" s="127" t="n"/>
      <c r="X1587" s="127" t="n"/>
      <c r="Y1587" s="127" t="n"/>
      <c r="Z1587" s="140" t="inlineStr">
        <is>
          <t>OEM PANEL</t>
        </is>
      </c>
    </row>
    <row r="1588">
      <c r="A1588" s="203">
        <f>ROW()-1</f>
        <v/>
      </c>
      <c r="B1588" s="128" t="n"/>
      <c r="C1588" s="263" t="n"/>
      <c r="D1588" s="262" t="n"/>
      <c r="E1588" s="128" t="n"/>
      <c r="F1588" s="138" t="inlineStr">
        <is>
          <t>SPARE</t>
        </is>
      </c>
      <c r="G1588" s="131" t="n"/>
      <c r="H1588" s="128" t="n"/>
      <c r="I1588" s="132" t="inlineStr">
        <is>
          <t>RL7-DXPHX-RIO1</t>
        </is>
      </c>
      <c r="J1588" s="133" t="n">
        <v>20</v>
      </c>
      <c r="K1588" s="129" t="n">
        <v>0</v>
      </c>
      <c r="L1588" s="129" t="n">
        <v>9</v>
      </c>
      <c r="M1588" s="129" t="inlineStr">
        <is>
          <t>24 VDC DI</t>
        </is>
      </c>
      <c r="N1588" s="129" t="inlineStr">
        <is>
          <t>5069-IB16</t>
        </is>
      </c>
      <c r="O1588" s="139" t="n"/>
      <c r="P1588" s="127" t="n"/>
      <c r="Q1588" s="127" t="n"/>
      <c r="R1588" s="127" t="n"/>
      <c r="S1588" s="127" t="n"/>
      <c r="T1588" s="127" t="n"/>
      <c r="U1588" s="127" t="n"/>
      <c r="V1588" s="127" t="n"/>
      <c r="W1588" s="127" t="n"/>
      <c r="X1588" s="127" t="n"/>
      <c r="Y1588" s="127" t="n"/>
      <c r="Z1588" s="140" t="inlineStr">
        <is>
          <t>OEM PANEL</t>
        </is>
      </c>
    </row>
    <row r="1589">
      <c r="A1589" s="203">
        <f>ROW()-1</f>
        <v/>
      </c>
      <c r="B1589" s="128" t="n"/>
      <c r="C1589" s="263" t="n"/>
      <c r="D1589" s="262" t="n"/>
      <c r="E1589" s="128" t="n"/>
      <c r="F1589" s="138" t="inlineStr">
        <is>
          <t>SPARE</t>
        </is>
      </c>
      <c r="G1589" s="131" t="n"/>
      <c r="H1589" s="128" t="n"/>
      <c r="I1589" s="132" t="inlineStr">
        <is>
          <t>RL7-DXPHX-RIO1</t>
        </is>
      </c>
      <c r="J1589" s="133" t="n">
        <v>20</v>
      </c>
      <c r="K1589" s="129" t="n">
        <v>0</v>
      </c>
      <c r="L1589" s="129" t="n">
        <v>10</v>
      </c>
      <c r="M1589" s="129" t="inlineStr">
        <is>
          <t>24 VDC DI</t>
        </is>
      </c>
      <c r="N1589" s="129" t="inlineStr">
        <is>
          <t>5069-IB16</t>
        </is>
      </c>
      <c r="O1589" s="139" t="n"/>
      <c r="P1589" s="127" t="n"/>
      <c r="Q1589" s="127" t="n"/>
      <c r="R1589" s="127" t="n"/>
      <c r="S1589" s="127" t="n"/>
      <c r="T1589" s="127" t="n"/>
      <c r="U1589" s="127" t="n"/>
      <c r="V1589" s="127" t="n"/>
      <c r="W1589" s="127" t="n"/>
      <c r="X1589" s="127" t="n"/>
      <c r="Y1589" s="127" t="n"/>
      <c r="Z1589" s="140" t="inlineStr">
        <is>
          <t>OEM PANEL</t>
        </is>
      </c>
    </row>
    <row r="1590">
      <c r="A1590" s="203">
        <f>ROW()-1</f>
        <v/>
      </c>
      <c r="B1590" s="128" t="n"/>
      <c r="C1590" s="263" t="n"/>
      <c r="D1590" s="262" t="n"/>
      <c r="E1590" s="128" t="n"/>
      <c r="F1590" s="138" t="inlineStr">
        <is>
          <t>SPARE</t>
        </is>
      </c>
      <c r="G1590" s="131" t="n"/>
      <c r="H1590" s="128" t="n"/>
      <c r="I1590" s="132" t="inlineStr">
        <is>
          <t>RL7-DXPHX-RIO1</t>
        </is>
      </c>
      <c r="J1590" s="133" t="n">
        <v>20</v>
      </c>
      <c r="K1590" s="129" t="n">
        <v>0</v>
      </c>
      <c r="L1590" s="129" t="n">
        <v>11</v>
      </c>
      <c r="M1590" s="129" t="inlineStr">
        <is>
          <t>24 VDC DI</t>
        </is>
      </c>
      <c r="N1590" s="129" t="inlineStr">
        <is>
          <t>5069-IB16</t>
        </is>
      </c>
      <c r="O1590" s="139" t="n"/>
      <c r="P1590" s="127" t="n"/>
      <c r="Q1590" s="127" t="n"/>
      <c r="R1590" s="127" t="n"/>
      <c r="S1590" s="127" t="n"/>
      <c r="T1590" s="127" t="n"/>
      <c r="U1590" s="127" t="n"/>
      <c r="V1590" s="127" t="n"/>
      <c r="W1590" s="127" t="n"/>
      <c r="X1590" s="127" t="n"/>
      <c r="Y1590" s="127" t="n"/>
      <c r="Z1590" s="140" t="inlineStr">
        <is>
          <t>OEM PANEL</t>
        </is>
      </c>
    </row>
    <row r="1591">
      <c r="A1591" s="203">
        <f>ROW()-1</f>
        <v/>
      </c>
      <c r="B1591" s="128" t="n"/>
      <c r="C1591" s="263" t="n"/>
      <c r="D1591" s="262" t="n"/>
      <c r="E1591" s="128" t="n"/>
      <c r="F1591" s="138" t="inlineStr">
        <is>
          <t>SPARE</t>
        </is>
      </c>
      <c r="G1591" s="131" t="n"/>
      <c r="H1591" s="128" t="n"/>
      <c r="I1591" s="132" t="inlineStr">
        <is>
          <t>RL7-DXPHX-RIO1</t>
        </is>
      </c>
      <c r="J1591" s="133" t="n">
        <v>20</v>
      </c>
      <c r="K1591" s="129" t="n">
        <v>0</v>
      </c>
      <c r="L1591" s="129" t="n">
        <v>12</v>
      </c>
      <c r="M1591" s="129" t="inlineStr">
        <is>
          <t>24 VDC DI</t>
        </is>
      </c>
      <c r="N1591" s="129" t="inlineStr">
        <is>
          <t>5069-IB16</t>
        </is>
      </c>
      <c r="O1591" s="139" t="n"/>
      <c r="P1591" s="127" t="n"/>
      <c r="Q1591" s="127" t="n"/>
      <c r="R1591" s="127" t="n"/>
      <c r="S1591" s="127" t="n"/>
      <c r="T1591" s="127" t="n"/>
      <c r="U1591" s="127" t="n"/>
      <c r="V1591" s="127" t="n"/>
      <c r="W1591" s="127" t="n"/>
      <c r="X1591" s="127" t="n"/>
      <c r="Y1591" s="127" t="n"/>
      <c r="Z1591" s="140" t="inlineStr">
        <is>
          <t>OEM PANEL</t>
        </is>
      </c>
    </row>
    <row r="1592">
      <c r="A1592" s="203">
        <f>ROW()-1</f>
        <v/>
      </c>
      <c r="B1592" s="128" t="n"/>
      <c r="C1592" s="263" t="n"/>
      <c r="D1592" s="262" t="n"/>
      <c r="E1592" s="128" t="n"/>
      <c r="F1592" s="138" t="inlineStr">
        <is>
          <t>SPARE</t>
        </is>
      </c>
      <c r="G1592" s="131" t="n"/>
      <c r="H1592" s="128" t="n"/>
      <c r="I1592" s="132" t="inlineStr">
        <is>
          <t>RL7-DXPHX-RIO1</t>
        </is>
      </c>
      <c r="J1592" s="133" t="n">
        <v>20</v>
      </c>
      <c r="K1592" s="129" t="n">
        <v>0</v>
      </c>
      <c r="L1592" s="129" t="n">
        <v>13</v>
      </c>
      <c r="M1592" s="129" t="inlineStr">
        <is>
          <t>24 VDC DI</t>
        </is>
      </c>
      <c r="N1592" s="129" t="inlineStr">
        <is>
          <t>5069-IB16</t>
        </is>
      </c>
      <c r="O1592" s="139" t="n"/>
      <c r="P1592" s="127" t="n"/>
      <c r="Q1592" s="127" t="n"/>
      <c r="R1592" s="127" t="n"/>
      <c r="S1592" s="127" t="n"/>
      <c r="T1592" s="127" t="n"/>
      <c r="U1592" s="127" t="n"/>
      <c r="V1592" s="127" t="n"/>
      <c r="W1592" s="127" t="n"/>
      <c r="X1592" s="127" t="n"/>
      <c r="Y1592" s="127" t="n"/>
      <c r="Z1592" s="140" t="inlineStr">
        <is>
          <t>OEM PANEL</t>
        </is>
      </c>
    </row>
    <row r="1593">
      <c r="A1593" s="203">
        <f>ROW()-1</f>
        <v/>
      </c>
      <c r="B1593" s="128" t="n"/>
      <c r="C1593" s="263" t="n"/>
      <c r="D1593" s="262" t="n"/>
      <c r="E1593" s="128" t="n"/>
      <c r="F1593" s="138" t="inlineStr">
        <is>
          <t>SPARE</t>
        </is>
      </c>
      <c r="G1593" s="131" t="n"/>
      <c r="H1593" s="128" t="n"/>
      <c r="I1593" s="132" t="inlineStr">
        <is>
          <t>RL7-DXPHX-RIO1</t>
        </is>
      </c>
      <c r="J1593" s="133" t="n">
        <v>20</v>
      </c>
      <c r="K1593" s="129" t="n">
        <v>0</v>
      </c>
      <c r="L1593" s="129" t="n">
        <v>14</v>
      </c>
      <c r="M1593" s="129" t="inlineStr">
        <is>
          <t>24 VDC DI</t>
        </is>
      </c>
      <c r="N1593" s="129" t="inlineStr">
        <is>
          <t>5069-IB16</t>
        </is>
      </c>
      <c r="O1593" s="139" t="n"/>
      <c r="P1593" s="127" t="n"/>
      <c r="Q1593" s="127" t="n"/>
      <c r="R1593" s="127" t="n"/>
      <c r="S1593" s="127" t="n"/>
      <c r="T1593" s="127" t="n"/>
      <c r="U1593" s="127" t="n"/>
      <c r="V1593" s="127" t="n"/>
      <c r="W1593" s="127" t="n"/>
      <c r="X1593" s="127" t="n"/>
      <c r="Y1593" s="127" t="n"/>
      <c r="Z1593" s="140" t="inlineStr">
        <is>
          <t>OEM PANEL</t>
        </is>
      </c>
    </row>
    <row r="1594">
      <c r="A1594" s="203">
        <f>ROW()-1</f>
        <v/>
      </c>
      <c r="B1594" s="128" t="n"/>
      <c r="C1594" s="263" t="n"/>
      <c r="D1594" s="262" t="n"/>
      <c r="E1594" s="128" t="n"/>
      <c r="F1594" s="138" t="inlineStr">
        <is>
          <t>SPARE</t>
        </is>
      </c>
      <c r="G1594" s="131" t="n"/>
      <c r="H1594" s="128" t="n"/>
      <c r="I1594" s="132" t="inlineStr">
        <is>
          <t>RL7-DXPHX-RIO1</t>
        </is>
      </c>
      <c r="J1594" s="133" t="n">
        <v>20</v>
      </c>
      <c r="K1594" s="129" t="n">
        <v>0</v>
      </c>
      <c r="L1594" s="129" t="n">
        <v>15</v>
      </c>
      <c r="M1594" s="129" t="inlineStr">
        <is>
          <t>24 VDC DI</t>
        </is>
      </c>
      <c r="N1594" s="129" t="inlineStr">
        <is>
          <t>5069-IB16</t>
        </is>
      </c>
      <c r="O1594" s="139" t="n"/>
      <c r="P1594" s="127" t="n"/>
      <c r="Q1594" s="127" t="n"/>
      <c r="R1594" s="127" t="n"/>
      <c r="S1594" s="127" t="n"/>
      <c r="T1594" s="127" t="n"/>
      <c r="U1594" s="127" t="n"/>
      <c r="V1594" s="127" t="n"/>
      <c r="W1594" s="127" t="n"/>
      <c r="X1594" s="127" t="n"/>
      <c r="Y1594" s="127" t="n"/>
      <c r="Z1594" s="140" t="inlineStr">
        <is>
          <t>OEM PANEL</t>
        </is>
      </c>
    </row>
    <row r="1595">
      <c r="A1595" s="203">
        <f>ROW()-1</f>
        <v/>
      </c>
      <c r="B1595" s="128" t="n"/>
      <c r="C1595" s="263" t="n"/>
      <c r="D1595" s="262" t="n"/>
      <c r="E1595" s="128" t="n"/>
      <c r="F1595" s="138" t="inlineStr">
        <is>
          <t>SPARE</t>
        </is>
      </c>
      <c r="G1595" s="131" t="n"/>
      <c r="H1595" s="128" t="n"/>
      <c r="I1595" s="132" t="inlineStr">
        <is>
          <t>RL7-DXPHX-RIO1</t>
        </is>
      </c>
      <c r="J1595" s="133" t="n">
        <v>20</v>
      </c>
      <c r="K1595" s="129" t="n">
        <v>1</v>
      </c>
      <c r="L1595" s="129" t="n">
        <v>3</v>
      </c>
      <c r="M1595" s="129" t="inlineStr">
        <is>
          <t>24 VDC DO</t>
        </is>
      </c>
      <c r="N1595" s="129" t="inlineStr">
        <is>
          <t>5069-OB16</t>
        </is>
      </c>
      <c r="O1595" s="139" t="n"/>
      <c r="P1595" s="127" t="n"/>
      <c r="Q1595" s="127" t="n"/>
      <c r="R1595" s="127" t="n"/>
      <c r="S1595" s="127" t="n"/>
      <c r="T1595" s="127" t="n"/>
      <c r="U1595" s="127" t="n"/>
      <c r="V1595" s="127" t="n"/>
      <c r="W1595" s="127" t="n"/>
      <c r="X1595" s="127" t="n"/>
      <c r="Y1595" s="127" t="n"/>
      <c r="Z1595" s="140" t="inlineStr">
        <is>
          <t>OEM PANEL</t>
        </is>
      </c>
    </row>
    <row r="1596">
      <c r="A1596" s="203">
        <f>ROW()-1</f>
        <v/>
      </c>
      <c r="B1596" s="128" t="n"/>
      <c r="C1596" s="263" t="n"/>
      <c r="D1596" s="262" t="n"/>
      <c r="E1596" s="128" t="n"/>
      <c r="F1596" s="138" t="inlineStr">
        <is>
          <t>SPARE</t>
        </is>
      </c>
      <c r="G1596" s="131" t="n"/>
      <c r="H1596" s="128" t="n"/>
      <c r="I1596" s="132" t="inlineStr">
        <is>
          <t>RL7-DXPHX-RIO1</t>
        </is>
      </c>
      <c r="J1596" s="133" t="n">
        <v>20</v>
      </c>
      <c r="K1596" s="129" t="n">
        <v>1</v>
      </c>
      <c r="L1596" s="129" t="n">
        <v>4</v>
      </c>
      <c r="M1596" s="129" t="inlineStr">
        <is>
          <t>24 VDC DO</t>
        </is>
      </c>
      <c r="N1596" s="129" t="inlineStr">
        <is>
          <t>5069-OB16</t>
        </is>
      </c>
      <c r="O1596" s="139" t="n"/>
      <c r="P1596" s="127" t="n"/>
      <c r="Q1596" s="127" t="n"/>
      <c r="R1596" s="127" t="n"/>
      <c r="S1596" s="127" t="n"/>
      <c r="T1596" s="127" t="n"/>
      <c r="U1596" s="127" t="n"/>
      <c r="V1596" s="127" t="n"/>
      <c r="W1596" s="127" t="n"/>
      <c r="X1596" s="127" t="n"/>
      <c r="Y1596" s="127" t="n"/>
      <c r="Z1596" s="140" t="inlineStr">
        <is>
          <t>OEM PANEL</t>
        </is>
      </c>
    </row>
    <row r="1597">
      <c r="A1597" s="203">
        <f>ROW()-1</f>
        <v/>
      </c>
      <c r="B1597" s="128" t="n"/>
      <c r="C1597" s="263" t="n"/>
      <c r="D1597" s="262" t="n"/>
      <c r="E1597" s="128" t="n"/>
      <c r="F1597" s="138" t="inlineStr">
        <is>
          <t>SPARE</t>
        </is>
      </c>
      <c r="G1597" s="131" t="n"/>
      <c r="H1597" s="128" t="n"/>
      <c r="I1597" s="132" t="inlineStr">
        <is>
          <t>RL7-DXPHX-RIO1</t>
        </is>
      </c>
      <c r="J1597" s="133" t="n">
        <v>20</v>
      </c>
      <c r="K1597" s="129" t="n">
        <v>1</v>
      </c>
      <c r="L1597" s="129" t="n">
        <v>5</v>
      </c>
      <c r="M1597" s="129" t="inlineStr">
        <is>
          <t>24 VDC DO</t>
        </is>
      </c>
      <c r="N1597" s="129" t="inlineStr">
        <is>
          <t>5069-OB16</t>
        </is>
      </c>
      <c r="O1597" s="139" t="n"/>
      <c r="P1597" s="127" t="n"/>
      <c r="Q1597" s="127" t="n"/>
      <c r="R1597" s="127" t="n"/>
      <c r="S1597" s="127" t="n"/>
      <c r="T1597" s="127" t="n"/>
      <c r="U1597" s="127" t="n"/>
      <c r="V1597" s="127" t="n"/>
      <c r="W1597" s="127" t="n"/>
      <c r="X1597" s="127" t="n"/>
      <c r="Y1597" s="127" t="n"/>
      <c r="Z1597" s="140" t="inlineStr">
        <is>
          <t>OEM PANEL</t>
        </is>
      </c>
    </row>
    <row r="1598">
      <c r="A1598" s="203">
        <f>ROW()-1</f>
        <v/>
      </c>
      <c r="B1598" s="128" t="n"/>
      <c r="C1598" s="263" t="n"/>
      <c r="D1598" s="262" t="n"/>
      <c r="E1598" s="128" t="n"/>
      <c r="F1598" s="138" t="inlineStr">
        <is>
          <t>SPARE</t>
        </is>
      </c>
      <c r="G1598" s="131" t="n"/>
      <c r="H1598" s="128" t="n"/>
      <c r="I1598" s="132" t="inlineStr">
        <is>
          <t>RL7-DXPHX-RIO1</t>
        </is>
      </c>
      <c r="J1598" s="133" t="n">
        <v>20</v>
      </c>
      <c r="K1598" s="129" t="n">
        <v>1</v>
      </c>
      <c r="L1598" s="129" t="n">
        <v>6</v>
      </c>
      <c r="M1598" s="129" t="inlineStr">
        <is>
          <t>24 VDC DO</t>
        </is>
      </c>
      <c r="N1598" s="129" t="inlineStr">
        <is>
          <t>5069-OB16</t>
        </is>
      </c>
      <c r="O1598" s="139" t="n"/>
      <c r="P1598" s="127" t="n"/>
      <c r="Q1598" s="127" t="n"/>
      <c r="R1598" s="127" t="n"/>
      <c r="S1598" s="127" t="n"/>
      <c r="T1598" s="127" t="n"/>
      <c r="U1598" s="127" t="n"/>
      <c r="V1598" s="127" t="n"/>
      <c r="W1598" s="127" t="n"/>
      <c r="X1598" s="127" t="n"/>
      <c r="Y1598" s="127" t="n"/>
      <c r="Z1598" s="140" t="inlineStr">
        <is>
          <t>OEM PANEL</t>
        </is>
      </c>
    </row>
    <row r="1599">
      <c r="A1599" s="203">
        <f>ROW()-1</f>
        <v/>
      </c>
      <c r="B1599" s="128" t="n"/>
      <c r="C1599" s="263" t="n"/>
      <c r="D1599" s="262" t="n"/>
      <c r="E1599" s="128" t="n"/>
      <c r="F1599" s="138" t="inlineStr">
        <is>
          <t>SPARE</t>
        </is>
      </c>
      <c r="G1599" s="131" t="n"/>
      <c r="H1599" s="128" t="n"/>
      <c r="I1599" s="132" t="inlineStr">
        <is>
          <t>RL7-DXPHX-RIO1</t>
        </is>
      </c>
      <c r="J1599" s="133" t="n">
        <v>20</v>
      </c>
      <c r="K1599" s="129" t="n">
        <v>1</v>
      </c>
      <c r="L1599" s="129" t="n">
        <v>7</v>
      </c>
      <c r="M1599" s="129" t="inlineStr">
        <is>
          <t>24 VDC DO</t>
        </is>
      </c>
      <c r="N1599" s="129" t="inlineStr">
        <is>
          <t>5069-OB16</t>
        </is>
      </c>
      <c r="O1599" s="139" t="n"/>
      <c r="P1599" s="127" t="n"/>
      <c r="Q1599" s="127" t="n"/>
      <c r="R1599" s="127" t="n"/>
      <c r="S1599" s="127" t="n"/>
      <c r="T1599" s="127" t="n"/>
      <c r="U1599" s="127" t="n"/>
      <c r="V1599" s="127" t="n"/>
      <c r="W1599" s="127" t="n"/>
      <c r="X1599" s="127" t="n"/>
      <c r="Y1599" s="127" t="n"/>
      <c r="Z1599" s="140" t="inlineStr">
        <is>
          <t>OEM PANEL</t>
        </is>
      </c>
    </row>
    <row r="1600">
      <c r="A1600" s="203">
        <f>ROW()-1</f>
        <v/>
      </c>
      <c r="B1600" s="128" t="n"/>
      <c r="C1600" s="263" t="n"/>
      <c r="D1600" s="262" t="n"/>
      <c r="E1600" s="128" t="n"/>
      <c r="F1600" s="138" t="inlineStr">
        <is>
          <t>SPARE</t>
        </is>
      </c>
      <c r="G1600" s="131" t="n"/>
      <c r="H1600" s="128" t="n"/>
      <c r="I1600" s="132" t="inlineStr">
        <is>
          <t>RL7-DXPHX-RIO1</t>
        </is>
      </c>
      <c r="J1600" s="133" t="n">
        <v>20</v>
      </c>
      <c r="K1600" s="129" t="n">
        <v>1</v>
      </c>
      <c r="L1600" s="129" t="n">
        <v>8</v>
      </c>
      <c r="M1600" s="129" t="inlineStr">
        <is>
          <t>24 VDC DO</t>
        </is>
      </c>
      <c r="N1600" s="129" t="inlineStr">
        <is>
          <t>5069-OB16</t>
        </is>
      </c>
      <c r="O1600" s="139" t="n"/>
      <c r="P1600" s="127" t="n"/>
      <c r="Q1600" s="127" t="n"/>
      <c r="R1600" s="127" t="n"/>
      <c r="S1600" s="127" t="n"/>
      <c r="T1600" s="127" t="n"/>
      <c r="U1600" s="127" t="n"/>
      <c r="V1600" s="127" t="n"/>
      <c r="W1600" s="127" t="n"/>
      <c r="X1600" s="127" t="n"/>
      <c r="Y1600" s="127" t="n"/>
      <c r="Z1600" s="140" t="inlineStr">
        <is>
          <t>OEM PANEL</t>
        </is>
      </c>
    </row>
    <row r="1601">
      <c r="A1601" s="203">
        <f>ROW()-1</f>
        <v/>
      </c>
      <c r="B1601" s="128" t="n"/>
      <c r="C1601" s="263" t="n"/>
      <c r="D1601" s="262" t="n"/>
      <c r="E1601" s="128" t="n"/>
      <c r="F1601" s="138" t="inlineStr">
        <is>
          <t>SPARE</t>
        </is>
      </c>
      <c r="G1601" s="131" t="n"/>
      <c r="H1601" s="128" t="n"/>
      <c r="I1601" s="132" t="inlineStr">
        <is>
          <t>RL7-DXPHX-RIO1</t>
        </is>
      </c>
      <c r="J1601" s="133" t="n">
        <v>20</v>
      </c>
      <c r="K1601" s="129" t="n">
        <v>1</v>
      </c>
      <c r="L1601" s="129" t="n">
        <v>9</v>
      </c>
      <c r="M1601" s="129" t="inlineStr">
        <is>
          <t>24 VDC DO</t>
        </is>
      </c>
      <c r="N1601" s="129" t="inlineStr">
        <is>
          <t>5069-OB16</t>
        </is>
      </c>
      <c r="O1601" s="139" t="n"/>
      <c r="P1601" s="127" t="n"/>
      <c r="Q1601" s="127" t="n"/>
      <c r="R1601" s="127" t="n"/>
      <c r="S1601" s="127" t="n"/>
      <c r="T1601" s="127" t="n"/>
      <c r="U1601" s="127" t="n"/>
      <c r="V1601" s="127" t="n"/>
      <c r="W1601" s="127" t="n"/>
      <c r="X1601" s="127" t="n"/>
      <c r="Y1601" s="127" t="n"/>
      <c r="Z1601" s="140" t="inlineStr">
        <is>
          <t>OEM PANEL</t>
        </is>
      </c>
    </row>
    <row r="1602">
      <c r="A1602" s="203">
        <f>ROW()-1</f>
        <v/>
      </c>
      <c r="B1602" s="128" t="n"/>
      <c r="C1602" s="263" t="n"/>
      <c r="D1602" s="262" t="n"/>
      <c r="E1602" s="128" t="n"/>
      <c r="F1602" s="138" t="inlineStr">
        <is>
          <t>SPARE</t>
        </is>
      </c>
      <c r="G1602" s="131" t="n"/>
      <c r="H1602" s="128" t="n"/>
      <c r="I1602" s="132" t="inlineStr">
        <is>
          <t>RL7-DXPHX-RIO1</t>
        </is>
      </c>
      <c r="J1602" s="133" t="n">
        <v>20</v>
      </c>
      <c r="K1602" s="129" t="n">
        <v>1</v>
      </c>
      <c r="L1602" s="129" t="n">
        <v>10</v>
      </c>
      <c r="M1602" s="129" t="inlineStr">
        <is>
          <t>24 VDC DO</t>
        </is>
      </c>
      <c r="N1602" s="129" t="inlineStr">
        <is>
          <t>5069-OB16</t>
        </is>
      </c>
      <c r="O1602" s="139" t="n"/>
      <c r="P1602" s="127" t="n"/>
      <c r="Q1602" s="127" t="n"/>
      <c r="R1602" s="127" t="n"/>
      <c r="S1602" s="127" t="n"/>
      <c r="T1602" s="127" t="n"/>
      <c r="U1602" s="127" t="n"/>
      <c r="V1602" s="127" t="n"/>
      <c r="W1602" s="127" t="n"/>
      <c r="X1602" s="127" t="n"/>
      <c r="Y1602" s="127" t="n"/>
      <c r="Z1602" s="140" t="inlineStr">
        <is>
          <t>OEM PANEL</t>
        </is>
      </c>
    </row>
    <row r="1603">
      <c r="A1603" s="203">
        <f>ROW()-1</f>
        <v/>
      </c>
      <c r="B1603" s="128" t="n"/>
      <c r="C1603" s="263" t="n"/>
      <c r="D1603" s="262" t="n"/>
      <c r="E1603" s="128" t="n"/>
      <c r="F1603" s="138" t="inlineStr">
        <is>
          <t>SPARE</t>
        </is>
      </c>
      <c r="G1603" s="131" t="n"/>
      <c r="H1603" s="128" t="n"/>
      <c r="I1603" s="132" t="inlineStr">
        <is>
          <t>RL7-DXPHX-RIO1</t>
        </is>
      </c>
      <c r="J1603" s="133" t="n">
        <v>20</v>
      </c>
      <c r="K1603" s="129" t="n">
        <v>1</v>
      </c>
      <c r="L1603" s="129" t="n">
        <v>11</v>
      </c>
      <c r="M1603" s="129" t="inlineStr">
        <is>
          <t>24 VDC DO</t>
        </is>
      </c>
      <c r="N1603" s="129" t="inlineStr">
        <is>
          <t>5069-OB16</t>
        </is>
      </c>
      <c r="O1603" s="139" t="n"/>
      <c r="P1603" s="127" t="n"/>
      <c r="Q1603" s="127" t="n"/>
      <c r="R1603" s="127" t="n"/>
      <c r="S1603" s="127" t="n"/>
      <c r="T1603" s="127" t="n"/>
      <c r="U1603" s="127" t="n"/>
      <c r="V1603" s="127" t="n"/>
      <c r="W1603" s="127" t="n"/>
      <c r="X1603" s="127" t="n"/>
      <c r="Y1603" s="127" t="n"/>
      <c r="Z1603" s="140" t="inlineStr">
        <is>
          <t>OEM PANEL</t>
        </is>
      </c>
    </row>
    <row r="1604">
      <c r="A1604" s="203">
        <f>ROW()-1</f>
        <v/>
      </c>
      <c r="B1604" s="128" t="n"/>
      <c r="C1604" s="263" t="n"/>
      <c r="D1604" s="262" t="n"/>
      <c r="E1604" s="128" t="n"/>
      <c r="F1604" s="138" t="inlineStr">
        <is>
          <t>SPARE</t>
        </is>
      </c>
      <c r="G1604" s="131" t="n"/>
      <c r="H1604" s="128" t="n"/>
      <c r="I1604" s="132" t="inlineStr">
        <is>
          <t>RL7-DXPHX-RIO1</t>
        </is>
      </c>
      <c r="J1604" s="133" t="n">
        <v>20</v>
      </c>
      <c r="K1604" s="129" t="n">
        <v>1</v>
      </c>
      <c r="L1604" s="129" t="n">
        <v>12</v>
      </c>
      <c r="M1604" s="129" t="inlineStr">
        <is>
          <t>24 VDC DO</t>
        </is>
      </c>
      <c r="N1604" s="129" t="inlineStr">
        <is>
          <t>5069-OB16</t>
        </is>
      </c>
      <c r="O1604" s="139" t="n"/>
      <c r="P1604" s="127" t="n"/>
      <c r="Q1604" s="127" t="n"/>
      <c r="R1604" s="127" t="n"/>
      <c r="S1604" s="127" t="n"/>
      <c r="T1604" s="127" t="n"/>
      <c r="U1604" s="127" t="n"/>
      <c r="V1604" s="127" t="n"/>
      <c r="W1604" s="127" t="n"/>
      <c r="X1604" s="127" t="n"/>
      <c r="Y1604" s="127" t="n"/>
      <c r="Z1604" s="140" t="inlineStr">
        <is>
          <t>OEM PANEL</t>
        </is>
      </c>
    </row>
    <row r="1605">
      <c r="A1605" s="203">
        <f>ROW()-1</f>
        <v/>
      </c>
      <c r="B1605" s="128" t="n"/>
      <c r="C1605" s="263" t="n"/>
      <c r="D1605" s="262" t="n"/>
      <c r="E1605" s="128" t="n"/>
      <c r="F1605" s="138" t="inlineStr">
        <is>
          <t>SPARE</t>
        </is>
      </c>
      <c r="G1605" s="131" t="n"/>
      <c r="H1605" s="128" t="n"/>
      <c r="I1605" s="132" t="inlineStr">
        <is>
          <t>RL7-DXPHX-RIO1</t>
        </is>
      </c>
      <c r="J1605" s="133" t="n">
        <v>20</v>
      </c>
      <c r="K1605" s="129" t="n">
        <v>1</v>
      </c>
      <c r="L1605" s="129" t="n">
        <v>13</v>
      </c>
      <c r="M1605" s="129" t="inlineStr">
        <is>
          <t>24 VDC DO</t>
        </is>
      </c>
      <c r="N1605" s="129" t="inlineStr">
        <is>
          <t>5069-OB16</t>
        </is>
      </c>
      <c r="O1605" s="139" t="n"/>
      <c r="P1605" s="127" t="n"/>
      <c r="Q1605" s="127" t="n"/>
      <c r="R1605" s="127" t="n"/>
      <c r="S1605" s="127" t="n"/>
      <c r="T1605" s="127" t="n"/>
      <c r="U1605" s="127" t="n"/>
      <c r="V1605" s="127" t="n"/>
      <c r="W1605" s="127" t="n"/>
      <c r="X1605" s="127" t="n"/>
      <c r="Y1605" s="127" t="n"/>
      <c r="Z1605" s="140" t="inlineStr">
        <is>
          <t>OEM PANEL</t>
        </is>
      </c>
    </row>
    <row r="1606">
      <c r="A1606" s="203">
        <f>ROW()-1</f>
        <v/>
      </c>
      <c r="B1606" s="128" t="n"/>
      <c r="C1606" s="263" t="n"/>
      <c r="D1606" s="262" t="n"/>
      <c r="E1606" s="128" t="n"/>
      <c r="F1606" s="138" t="inlineStr">
        <is>
          <t>SPARE</t>
        </is>
      </c>
      <c r="G1606" s="131" t="n"/>
      <c r="H1606" s="128" t="n"/>
      <c r="I1606" s="132" t="inlineStr">
        <is>
          <t>RL7-DXPHX-RIO1</t>
        </is>
      </c>
      <c r="J1606" s="133" t="n">
        <v>20</v>
      </c>
      <c r="K1606" s="129" t="n">
        <v>1</v>
      </c>
      <c r="L1606" s="129" t="n">
        <v>14</v>
      </c>
      <c r="M1606" s="129" t="inlineStr">
        <is>
          <t>24 VDC DO</t>
        </is>
      </c>
      <c r="N1606" s="129" t="inlineStr">
        <is>
          <t>5069-OB16</t>
        </is>
      </c>
      <c r="O1606" s="139" t="n"/>
      <c r="P1606" s="127" t="n"/>
      <c r="Q1606" s="127" t="n"/>
      <c r="R1606" s="127" t="n"/>
      <c r="S1606" s="127" t="n"/>
      <c r="T1606" s="127" t="n"/>
      <c r="U1606" s="127" t="n"/>
      <c r="V1606" s="127" t="n"/>
      <c r="W1606" s="127" t="n"/>
      <c r="X1606" s="127" t="n"/>
      <c r="Y1606" s="127" t="n"/>
      <c r="Z1606" s="140" t="inlineStr">
        <is>
          <t>OEM PANEL</t>
        </is>
      </c>
    </row>
    <row r="1607">
      <c r="A1607" s="203">
        <f>ROW()-1</f>
        <v/>
      </c>
      <c r="B1607" s="128" t="n"/>
      <c r="C1607" s="263" t="n"/>
      <c r="D1607" s="262" t="n"/>
      <c r="E1607" s="128" t="n"/>
      <c r="F1607" s="138" t="inlineStr">
        <is>
          <t>SPARE</t>
        </is>
      </c>
      <c r="G1607" s="131" t="n"/>
      <c r="H1607" s="128" t="n"/>
      <c r="I1607" s="132" t="inlineStr">
        <is>
          <t>RL7-DXPHX-RIO1</t>
        </is>
      </c>
      <c r="J1607" s="133" t="n">
        <v>20</v>
      </c>
      <c r="K1607" s="129" t="n">
        <v>1</v>
      </c>
      <c r="L1607" s="129" t="n">
        <v>15</v>
      </c>
      <c r="M1607" s="129" t="inlineStr">
        <is>
          <t>24 VDC DO</t>
        </is>
      </c>
      <c r="N1607" s="129" t="inlineStr">
        <is>
          <t>5069-OB16</t>
        </is>
      </c>
      <c r="O1607" s="139" t="n"/>
      <c r="P1607" s="127" t="n"/>
      <c r="Q1607" s="127" t="n"/>
      <c r="R1607" s="127" t="n"/>
      <c r="S1607" s="127" t="n"/>
      <c r="T1607" s="127" t="n"/>
      <c r="U1607" s="127" t="n"/>
      <c r="V1607" s="127" t="n"/>
      <c r="W1607" s="127" t="n"/>
      <c r="X1607" s="127" t="n"/>
      <c r="Y1607" s="127" t="n"/>
      <c r="Z1607" s="140" t="inlineStr">
        <is>
          <t>OEM PANEL</t>
        </is>
      </c>
    </row>
    <row r="1608">
      <c r="A1608" s="203">
        <f>ROW()-1</f>
        <v/>
      </c>
      <c r="B1608" s="128" t="n"/>
      <c r="C1608" s="263" t="n"/>
      <c r="D1608" s="262" t="n"/>
      <c r="E1608" s="128" t="n"/>
      <c r="F1608" s="138" t="inlineStr">
        <is>
          <t>SPARE</t>
        </is>
      </c>
      <c r="G1608" s="131" t="n"/>
      <c r="H1608" s="128" t="n"/>
      <c r="I1608" s="132" t="inlineStr">
        <is>
          <t>RL7-DXPHX-RIO1</t>
        </is>
      </c>
      <c r="J1608" s="133" t="n">
        <v>20</v>
      </c>
      <c r="K1608" s="129" t="n">
        <v>3</v>
      </c>
      <c r="L1608" s="129" t="n">
        <v>1</v>
      </c>
      <c r="M1608" s="129" t="inlineStr">
        <is>
          <t>4-20 mA AI</t>
        </is>
      </c>
      <c r="N1608" s="129" t="inlineStr">
        <is>
          <t>5069-IF8</t>
        </is>
      </c>
      <c r="O1608" s="139" t="n"/>
      <c r="P1608" s="127" t="n"/>
      <c r="Q1608" s="127" t="n"/>
      <c r="R1608" s="127" t="n"/>
      <c r="S1608" s="127" t="n"/>
      <c r="T1608" s="127" t="n"/>
      <c r="U1608" s="127" t="n"/>
      <c r="V1608" s="127" t="n"/>
      <c r="W1608" s="127" t="n"/>
      <c r="X1608" s="127" t="n"/>
      <c r="Y1608" s="127" t="n"/>
      <c r="Z1608" s="140" t="inlineStr">
        <is>
          <t>OEM PANEL</t>
        </is>
      </c>
    </row>
    <row r="1609">
      <c r="A1609" s="203">
        <f>ROW()-1</f>
        <v/>
      </c>
      <c r="B1609" s="128" t="n"/>
      <c r="C1609" s="263" t="n"/>
      <c r="D1609" s="262" t="n"/>
      <c r="E1609" s="128" t="n"/>
      <c r="F1609" s="138" t="inlineStr">
        <is>
          <t>SPARE</t>
        </is>
      </c>
      <c r="G1609" s="131" t="n"/>
      <c r="H1609" s="128" t="n"/>
      <c r="I1609" s="132" t="inlineStr">
        <is>
          <t>RL7-DXPHX-RIO1</t>
        </is>
      </c>
      <c r="J1609" s="133" t="n">
        <v>20</v>
      </c>
      <c r="K1609" s="129" t="n">
        <v>3</v>
      </c>
      <c r="L1609" s="129" t="n">
        <v>2</v>
      </c>
      <c r="M1609" s="129" t="inlineStr">
        <is>
          <t>4-20 mA AI</t>
        </is>
      </c>
      <c r="N1609" s="129" t="inlineStr">
        <is>
          <t>5069-IF8</t>
        </is>
      </c>
      <c r="O1609" s="139" t="n"/>
      <c r="P1609" s="127" t="n"/>
      <c r="Q1609" s="127" t="n"/>
      <c r="R1609" s="127" t="n"/>
      <c r="S1609" s="127" t="n"/>
      <c r="T1609" s="127" t="n"/>
      <c r="U1609" s="127" t="n"/>
      <c r="V1609" s="127" t="n"/>
      <c r="W1609" s="127" t="n"/>
      <c r="X1609" s="127" t="n"/>
      <c r="Y1609" s="127" t="n"/>
      <c r="Z1609" s="140" t="inlineStr">
        <is>
          <t>OEM PANEL</t>
        </is>
      </c>
    </row>
    <row r="1610">
      <c r="A1610" s="203">
        <f>ROW()-1</f>
        <v/>
      </c>
      <c r="B1610" s="128" t="n"/>
      <c r="C1610" s="263" t="n"/>
      <c r="D1610" s="262" t="n"/>
      <c r="E1610" s="128" t="n"/>
      <c r="F1610" s="138" t="inlineStr">
        <is>
          <t>SPARE</t>
        </is>
      </c>
      <c r="G1610" s="131" t="n"/>
      <c r="H1610" s="128" t="n"/>
      <c r="I1610" s="132" t="inlineStr">
        <is>
          <t>RL7-DXPHX-RIO1</t>
        </is>
      </c>
      <c r="J1610" s="133" t="n">
        <v>20</v>
      </c>
      <c r="K1610" s="129" t="n">
        <v>3</v>
      </c>
      <c r="L1610" s="129" t="n">
        <v>3</v>
      </c>
      <c r="M1610" s="129" t="inlineStr">
        <is>
          <t>4-20 mA AI</t>
        </is>
      </c>
      <c r="N1610" s="129" t="inlineStr">
        <is>
          <t>5069-IF8</t>
        </is>
      </c>
      <c r="O1610" s="139" t="n"/>
      <c r="P1610" s="127" t="n"/>
      <c r="Q1610" s="127" t="n"/>
      <c r="R1610" s="127" t="n"/>
      <c r="S1610" s="127" t="n"/>
      <c r="T1610" s="127" t="n"/>
      <c r="U1610" s="127" t="n"/>
      <c r="V1610" s="127" t="n"/>
      <c r="W1610" s="127" t="n"/>
      <c r="X1610" s="127" t="n"/>
      <c r="Y1610" s="127" t="n"/>
      <c r="Z1610" s="140" t="inlineStr">
        <is>
          <t>OEM PANEL</t>
        </is>
      </c>
    </row>
    <row r="1611">
      <c r="A1611" s="203">
        <f>ROW()-1</f>
        <v/>
      </c>
      <c r="B1611" s="128" t="n"/>
      <c r="C1611" s="263" t="n"/>
      <c r="D1611" s="262" t="n"/>
      <c r="E1611" s="128" t="n"/>
      <c r="F1611" s="138" t="inlineStr">
        <is>
          <t>SPARE</t>
        </is>
      </c>
      <c r="G1611" s="131" t="n"/>
      <c r="H1611" s="128" t="n"/>
      <c r="I1611" s="132" t="inlineStr">
        <is>
          <t>RL7-DXPHX-RIO1</t>
        </is>
      </c>
      <c r="J1611" s="133" t="n">
        <v>20</v>
      </c>
      <c r="K1611" s="129" t="n">
        <v>3</v>
      </c>
      <c r="L1611" s="129" t="n">
        <v>4</v>
      </c>
      <c r="M1611" s="129" t="inlineStr">
        <is>
          <t>4-20 mA AI</t>
        </is>
      </c>
      <c r="N1611" s="129" t="inlineStr">
        <is>
          <t>5069-IF8</t>
        </is>
      </c>
      <c r="O1611" s="139" t="n"/>
      <c r="P1611" s="127" t="n"/>
      <c r="Q1611" s="127" t="n"/>
      <c r="R1611" s="127" t="n"/>
      <c r="S1611" s="127" t="n"/>
      <c r="T1611" s="127" t="n"/>
      <c r="U1611" s="127" t="n"/>
      <c r="V1611" s="127" t="n"/>
      <c r="W1611" s="127" t="n"/>
      <c r="X1611" s="127" t="n"/>
      <c r="Y1611" s="127" t="n"/>
      <c r="Z1611" s="140" t="inlineStr">
        <is>
          <t>OEM PANEL</t>
        </is>
      </c>
    </row>
    <row r="1612">
      <c r="A1612" s="203">
        <f>ROW()-1</f>
        <v/>
      </c>
      <c r="B1612" s="128" t="n"/>
      <c r="C1612" s="263" t="n"/>
      <c r="D1612" s="262" t="n"/>
      <c r="E1612" s="128" t="n"/>
      <c r="F1612" s="138" t="inlineStr">
        <is>
          <t>SPARE</t>
        </is>
      </c>
      <c r="G1612" s="131" t="n"/>
      <c r="H1612" s="128" t="n"/>
      <c r="I1612" s="132" t="inlineStr">
        <is>
          <t>RL7-DXPHX-RIO1</t>
        </is>
      </c>
      <c r="J1612" s="133" t="n">
        <v>20</v>
      </c>
      <c r="K1612" s="129" t="n">
        <v>3</v>
      </c>
      <c r="L1612" s="129" t="n">
        <v>5</v>
      </c>
      <c r="M1612" s="129" t="inlineStr">
        <is>
          <t>4-20 mA AI</t>
        </is>
      </c>
      <c r="N1612" s="129" t="inlineStr">
        <is>
          <t>5069-IF8</t>
        </is>
      </c>
      <c r="O1612" s="139" t="n"/>
      <c r="P1612" s="127" t="n"/>
      <c r="Q1612" s="127" t="n"/>
      <c r="R1612" s="127" t="n"/>
      <c r="S1612" s="127" t="n"/>
      <c r="T1612" s="127" t="n"/>
      <c r="U1612" s="127" t="n"/>
      <c r="V1612" s="127" t="n"/>
      <c r="W1612" s="127" t="n"/>
      <c r="X1612" s="127" t="n"/>
      <c r="Y1612" s="127" t="n"/>
      <c r="Z1612" s="140" t="inlineStr">
        <is>
          <t>OEM PANEL</t>
        </is>
      </c>
    </row>
    <row r="1613">
      <c r="A1613" s="203">
        <f>ROW()-1</f>
        <v/>
      </c>
      <c r="B1613" s="128" t="n"/>
      <c r="C1613" s="263" t="n"/>
      <c r="D1613" s="262" t="n"/>
      <c r="E1613" s="128" t="n"/>
      <c r="F1613" s="138" t="inlineStr">
        <is>
          <t>SPARE</t>
        </is>
      </c>
      <c r="G1613" s="131" t="n"/>
      <c r="H1613" s="128" t="n"/>
      <c r="I1613" s="132" t="inlineStr">
        <is>
          <t>RL7-DXPHX-RIO1</t>
        </is>
      </c>
      <c r="J1613" s="133" t="n">
        <v>20</v>
      </c>
      <c r="K1613" s="129" t="n">
        <v>3</v>
      </c>
      <c r="L1613" s="129" t="n">
        <v>6</v>
      </c>
      <c r="M1613" s="129" t="inlineStr">
        <is>
          <t>4-20 mA AI</t>
        </is>
      </c>
      <c r="N1613" s="129" t="inlineStr">
        <is>
          <t>5069-IF8</t>
        </is>
      </c>
      <c r="O1613" s="139" t="n"/>
      <c r="P1613" s="127" t="n"/>
      <c r="Q1613" s="127" t="n"/>
      <c r="R1613" s="127" t="n"/>
      <c r="S1613" s="127" t="n"/>
      <c r="T1613" s="127" t="n"/>
      <c r="U1613" s="127" t="n"/>
      <c r="V1613" s="127" t="n"/>
      <c r="W1613" s="127" t="n"/>
      <c r="X1613" s="127" t="n"/>
      <c r="Y1613" s="127" t="n"/>
      <c r="Z1613" s="140" t="inlineStr">
        <is>
          <t>OEM PANEL</t>
        </is>
      </c>
    </row>
    <row r="1614">
      <c r="A1614" s="203">
        <f>ROW()-1</f>
        <v/>
      </c>
      <c r="B1614" s="128" t="n"/>
      <c r="C1614" s="263" t="n"/>
      <c r="D1614" s="262" t="n"/>
      <c r="E1614" s="128" t="n"/>
      <c r="F1614" s="138" t="inlineStr">
        <is>
          <t>SPARE</t>
        </is>
      </c>
      <c r="G1614" s="131" t="n"/>
      <c r="H1614" s="128" t="n"/>
      <c r="I1614" s="132" t="inlineStr">
        <is>
          <t>RL7-DXPHX-RIO1</t>
        </is>
      </c>
      <c r="J1614" s="133" t="n">
        <v>20</v>
      </c>
      <c r="K1614" s="129" t="n">
        <v>3</v>
      </c>
      <c r="L1614" s="129" t="n">
        <v>7</v>
      </c>
      <c r="M1614" s="129" t="inlineStr">
        <is>
          <t>4-20 mA AI</t>
        </is>
      </c>
      <c r="N1614" s="129" t="inlineStr">
        <is>
          <t>5069-IF8</t>
        </is>
      </c>
      <c r="O1614" s="139" t="n"/>
      <c r="P1614" s="127" t="n"/>
      <c r="Q1614" s="127" t="n"/>
      <c r="R1614" s="127" t="n"/>
      <c r="S1614" s="127" t="n"/>
      <c r="T1614" s="127" t="n"/>
      <c r="U1614" s="127" t="n"/>
      <c r="V1614" s="127" t="n"/>
      <c r="W1614" s="127" t="n"/>
      <c r="X1614" s="127" t="n"/>
      <c r="Y1614" s="127" t="n"/>
      <c r="Z1614" s="140" t="inlineStr">
        <is>
          <t>OEM PANEL</t>
        </is>
      </c>
    </row>
    <row r="1615">
      <c r="A1615" s="203">
        <f>ROW()-1</f>
        <v/>
      </c>
      <c r="B1615" s="128" t="n"/>
      <c r="C1615" s="263" t="n"/>
      <c r="D1615" s="262" t="n"/>
      <c r="E1615" s="128" t="n"/>
      <c r="F1615" s="138" t="inlineStr">
        <is>
          <t>SPARE</t>
        </is>
      </c>
      <c r="G1615" s="131" t="n"/>
      <c r="H1615" s="128" t="n"/>
      <c r="I1615" s="132" t="inlineStr">
        <is>
          <t>RL7-DXPHX-RIO1</t>
        </is>
      </c>
      <c r="J1615" s="133" t="n">
        <v>20</v>
      </c>
      <c r="K1615" s="129" t="n">
        <v>4</v>
      </c>
      <c r="L1615" s="129" t="n">
        <v>1</v>
      </c>
      <c r="M1615" s="129" t="inlineStr">
        <is>
          <t>4-20 mA AO</t>
        </is>
      </c>
      <c r="N1615" s="129" t="inlineStr">
        <is>
          <t>5069-OF8</t>
        </is>
      </c>
      <c r="O1615" s="139" t="n"/>
      <c r="P1615" s="127" t="n"/>
      <c r="Q1615" s="127" t="n"/>
      <c r="R1615" s="127" t="n"/>
      <c r="S1615" s="127" t="n"/>
      <c r="T1615" s="127" t="n"/>
      <c r="U1615" s="127" t="n"/>
      <c r="V1615" s="127" t="n"/>
      <c r="W1615" s="127" t="n"/>
      <c r="X1615" s="127" t="n"/>
      <c r="Y1615" s="127" t="n"/>
      <c r="Z1615" s="140" t="inlineStr">
        <is>
          <t>OEM PANEL</t>
        </is>
      </c>
    </row>
    <row r="1616">
      <c r="A1616" s="203">
        <f>ROW()-1</f>
        <v/>
      </c>
      <c r="B1616" s="128" t="n"/>
      <c r="C1616" s="263" t="n"/>
      <c r="D1616" s="262" t="n"/>
      <c r="E1616" s="128" t="n"/>
      <c r="F1616" s="138" t="inlineStr">
        <is>
          <t>SPARE</t>
        </is>
      </c>
      <c r="G1616" s="131" t="n"/>
      <c r="H1616" s="128" t="n"/>
      <c r="I1616" s="132" t="inlineStr">
        <is>
          <t>RL7-DXPHX-RIO1</t>
        </is>
      </c>
      <c r="J1616" s="133" t="n">
        <v>20</v>
      </c>
      <c r="K1616" s="129" t="n">
        <v>4</v>
      </c>
      <c r="L1616" s="129" t="n">
        <v>2</v>
      </c>
      <c r="M1616" s="129" t="inlineStr">
        <is>
          <t>4-20 mA AO</t>
        </is>
      </c>
      <c r="N1616" s="129" t="inlineStr">
        <is>
          <t>5069-OF8</t>
        </is>
      </c>
      <c r="O1616" s="139" t="n"/>
      <c r="P1616" s="127" t="n"/>
      <c r="Q1616" s="127" t="n"/>
      <c r="R1616" s="127" t="n"/>
      <c r="S1616" s="127" t="n"/>
      <c r="T1616" s="127" t="n"/>
      <c r="U1616" s="127" t="n"/>
      <c r="V1616" s="127" t="n"/>
      <c r="W1616" s="127" t="n"/>
      <c r="X1616" s="127" t="n"/>
      <c r="Y1616" s="127" t="n"/>
      <c r="Z1616" s="140" t="inlineStr">
        <is>
          <t>OEM PANEL</t>
        </is>
      </c>
    </row>
    <row r="1617">
      <c r="A1617" s="203">
        <f>ROW()-1</f>
        <v/>
      </c>
      <c r="B1617" s="128" t="n"/>
      <c r="C1617" s="263" t="n"/>
      <c r="D1617" s="262" t="n"/>
      <c r="E1617" s="128" t="n"/>
      <c r="F1617" s="138" t="inlineStr">
        <is>
          <t>SPARE</t>
        </is>
      </c>
      <c r="G1617" s="131" t="n"/>
      <c r="H1617" s="128" t="n"/>
      <c r="I1617" s="132" t="inlineStr">
        <is>
          <t>RL7-DXPHX-RIO1</t>
        </is>
      </c>
      <c r="J1617" s="133" t="n">
        <v>20</v>
      </c>
      <c r="K1617" s="129" t="n">
        <v>4</v>
      </c>
      <c r="L1617" s="129" t="n">
        <v>3</v>
      </c>
      <c r="M1617" s="129" t="inlineStr">
        <is>
          <t>4-20 mA AO</t>
        </is>
      </c>
      <c r="N1617" s="129" t="inlineStr">
        <is>
          <t>5069-OF8</t>
        </is>
      </c>
      <c r="O1617" s="139" t="n"/>
      <c r="P1617" s="127" t="n"/>
      <c r="Q1617" s="127" t="n"/>
      <c r="R1617" s="127" t="n"/>
      <c r="S1617" s="127" t="n"/>
      <c r="T1617" s="127" t="n"/>
      <c r="U1617" s="127" t="n"/>
      <c r="V1617" s="127" t="n"/>
      <c r="W1617" s="127" t="n"/>
      <c r="X1617" s="127" t="n"/>
      <c r="Y1617" s="127" t="n"/>
      <c r="Z1617" s="140" t="inlineStr">
        <is>
          <t>OEM PANEL</t>
        </is>
      </c>
    </row>
    <row r="1618" customFormat="1" s="136">
      <c r="A1618" s="203">
        <f>ROW()-1</f>
        <v/>
      </c>
      <c r="B1618" s="128" t="n"/>
      <c r="C1618" s="263" t="n"/>
      <c r="D1618" s="262" t="n"/>
      <c r="E1618" s="128" t="n"/>
      <c r="F1618" s="138" t="inlineStr">
        <is>
          <t>SPARE</t>
        </is>
      </c>
      <c r="G1618" s="131" t="n"/>
      <c r="H1618" s="128" t="n"/>
      <c r="I1618" s="132" t="inlineStr">
        <is>
          <t>RL7-DXPHX-RIO1</t>
        </is>
      </c>
      <c r="J1618" s="133" t="n">
        <v>20</v>
      </c>
      <c r="K1618" s="129" t="n">
        <v>4</v>
      </c>
      <c r="L1618" s="129" t="n">
        <v>4</v>
      </c>
      <c r="M1618" s="129" t="inlineStr">
        <is>
          <t>4-20 mA AO</t>
        </is>
      </c>
      <c r="N1618" s="129" t="inlineStr">
        <is>
          <t>5069-OF8</t>
        </is>
      </c>
      <c r="O1618" s="139" t="n"/>
      <c r="P1618" s="127" t="n"/>
      <c r="Q1618" s="127" t="n"/>
      <c r="R1618" s="127" t="n"/>
      <c r="S1618" s="127" t="n"/>
      <c r="T1618" s="127" t="n"/>
      <c r="U1618" s="127" t="n"/>
      <c r="V1618" s="127" t="n"/>
      <c r="W1618" s="127" t="n"/>
      <c r="X1618" s="127" t="n"/>
      <c r="Y1618" s="127" t="n"/>
      <c r="Z1618" s="140" t="inlineStr">
        <is>
          <t>OEM PANEL</t>
        </is>
      </c>
    </row>
    <row r="1619">
      <c r="A1619" s="203">
        <f>ROW()-1</f>
        <v/>
      </c>
      <c r="B1619" s="128" t="n"/>
      <c r="C1619" s="263" t="n"/>
      <c r="D1619" s="262" t="n"/>
      <c r="E1619" s="128" t="n"/>
      <c r="F1619" s="138" t="inlineStr">
        <is>
          <t>SPARE</t>
        </is>
      </c>
      <c r="G1619" s="131" t="n"/>
      <c r="H1619" s="128" t="n"/>
      <c r="I1619" s="132" t="inlineStr">
        <is>
          <t>RL7-DXPHX-RIO1</t>
        </is>
      </c>
      <c r="J1619" s="133" t="n">
        <v>20</v>
      </c>
      <c r="K1619" s="129" t="n">
        <v>4</v>
      </c>
      <c r="L1619" s="129" t="n">
        <v>5</v>
      </c>
      <c r="M1619" s="129" t="inlineStr">
        <is>
          <t>4-20 mA AO</t>
        </is>
      </c>
      <c r="N1619" s="129" t="inlineStr">
        <is>
          <t>5069-OF8</t>
        </is>
      </c>
      <c r="O1619" s="139" t="n"/>
      <c r="P1619" s="127" t="n"/>
      <c r="Q1619" s="127" t="n"/>
      <c r="R1619" s="127" t="n"/>
      <c r="S1619" s="127" t="n"/>
      <c r="T1619" s="127" t="n"/>
      <c r="U1619" s="127" t="n"/>
      <c r="V1619" s="127" t="n"/>
      <c r="W1619" s="127" t="n"/>
      <c r="X1619" s="127" t="n"/>
      <c r="Y1619" s="127" t="n"/>
      <c r="Z1619" s="140" t="inlineStr">
        <is>
          <t>OEM PANEL</t>
        </is>
      </c>
    </row>
    <row r="1620">
      <c r="A1620" s="203">
        <f>ROW()-1</f>
        <v/>
      </c>
      <c r="B1620" s="128" t="n"/>
      <c r="C1620" s="263" t="n"/>
      <c r="D1620" s="262" t="n"/>
      <c r="E1620" s="128" t="n"/>
      <c r="F1620" s="138" t="inlineStr">
        <is>
          <t>SPARE</t>
        </is>
      </c>
      <c r="G1620" s="131" t="n"/>
      <c r="H1620" s="128" t="n"/>
      <c r="I1620" s="132" t="inlineStr">
        <is>
          <t>RL7-DXPHX-RIO1</t>
        </is>
      </c>
      <c r="J1620" s="133" t="n">
        <v>20</v>
      </c>
      <c r="K1620" s="129" t="n">
        <v>4</v>
      </c>
      <c r="L1620" s="129" t="n">
        <v>6</v>
      </c>
      <c r="M1620" s="129" t="inlineStr">
        <is>
          <t>4-20 mA AO</t>
        </is>
      </c>
      <c r="N1620" s="129" t="inlineStr">
        <is>
          <t>5069-OF8</t>
        </is>
      </c>
      <c r="O1620" s="139" t="n"/>
      <c r="P1620" s="127" t="n"/>
      <c r="Q1620" s="127" t="n"/>
      <c r="R1620" s="127" t="n"/>
      <c r="S1620" s="127" t="n"/>
      <c r="T1620" s="127" t="n"/>
      <c r="U1620" s="127" t="n"/>
      <c r="V1620" s="127" t="n"/>
      <c r="W1620" s="127" t="n"/>
      <c r="X1620" s="127" t="n"/>
      <c r="Y1620" s="127" t="n"/>
      <c r="Z1620" s="140" t="inlineStr">
        <is>
          <t>OEM PANEL</t>
        </is>
      </c>
    </row>
    <row r="1621">
      <c r="A1621" s="203">
        <f>ROW()-1</f>
        <v/>
      </c>
      <c r="B1621" s="128" t="n"/>
      <c r="C1621" s="263" t="n"/>
      <c r="D1621" s="262" t="n"/>
      <c r="E1621" s="128" t="n"/>
      <c r="F1621" s="138" t="inlineStr">
        <is>
          <t>SPARE</t>
        </is>
      </c>
      <c r="G1621" s="131" t="n"/>
      <c r="H1621" s="128" t="n"/>
      <c r="I1621" s="132" t="inlineStr">
        <is>
          <t>RL7-DXPHX-RIO1</t>
        </is>
      </c>
      <c r="J1621" s="133" t="n">
        <v>20</v>
      </c>
      <c r="K1621" s="129" t="n">
        <v>4</v>
      </c>
      <c r="L1621" s="129" t="n">
        <v>7</v>
      </c>
      <c r="M1621" s="129" t="inlineStr">
        <is>
          <t>4-20 mA AO</t>
        </is>
      </c>
      <c r="N1621" s="129" t="inlineStr">
        <is>
          <t>5069-OF8</t>
        </is>
      </c>
      <c r="O1621" s="139" t="n"/>
      <c r="P1621" s="127" t="n"/>
      <c r="Q1621" s="127" t="n"/>
      <c r="R1621" s="127" t="n"/>
      <c r="S1621" s="127" t="n"/>
      <c r="T1621" s="127" t="n"/>
      <c r="U1621" s="127" t="n"/>
      <c r="V1621" s="127" t="n"/>
      <c r="W1621" s="127" t="n"/>
      <c r="X1621" s="127" t="n"/>
      <c r="Y1621" s="127" t="n"/>
      <c r="Z1621" s="140" t="inlineStr">
        <is>
          <t>OEM PANEL</t>
        </is>
      </c>
    </row>
    <row r="1622">
      <c r="A1622" s="203" t="n"/>
      <c r="B1622" s="128" t="n"/>
      <c r="C1622" s="263" t="n"/>
      <c r="D1622" s="262" t="n"/>
      <c r="E1622" s="128" t="n"/>
      <c r="F1622" s="138" t="n"/>
      <c r="G1622" s="131" t="n"/>
      <c r="H1622" s="128" t="n"/>
      <c r="I1622" s="132" t="n"/>
      <c r="J1622" s="129" t="n"/>
      <c r="K1622" s="129" t="n"/>
      <c r="L1622" s="129" t="n"/>
      <c r="M1622" s="129" t="n"/>
      <c r="N1622" s="129" t="n"/>
      <c r="O1622" s="139" t="n"/>
      <c r="P1622" s="127" t="n"/>
      <c r="Z1622" s="166" t="n"/>
    </row>
    <row r="1623">
      <c r="A1623" s="204" t="n"/>
      <c r="B1623" s="205" t="n"/>
      <c r="C1623" s="266" t="n"/>
      <c r="D1623" s="281" t="n"/>
      <c r="E1623" s="205" t="n"/>
      <c r="F1623" s="207" t="n"/>
      <c r="G1623" s="208" t="n"/>
      <c r="H1623" s="205" t="n"/>
      <c r="I1623" s="209" t="n"/>
      <c r="J1623" s="206" t="n"/>
      <c r="K1623" s="206" t="n"/>
      <c r="L1623" s="206" t="n"/>
      <c r="M1623" s="206" t="n"/>
      <c r="N1623" s="206" t="n"/>
      <c r="O1623" s="210" t="n"/>
      <c r="P1623" s="211" t="n"/>
      <c r="Q1623" s="211" t="n"/>
      <c r="R1623" s="211" t="n"/>
      <c r="S1623" s="211" t="n"/>
      <c r="T1623" s="211" t="n"/>
      <c r="U1623" s="211" t="n"/>
      <c r="V1623" s="211" t="n"/>
      <c r="W1623" s="211" t="n"/>
      <c r="X1623" s="211" t="n"/>
      <c r="Y1623" s="211" t="n"/>
      <c r="Z1623" s="212" t="n"/>
    </row>
    <row r="1624">
      <c r="O1624" s="167" t="n"/>
      <c r="Z1624" s="166" t="n"/>
    </row>
    <row r="1625">
      <c r="O1625" s="167" t="n"/>
      <c r="Z1625" s="166" t="n"/>
    </row>
    <row r="1626">
      <c r="O1626" s="167" t="n"/>
      <c r="Z1626" s="166" t="n"/>
    </row>
    <row r="1627" ht="15.75" customHeight="1" thickBot="1">
      <c r="O1627" s="167" t="n"/>
      <c r="Z1627" s="166" t="n"/>
    </row>
    <row r="1628" ht="55.5" customHeight="1" thickBot="1">
      <c r="C1628" s="319" t="inlineStr">
        <is>
          <t>I/O TOTALS</t>
        </is>
      </c>
      <c r="D1628" s="289" t="n"/>
      <c r="L1628" s="169" t="n"/>
      <c r="M1628" s="170" t="n"/>
      <c r="N1628" s="171" t="inlineStr">
        <is>
          <t>---------</t>
        </is>
      </c>
      <c r="O1628" s="172" t="inlineStr">
        <is>
          <t>------------</t>
        </is>
      </c>
      <c r="P1628" s="173" t="inlineStr">
        <is>
          <t>DEVICE
INSTALLED</t>
        </is>
      </c>
      <c r="Q1628" s="173" t="inlineStr">
        <is>
          <t>DEVICE
TAGGED</t>
        </is>
      </c>
      <c r="R1628" s="173" t="inlineStr">
        <is>
          <t>CA
INSTALLED</t>
        </is>
      </c>
      <c r="S1628" s="173" t="inlineStr">
        <is>
          <t>RACEWAYS
COMPLETE</t>
        </is>
      </c>
      <c r="T1628" s="173" t="inlineStr">
        <is>
          <t>WIRE
PULLED</t>
        </is>
      </c>
      <c r="U1628" s="173" t="inlineStr">
        <is>
          <t>WIRE
TERMED</t>
        </is>
      </c>
      <c r="V1628" s="173" t="inlineStr">
        <is>
          <t>WIRE
TAGGED</t>
        </is>
      </c>
      <c r="W1628" s="173" t="inlineStr">
        <is>
          <t>POINT
TO POINT</t>
        </is>
      </c>
      <c r="X1628" s="174" t="inlineStr">
        <is>
          <t>IO CHECK</t>
        </is>
      </c>
      <c r="Y1628" s="174" t="inlineStr">
        <is>
          <t>IO GOOD</t>
        </is>
      </c>
      <c r="AA1628" t="inlineStr">
        <is>
          <t>Skipped - unrecognized tag</t>
        </is>
      </c>
      <c r="AC1628" t="inlineStr">
        <is>
          <t>Low</t>
        </is>
      </c>
      <c r="AM1628" t="inlineStr">
        <is>
          <t>all pages</t>
        </is>
      </c>
      <c r="AN1628" t="inlineStr">
        <is>
          <t>No</t>
        </is>
      </c>
      <c r="AO1628" t="inlineStr">
        <is>
          <t>unrecognized tag</t>
        </is>
      </c>
    </row>
    <row r="1629" ht="21" customHeight="1">
      <c r="C1629" s="320" t="inlineStr">
        <is>
          <t>24 VDC SI</t>
        </is>
      </c>
      <c r="D1629" s="283">
        <f>COUNTIFS($C$3:$C$1623, "&lt;&gt;", $M$3:$M$1623, C1629)</f>
        <v/>
      </c>
      <c r="L1629" s="169" t="n"/>
      <c r="M1629" s="170" t="n"/>
      <c r="N1629" s="176" t="inlineStr">
        <is>
          <t>COMPLETED</t>
        </is>
      </c>
      <c r="O1629" s="177" t="n"/>
      <c r="P1629" s="129">
        <f>COUNTIFS(C3:C1623, "&lt;&gt;", P3:P1623,"&lt;&gt;")</f>
        <v/>
      </c>
      <c r="Q1629" s="129">
        <f>COUNTIFS(C3:C1623, "&lt;&gt;", Q3:Q1623,"&lt;&gt;")</f>
        <v/>
      </c>
      <c r="R1629" s="129">
        <f>COUNTIFS(C3:C1623, "&lt;&gt;", R3:R1623,"Y")</f>
        <v/>
      </c>
      <c r="S1629" s="129">
        <f>COUNTIFS(C3:C1623, "&lt;&gt;", S3:S1623,"&lt;&gt;")</f>
        <v/>
      </c>
      <c r="T1629" s="129">
        <f>COUNTIFS(C3:C1623, "&lt;&gt;", T3:T1623,"&lt;&gt;")</f>
        <v/>
      </c>
      <c r="U1629" s="129">
        <f>COUNTIFS(C3:C1623, "&lt;&gt;", U3:U1623,"&lt;&gt;")</f>
        <v/>
      </c>
      <c r="V1629" s="129">
        <f>COUNTIFS(C3:C1623, "&lt;&gt;", V3:V1623,"&lt;&gt;")</f>
        <v/>
      </c>
      <c r="W1629" s="129">
        <f>COUNTIFS(C3:C1623, "&lt;&gt;", W3:W1623,"&lt;&gt;")</f>
        <v/>
      </c>
      <c r="X1629" s="129">
        <f>COUNTIFS(C3:C1623, "&lt;&gt;", X3:X1623,"&lt;&gt;")</f>
        <v/>
      </c>
      <c r="Y1629" s="129">
        <f>COUNTIFS(C3:C1623, "&lt;&gt;", Y3:Y1623,"Y")</f>
        <v/>
      </c>
      <c r="Z1629" s="178" t="n"/>
      <c r="AA1629" t="inlineStr">
        <is>
          <t>Skipped - unrecognized tag</t>
        </is>
      </c>
      <c r="AC1629" t="inlineStr">
        <is>
          <t>Low</t>
        </is>
      </c>
      <c r="AM1629" t="inlineStr">
        <is>
          <t>all pages</t>
        </is>
      </c>
      <c r="AN1629" t="inlineStr">
        <is>
          <t>No</t>
        </is>
      </c>
      <c r="AO1629" t="inlineStr">
        <is>
          <t>unrecognized tag</t>
        </is>
      </c>
    </row>
    <row r="1630" ht="21" customHeight="1">
      <c r="C1630" s="321" t="inlineStr">
        <is>
          <t>24 VDC SO</t>
        </is>
      </c>
      <c r="D1630" s="284">
        <f>COUNTIFS($C$3:$C$1623, "&lt;&gt;", $M$3:$M$1623, C1630)</f>
        <v/>
      </c>
      <c r="L1630" s="169" t="n"/>
      <c r="M1630" s="170" t="n"/>
      <c r="N1630" s="176" t="inlineStr">
        <is>
          <t>TOTAL</t>
        </is>
      </c>
      <c r="O1630" s="177" t="n"/>
      <c r="P1630" s="129">
        <f>COUNTIF(C3:C1623,"*?")</f>
        <v/>
      </c>
      <c r="Q1630" s="129">
        <f>COUNTIF(C3:C1623,"*?")</f>
        <v/>
      </c>
      <c r="R1630" s="129">
        <f>COUNTIF(C3:C1623,"*XV*")+COUNTIF(C3:C1623,"*XY-*")+COUNTIF(C3:C1623,"*YS*")+COUNTIF(C3:C1623,"*CV*")</f>
        <v/>
      </c>
      <c r="S1630" s="129">
        <f>COUNTIF(C3:C1623,"*?")</f>
        <v/>
      </c>
      <c r="T1630" s="129">
        <f>COUNTIF(C3:C1623,"*?")</f>
        <v/>
      </c>
      <c r="U1630" s="129">
        <f>COUNTIF(C3:C1623,"*?")</f>
        <v/>
      </c>
      <c r="V1630" s="129">
        <f>COUNTIF(C3:C1623,"*?")</f>
        <v/>
      </c>
      <c r="W1630" s="129">
        <f>COUNTIF(C3:C1623,"*?")</f>
        <v/>
      </c>
      <c r="X1630" s="129">
        <f>COUNTIF(C3:C1623,"*?")</f>
        <v/>
      </c>
      <c r="Y1630" s="129">
        <f>COUNTIFS(C3:C1623, "&lt;&gt;", X3:X1623,"&lt;&gt;")</f>
        <v/>
      </c>
      <c r="Z1630" s="178" t="n"/>
      <c r="AA1630" t="inlineStr">
        <is>
          <t>Skipped - unrecognized tag</t>
        </is>
      </c>
      <c r="AC1630" t="inlineStr">
        <is>
          <t>Low</t>
        </is>
      </c>
      <c r="AM1630" t="inlineStr">
        <is>
          <t>all pages</t>
        </is>
      </c>
      <c r="AN1630" t="inlineStr">
        <is>
          <t>No</t>
        </is>
      </c>
      <c r="AO1630" t="inlineStr">
        <is>
          <t>unrecognized tag</t>
        </is>
      </c>
    </row>
    <row r="1631" ht="21" customHeight="1">
      <c r="C1631" s="321" t="inlineStr">
        <is>
          <t>24 VDC DI</t>
        </is>
      </c>
      <c r="D1631" s="284">
        <f>COUNTIFS($C$3:$C$1623, "&lt;&gt;", $M$3:$M$1623, C1631)</f>
        <v/>
      </c>
      <c r="L1631" s="169" t="n"/>
      <c r="M1631" s="170" t="n"/>
      <c r="N1631" s="176" t="inlineStr">
        <is>
          <t>% COMPLETE</t>
        </is>
      </c>
      <c r="O1631" s="177" t="n"/>
      <c r="P1631" s="179">
        <f>P1629/P1630</f>
        <v/>
      </c>
      <c r="Q1631" s="179">
        <f>Q1629/Q1630</f>
        <v/>
      </c>
      <c r="R1631" s="179">
        <f>R1629/R1630</f>
        <v/>
      </c>
      <c r="S1631" s="179">
        <f>S1629/S1630</f>
        <v/>
      </c>
      <c r="T1631" s="179">
        <f>T1629/T1630</f>
        <v/>
      </c>
      <c r="U1631" s="179">
        <f>U1629/U1630</f>
        <v/>
      </c>
      <c r="V1631" s="179">
        <f>V1629/V1630</f>
        <v/>
      </c>
      <c r="W1631" s="179">
        <f>W1629/W1630</f>
        <v/>
      </c>
      <c r="X1631" s="179">
        <f>X1629/X1630</f>
        <v/>
      </c>
      <c r="Y1631" s="179">
        <f>IFERROR(Y1629/Y1630,0)</f>
        <v/>
      </c>
      <c r="Z1631" s="178" t="n"/>
      <c r="AA1631" t="inlineStr">
        <is>
          <t>Skipped - unrecognized tag</t>
        </is>
      </c>
      <c r="AC1631" t="inlineStr">
        <is>
          <t>Low</t>
        </is>
      </c>
      <c r="AM1631" t="inlineStr">
        <is>
          <t>all pages</t>
        </is>
      </c>
      <c r="AN1631" t="inlineStr">
        <is>
          <t>No</t>
        </is>
      </c>
      <c r="AO1631" t="inlineStr">
        <is>
          <t>unrecognized tag</t>
        </is>
      </c>
    </row>
    <row r="1632" ht="21" customHeight="1">
      <c r="A1632" s="136" t="n"/>
      <c r="B1632" s="165" t="n"/>
      <c r="C1632" s="321" t="inlineStr">
        <is>
          <t>24 VDC DO</t>
        </is>
      </c>
      <c r="D1632" s="284">
        <f>COUNTIFS($C$3:$C$1623, "&lt;&gt;", $M$3:$M$1623, C1632)</f>
        <v/>
      </c>
      <c r="F1632" s="167" t="n"/>
      <c r="G1632" s="167" t="n"/>
      <c r="J1632" s="136" t="n"/>
      <c r="K1632" s="136" t="n"/>
      <c r="L1632" s="180" t="n"/>
      <c r="M1632" s="181" t="n"/>
      <c r="N1632" s="176" t="inlineStr">
        <is>
          <t>% REMAINING</t>
        </is>
      </c>
      <c r="O1632" s="177" t="n"/>
      <c r="P1632" s="179">
        <f>1-P1631</f>
        <v/>
      </c>
      <c r="Q1632" s="179">
        <f>1-Q1631</f>
        <v/>
      </c>
      <c r="R1632" s="179">
        <f>1-R1631</f>
        <v/>
      </c>
      <c r="S1632" s="179">
        <f>1-S1631</f>
        <v/>
      </c>
      <c r="T1632" s="179">
        <f>1-T1631</f>
        <v/>
      </c>
      <c r="U1632" s="179">
        <f>1-U1631</f>
        <v/>
      </c>
      <c r="V1632" s="179">
        <f>1-V1631</f>
        <v/>
      </c>
      <c r="W1632" s="179">
        <f>1-W1631</f>
        <v/>
      </c>
      <c r="X1632" s="179">
        <f>1-X1631</f>
        <v/>
      </c>
      <c r="Y1632" s="179">
        <f>1-Y1631</f>
        <v/>
      </c>
      <c r="Z1632" s="178" t="n"/>
      <c r="AA1632" t="inlineStr">
        <is>
          <t>Skipped - unrecognized tag</t>
        </is>
      </c>
      <c r="AC1632" t="inlineStr">
        <is>
          <t>Low</t>
        </is>
      </c>
      <c r="AM1632" t="inlineStr">
        <is>
          <t>all pages</t>
        </is>
      </c>
      <c r="AN1632" t="inlineStr">
        <is>
          <t>No</t>
        </is>
      </c>
      <c r="AO1632" t="inlineStr">
        <is>
          <t>unrecognized tag</t>
        </is>
      </c>
    </row>
    <row r="1633">
      <c r="C1633" s="321" t="inlineStr">
        <is>
          <t>4-20 mA AI</t>
        </is>
      </c>
      <c r="D1633" s="284">
        <f>COUNTIFS($C$3:$C$1623, "&lt;&gt;", $M$3:$M$1623, C1633)</f>
        <v/>
      </c>
      <c r="F1633" s="167" t="n"/>
      <c r="G1633" s="167" t="n"/>
      <c r="L1633" s="182" t="n"/>
      <c r="M1633" s="182" t="n"/>
      <c r="N1633" s="182" t="n"/>
      <c r="O1633" s="290" t="n"/>
      <c r="P1633" s="182" t="n"/>
      <c r="Q1633" s="182" t="n"/>
      <c r="R1633" s="182" t="n"/>
      <c r="S1633" s="182" t="n"/>
      <c r="T1633" s="182" t="n"/>
      <c r="U1633" s="182" t="n"/>
      <c r="V1633" s="182" t="n"/>
      <c r="W1633" s="182" t="n"/>
      <c r="X1633" s="182" t="n"/>
      <c r="Y1633" s="182" t="n"/>
      <c r="Z1633" s="166" t="n"/>
      <c r="AA1633" t="inlineStr">
        <is>
          <t>Skipped - unrecognized tag</t>
        </is>
      </c>
      <c r="AC1633" t="inlineStr">
        <is>
          <t>Low</t>
        </is>
      </c>
      <c r="AM1633" t="inlineStr">
        <is>
          <t>all pages</t>
        </is>
      </c>
      <c r="AN1633" t="inlineStr">
        <is>
          <t>No</t>
        </is>
      </c>
      <c r="AO1633" t="inlineStr">
        <is>
          <t>unrecognized tag</t>
        </is>
      </c>
    </row>
    <row r="1634" ht="21" customHeight="1">
      <c r="C1634" s="321" t="inlineStr">
        <is>
          <t>4-20 mA AO</t>
        </is>
      </c>
      <c r="D1634" s="284">
        <f>COUNTIFS($C$3:$C$1623, "&lt;&gt;", $M$3:$M$1623, C1634)</f>
        <v/>
      </c>
      <c r="F1634" s="167" t="n"/>
      <c r="G1634" s="167" t="n"/>
      <c r="L1634" s="169" t="n"/>
      <c r="M1634" s="183" t="n"/>
      <c r="N1634" s="183" t="inlineStr">
        <is>
          <t>PROCESSING</t>
        </is>
      </c>
      <c r="O1634" s="184" t="n"/>
      <c r="P1634" s="170" t="n"/>
      <c r="Q1634" s="170" t="n"/>
      <c r="R1634" s="170" t="n"/>
      <c r="S1634" s="185" t="n"/>
      <c r="T1634" s="170" t="n"/>
      <c r="U1634" s="170" t="n"/>
      <c r="V1634" s="170" t="n"/>
      <c r="W1634" s="170" t="n"/>
      <c r="X1634" s="170" t="n"/>
      <c r="Y1634" s="186" t="n"/>
      <c r="Z1634" s="166" t="n"/>
      <c r="AA1634" t="inlineStr">
        <is>
          <t>Skipped - unrecognized tag</t>
        </is>
      </c>
      <c r="AC1634" t="inlineStr">
        <is>
          <t>Low</t>
        </is>
      </c>
      <c r="AM1634" t="inlineStr">
        <is>
          <t>all pages</t>
        </is>
      </c>
      <c r="AN1634" t="inlineStr">
        <is>
          <t>No</t>
        </is>
      </c>
      <c r="AO1634" t="inlineStr">
        <is>
          <t>unrecognized tag</t>
        </is>
      </c>
    </row>
    <row r="1635" ht="21" customHeight="1">
      <c r="C1635" s="321" t="inlineStr">
        <is>
          <t>I/V/T AI</t>
        </is>
      </c>
      <c r="D1635" s="284">
        <f>COUNTIFS($C$3:$C$1623, "&lt;&gt;", $M$3:$M$1623, C1635)</f>
        <v/>
      </c>
      <c r="F1635" s="167" t="n"/>
      <c r="G1635" s="167" t="n"/>
      <c r="L1635" s="169" t="n"/>
      <c r="M1635" s="170" t="n"/>
      <c r="N1635" s="187" t="inlineStr">
        <is>
          <t>COMPLETED</t>
        </is>
      </c>
      <c r="O1635" s="188" t="n"/>
      <c r="P1635" s="189">
        <f>COUNTIFS($H$3:$H$1623, "PROC", P3:P1623,"&lt;&gt;")</f>
        <v/>
      </c>
      <c r="Q1635" s="189">
        <f>COUNTIFS($H$3:$H$1623, "PROC", Q3:Q1623,"&lt;&gt;")</f>
        <v/>
      </c>
      <c r="R1635" s="189">
        <f>COUNTIFS($H$3:$H$1623, "PROC", R3:R1623,"Y")</f>
        <v/>
      </c>
      <c r="S1635" s="189">
        <f>COUNTIFS($H$3:$H$1623, "PROC", S3:S1623,"&lt;&gt;")</f>
        <v/>
      </c>
      <c r="T1635" s="189">
        <f>COUNTIFS($H$3:$H$1623, "PROC", T3:T1623,"&lt;&gt;")</f>
        <v/>
      </c>
      <c r="U1635" s="189">
        <f>COUNTIFS($H$3:$H$1623, "PROC", U3:U1623,"&lt;&gt;")</f>
        <v/>
      </c>
      <c r="V1635" s="189">
        <f>COUNTIFS($H$3:$H$1623, "PROC", V3:V1623,"&lt;&gt;")</f>
        <v/>
      </c>
      <c r="W1635" s="189">
        <f>COUNTIFS($H$3:$H$1623, "PROC", W3:W1623,"&lt;&gt;")</f>
        <v/>
      </c>
      <c r="X1635" s="189">
        <f>COUNTIFS($H$3:$H$1623, "PROC", X3:X1623,"&lt;&gt;")</f>
        <v/>
      </c>
      <c r="Y1635" s="189">
        <f>COUNTIFS($H$3:$H$1623, "PROC", Y3:Y1623,"Y")</f>
        <v/>
      </c>
      <c r="Z1635" s="166" t="n"/>
      <c r="AA1635" t="inlineStr">
        <is>
          <t>Skipped - unrecognized tag</t>
        </is>
      </c>
      <c r="AC1635" t="inlineStr">
        <is>
          <t>Low</t>
        </is>
      </c>
      <c r="AM1635" t="inlineStr">
        <is>
          <t>all pages</t>
        </is>
      </c>
      <c r="AN1635" t="inlineStr">
        <is>
          <t>No</t>
        </is>
      </c>
      <c r="AO1635" t="inlineStr">
        <is>
          <t>unrecognized tag</t>
        </is>
      </c>
    </row>
    <row r="1636" ht="21.75" customHeight="1" thickBot="1">
      <c r="C1636" s="270" t="n"/>
      <c r="D1636" s="285" t="n"/>
      <c r="F1636" s="167" t="n"/>
      <c r="G1636" s="167" t="n"/>
      <c r="L1636" s="190" t="n"/>
      <c r="M1636" s="170" t="n"/>
      <c r="N1636" s="187" t="inlineStr">
        <is>
          <t>TOTAL</t>
        </is>
      </c>
      <c r="O1636" s="188" t="n"/>
      <c r="P1636" s="129">
        <f>COUNTIFS($H$3:$H$1623, "PROC",C3:C1623, "&lt;&gt;")</f>
        <v/>
      </c>
      <c r="Q1636" s="129">
        <f>COUNTIFS($H$3:$H$1623, "PROC",C3:C1623, "&lt;&gt;")</f>
        <v/>
      </c>
      <c r="R1636" s="129">
        <f>COUNTIFS($H$3:$H$1623, "PROC",C3:C1623, "*XV*")+COUNTIFS($H$3:$H$1623, "PROC",C3:C1623, "*XY-*")+COUNTIFS($H$3:$H$1623, "PROC",C3:C1623, "*CV*")+COUNTIFS($H$3:$H$1623, "PROC",C3:C1623, "*YS*")</f>
        <v/>
      </c>
      <c r="S1636" s="129">
        <f>COUNTIFS($H$3:$H$1623, "PROC",C3:C1623, "&lt;&gt;")</f>
        <v/>
      </c>
      <c r="T1636" s="129">
        <f>COUNTIFS($H$3:$H$1623, "PROC",C3:C1623, "&lt;&gt;")</f>
        <v/>
      </c>
      <c r="U1636" s="129">
        <f>COUNTIFS($H$3:$H$1623, "PROC",C3:C1623, "&lt;&gt;")</f>
        <v/>
      </c>
      <c r="V1636" s="129">
        <f>COUNTIFS($H$3:$H$1623, "PROC",C3:C1623, "&lt;&gt;")</f>
        <v/>
      </c>
      <c r="W1636" s="129">
        <f>COUNTIFS($H$3:$H$1623, "PROC",C3:C1623, "&lt;&gt;")</f>
        <v/>
      </c>
      <c r="X1636" s="129">
        <f>COUNTIFS($H$3:$H$1623, "PROC",C3:C1623, "&lt;&gt;")</f>
        <v/>
      </c>
      <c r="Y1636" s="129">
        <f>COUNTIFS($H$3:$H$1623, "PROC", X3:X1623,"&lt;&gt;")</f>
        <v/>
      </c>
      <c r="Z1636" s="166" t="n"/>
    </row>
    <row r="1637" ht="21.75" customHeight="1" thickBot="1">
      <c r="C1637" s="322" t="inlineStr">
        <is>
          <t>RL7 TOTAL</t>
        </is>
      </c>
      <c r="D1637" s="286">
        <f>SUM(D1629:D1636)</f>
        <v/>
      </c>
      <c r="F1637" s="167" t="n"/>
      <c r="G1637" s="167" t="n"/>
      <c r="L1637" s="169" t="n"/>
      <c r="M1637" s="170" t="n"/>
      <c r="N1637" s="187" t="inlineStr">
        <is>
          <t>% COMPLETE</t>
        </is>
      </c>
      <c r="O1637" s="188" t="n"/>
      <c r="P1637" s="179">
        <f>P1635/P1636</f>
        <v/>
      </c>
      <c r="Q1637" s="179">
        <f>Q1635/Q1636</f>
        <v/>
      </c>
      <c r="R1637" s="179">
        <f>R1635/R1636</f>
        <v/>
      </c>
      <c r="S1637" s="179">
        <f>S1635/S1636</f>
        <v/>
      </c>
      <c r="T1637" s="179">
        <f>T1635/T1636</f>
        <v/>
      </c>
      <c r="U1637" s="179">
        <f>U1635/U1636</f>
        <v/>
      </c>
      <c r="V1637" s="179">
        <f>V1635/V1636</f>
        <v/>
      </c>
      <c r="W1637" s="179">
        <f>W1635/W1636</f>
        <v/>
      </c>
      <c r="X1637" s="179">
        <f>X1635/X1636</f>
        <v/>
      </c>
      <c r="Y1637" s="179">
        <f>IFERROR(Y1635/Y1636,0)</f>
        <v/>
      </c>
      <c r="Z1637" s="166" t="n"/>
      <c r="AA1637" t="inlineStr">
        <is>
          <t>Skipped - unrecognized tag</t>
        </is>
      </c>
      <c r="AC1637" t="inlineStr">
        <is>
          <t>Low</t>
        </is>
      </c>
      <c r="AM1637" t="inlineStr">
        <is>
          <t>all pages</t>
        </is>
      </c>
      <c r="AN1637" t="inlineStr">
        <is>
          <t>No</t>
        </is>
      </c>
      <c r="AO1637" t="inlineStr">
        <is>
          <t>unrecognized tag</t>
        </is>
      </c>
    </row>
    <row r="1638" ht="21" customHeight="1">
      <c r="F1638" s="167" t="n"/>
      <c r="G1638" s="167" t="n"/>
      <c r="L1638" s="169" t="n"/>
      <c r="M1638" s="170" t="n"/>
      <c r="N1638" s="187" t="inlineStr">
        <is>
          <t>% REMAINING</t>
        </is>
      </c>
      <c r="O1638" s="188" t="n"/>
      <c r="P1638" s="179">
        <f>1-P1637</f>
        <v/>
      </c>
      <c r="Q1638" s="179">
        <f>1-Q1637</f>
        <v/>
      </c>
      <c r="R1638" s="179">
        <f>1-R1637</f>
        <v/>
      </c>
      <c r="S1638" s="179">
        <f>1-S1637</f>
        <v/>
      </c>
      <c r="T1638" s="179">
        <f>1-T1637</f>
        <v/>
      </c>
      <c r="U1638" s="179">
        <f>1-U1637</f>
        <v/>
      </c>
      <c r="V1638" s="179">
        <f>1-V1637</f>
        <v/>
      </c>
      <c r="W1638" s="179">
        <f>1-W1637</f>
        <v/>
      </c>
      <c r="X1638" s="179">
        <f>1-X1637</f>
        <v/>
      </c>
      <c r="Y1638" s="179">
        <f>1-Y1637</f>
        <v/>
      </c>
      <c r="Z1638" s="166" t="n"/>
    </row>
    <row r="1640" ht="21" customHeight="1">
      <c r="A1640" s="136" t="n"/>
      <c r="B1640" s="122" t="n"/>
      <c r="C1640" s="272" t="n"/>
      <c r="D1640" s="287" t="n"/>
      <c r="E1640" s="122" t="n"/>
      <c r="F1640" s="122" t="n"/>
      <c r="G1640" s="122" t="n"/>
      <c r="H1640" s="122" t="n"/>
      <c r="I1640" s="122" t="n"/>
      <c r="J1640" s="122" t="n"/>
      <c r="K1640" s="122" t="n"/>
      <c r="L1640" s="191" t="n"/>
      <c r="M1640" s="192" t="n"/>
      <c r="N1640" s="183" t="inlineStr">
        <is>
          <t>CHILLING</t>
        </is>
      </c>
      <c r="O1640" s="192" t="n"/>
      <c r="P1640" s="170" t="n"/>
      <c r="Q1640" s="170" t="n"/>
      <c r="R1640" s="170" t="n"/>
      <c r="S1640" s="185" t="n"/>
      <c r="T1640" s="170" t="n"/>
      <c r="U1640" s="170" t="n"/>
      <c r="V1640" s="170" t="n"/>
      <c r="W1640" s="170" t="n"/>
      <c r="X1640" s="170" t="n"/>
      <c r="Y1640" s="186" t="n"/>
      <c r="Z1640" s="122" t="n"/>
    </row>
    <row r="1641" ht="21" customHeight="1">
      <c r="L1641" s="191" t="n"/>
      <c r="M1641" s="192" t="n"/>
      <c r="N1641" s="187" t="inlineStr">
        <is>
          <t>COMPLETED</t>
        </is>
      </c>
      <c r="O1641" s="188" t="n"/>
      <c r="P1641" s="129">
        <f>COUNTIFS($H$3:$H$1623, "CHILL", P3:P1623,"&lt;&gt;")</f>
        <v/>
      </c>
      <c r="Q1641" s="129">
        <f>COUNTIFS($H$3:$H$1623, "CHILL", Q3:Q1623,"&lt;&gt;")</f>
        <v/>
      </c>
      <c r="R1641" s="129">
        <f>COUNTIFS($H$3:$H$1623, "CHILL", R3:R1623,"Y")</f>
        <v/>
      </c>
      <c r="S1641" s="129">
        <f>COUNTIFS($H$3:$H$1623, "CHILL", S3:S1623,"&lt;&gt;")</f>
        <v/>
      </c>
      <c r="T1641" s="129">
        <f>COUNTIFS($H$3:$H$1623, "CHILL", T3:T1623,"&lt;&gt;")</f>
        <v/>
      </c>
      <c r="U1641" s="129">
        <f>COUNTIFS($H$3:$H$1623, "CHILL", U3:U1623,"&lt;&gt;")</f>
        <v/>
      </c>
      <c r="V1641" s="129">
        <f>COUNTIFS($H$3:$H$1623, "CHILL", V3:V1623,"&lt;&gt;")</f>
        <v/>
      </c>
      <c r="W1641" s="129">
        <f>COUNTIFS($H$3:$H$1623, "CHILL", W3:W1623,"&lt;&gt;")</f>
        <v/>
      </c>
      <c r="X1641" s="129">
        <f>COUNTIFS($H$3:$H$1623, "CHILL", X3:X1623,"&lt;&gt;")</f>
        <v/>
      </c>
      <c r="Y1641" s="129">
        <f>COUNTIFS($H$3:$H$1623, "CHILL", Y3:Y1623,"Y")</f>
        <v/>
      </c>
    </row>
    <row r="1642" ht="21" customHeight="1">
      <c r="L1642" s="191" t="n"/>
      <c r="M1642" s="192" t="n"/>
      <c r="N1642" s="187" t="inlineStr">
        <is>
          <t>TOTAL</t>
        </is>
      </c>
      <c r="O1642" s="188" t="n"/>
      <c r="P1642" s="129">
        <f>COUNTIFS($H$3:$H$1623, "CHILL",C3:C1623, "&lt;&gt;")</f>
        <v/>
      </c>
      <c r="Q1642" s="129">
        <f>COUNTIFS($H$3:$H$1623, "CHILL",C3:C1623, "&lt;&gt;")</f>
        <v/>
      </c>
      <c r="R1642" s="129">
        <f>COUNTIFS($H$3:$H$1623, "CHILL",C3:C1623, "*XV*")+COUNTIFS($H$3:$H$1623, "CHILL",C3:C1623, "*XY-*")+COUNTIFS($H$3:$H$1623, "CHILL",C3:C1623, "*CV*")+COUNTIFS($H$3:$H$1623, "CHILL",C3:C1623, "*YS*")</f>
        <v/>
      </c>
      <c r="S1642" s="129">
        <f>COUNTIFS($H$3:$H$1623, "CHILL",C3:C1623, "&lt;&gt;")</f>
        <v/>
      </c>
      <c r="T1642" s="129">
        <f>COUNTIFS($H$3:$H$1623, "CHILL",C3:C1623, "&lt;&gt;")</f>
        <v/>
      </c>
      <c r="U1642" s="129">
        <f>COUNTIFS($H$3:$H$1623, "CHILL",C3:C1623, "&lt;&gt;")</f>
        <v/>
      </c>
      <c r="V1642" s="129">
        <f>COUNTIFS($H$3:$H$1623, "CHILL",C3:C1623, "&lt;&gt;")</f>
        <v/>
      </c>
      <c r="W1642" s="129">
        <f>COUNTIFS($H$3:$H$1623, "CHILL",C3:C1623, "&lt;&gt;")</f>
        <v/>
      </c>
      <c r="X1642" s="129">
        <f>COUNTIFS($H$3:$H$1623, "CHILL",C3:C1623, "&lt;&gt;")</f>
        <v/>
      </c>
      <c r="Y1642" s="129">
        <f>COUNTIFS($H$3:$H$1623, "CHILL", X3:X1623,"&lt;&gt;")</f>
        <v/>
      </c>
    </row>
    <row r="1643" ht="21" customHeight="1">
      <c r="L1643" s="191" t="n"/>
      <c r="M1643" s="192" t="n"/>
      <c r="N1643" s="187" t="inlineStr">
        <is>
          <t>% COMPLETE</t>
        </is>
      </c>
      <c r="O1643" s="188" t="n"/>
      <c r="P1643" s="179">
        <f>P1641/P1642</f>
        <v/>
      </c>
      <c r="Q1643" s="179">
        <f>Q1641/Q1642</f>
        <v/>
      </c>
      <c r="R1643" s="179">
        <f>R1641/R1642</f>
        <v/>
      </c>
      <c r="S1643" s="179">
        <f>S1641/S1642</f>
        <v/>
      </c>
      <c r="T1643" s="179">
        <f>T1641/T1642</f>
        <v/>
      </c>
      <c r="U1643" s="179">
        <f>U1641/U1642</f>
        <v/>
      </c>
      <c r="V1643" s="179">
        <f>V1641/V1642</f>
        <v/>
      </c>
      <c r="W1643" s="179">
        <f>W1641/W1642</f>
        <v/>
      </c>
      <c r="X1643" s="179">
        <f>X1641/X1642</f>
        <v/>
      </c>
      <c r="Y1643" s="179">
        <f>IFERROR(Y1641/Y1642,0)</f>
        <v/>
      </c>
    </row>
    <row r="1644" ht="21" customHeight="1">
      <c r="L1644" s="191" t="n"/>
      <c r="M1644" s="192" t="n"/>
      <c r="N1644" s="187" t="inlineStr">
        <is>
          <t>% REMAINING</t>
        </is>
      </c>
      <c r="O1644" s="188" t="n"/>
      <c r="P1644" s="179">
        <f>1-P1643</f>
        <v/>
      </c>
      <c r="Q1644" s="179">
        <f>1-Q1643</f>
        <v/>
      </c>
      <c r="R1644" s="179">
        <f>1-R1643</f>
        <v/>
      </c>
      <c r="S1644" s="179">
        <f>1-S1643</f>
        <v/>
      </c>
      <c r="T1644" s="179">
        <f>1-T1643</f>
        <v/>
      </c>
      <c r="U1644" s="179">
        <f>1-U1643</f>
        <v/>
      </c>
      <c r="V1644" s="179">
        <f>1-V1643</f>
        <v/>
      </c>
      <c r="W1644" s="179">
        <f>1-W1643</f>
        <v/>
      </c>
      <c r="X1644" s="179">
        <f>1-X1643</f>
        <v/>
      </c>
      <c r="Y1644" s="179">
        <f>1-Y1643</f>
        <v/>
      </c>
    </row>
    <row r="1645">
      <c r="N1645" s="193" t="n"/>
      <c r="O1645" s="194" t="n"/>
      <c r="P1645" s="182" t="n"/>
      <c r="Q1645" s="182" t="n"/>
      <c r="R1645" s="182" t="n"/>
      <c r="S1645" s="182" t="n"/>
      <c r="T1645" s="182" t="n"/>
      <c r="U1645" s="182" t="n"/>
      <c r="V1645" s="182" t="n"/>
      <c r="W1645" s="182" t="n"/>
      <c r="X1645" s="182" t="n"/>
      <c r="Y1645" s="182" t="n"/>
    </row>
    <row r="1646" ht="21" customHeight="1">
      <c r="L1646" s="191" t="n"/>
      <c r="M1646" s="192" t="n"/>
      <c r="N1646" s="183" t="inlineStr">
        <is>
          <t>INTERSTITIAL</t>
        </is>
      </c>
      <c r="O1646" s="192" t="n"/>
      <c r="P1646" s="170" t="n"/>
      <c r="Q1646" s="170" t="n"/>
      <c r="R1646" s="170" t="n"/>
      <c r="S1646" s="185" t="n"/>
      <c r="T1646" s="170" t="n"/>
      <c r="U1646" s="170" t="n"/>
      <c r="V1646" s="170" t="n"/>
      <c r="W1646" s="170" t="n"/>
      <c r="X1646" s="170" t="n"/>
      <c r="Y1646" s="186" t="n"/>
    </row>
    <row r="1647" ht="21" customHeight="1">
      <c r="L1647" s="191" t="n"/>
      <c r="M1647" s="192" t="n"/>
      <c r="N1647" s="187" t="inlineStr">
        <is>
          <t>COMPLETED</t>
        </is>
      </c>
      <c r="O1647" s="188" t="n"/>
      <c r="P1647" s="129">
        <f>COUNTIFS($H$3:$H$1623, "INTSL", P3:P1623,"&lt;&gt;")</f>
        <v/>
      </c>
      <c r="Q1647" s="129">
        <f>COUNTIFS($H$3:$H$1623, "INTSL", Q3:Q1623,"&lt;&gt;")</f>
        <v/>
      </c>
      <c r="R1647" s="129">
        <f>COUNTIFS($H$3:$H$1623, "INTSL", R3:R1623,"Y")</f>
        <v/>
      </c>
      <c r="S1647" s="129">
        <f>COUNTIFS($H$3:$H$1623, "INTSL", S3:S1623,"&lt;&gt;")</f>
        <v/>
      </c>
      <c r="T1647" s="129">
        <f>COUNTIFS($H$3:$H$1623, "INTSL", T3:T1623,"&lt;&gt;")</f>
        <v/>
      </c>
      <c r="U1647" s="129">
        <f>COUNTIFS($H$3:$H$1623, "INTSL", U3:U1623,"&lt;&gt;")</f>
        <v/>
      </c>
      <c r="V1647" s="129">
        <f>COUNTIFS($H$3:$H$1623, "INTSL", V3:V1623,"&lt;&gt;")</f>
        <v/>
      </c>
      <c r="W1647" s="129">
        <f>COUNTIFS($H$3:$H$1623, "INTSL", W3:W1623,"&lt;&gt;")</f>
        <v/>
      </c>
      <c r="X1647" s="129">
        <f>COUNTIFS($H$3:$H$1623, "INTSL", X3:X1623,"&lt;&gt;")</f>
        <v/>
      </c>
      <c r="Y1647" s="129">
        <f>COUNTIFS($H$3:$H$1623, "INTSL", Y3:Y1623,"Y")</f>
        <v/>
      </c>
    </row>
    <row r="1648" ht="21" customHeight="1">
      <c r="L1648" s="191" t="n"/>
      <c r="M1648" s="192" t="n"/>
      <c r="N1648" s="187" t="inlineStr">
        <is>
          <t>TOTAL</t>
        </is>
      </c>
      <c r="O1648" s="188" t="n"/>
      <c r="P1648" s="129">
        <f>COUNTIFS($H$3:$H$1623, "INTSL",C3:C1623, "&lt;&gt;")</f>
        <v/>
      </c>
      <c r="Q1648" s="129">
        <f>COUNTIFS($H$3:$H$1623, "INTSL",C3:C1623, "&lt;&gt;")</f>
        <v/>
      </c>
      <c r="R1648" s="129">
        <f>COUNTIFS($H$3:$H$1623, "INTSL",C3:C1623, "*XV*")+COUNTIFS($H$3:$H$1623, "INTSL",C3:C1623, "*XY-*")+COUNTIFS($H$3:$H$1623, "INTSL",C3:C1623, "*CV*")+COUNTIFS($H$3:$H$1623, "INTSL",C3:C1623, "*YS*")</f>
        <v/>
      </c>
      <c r="S1648" s="129">
        <f>COUNTIFS($H$3:$H$1623, "INTSL",C3:C1623, "&lt;&gt;")</f>
        <v/>
      </c>
      <c r="T1648" s="129">
        <f>COUNTIFS($H$3:$H$1623, "INTSL",C3:C1623, "&lt;&gt;")</f>
        <v/>
      </c>
      <c r="U1648" s="129">
        <f>COUNTIFS($H$3:$H$1623, "INTSL",C3:C1623, "&lt;&gt;")</f>
        <v/>
      </c>
      <c r="V1648" s="129">
        <f>COUNTIFS($H$3:$H$1623, "INTSL",C3:C1623, "&lt;&gt;")</f>
        <v/>
      </c>
      <c r="W1648" s="129">
        <f>COUNTIFS($H$3:$H$1623, "INTSL",C3:C1623, "&lt;&gt;")</f>
        <v/>
      </c>
      <c r="X1648" s="129">
        <f>COUNTIFS($H$3:$H$1623, "INTSL",C3:C1623, "&lt;&gt;")</f>
        <v/>
      </c>
      <c r="Y1648" s="129">
        <f>COUNTIFS($H$3:$H$1623, "INTSL", X3:X1623,"&lt;&gt;")</f>
        <v/>
      </c>
    </row>
    <row r="1649" ht="21" customHeight="1">
      <c r="L1649" s="191" t="n"/>
      <c r="M1649" s="192" t="n"/>
      <c r="N1649" s="187" t="inlineStr">
        <is>
          <t>% COMPLETE</t>
        </is>
      </c>
      <c r="O1649" s="188" t="n"/>
      <c r="P1649" s="179">
        <f>P1647/P1648</f>
        <v/>
      </c>
      <c r="Q1649" s="179">
        <f>Q1647/Q1648</f>
        <v/>
      </c>
      <c r="R1649" s="179">
        <f>R1647/R1648</f>
        <v/>
      </c>
      <c r="S1649" s="179">
        <f>S1647/S1648</f>
        <v/>
      </c>
      <c r="T1649" s="179">
        <f>T1647/T1648</f>
        <v/>
      </c>
      <c r="U1649" s="179">
        <f>U1647/U1648</f>
        <v/>
      </c>
      <c r="V1649" s="179">
        <f>V1647/V1648</f>
        <v/>
      </c>
      <c r="W1649" s="179">
        <f>W1647/W1648</f>
        <v/>
      </c>
      <c r="X1649" s="179">
        <f>X1647/X1648</f>
        <v/>
      </c>
      <c r="Y1649" s="179">
        <f>IFERROR(Y1647/Y1648,0)</f>
        <v/>
      </c>
    </row>
    <row r="1650" ht="21" customHeight="1">
      <c r="L1650" s="191" t="n"/>
      <c r="M1650" s="192" t="n"/>
      <c r="N1650" s="187" t="inlineStr">
        <is>
          <t>% REMAINING</t>
        </is>
      </c>
      <c r="O1650" s="188" t="n"/>
      <c r="P1650" s="179">
        <f>1-P1649</f>
        <v/>
      </c>
      <c r="Q1650" s="179">
        <f>1-Q1649</f>
        <v/>
      </c>
      <c r="R1650" s="179">
        <f>1-R1649</f>
        <v/>
      </c>
      <c r="S1650" s="179">
        <f>1-S1649</f>
        <v/>
      </c>
      <c r="T1650" s="179">
        <f>1-T1649</f>
        <v/>
      </c>
      <c r="U1650" s="179">
        <f>1-U1649</f>
        <v/>
      </c>
      <c r="V1650" s="179">
        <f>1-V1649</f>
        <v/>
      </c>
      <c r="W1650" s="179">
        <f>1-W1649</f>
        <v/>
      </c>
      <c r="X1650" s="179">
        <f>1-X1649</f>
        <v/>
      </c>
      <c r="Y1650" s="179">
        <f>1-Y1649</f>
        <v/>
      </c>
    </row>
    <row r="1651">
      <c r="N1651" s="193" t="n"/>
      <c r="O1651" s="194" t="n"/>
      <c r="P1651" s="182" t="n"/>
      <c r="Q1651" s="182" t="n"/>
      <c r="R1651" s="182" t="n"/>
      <c r="S1651" s="182" t="n"/>
      <c r="T1651" s="182" t="n"/>
      <c r="U1651" s="182" t="n"/>
      <c r="V1651" s="182" t="n"/>
      <c r="W1651" s="182" t="n"/>
      <c r="X1651" s="182" t="n"/>
      <c r="Y1651" s="182" t="n"/>
    </row>
    <row r="1652" ht="21" customHeight="1">
      <c r="L1652" s="191" t="n"/>
      <c r="M1652" s="192" t="n"/>
      <c r="N1652" s="183" t="inlineStr">
        <is>
          <t>HEAT EXCHANGER / LACTIC ACID</t>
        </is>
      </c>
      <c r="O1652" s="192" t="n"/>
      <c r="P1652" s="170" t="n"/>
      <c r="Q1652" s="170" t="n"/>
      <c r="R1652" s="170" t="n"/>
      <c r="S1652" s="185" t="n"/>
      <c r="T1652" s="170" t="n"/>
      <c r="U1652" s="170" t="n"/>
      <c r="V1652" s="170" t="n"/>
      <c r="W1652" s="170" t="n"/>
      <c r="X1652" s="170" t="n"/>
      <c r="Y1652" s="186" t="n"/>
    </row>
    <row r="1653" ht="21" customHeight="1">
      <c r="L1653" s="191" t="n"/>
      <c r="M1653" s="192" t="n"/>
      <c r="N1653" s="187" t="inlineStr">
        <is>
          <t>COMPLETED</t>
        </is>
      </c>
      <c r="O1653" s="188" t="n"/>
      <c r="P1653" s="129">
        <f>COUNTIFS($H$3:$H$1623, "HX / LA", P3:P1623,"&lt;&gt;")</f>
        <v/>
      </c>
      <c r="Q1653" s="129">
        <f>COUNTIFS($H$3:$H$1623, "HX / LA", Q3:Q1623,"&lt;&gt;")</f>
        <v/>
      </c>
      <c r="R1653" s="129">
        <f>COUNTIFS($H$3:$H$1623, "HX / LA", R3:R1623,"Y")</f>
        <v/>
      </c>
      <c r="S1653" s="129">
        <f>COUNTIFS($H$3:$H$1623, "HX / LA", S3:S1623,"&lt;&gt;")</f>
        <v/>
      </c>
      <c r="T1653" s="129">
        <f>COUNTIFS($H$3:$H$1623, "HX / LA", T3:T1623,"&lt;&gt;")</f>
        <v/>
      </c>
      <c r="U1653" s="129">
        <f>COUNTIFS($H$3:$H$1623, "HX / LA", U3:U1623,"&lt;&gt;")</f>
        <v/>
      </c>
      <c r="V1653" s="129">
        <f>COUNTIFS($H$3:$H$1623, "HX / LA", V3:V1623,"&lt;&gt;")</f>
        <v/>
      </c>
      <c r="W1653" s="129">
        <f>COUNTIFS($H$3:$H$1623, "HX / LA", W3:W1623,"&lt;&gt;")</f>
        <v/>
      </c>
      <c r="X1653" s="129">
        <f>COUNTIFS($H$3:$H$1623, "HX / LA", X3:X1623,"&lt;&gt;")</f>
        <v/>
      </c>
      <c r="Y1653" s="129">
        <f>COUNTIFS($H$3:$H$1623, "HX / LA", Y3:Y1623,"Y")</f>
        <v/>
      </c>
    </row>
    <row r="1654" ht="21" customHeight="1">
      <c r="L1654" s="191" t="n"/>
      <c r="M1654" s="192" t="n"/>
      <c r="N1654" s="187" t="inlineStr">
        <is>
          <t>TOTAL</t>
        </is>
      </c>
      <c r="O1654" s="188" t="n"/>
      <c r="P1654" s="129">
        <f>COUNTIFS($H$3:$H$1623, "HX / LA",C3:C1623, "&lt;&gt;")</f>
        <v/>
      </c>
      <c r="Q1654" s="129">
        <f>COUNTIFS($H$3:$H$1623, "HX / LA",C3:C1623, "&lt;&gt;")</f>
        <v/>
      </c>
      <c r="R1654" s="129">
        <f>COUNTIFS($H$3:$H$1623, "HX / LA",C3:C1623, "*XV*")+COUNTIFS($H$3:$H$1623, "HX / LA",C3:C1623, "*XY-*")+COUNTIFS($H$3:$H$1623, "HX / LA",C3:C1623, "*CV*")+COUNTIFS($H$3:$H$1623, "HX / LA",C3:C1623, "*YS*")</f>
        <v/>
      </c>
      <c r="S1654" s="129">
        <f>COUNTIFS($H$3:$H$1623, "HX / LA",C3:C1623, "&lt;&gt;")</f>
        <v/>
      </c>
      <c r="T1654" s="129">
        <f>COUNTIFS($H$3:$H$1623, "HX / LA",C3:C1623, "&lt;&gt;")</f>
        <v/>
      </c>
      <c r="U1654" s="129">
        <f>COUNTIFS($H$3:$H$1623, "HX / LA",C3:C1623, "&lt;&gt;")</f>
        <v/>
      </c>
      <c r="V1654" s="129">
        <f>COUNTIFS($H$3:$H$1623, "HX / LA",C3:C1623, "&lt;&gt;")</f>
        <v/>
      </c>
      <c r="W1654" s="129">
        <f>COUNTIFS($H$3:$H$1623, "HX / LA",C3:C1623, "&lt;&gt;")</f>
        <v/>
      </c>
      <c r="X1654" s="129">
        <f>COUNTIFS($H$3:$H$1623, "HX / LA",C3:C1623, "&lt;&gt;")</f>
        <v/>
      </c>
      <c r="Y1654" s="129">
        <f>COUNTIFS($H$3:$H$1623, "HX / LA", X3:X1623,"&lt;&gt;")</f>
        <v/>
      </c>
    </row>
    <row r="1655" ht="21" customHeight="1">
      <c r="L1655" s="191" t="n"/>
      <c r="M1655" s="192" t="n"/>
      <c r="N1655" s="187" t="inlineStr">
        <is>
          <t>% COMPLETE</t>
        </is>
      </c>
      <c r="O1655" s="188" t="n"/>
      <c r="P1655" s="179">
        <f>P1653/P1654</f>
        <v/>
      </c>
      <c r="Q1655" s="179">
        <f>Q1653/Q1654</f>
        <v/>
      </c>
      <c r="R1655" s="179">
        <f>R1653/R1654</f>
        <v/>
      </c>
      <c r="S1655" s="179">
        <f>S1653/S1654</f>
        <v/>
      </c>
      <c r="T1655" s="179">
        <f>T1653/T1654</f>
        <v/>
      </c>
      <c r="U1655" s="179">
        <f>U1653/U1654</f>
        <v/>
      </c>
      <c r="V1655" s="179">
        <f>V1653/V1654</f>
        <v/>
      </c>
      <c r="W1655" s="179">
        <f>W1653/W1654</f>
        <v/>
      </c>
      <c r="X1655" s="179">
        <f>X1653/X1654</f>
        <v/>
      </c>
      <c r="Y1655" s="179">
        <f>IFERROR(Y1653/Y1654,0)</f>
        <v/>
      </c>
    </row>
    <row r="1656" ht="21" customHeight="1">
      <c r="L1656" s="191" t="n"/>
      <c r="M1656" s="192" t="n"/>
      <c r="N1656" s="187" t="inlineStr">
        <is>
          <t>% REMAINING</t>
        </is>
      </c>
      <c r="O1656" s="188" t="n"/>
      <c r="P1656" s="179">
        <f>1-P1655</f>
        <v/>
      </c>
      <c r="Q1656" s="179">
        <f>1-Q1655</f>
        <v/>
      </c>
      <c r="R1656" s="179">
        <f>1-R1655</f>
        <v/>
      </c>
      <c r="S1656" s="179">
        <f>1-S1655</f>
        <v/>
      </c>
      <c r="T1656" s="179">
        <f>1-T1655</f>
        <v/>
      </c>
      <c r="U1656" s="179">
        <f>1-U1655</f>
        <v/>
      </c>
      <c r="V1656" s="179">
        <f>1-V1655</f>
        <v/>
      </c>
      <c r="W1656" s="179">
        <f>1-W1655</f>
        <v/>
      </c>
      <c r="X1656" s="179">
        <f>1-X1655</f>
        <v/>
      </c>
      <c r="Y1656" s="179">
        <f>1-Y1655</f>
        <v/>
      </c>
    </row>
    <row r="1657">
      <c r="N1657" s="193" t="n"/>
      <c r="O1657" s="194" t="n"/>
      <c r="P1657" s="182" t="n"/>
      <c r="Q1657" s="182" t="n"/>
      <c r="R1657" s="182" t="n"/>
      <c r="S1657" s="182" t="n"/>
      <c r="T1657" s="182" t="n"/>
      <c r="U1657" s="182" t="n"/>
      <c r="V1657" s="182" t="n"/>
      <c r="W1657" s="182" t="n"/>
      <c r="X1657" s="182" t="n"/>
      <c r="Y1657" s="182" t="n"/>
    </row>
    <row r="1658" ht="21" customHeight="1">
      <c r="L1658" s="191" t="n"/>
      <c r="M1658" s="192" t="n"/>
      <c r="N1658" s="183" t="inlineStr">
        <is>
          <t>MCC</t>
        </is>
      </c>
      <c r="O1658" s="192" t="n"/>
      <c r="P1658" s="170" t="n"/>
      <c r="Q1658" s="170" t="n"/>
      <c r="R1658" s="170" t="n"/>
      <c r="S1658" s="185" t="n"/>
      <c r="T1658" s="170" t="n"/>
      <c r="U1658" s="170" t="n"/>
      <c r="V1658" s="170" t="n"/>
      <c r="W1658" s="170" t="n"/>
      <c r="X1658" s="170" t="n"/>
      <c r="Y1658" s="186" t="n"/>
    </row>
    <row r="1659" ht="21" customHeight="1">
      <c r="L1659" s="191" t="n"/>
      <c r="M1659" s="192" t="n"/>
      <c r="N1659" s="187" t="inlineStr">
        <is>
          <t>COMPLETED</t>
        </is>
      </c>
      <c r="O1659" s="188" t="n"/>
      <c r="P1659" s="129">
        <f>COUNTIFS($H$3:$H$1623, "MCC", P3:P1623,"&lt;&gt;")</f>
        <v/>
      </c>
      <c r="Q1659" s="129">
        <f>COUNTIFS($H$3:$H$1623, "MCC", Q3:Q1623,"&lt;&gt;")</f>
        <v/>
      </c>
      <c r="R1659" s="129" t="inlineStr">
        <is>
          <t>N/A</t>
        </is>
      </c>
      <c r="S1659" s="129">
        <f>COUNTIFS($H$3:$H$1623, "MCC", S3:S1623,"&lt;&gt;")</f>
        <v/>
      </c>
      <c r="T1659" s="129">
        <f>COUNTIFS($H$3:$H$1623, "MCC", T3:T1623,"&lt;&gt;")</f>
        <v/>
      </c>
      <c r="U1659" s="129">
        <f>COUNTIFS($H$3:$H$1623, "MCC", U3:U1623,"&lt;&gt;")</f>
        <v/>
      </c>
      <c r="V1659" s="129">
        <f>COUNTIFS($H$3:$H$1623, "MCC", V3:V1623,"&lt;&gt;")</f>
        <v/>
      </c>
      <c r="W1659" s="129">
        <f>COUNTIFS($H$3:$H$1623, "MCC", W3:W1623,"&lt;&gt;")</f>
        <v/>
      </c>
      <c r="X1659" s="129">
        <f>COUNTIFS($H$3:$H$1623, "MCC", X3:X1623,"&lt;&gt;")</f>
        <v/>
      </c>
      <c r="Y1659" s="129">
        <f>COUNTIFS($H$3:$H$1623, "MCC", Y3:Y1623,"Y")</f>
        <v/>
      </c>
    </row>
    <row r="1660" ht="21" customHeight="1">
      <c r="L1660" s="191" t="n"/>
      <c r="M1660" s="192" t="n"/>
      <c r="N1660" s="187" t="inlineStr">
        <is>
          <t>TOTAL</t>
        </is>
      </c>
      <c r="O1660" s="188" t="n"/>
      <c r="P1660" s="129">
        <f>COUNTIFS($H$3:$H$1623, "MCC",C3:C1623, "&lt;&gt;")</f>
        <v/>
      </c>
      <c r="Q1660" s="129">
        <f>COUNTIFS($H$3:$H$1623, "MCC",C3:C1623, "&lt;&gt;")</f>
        <v/>
      </c>
      <c r="R1660" s="129" t="inlineStr">
        <is>
          <t>N/A</t>
        </is>
      </c>
      <c r="S1660" s="129">
        <f>COUNTIFS($H$3:$H$1623, "MCC",C3:C1623, "&lt;&gt;")</f>
        <v/>
      </c>
      <c r="T1660" s="129">
        <f>COUNTIFS($H$3:$H$1623, "MCC",C3:C1623, "&lt;&gt;")</f>
        <v/>
      </c>
      <c r="U1660" s="129">
        <f>COUNTIFS($H$3:$H$1623, "MCC",C3:C1623, "&lt;&gt;")</f>
        <v/>
      </c>
      <c r="V1660" s="129">
        <f>COUNTIFS($H$3:$H$1623, "MCC",C3:C1623, "&lt;&gt;")</f>
        <v/>
      </c>
      <c r="W1660" s="129">
        <f>COUNTIFS($H$3:$H$1623, "MCC",C3:C1623, "&lt;&gt;")</f>
        <v/>
      </c>
      <c r="X1660" s="129">
        <f>COUNTIFS($H$3:$H$1623, "MCC",C3:C1623, "&lt;&gt;")</f>
        <v/>
      </c>
      <c r="Y1660" s="129">
        <f>COUNTIFS($H$3:$H$1623, "MCC", X3:X1623,"&lt;&gt;")</f>
        <v/>
      </c>
    </row>
    <row r="1661" ht="21" customHeight="1">
      <c r="L1661" s="191" t="n"/>
      <c r="M1661" s="192" t="n"/>
      <c r="N1661" s="187" t="inlineStr">
        <is>
          <t>% COMPLETE</t>
        </is>
      </c>
      <c r="O1661" s="188" t="n"/>
      <c r="P1661" s="179">
        <f>P1659/P1660</f>
        <v/>
      </c>
      <c r="Q1661" s="179">
        <f>Q1659/Q1660</f>
        <v/>
      </c>
      <c r="R1661" s="129" t="inlineStr">
        <is>
          <t>N/A</t>
        </is>
      </c>
      <c r="S1661" s="179">
        <f>S1659/S1660</f>
        <v/>
      </c>
      <c r="T1661" s="179">
        <f>T1659/T1660</f>
        <v/>
      </c>
      <c r="U1661" s="179">
        <f>U1659/U1660</f>
        <v/>
      </c>
      <c r="V1661" s="179">
        <f>V1659/V1660</f>
        <v/>
      </c>
      <c r="W1661" s="179">
        <f>W1659/W1660</f>
        <v/>
      </c>
      <c r="X1661" s="179">
        <f>X1659/X1660</f>
        <v/>
      </c>
      <c r="Y1661" s="179">
        <f>IFERROR(Y1659/Y1660,0)</f>
        <v/>
      </c>
    </row>
    <row r="1662" ht="21" customHeight="1">
      <c r="L1662" s="191" t="n"/>
      <c r="M1662" s="192" t="n"/>
      <c r="N1662" s="187" t="inlineStr">
        <is>
          <t>% REMAINING</t>
        </is>
      </c>
      <c r="O1662" s="188" t="n"/>
      <c r="P1662" s="179">
        <f>1-P1661</f>
        <v/>
      </c>
      <c r="Q1662" s="179">
        <f>1-Q1661</f>
        <v/>
      </c>
      <c r="R1662" s="129" t="inlineStr">
        <is>
          <t>N/A</t>
        </is>
      </c>
      <c r="S1662" s="179">
        <f>1-S1661</f>
        <v/>
      </c>
      <c r="T1662" s="179">
        <f>1-T1661</f>
        <v/>
      </c>
      <c r="U1662" s="179">
        <f>1-U1661</f>
        <v/>
      </c>
      <c r="V1662" s="179">
        <f>1-V1661</f>
        <v/>
      </c>
      <c r="W1662" s="179">
        <f>1-W1661</f>
        <v/>
      </c>
      <c r="X1662" s="179">
        <f>1-X1661</f>
        <v/>
      </c>
      <c r="Y1662" s="179">
        <f>1-Y1661</f>
        <v/>
      </c>
    </row>
  </sheetData>
  <mergeCells count="1">
    <mergeCell ref="C1628:D1628"/>
  </mergeCells>
  <printOptions horizontalCentered="1"/>
  <pageMargins left="0.25" right="0.25" top="0.9" bottom="0.75" header="0.3" footer="0.3"/>
  <pageSetup orientation="landscape" paperSize="160" scale="24" fitToHeight="0"/>
  <headerFooter>
    <oddHeader>&amp;L&amp;G&amp;C&amp;"Yu Gothic UI,Bold"&amp;16 RL5 I/O LIST&amp;R&amp;G</oddHeader>
    <oddFooter>&amp;L&amp;D, &amp;T&amp;R&amp;P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Sheet2">
    <tabColor theme="4" tint="0.7999816888943144"/>
    <outlinePr summaryBelow="1" summaryRight="1"/>
    <pageSetUpPr fitToPage="1"/>
  </sheetPr>
  <dimension ref="A1:AQ121"/>
  <sheetViews>
    <sheetView zoomScaleNormal="100" zoomScaleSheetLayoutView="85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D132" sqref="D132"/>
    </sheetView>
  </sheetViews>
  <sheetFormatPr baseColWidth="8" defaultColWidth="8.85546875" defaultRowHeight="15"/>
  <cols>
    <col width="8.42578125" bestFit="1" customWidth="1" style="165" min="1" max="1"/>
    <col width="22.42578125" bestFit="1" customWidth="1" style="167" min="2" max="3"/>
    <col width="19.7109375" customWidth="1" style="167" min="4" max="4"/>
    <col width="13.42578125" customWidth="1" style="167" min="5" max="5"/>
    <col width="80" bestFit="1" customWidth="1" style="168" min="6" max="6"/>
    <col width="8.140625" bestFit="1" customWidth="1" style="167" min="7" max="7"/>
    <col width="9" customWidth="1" style="167" min="8" max="8"/>
    <col width="16.140625" bestFit="1" customWidth="1" style="167" min="9" max="9"/>
    <col width="7.7109375" customWidth="1" style="167" min="10" max="12"/>
    <col width="12.7109375" customWidth="1" style="167" min="13" max="14"/>
    <col width="13.7109375" customWidth="1" style="195" min="15" max="15"/>
    <col hidden="1" width="7" customWidth="1" style="165" min="16" max="25"/>
    <col width="136" customWidth="1" style="175" min="26" max="26"/>
    <col width="8.85546875" customWidth="1" style="122" min="27" max="37"/>
    <col width="8.85546875" customWidth="1" style="122" min="38" max="16384"/>
  </cols>
  <sheetData>
    <row r="1" ht="60.6" customHeight="1">
      <c r="A1" s="197" t="inlineStr">
        <is>
          <t>NO</t>
        </is>
      </c>
      <c r="B1" s="197" t="inlineStr">
        <is>
          <t>PHASE 2 TAG</t>
        </is>
      </c>
      <c r="C1" s="197" t="inlineStr">
        <is>
          <t>PHASE 2A TAG</t>
        </is>
      </c>
      <c r="D1" s="197" t="inlineStr">
        <is>
          <t>OEM TAGNAME</t>
        </is>
      </c>
      <c r="E1" s="197" t="inlineStr">
        <is>
          <t>JB</t>
        </is>
      </c>
      <c r="F1" s="197" t="inlineStr">
        <is>
          <t>DESCRIPTION</t>
        </is>
      </c>
      <c r="G1" s="197" t="inlineStr">
        <is>
          <t>P&amp;ID</t>
        </is>
      </c>
      <c r="H1" s="197" t="inlineStr">
        <is>
          <t>ROOM</t>
        </is>
      </c>
      <c r="I1" s="197" t="inlineStr">
        <is>
          <t>PANEL</t>
        </is>
      </c>
      <c r="J1" s="214" t="inlineStr">
        <is>
          <t>ORDER</t>
        </is>
      </c>
      <c r="K1" s="214" t="inlineStr">
        <is>
          <t>SLOT</t>
        </is>
      </c>
      <c r="L1" s="214" t="inlineStr">
        <is>
          <t>CH</t>
        </is>
      </c>
      <c r="M1" s="197" t="inlineStr">
        <is>
          <t>MODULE 
TYPE</t>
        </is>
      </c>
      <c r="N1" s="197" t="inlineStr">
        <is>
          <t>MODULE 
P/N</t>
        </is>
      </c>
      <c r="O1" s="200" t="inlineStr">
        <is>
          <t>RANGE</t>
        </is>
      </c>
      <c r="P1" s="199" t="inlineStr">
        <is>
          <t>DEVICE
INSTALLED</t>
        </is>
      </c>
      <c r="Q1" s="199" t="inlineStr">
        <is>
          <t>DEVICE
TAGGED</t>
        </is>
      </c>
      <c r="R1" s="199" t="inlineStr">
        <is>
          <t>CA
INSTALLED</t>
        </is>
      </c>
      <c r="S1" s="199" t="inlineStr">
        <is>
          <t>RACEWAYS
COMPLETE</t>
        </is>
      </c>
      <c r="T1" s="199" t="inlineStr">
        <is>
          <t>WIRE
PULLED</t>
        </is>
      </c>
      <c r="U1" s="199" t="inlineStr">
        <is>
          <t>WIRE
TERMED</t>
        </is>
      </c>
      <c r="V1" s="199" t="inlineStr">
        <is>
          <t>WIRE
TAGGED</t>
        </is>
      </c>
      <c r="W1" s="199" t="inlineStr">
        <is>
          <t>POINT
TO POINT</t>
        </is>
      </c>
      <c r="X1" s="201" t="inlineStr">
        <is>
          <t>IO CHECK</t>
        </is>
      </c>
      <c r="Y1" s="201" t="inlineStr">
        <is>
          <t>IO GOOD</t>
        </is>
      </c>
      <c r="Z1" s="198" t="inlineStr">
        <is>
          <t>NOTES</t>
        </is>
      </c>
      <c r="AA1" s="306" t="inlineStr">
        <is>
          <t>Comparison Status</t>
        </is>
      </c>
      <c r="AB1" s="306" t="inlineStr">
        <is>
          <t>Best Confidence</t>
        </is>
      </c>
      <c r="AC1" s="306" t="inlineStr">
        <is>
          <t>Rating</t>
        </is>
      </c>
      <c r="AD1" s="306" t="inlineStr">
        <is>
          <t>PDF Occurrences</t>
        </is>
      </c>
      <c r="AE1" s="306" t="inlineStr">
        <is>
          <t>Best PDF Sheet</t>
        </is>
      </c>
      <c r="AF1" s="306" t="inlineStr">
        <is>
          <t>Best PDF Page</t>
        </is>
      </c>
      <c r="AG1" s="306" t="inlineStr">
        <is>
          <t>Best PDF Zone</t>
        </is>
      </c>
      <c r="AH1" s="306" t="inlineStr">
        <is>
          <t>Best PDF Method</t>
        </is>
      </c>
      <c r="AI1" s="306" t="inlineStr">
        <is>
          <t>Best Evidence</t>
        </is>
      </c>
      <c r="AJ1" s="306" t="inlineStr">
        <is>
          <t>Best Text Source</t>
        </is>
      </c>
      <c r="AK1" s="306" t="inlineStr">
        <is>
          <t>Best Source Agreement</t>
        </is>
      </c>
      <c r="AL1" s="306" t="inlineStr">
        <is>
          <t>Best OCR Confidence</t>
        </is>
      </c>
      <c r="AM1" s="306" t="inlineStr">
        <is>
          <t>Allowed Pages</t>
        </is>
      </c>
      <c r="AN1" s="306" t="inlineStr">
        <is>
          <t>Sheet Filter Used</t>
        </is>
      </c>
      <c r="AO1" s="306" t="inlineStr">
        <is>
          <t>Filter Reason</t>
        </is>
      </c>
      <c r="AP1" s="306" t="inlineStr">
        <is>
          <t>Source Node IDs</t>
        </is>
      </c>
      <c r="AQ1" s="306" t="inlineStr">
        <is>
          <t>Source Node Count</t>
        </is>
      </c>
    </row>
    <row r="2">
      <c r="A2" s="119" t="n"/>
      <c r="B2" s="119" t="n"/>
      <c r="C2" s="119" t="n"/>
      <c r="D2" s="119" t="n"/>
      <c r="E2" s="119" t="n"/>
      <c r="F2" s="119" t="n"/>
      <c r="G2" s="119" t="n"/>
      <c r="H2" s="123" t="n"/>
      <c r="I2" s="119" t="n"/>
      <c r="J2" s="123" t="n">
        <v>0</v>
      </c>
      <c r="K2" s="123" t="n">
        <v>0</v>
      </c>
      <c r="L2" s="123" t="n">
        <v>0</v>
      </c>
      <c r="M2" s="215" t="n"/>
      <c r="N2" s="215" t="n"/>
      <c r="O2" s="125" t="n"/>
      <c r="P2" s="120" t="n"/>
      <c r="Q2" s="120" t="n"/>
      <c r="R2" s="121" t="n"/>
      <c r="S2" s="120" t="n"/>
      <c r="T2" s="120" t="n"/>
      <c r="U2" s="120" t="n"/>
      <c r="V2" s="120" t="n"/>
      <c r="W2" s="120" t="n"/>
      <c r="X2" s="121" t="n"/>
      <c r="Y2" s="121" t="n"/>
      <c r="Z2" s="126" t="n"/>
    </row>
    <row r="3">
      <c r="A3" s="127">
        <f>ROW()-2</f>
        <v/>
      </c>
      <c r="B3" s="128" t="inlineStr">
        <is>
          <t>RL-TNK-201-ZSO-01</t>
        </is>
      </c>
      <c r="C3" s="128" t="n"/>
      <c r="D3" s="128" t="n"/>
      <c r="E3" s="128" t="n"/>
      <c r="F3" s="138" t="inlineStr">
        <is>
          <t>FOAM TANK REFILL VALVE OPEN LIMIT SWITCH</t>
        </is>
      </c>
      <c r="G3" s="128" t="inlineStr">
        <is>
          <t>DG6826</t>
        </is>
      </c>
      <c r="H3" s="128" t="inlineStr">
        <is>
          <t>HX / LA</t>
        </is>
      </c>
      <c r="I3" s="128" t="inlineStr">
        <is>
          <t>PROD-UTIL-PLC2</t>
        </is>
      </c>
      <c r="J3" s="128" t="n">
        <v>0</v>
      </c>
      <c r="K3" s="128" t="n">
        <v>1</v>
      </c>
      <c r="L3" s="128" t="n">
        <v>0</v>
      </c>
      <c r="M3" s="128" t="inlineStr">
        <is>
          <t>24 VDC DI</t>
        </is>
      </c>
      <c r="N3" s="128" t="inlineStr">
        <is>
          <t>5069-IB16</t>
        </is>
      </c>
      <c r="O3" s="139" t="n"/>
      <c r="P3" s="127" t="n"/>
      <c r="Q3" s="127" t="n"/>
      <c r="R3" s="127" t="n"/>
      <c r="S3" s="127" t="n"/>
      <c r="T3" s="127" t="n"/>
      <c r="U3" s="127" t="n"/>
      <c r="V3" s="127" t="n"/>
      <c r="W3" s="127" t="n"/>
      <c r="X3" s="127" t="n"/>
      <c r="Y3" s="127" t="n"/>
      <c r="Z3" s="140" t="n"/>
    </row>
    <row r="4">
      <c r="A4" s="127">
        <f>ROW()-2</f>
        <v/>
      </c>
      <c r="B4" s="128" t="inlineStr">
        <is>
          <t>RL-TNK-201-ZSC-01</t>
        </is>
      </c>
      <c r="C4" s="128" t="n"/>
      <c r="D4" s="128" t="n"/>
      <c r="E4" s="128" t="n"/>
      <c r="F4" s="138" t="inlineStr">
        <is>
          <t>FOAM TANK REFILL VALVE CLOSED LIMIT SWITCH</t>
        </is>
      </c>
      <c r="G4" s="128" t="inlineStr">
        <is>
          <t>DG6826</t>
        </is>
      </c>
      <c r="H4" s="128" t="inlineStr">
        <is>
          <t>HX / LA</t>
        </is>
      </c>
      <c r="I4" s="128" t="inlineStr">
        <is>
          <t>PROD-UTIL-PLC2</t>
        </is>
      </c>
      <c r="J4" s="128" t="n">
        <v>0</v>
      </c>
      <c r="K4" s="128" t="n">
        <v>1</v>
      </c>
      <c r="L4" s="128" t="n">
        <v>1</v>
      </c>
      <c r="M4" s="128" t="inlineStr">
        <is>
          <t>24 VDC DI</t>
        </is>
      </c>
      <c r="N4" s="128" t="inlineStr">
        <is>
          <t>5069-IB16</t>
        </is>
      </c>
      <c r="O4" s="139" t="n"/>
      <c r="P4" s="127" t="n"/>
      <c r="Q4" s="127" t="n"/>
      <c r="R4" s="127" t="n"/>
      <c r="S4" s="127" t="n"/>
      <c r="T4" s="127" t="n"/>
      <c r="U4" s="127" t="n"/>
      <c r="V4" s="127" t="n"/>
      <c r="W4" s="127" t="n"/>
      <c r="X4" s="127" t="n"/>
      <c r="Y4" s="127" t="n"/>
      <c r="Z4" s="140" t="n"/>
    </row>
    <row r="5">
      <c r="A5" s="127">
        <f>ROW()-2</f>
        <v/>
      </c>
      <c r="B5" s="128" t="inlineStr">
        <is>
          <t>RL-TNK-201-LSL-01</t>
        </is>
      </c>
      <c r="C5" s="128" t="n"/>
      <c r="D5" s="128" t="n"/>
      <c r="E5" s="128" t="n"/>
      <c r="F5" s="138" t="inlineStr">
        <is>
          <t>FOAM TANK LOW LEVEL</t>
        </is>
      </c>
      <c r="G5" s="128" t="inlineStr">
        <is>
          <t>DG6826</t>
        </is>
      </c>
      <c r="H5" s="128" t="inlineStr">
        <is>
          <t>HX / LA</t>
        </is>
      </c>
      <c r="I5" s="128" t="inlineStr">
        <is>
          <t>PROD-UTIL-PLC2</t>
        </is>
      </c>
      <c r="J5" s="128" t="n">
        <v>0</v>
      </c>
      <c r="K5" s="128" t="n">
        <v>1</v>
      </c>
      <c r="L5" s="128" t="n">
        <v>2</v>
      </c>
      <c r="M5" s="128" t="inlineStr">
        <is>
          <t>24 VDC DI</t>
        </is>
      </c>
      <c r="N5" s="128" t="inlineStr">
        <is>
          <t>5069-IB16</t>
        </is>
      </c>
      <c r="O5" s="139" t="n"/>
      <c r="P5" s="127" t="n"/>
      <c r="Q5" s="127" t="n"/>
      <c r="R5" s="127" t="n"/>
      <c r="S5" s="127" t="n"/>
      <c r="T5" s="127" t="n"/>
      <c r="U5" s="127" t="n"/>
      <c r="V5" s="127" t="n"/>
      <c r="W5" s="127" t="n"/>
      <c r="X5" s="127" t="n"/>
      <c r="Y5" s="127" t="n"/>
      <c r="Z5" s="140" t="n"/>
    </row>
    <row r="6">
      <c r="A6" s="127">
        <f>ROW()-2</f>
        <v/>
      </c>
      <c r="B6" s="128" t="n"/>
      <c r="C6" s="128" t="n"/>
      <c r="D6" s="128" t="n"/>
      <c r="E6" s="128" t="n"/>
      <c r="F6" s="138" t="inlineStr">
        <is>
          <t>SPARE</t>
        </is>
      </c>
      <c r="G6" s="128" t="n"/>
      <c r="H6" s="128" t="n"/>
      <c r="I6" s="128" t="inlineStr">
        <is>
          <t>PROD-UTIL-PLC2</t>
        </is>
      </c>
      <c r="J6" s="128" t="n">
        <v>0</v>
      </c>
      <c r="K6" s="128" t="n">
        <v>1</v>
      </c>
      <c r="L6" s="128" t="n">
        <v>3</v>
      </c>
      <c r="M6" s="128" t="inlineStr">
        <is>
          <t>24 VDC DI</t>
        </is>
      </c>
      <c r="N6" s="128" t="inlineStr">
        <is>
          <t>5069-IB16</t>
        </is>
      </c>
      <c r="O6" s="139" t="n"/>
      <c r="P6" s="127" t="n"/>
      <c r="Q6" s="127" t="n"/>
      <c r="R6" s="127" t="n"/>
      <c r="S6" s="127" t="n"/>
      <c r="T6" s="127" t="n"/>
      <c r="U6" s="127" t="n"/>
      <c r="V6" s="127" t="n"/>
      <c r="W6" s="127" t="n"/>
      <c r="X6" s="127" t="n"/>
      <c r="Y6" s="127" t="n"/>
      <c r="Z6" s="140" t="n"/>
    </row>
    <row r="7">
      <c r="A7" s="127">
        <f>ROW()-2</f>
        <v/>
      </c>
      <c r="B7" s="128" t="n"/>
      <c r="C7" s="128" t="n"/>
      <c r="D7" s="128" t="n"/>
      <c r="E7" s="128" t="n"/>
      <c r="F7" s="138" t="inlineStr">
        <is>
          <t>SPARE</t>
        </is>
      </c>
      <c r="G7" s="128" t="n"/>
      <c r="H7" s="128" t="n"/>
      <c r="I7" s="128" t="inlineStr">
        <is>
          <t>PROD-UTIL-PLC2</t>
        </is>
      </c>
      <c r="J7" s="128" t="n">
        <v>0</v>
      </c>
      <c r="K7" s="128" t="n">
        <v>1</v>
      </c>
      <c r="L7" s="128" t="n">
        <v>4</v>
      </c>
      <c r="M7" s="128" t="inlineStr">
        <is>
          <t>24 VDC DI</t>
        </is>
      </c>
      <c r="N7" s="128" t="inlineStr">
        <is>
          <t>5069-IB16</t>
        </is>
      </c>
      <c r="O7" s="139" t="n"/>
      <c r="P7" s="127" t="n"/>
      <c r="Q7" s="127" t="n"/>
      <c r="R7" s="127" t="n"/>
      <c r="S7" s="127" t="n"/>
      <c r="T7" s="127" t="n"/>
      <c r="U7" s="127" t="n"/>
      <c r="V7" s="127" t="n"/>
      <c r="W7" s="127" t="n"/>
      <c r="X7" s="127" t="n"/>
      <c r="Y7" s="127" t="n"/>
      <c r="Z7" s="140" t="n"/>
    </row>
    <row r="8">
      <c r="A8" s="127">
        <f>ROW()-2</f>
        <v/>
      </c>
      <c r="B8" s="128" t="n"/>
      <c r="C8" s="128" t="n"/>
      <c r="D8" s="128" t="n"/>
      <c r="E8" s="128" t="n"/>
      <c r="F8" s="138" t="inlineStr">
        <is>
          <t>SPARE</t>
        </is>
      </c>
      <c r="G8" s="128" t="n"/>
      <c r="H8" s="128" t="n"/>
      <c r="I8" s="128" t="inlineStr">
        <is>
          <t>PROD-UTIL-PLC2</t>
        </is>
      </c>
      <c r="J8" s="128" t="n">
        <v>0</v>
      </c>
      <c r="K8" s="128" t="n">
        <v>1</v>
      </c>
      <c r="L8" s="128" t="n">
        <v>5</v>
      </c>
      <c r="M8" s="128" t="inlineStr">
        <is>
          <t>24 VDC DI</t>
        </is>
      </c>
      <c r="N8" s="128" t="inlineStr">
        <is>
          <t>5069-IB16</t>
        </is>
      </c>
      <c r="O8" s="139" t="n"/>
      <c r="P8" s="127" t="n"/>
      <c r="Q8" s="127" t="n"/>
      <c r="R8" s="127" t="n"/>
      <c r="S8" s="127" t="n"/>
      <c r="T8" s="127" t="n"/>
      <c r="U8" s="127" t="n"/>
      <c r="V8" s="127" t="n"/>
      <c r="W8" s="127" t="n"/>
      <c r="X8" s="127" t="n"/>
      <c r="Y8" s="127" t="n"/>
      <c r="Z8" s="140" t="n"/>
    </row>
    <row r="9">
      <c r="A9" s="127">
        <f>ROW()-2</f>
        <v/>
      </c>
      <c r="B9" s="128" t="n"/>
      <c r="C9" s="128" t="n"/>
      <c r="D9" s="128" t="n"/>
      <c r="E9" s="128" t="n"/>
      <c r="F9" s="138" t="inlineStr">
        <is>
          <t>SPARE</t>
        </is>
      </c>
      <c r="G9" s="128" t="n"/>
      <c r="H9" s="128" t="n"/>
      <c r="I9" s="128" t="inlineStr">
        <is>
          <t>PROD-UTIL-PLC2</t>
        </is>
      </c>
      <c r="J9" s="128" t="n">
        <v>0</v>
      </c>
      <c r="K9" s="128" t="n">
        <v>1</v>
      </c>
      <c r="L9" s="128" t="n">
        <v>6</v>
      </c>
      <c r="M9" s="128" t="inlineStr">
        <is>
          <t>24 VDC DI</t>
        </is>
      </c>
      <c r="N9" s="128" t="inlineStr">
        <is>
          <t>5069-IB16</t>
        </is>
      </c>
      <c r="O9" s="139" t="n"/>
      <c r="P9" s="127" t="n"/>
      <c r="Q9" s="127" t="n"/>
      <c r="R9" s="127" t="n"/>
      <c r="S9" s="127" t="n"/>
      <c r="T9" s="127" t="n"/>
      <c r="U9" s="127" t="n"/>
      <c r="V9" s="127" t="n"/>
      <c r="W9" s="127" t="n"/>
      <c r="X9" s="127" t="n"/>
      <c r="Y9" s="127" t="n"/>
      <c r="Z9" s="140" t="n"/>
    </row>
    <row r="10">
      <c r="A10" s="127">
        <f>ROW()-2</f>
        <v/>
      </c>
      <c r="B10" s="128" t="n"/>
      <c r="C10" s="128" t="n"/>
      <c r="D10" s="128" t="n"/>
      <c r="E10" s="128" t="n"/>
      <c r="F10" s="138" t="inlineStr">
        <is>
          <t>SPARE</t>
        </is>
      </c>
      <c r="G10" s="128" t="n"/>
      <c r="H10" s="128" t="n"/>
      <c r="I10" s="128" t="inlineStr">
        <is>
          <t>PROD-UTIL-PLC2</t>
        </is>
      </c>
      <c r="J10" s="128" t="n">
        <v>0</v>
      </c>
      <c r="K10" s="128" t="n">
        <v>1</v>
      </c>
      <c r="L10" s="128" t="n">
        <v>7</v>
      </c>
      <c r="M10" s="128" t="inlineStr">
        <is>
          <t>24 VDC DI</t>
        </is>
      </c>
      <c r="N10" s="128" t="inlineStr">
        <is>
          <t>5069-IB16</t>
        </is>
      </c>
      <c r="O10" s="139" t="n"/>
      <c r="P10" s="127" t="n"/>
      <c r="Q10" s="127" t="n"/>
      <c r="R10" s="127" t="n"/>
      <c r="S10" s="127" t="n"/>
      <c r="T10" s="127" t="n"/>
      <c r="U10" s="127" t="n"/>
      <c r="V10" s="127" t="n"/>
      <c r="W10" s="127" t="n"/>
      <c r="X10" s="127" t="n"/>
      <c r="Y10" s="127" t="n"/>
      <c r="Z10" s="140" t="n"/>
    </row>
    <row r="11">
      <c r="A11" s="127">
        <f>ROW()-2</f>
        <v/>
      </c>
      <c r="B11" s="128" t="n"/>
      <c r="C11" s="128" t="n"/>
      <c r="D11" s="128" t="n"/>
      <c r="E11" s="128" t="n"/>
      <c r="F11" s="138" t="inlineStr">
        <is>
          <t>SPARE</t>
        </is>
      </c>
      <c r="G11" s="128" t="n"/>
      <c r="H11" s="128" t="n"/>
      <c r="I11" s="128" t="inlineStr">
        <is>
          <t>PROD-UTIL-PLC2</t>
        </is>
      </c>
      <c r="J11" s="128" t="n">
        <v>0</v>
      </c>
      <c r="K11" s="128" t="n">
        <v>1</v>
      </c>
      <c r="L11" s="128" t="n">
        <v>8</v>
      </c>
      <c r="M11" s="128" t="inlineStr">
        <is>
          <t>24 VDC DI</t>
        </is>
      </c>
      <c r="N11" s="128" t="inlineStr">
        <is>
          <t>5069-IB16</t>
        </is>
      </c>
      <c r="O11" s="139" t="n"/>
      <c r="P11" s="127" t="n"/>
      <c r="Q11" s="127" t="n"/>
      <c r="R11" s="127" t="n"/>
      <c r="S11" s="127" t="n"/>
      <c r="T11" s="127" t="n"/>
      <c r="U11" s="127" t="n"/>
      <c r="V11" s="127" t="n"/>
      <c r="W11" s="127" t="n"/>
      <c r="X11" s="127" t="n"/>
      <c r="Y11" s="127" t="n"/>
      <c r="Z11" s="140" t="n"/>
    </row>
    <row r="12">
      <c r="A12" s="127">
        <f>ROW()-2</f>
        <v/>
      </c>
      <c r="B12" s="128" t="n"/>
      <c r="C12" s="128" t="n"/>
      <c r="D12" s="128" t="n"/>
      <c r="E12" s="128" t="n"/>
      <c r="F12" s="138" t="inlineStr">
        <is>
          <t>SPARE</t>
        </is>
      </c>
      <c r="G12" s="128" t="n"/>
      <c r="H12" s="128" t="n"/>
      <c r="I12" s="128" t="inlineStr">
        <is>
          <t>PROD-UTIL-PLC2</t>
        </is>
      </c>
      <c r="J12" s="128" t="n">
        <v>0</v>
      </c>
      <c r="K12" s="128" t="n">
        <v>1</v>
      </c>
      <c r="L12" s="128" t="n">
        <v>9</v>
      </c>
      <c r="M12" s="128" t="inlineStr">
        <is>
          <t>24 VDC DI</t>
        </is>
      </c>
      <c r="N12" s="128" t="inlineStr">
        <is>
          <t>5069-IB16</t>
        </is>
      </c>
      <c r="O12" s="139" t="n"/>
      <c r="P12" s="127" t="n"/>
      <c r="Q12" s="127" t="n"/>
      <c r="R12" s="127" t="n"/>
      <c r="S12" s="127" t="n"/>
      <c r="T12" s="127" t="n"/>
      <c r="U12" s="127" t="n"/>
      <c r="V12" s="127" t="n"/>
      <c r="W12" s="127" t="n"/>
      <c r="X12" s="127" t="n"/>
      <c r="Y12" s="127" t="n"/>
      <c r="Z12" s="140" t="n"/>
    </row>
    <row r="13">
      <c r="A13" s="127">
        <f>ROW()-2</f>
        <v/>
      </c>
      <c r="B13" s="128" t="n"/>
      <c r="C13" s="128" t="n"/>
      <c r="D13" s="128" t="n"/>
      <c r="E13" s="128" t="n"/>
      <c r="F13" s="138" t="inlineStr">
        <is>
          <t>SPARE</t>
        </is>
      </c>
      <c r="G13" s="128" t="n"/>
      <c r="H13" s="128" t="n"/>
      <c r="I13" s="128" t="inlineStr">
        <is>
          <t>PROD-UTIL-PLC2</t>
        </is>
      </c>
      <c r="J13" s="128" t="n">
        <v>0</v>
      </c>
      <c r="K13" s="128" t="n">
        <v>1</v>
      </c>
      <c r="L13" s="128" t="n">
        <v>10</v>
      </c>
      <c r="M13" s="128" t="inlineStr">
        <is>
          <t>24 VDC DI</t>
        </is>
      </c>
      <c r="N13" s="128" t="inlineStr">
        <is>
          <t>5069-IB16</t>
        </is>
      </c>
      <c r="O13" s="139" t="n"/>
      <c r="P13" s="127" t="n"/>
      <c r="Q13" s="127" t="n"/>
      <c r="R13" s="127" t="n"/>
      <c r="S13" s="127" t="n"/>
      <c r="T13" s="127" t="n"/>
      <c r="U13" s="127" t="n"/>
      <c r="V13" s="127" t="n"/>
      <c r="W13" s="127" t="n"/>
      <c r="X13" s="127" t="n"/>
      <c r="Y13" s="127" t="n"/>
      <c r="Z13" s="140" t="n"/>
    </row>
    <row r="14">
      <c r="A14" s="127">
        <f>ROW()-2</f>
        <v/>
      </c>
      <c r="B14" s="128" t="n"/>
      <c r="C14" s="128" t="n"/>
      <c r="D14" s="128" t="n"/>
      <c r="E14" s="128" t="n"/>
      <c r="F14" s="138" t="inlineStr">
        <is>
          <t>SPARE</t>
        </is>
      </c>
      <c r="G14" s="128" t="n"/>
      <c r="H14" s="128" t="n"/>
      <c r="I14" s="128" t="inlineStr">
        <is>
          <t>PROD-UTIL-PLC2</t>
        </is>
      </c>
      <c r="J14" s="128" t="n">
        <v>0</v>
      </c>
      <c r="K14" s="128" t="n">
        <v>1</v>
      </c>
      <c r="L14" s="128" t="n">
        <v>11</v>
      </c>
      <c r="M14" s="128" t="inlineStr">
        <is>
          <t>24 VDC DI</t>
        </is>
      </c>
      <c r="N14" s="128" t="inlineStr">
        <is>
          <t>5069-IB16</t>
        </is>
      </c>
      <c r="O14" s="139" t="n"/>
      <c r="P14" s="127" t="n"/>
      <c r="Q14" s="127" t="n"/>
      <c r="R14" s="127" t="n"/>
      <c r="S14" s="127" t="n"/>
      <c r="T14" s="127" t="n"/>
      <c r="U14" s="127" t="n"/>
      <c r="V14" s="127" t="n"/>
      <c r="W14" s="127" t="n"/>
      <c r="X14" s="127" t="n"/>
      <c r="Y14" s="127" t="n"/>
      <c r="Z14" s="140" t="n"/>
    </row>
    <row r="15">
      <c r="A15" s="127">
        <f>ROW()-2</f>
        <v/>
      </c>
      <c r="B15" s="128" t="n"/>
      <c r="C15" s="128" t="n"/>
      <c r="D15" s="128" t="n"/>
      <c r="E15" s="128" t="n"/>
      <c r="F15" s="138" t="inlineStr">
        <is>
          <t>SPARE</t>
        </is>
      </c>
      <c r="G15" s="128" t="n"/>
      <c r="H15" s="128" t="n"/>
      <c r="I15" s="128" t="inlineStr">
        <is>
          <t>PROD-UTIL-PLC2</t>
        </is>
      </c>
      <c r="J15" s="128" t="n">
        <v>0</v>
      </c>
      <c r="K15" s="128" t="n">
        <v>1</v>
      </c>
      <c r="L15" s="128" t="n">
        <v>12</v>
      </c>
      <c r="M15" s="128" t="inlineStr">
        <is>
          <t>24 VDC DI</t>
        </is>
      </c>
      <c r="N15" s="128" t="inlineStr">
        <is>
          <t>5069-IB16</t>
        </is>
      </c>
      <c r="O15" s="139" t="n"/>
      <c r="P15" s="127" t="n"/>
      <c r="Q15" s="127" t="n"/>
      <c r="R15" s="127" t="n"/>
      <c r="S15" s="127" t="n"/>
      <c r="T15" s="127" t="n"/>
      <c r="U15" s="127" t="n"/>
      <c r="V15" s="127" t="n"/>
      <c r="W15" s="127" t="n"/>
      <c r="X15" s="127" t="n"/>
      <c r="Y15" s="127" t="n"/>
      <c r="Z15" s="140" t="n"/>
    </row>
    <row r="16">
      <c r="A16" s="127">
        <f>ROW()-2</f>
        <v/>
      </c>
      <c r="B16" s="128" t="n"/>
      <c r="C16" s="128" t="n"/>
      <c r="D16" s="128" t="n"/>
      <c r="E16" s="128" t="n"/>
      <c r="F16" s="138" t="inlineStr">
        <is>
          <t>SPARE</t>
        </is>
      </c>
      <c r="G16" s="128" t="n"/>
      <c r="H16" s="128" t="n"/>
      <c r="I16" s="128" t="inlineStr">
        <is>
          <t>PROD-UTIL-PLC2</t>
        </is>
      </c>
      <c r="J16" s="128" t="n">
        <v>0</v>
      </c>
      <c r="K16" s="128" t="n">
        <v>1</v>
      </c>
      <c r="L16" s="128" t="n">
        <v>13</v>
      </c>
      <c r="M16" s="128" t="inlineStr">
        <is>
          <t>24 VDC DI</t>
        </is>
      </c>
      <c r="N16" s="128" t="inlineStr">
        <is>
          <t>5069-IB16</t>
        </is>
      </c>
      <c r="O16" s="139" t="n"/>
      <c r="P16" s="127" t="n"/>
      <c r="Q16" s="127" t="n"/>
      <c r="R16" s="127" t="n"/>
      <c r="S16" s="127" t="n"/>
      <c r="T16" s="127" t="n"/>
      <c r="U16" s="127" t="n"/>
      <c r="V16" s="127" t="n"/>
      <c r="W16" s="127" t="n"/>
      <c r="X16" s="127" t="n"/>
      <c r="Y16" s="127" t="n"/>
      <c r="Z16" s="140" t="n"/>
    </row>
    <row r="17">
      <c r="A17" s="127">
        <f>ROW()-2</f>
        <v/>
      </c>
      <c r="B17" s="128" t="n"/>
      <c r="C17" s="128" t="n"/>
      <c r="D17" s="128" t="n"/>
      <c r="E17" s="128" t="n"/>
      <c r="F17" s="138" t="inlineStr">
        <is>
          <t>SPARE</t>
        </is>
      </c>
      <c r="G17" s="128" t="n"/>
      <c r="H17" s="128" t="n"/>
      <c r="I17" s="128" t="inlineStr">
        <is>
          <t>PROD-UTIL-PLC2</t>
        </is>
      </c>
      <c r="J17" s="128" t="n">
        <v>0</v>
      </c>
      <c r="K17" s="128" t="n">
        <v>1</v>
      </c>
      <c r="L17" s="128" t="n">
        <v>14</v>
      </c>
      <c r="M17" s="128" t="inlineStr">
        <is>
          <t>24 VDC DI</t>
        </is>
      </c>
      <c r="N17" s="128" t="inlineStr">
        <is>
          <t>5069-IB16</t>
        </is>
      </c>
      <c r="O17" s="139" t="n"/>
      <c r="P17" s="127" t="n"/>
      <c r="Q17" s="127" t="n"/>
      <c r="R17" s="127" t="n"/>
      <c r="S17" s="127" t="n"/>
      <c r="T17" s="127" t="n"/>
      <c r="U17" s="127" t="n"/>
      <c r="V17" s="127" t="n"/>
      <c r="W17" s="127" t="n"/>
      <c r="X17" s="127" t="n"/>
      <c r="Y17" s="127" t="n"/>
      <c r="Z17" s="140" t="n"/>
    </row>
    <row r="18">
      <c r="A18" s="127">
        <f>ROW()-2</f>
        <v/>
      </c>
      <c r="B18" s="128" t="n"/>
      <c r="C18" s="128" t="n"/>
      <c r="D18" s="128" t="n"/>
      <c r="E18" s="128" t="n"/>
      <c r="F18" s="138" t="inlineStr">
        <is>
          <t>SPARE</t>
        </is>
      </c>
      <c r="G18" s="128" t="n"/>
      <c r="H18" s="128" t="n"/>
      <c r="I18" s="128" t="inlineStr">
        <is>
          <t>PROD-UTIL-PLC2</t>
        </is>
      </c>
      <c r="J18" s="128" t="n">
        <v>0</v>
      </c>
      <c r="K18" s="128" t="n">
        <v>1</v>
      </c>
      <c r="L18" s="128" t="n">
        <v>15</v>
      </c>
      <c r="M18" s="128" t="inlineStr">
        <is>
          <t>24 VDC DI</t>
        </is>
      </c>
      <c r="N18" s="128" t="inlineStr">
        <is>
          <t>5069-IB16</t>
        </is>
      </c>
      <c r="O18" s="139" t="n"/>
      <c r="P18" s="127" t="n"/>
      <c r="Q18" s="127" t="n"/>
      <c r="R18" s="127" t="n"/>
      <c r="S18" s="127" t="n"/>
      <c r="T18" s="127" t="n"/>
      <c r="U18" s="127" t="n"/>
      <c r="V18" s="127" t="n"/>
      <c r="W18" s="127" t="n"/>
      <c r="X18" s="127" t="n"/>
      <c r="Y18" s="127" t="n"/>
      <c r="Z18" s="140" t="n"/>
    </row>
    <row r="19">
      <c r="A19" s="127">
        <f>ROW()-2</f>
        <v/>
      </c>
      <c r="B19" s="128" t="n"/>
      <c r="C19" s="128" t="n"/>
      <c r="D19" s="128" t="n"/>
      <c r="E19" s="128" t="n"/>
      <c r="F19" s="138" t="inlineStr">
        <is>
          <t>SPARE</t>
        </is>
      </c>
      <c r="G19" s="128" t="n"/>
      <c r="H19" s="128" t="n"/>
      <c r="I19" s="128" t="inlineStr">
        <is>
          <t>PROD-UTIL-PLC2</t>
        </is>
      </c>
      <c r="J19" s="128" t="n">
        <v>0</v>
      </c>
      <c r="K19" s="128" t="n">
        <v>2</v>
      </c>
      <c r="L19" s="128" t="n">
        <v>0</v>
      </c>
      <c r="M19" s="128" t="inlineStr">
        <is>
          <t>24 VDC DI</t>
        </is>
      </c>
      <c r="N19" s="128" t="inlineStr">
        <is>
          <t>5069-IB16</t>
        </is>
      </c>
      <c r="O19" s="139" t="n"/>
      <c r="P19" s="127" t="n"/>
      <c r="Q19" s="127" t="n"/>
      <c r="R19" s="127" t="n"/>
      <c r="S19" s="127" t="n"/>
      <c r="T19" s="127" t="n"/>
      <c r="U19" s="127" t="n"/>
      <c r="V19" s="127" t="n"/>
      <c r="W19" s="127" t="n"/>
      <c r="X19" s="127" t="n"/>
      <c r="Y19" s="127" t="n"/>
      <c r="Z19" s="140" t="n"/>
    </row>
    <row r="20">
      <c r="A20" s="127">
        <f>ROW()-2</f>
        <v/>
      </c>
      <c r="B20" s="128" t="n"/>
      <c r="C20" s="128" t="n"/>
      <c r="D20" s="128" t="n"/>
      <c r="E20" s="128" t="n"/>
      <c r="F20" s="138" t="inlineStr">
        <is>
          <t>SPARE</t>
        </is>
      </c>
      <c r="G20" s="128" t="n"/>
      <c r="H20" s="128" t="n"/>
      <c r="I20" s="128" t="inlineStr">
        <is>
          <t>PROD-UTIL-PLC2</t>
        </is>
      </c>
      <c r="J20" s="128" t="n">
        <v>0</v>
      </c>
      <c r="K20" s="128" t="n">
        <v>2</v>
      </c>
      <c r="L20" s="128" t="n">
        <v>1</v>
      </c>
      <c r="M20" s="128" t="inlineStr">
        <is>
          <t>24 VDC DI</t>
        </is>
      </c>
      <c r="N20" s="128" t="inlineStr">
        <is>
          <t>5069-IB16</t>
        </is>
      </c>
      <c r="O20" s="139" t="n"/>
      <c r="P20" s="127" t="n"/>
      <c r="Q20" s="127" t="n"/>
      <c r="R20" s="127" t="n"/>
      <c r="S20" s="127" t="n"/>
      <c r="T20" s="127" t="n"/>
      <c r="U20" s="127" t="n"/>
      <c r="V20" s="127" t="n"/>
      <c r="W20" s="127" t="n"/>
      <c r="X20" s="127" t="n"/>
      <c r="Y20" s="127" t="n"/>
      <c r="Z20" s="140" t="n"/>
    </row>
    <row r="21">
      <c r="A21" s="127">
        <f>ROW()-2</f>
        <v/>
      </c>
      <c r="B21" s="128" t="n"/>
      <c r="C21" s="128" t="n"/>
      <c r="D21" s="128" t="n"/>
      <c r="E21" s="128" t="n"/>
      <c r="F21" s="138" t="inlineStr">
        <is>
          <t>SPARE</t>
        </is>
      </c>
      <c r="G21" s="128" t="n"/>
      <c r="H21" s="128" t="n"/>
      <c r="I21" s="128" t="inlineStr">
        <is>
          <t>PROD-UTIL-PLC2</t>
        </is>
      </c>
      <c r="J21" s="128" t="n">
        <v>0</v>
      </c>
      <c r="K21" s="128" t="n">
        <v>2</v>
      </c>
      <c r="L21" s="128" t="n">
        <v>2</v>
      </c>
      <c r="M21" s="128" t="inlineStr">
        <is>
          <t>24 VDC DI</t>
        </is>
      </c>
      <c r="N21" s="128" t="inlineStr">
        <is>
          <t>5069-IB16</t>
        </is>
      </c>
      <c r="O21" s="139" t="n"/>
      <c r="P21" s="127" t="n"/>
      <c r="Q21" s="127" t="n"/>
      <c r="R21" s="127" t="n"/>
      <c r="S21" s="127" t="n"/>
      <c r="T21" s="127" t="n"/>
      <c r="U21" s="127" t="n"/>
      <c r="V21" s="127" t="n"/>
      <c r="W21" s="127" t="n"/>
      <c r="X21" s="127" t="n"/>
      <c r="Y21" s="127" t="n"/>
      <c r="Z21" s="140" t="n"/>
    </row>
    <row r="22">
      <c r="A22" s="127">
        <f>ROW()-2</f>
        <v/>
      </c>
      <c r="B22" s="128" t="n"/>
      <c r="C22" s="128" t="n"/>
      <c r="D22" s="128" t="n"/>
      <c r="E22" s="128" t="n"/>
      <c r="F22" s="138" t="inlineStr">
        <is>
          <t>SPARE</t>
        </is>
      </c>
      <c r="G22" s="128" t="n"/>
      <c r="H22" s="128" t="n"/>
      <c r="I22" s="128" t="inlineStr">
        <is>
          <t>PROD-UTIL-PLC2</t>
        </is>
      </c>
      <c r="J22" s="128" t="n">
        <v>0</v>
      </c>
      <c r="K22" s="128" t="n">
        <v>2</v>
      </c>
      <c r="L22" s="128" t="n">
        <v>3</v>
      </c>
      <c r="M22" s="128" t="inlineStr">
        <is>
          <t>24 VDC DI</t>
        </is>
      </c>
      <c r="N22" s="128" t="inlineStr">
        <is>
          <t>5069-IB16</t>
        </is>
      </c>
      <c r="O22" s="139" t="n"/>
      <c r="P22" s="127" t="n"/>
      <c r="Q22" s="127" t="n"/>
      <c r="R22" s="127" t="n"/>
      <c r="S22" s="127" t="n"/>
      <c r="T22" s="127" t="n"/>
      <c r="U22" s="127" t="n"/>
      <c r="V22" s="127" t="n"/>
      <c r="W22" s="127" t="n"/>
      <c r="X22" s="127" t="n"/>
      <c r="Y22" s="127" t="n"/>
      <c r="Z22" s="140" t="n"/>
    </row>
    <row r="23">
      <c r="A23" s="127">
        <f>ROW()-2</f>
        <v/>
      </c>
      <c r="B23" s="128" t="n"/>
      <c r="C23" s="128" t="n"/>
      <c r="D23" s="128" t="n"/>
      <c r="E23" s="128" t="n"/>
      <c r="F23" s="138" t="inlineStr">
        <is>
          <t>SPARE</t>
        </is>
      </c>
      <c r="G23" s="128" t="n"/>
      <c r="H23" s="128" t="n"/>
      <c r="I23" s="128" t="inlineStr">
        <is>
          <t>PROD-UTIL-PLC2</t>
        </is>
      </c>
      <c r="J23" s="128" t="n">
        <v>0</v>
      </c>
      <c r="K23" s="128" t="n">
        <v>2</v>
      </c>
      <c r="L23" s="128" t="n">
        <v>4</v>
      </c>
      <c r="M23" s="128" t="inlineStr">
        <is>
          <t>24 VDC DI</t>
        </is>
      </c>
      <c r="N23" s="128" t="inlineStr">
        <is>
          <t>5069-IB16</t>
        </is>
      </c>
      <c r="O23" s="139" t="n"/>
      <c r="P23" s="127" t="n"/>
      <c r="Q23" s="127" t="n"/>
      <c r="R23" s="127" t="n"/>
      <c r="S23" s="127" t="n"/>
      <c r="T23" s="127" t="n"/>
      <c r="U23" s="127" t="n"/>
      <c r="V23" s="127" t="n"/>
      <c r="W23" s="127" t="n"/>
      <c r="X23" s="127" t="n"/>
      <c r="Y23" s="127" t="n"/>
      <c r="Z23" s="140" t="n"/>
    </row>
    <row r="24">
      <c r="A24" s="127">
        <f>ROW()-2</f>
        <v/>
      </c>
      <c r="B24" s="128" t="n"/>
      <c r="C24" s="128" t="n"/>
      <c r="D24" s="128" t="n"/>
      <c r="E24" s="128" t="n"/>
      <c r="F24" s="138" t="inlineStr">
        <is>
          <t>SPARE</t>
        </is>
      </c>
      <c r="G24" s="128" t="n"/>
      <c r="H24" s="128" t="n"/>
      <c r="I24" s="128" t="inlineStr">
        <is>
          <t>PROD-UTIL-PLC2</t>
        </is>
      </c>
      <c r="J24" s="128" t="n">
        <v>0</v>
      </c>
      <c r="K24" s="128" t="n">
        <v>2</v>
      </c>
      <c r="L24" s="128" t="n">
        <v>5</v>
      </c>
      <c r="M24" s="128" t="inlineStr">
        <is>
          <t>24 VDC DI</t>
        </is>
      </c>
      <c r="N24" s="128" t="inlineStr">
        <is>
          <t>5069-IB16</t>
        </is>
      </c>
      <c r="O24" s="139" t="n"/>
      <c r="P24" s="127" t="n"/>
      <c r="Q24" s="127" t="n"/>
      <c r="R24" s="127" t="n"/>
      <c r="S24" s="127" t="n"/>
      <c r="T24" s="127" t="n"/>
      <c r="U24" s="127" t="n"/>
      <c r="V24" s="127" t="n"/>
      <c r="W24" s="127" t="n"/>
      <c r="X24" s="127" t="n"/>
      <c r="Y24" s="127" t="n"/>
      <c r="Z24" s="140" t="n"/>
    </row>
    <row r="25">
      <c r="A25" s="127">
        <f>ROW()-2</f>
        <v/>
      </c>
      <c r="B25" s="128" t="n"/>
      <c r="C25" s="128" t="n"/>
      <c r="D25" s="128" t="n"/>
      <c r="E25" s="128" t="n"/>
      <c r="F25" s="138" t="inlineStr">
        <is>
          <t>SPARE</t>
        </is>
      </c>
      <c r="G25" s="128" t="n"/>
      <c r="H25" s="128" t="n"/>
      <c r="I25" s="128" t="inlineStr">
        <is>
          <t>PROD-UTIL-PLC2</t>
        </is>
      </c>
      <c r="J25" s="128" t="n">
        <v>0</v>
      </c>
      <c r="K25" s="128" t="n">
        <v>2</v>
      </c>
      <c r="L25" s="128" t="n">
        <v>6</v>
      </c>
      <c r="M25" s="128" t="inlineStr">
        <is>
          <t>24 VDC DI</t>
        </is>
      </c>
      <c r="N25" s="128" t="inlineStr">
        <is>
          <t>5069-IB16</t>
        </is>
      </c>
      <c r="O25" s="139" t="n"/>
      <c r="P25" s="127" t="n"/>
      <c r="Q25" s="127" t="n"/>
      <c r="R25" s="127" t="n"/>
      <c r="S25" s="127" t="n"/>
      <c r="T25" s="127" t="n"/>
      <c r="U25" s="127" t="n"/>
      <c r="V25" s="127" t="n"/>
      <c r="W25" s="127" t="n"/>
      <c r="X25" s="127" t="n"/>
      <c r="Y25" s="127" t="n"/>
      <c r="Z25" s="140" t="n"/>
    </row>
    <row r="26">
      <c r="A26" s="127">
        <f>ROW()-2</f>
        <v/>
      </c>
      <c r="B26" s="128" t="n"/>
      <c r="C26" s="128" t="n"/>
      <c r="D26" s="128" t="n"/>
      <c r="E26" s="128" t="n"/>
      <c r="F26" s="138" t="inlineStr">
        <is>
          <t>SPARE</t>
        </is>
      </c>
      <c r="G26" s="128" t="n"/>
      <c r="H26" s="128" t="n"/>
      <c r="I26" s="128" t="inlineStr">
        <is>
          <t>PROD-UTIL-PLC2</t>
        </is>
      </c>
      <c r="J26" s="128" t="n">
        <v>0</v>
      </c>
      <c r="K26" s="128" t="n">
        <v>2</v>
      </c>
      <c r="L26" s="128" t="n">
        <v>7</v>
      </c>
      <c r="M26" s="128" t="inlineStr">
        <is>
          <t>24 VDC DI</t>
        </is>
      </c>
      <c r="N26" s="128" t="inlineStr">
        <is>
          <t>5069-IB16</t>
        </is>
      </c>
      <c r="O26" s="139" t="n"/>
      <c r="P26" s="127" t="n"/>
      <c r="Q26" s="127" t="n"/>
      <c r="R26" s="127" t="n"/>
      <c r="S26" s="127" t="n"/>
      <c r="T26" s="127" t="n"/>
      <c r="U26" s="127" t="n"/>
      <c r="V26" s="127" t="n"/>
      <c r="W26" s="127" t="n"/>
      <c r="X26" s="127" t="n"/>
      <c r="Y26" s="127" t="n"/>
      <c r="Z26" s="140" t="n"/>
    </row>
    <row r="27">
      <c r="A27" s="127">
        <f>ROW()-2</f>
        <v/>
      </c>
      <c r="B27" s="128" t="n"/>
      <c r="C27" s="128" t="n"/>
      <c r="D27" s="128" t="n"/>
      <c r="E27" s="128" t="n"/>
      <c r="F27" s="138" t="inlineStr">
        <is>
          <t>SPARE</t>
        </is>
      </c>
      <c r="G27" s="128" t="n"/>
      <c r="H27" s="128" t="n"/>
      <c r="I27" s="128" t="inlineStr">
        <is>
          <t>PROD-UTIL-PLC2</t>
        </is>
      </c>
      <c r="J27" s="128" t="n">
        <v>0</v>
      </c>
      <c r="K27" s="128" t="n">
        <v>2</v>
      </c>
      <c r="L27" s="128" t="n">
        <v>8</v>
      </c>
      <c r="M27" s="128" t="inlineStr">
        <is>
          <t>24 VDC DI</t>
        </is>
      </c>
      <c r="N27" s="128" t="inlineStr">
        <is>
          <t>5069-IB16</t>
        </is>
      </c>
      <c r="O27" s="139" t="n"/>
      <c r="P27" s="127" t="n"/>
      <c r="Q27" s="127" t="n"/>
      <c r="R27" s="127" t="n"/>
      <c r="S27" s="127" t="n"/>
      <c r="T27" s="127" t="n"/>
      <c r="U27" s="127" t="n"/>
      <c r="V27" s="127" t="n"/>
      <c r="W27" s="127" t="n"/>
      <c r="X27" s="127" t="n"/>
      <c r="Y27" s="127" t="n"/>
      <c r="Z27" s="140" t="n"/>
    </row>
    <row r="28">
      <c r="A28" s="127">
        <f>ROW()-2</f>
        <v/>
      </c>
      <c r="B28" s="128" t="n"/>
      <c r="C28" s="128" t="n"/>
      <c r="D28" s="128" t="n"/>
      <c r="E28" s="128" t="n"/>
      <c r="F28" s="138" t="inlineStr">
        <is>
          <t>SPARE</t>
        </is>
      </c>
      <c r="G28" s="128" t="n"/>
      <c r="H28" s="128" t="n"/>
      <c r="I28" s="128" t="inlineStr">
        <is>
          <t>PROD-UTIL-PLC2</t>
        </is>
      </c>
      <c r="J28" s="128" t="n">
        <v>0</v>
      </c>
      <c r="K28" s="128" t="n">
        <v>2</v>
      </c>
      <c r="L28" s="128" t="n">
        <v>9</v>
      </c>
      <c r="M28" s="128" t="inlineStr">
        <is>
          <t>24 VDC DI</t>
        </is>
      </c>
      <c r="N28" s="128" t="inlineStr">
        <is>
          <t>5069-IB16</t>
        </is>
      </c>
      <c r="O28" s="139" t="n"/>
      <c r="P28" s="127" t="n"/>
      <c r="Q28" s="127" t="n"/>
      <c r="R28" s="127" t="n"/>
      <c r="S28" s="127" t="n"/>
      <c r="T28" s="127" t="n"/>
      <c r="U28" s="127" t="n"/>
      <c r="V28" s="127" t="n"/>
      <c r="W28" s="127" t="n"/>
      <c r="X28" s="127" t="n"/>
      <c r="Y28" s="127" t="n"/>
      <c r="Z28" s="140" t="n"/>
    </row>
    <row r="29">
      <c r="A29" s="127">
        <f>ROW()-2</f>
        <v/>
      </c>
      <c r="B29" s="128" t="n"/>
      <c r="C29" s="128" t="n"/>
      <c r="D29" s="128" t="n"/>
      <c r="E29" s="128" t="n"/>
      <c r="F29" s="138" t="inlineStr">
        <is>
          <t>SPARE</t>
        </is>
      </c>
      <c r="G29" s="128" t="n"/>
      <c r="H29" s="128" t="n"/>
      <c r="I29" s="128" t="inlineStr">
        <is>
          <t>PROD-UTIL-PLC2</t>
        </is>
      </c>
      <c r="J29" s="128" t="n">
        <v>0</v>
      </c>
      <c r="K29" s="128" t="n">
        <v>2</v>
      </c>
      <c r="L29" s="128" t="n">
        <v>10</v>
      </c>
      <c r="M29" s="128" t="inlineStr">
        <is>
          <t>24 VDC DI</t>
        </is>
      </c>
      <c r="N29" s="128" t="inlineStr">
        <is>
          <t>5069-IB16</t>
        </is>
      </c>
      <c r="O29" s="139" t="n"/>
      <c r="P29" s="127" t="n"/>
      <c r="Q29" s="127" t="n"/>
      <c r="R29" s="127" t="n"/>
      <c r="S29" s="127" t="n"/>
      <c r="T29" s="127" t="n"/>
      <c r="U29" s="127" t="n"/>
      <c r="V29" s="127" t="n"/>
      <c r="W29" s="127" t="n"/>
      <c r="X29" s="127" t="n"/>
      <c r="Y29" s="127" t="n"/>
      <c r="Z29" s="140" t="n"/>
    </row>
    <row r="30">
      <c r="A30" s="127">
        <f>ROW()-2</f>
        <v/>
      </c>
      <c r="B30" s="128" t="n"/>
      <c r="C30" s="128" t="n"/>
      <c r="D30" s="128" t="n"/>
      <c r="E30" s="128" t="n"/>
      <c r="F30" s="138" t="inlineStr">
        <is>
          <t>SPARE</t>
        </is>
      </c>
      <c r="G30" s="128" t="n"/>
      <c r="H30" s="128" t="n"/>
      <c r="I30" s="128" t="inlineStr">
        <is>
          <t>PROD-UTIL-PLC2</t>
        </is>
      </c>
      <c r="J30" s="128" t="n">
        <v>0</v>
      </c>
      <c r="K30" s="128" t="n">
        <v>2</v>
      </c>
      <c r="L30" s="128" t="n">
        <v>11</v>
      </c>
      <c r="M30" s="128" t="inlineStr">
        <is>
          <t>24 VDC DI</t>
        </is>
      </c>
      <c r="N30" s="128" t="inlineStr">
        <is>
          <t>5069-IB16</t>
        </is>
      </c>
      <c r="O30" s="139" t="n"/>
      <c r="P30" s="127" t="n"/>
      <c r="Q30" s="127" t="n"/>
      <c r="R30" s="127" t="n"/>
      <c r="S30" s="127" t="n"/>
      <c r="T30" s="127" t="n"/>
      <c r="U30" s="127" t="n"/>
      <c r="V30" s="127" t="n"/>
      <c r="W30" s="127" t="n"/>
      <c r="X30" s="127" t="n"/>
      <c r="Y30" s="127" t="n"/>
      <c r="Z30" s="140" t="n"/>
    </row>
    <row r="31">
      <c r="A31" s="127">
        <f>ROW()-2</f>
        <v/>
      </c>
      <c r="B31" s="128" t="n"/>
      <c r="C31" s="128" t="n"/>
      <c r="D31" s="128" t="n"/>
      <c r="E31" s="128" t="n"/>
      <c r="F31" s="138" t="inlineStr">
        <is>
          <t>SPARE</t>
        </is>
      </c>
      <c r="G31" s="128" t="n"/>
      <c r="H31" s="128" t="n"/>
      <c r="I31" s="128" t="inlineStr">
        <is>
          <t>PROD-UTIL-PLC2</t>
        </is>
      </c>
      <c r="J31" s="128" t="n">
        <v>0</v>
      </c>
      <c r="K31" s="128" t="n">
        <v>2</v>
      </c>
      <c r="L31" s="128" t="n">
        <v>12</v>
      </c>
      <c r="M31" s="128" t="inlineStr">
        <is>
          <t>24 VDC DI</t>
        </is>
      </c>
      <c r="N31" s="128" t="inlineStr">
        <is>
          <t>5069-IB16</t>
        </is>
      </c>
      <c r="O31" s="139" t="n"/>
      <c r="P31" s="127" t="n"/>
      <c r="Q31" s="127" t="n"/>
      <c r="R31" s="127" t="n"/>
      <c r="S31" s="127" t="n"/>
      <c r="T31" s="127" t="n"/>
      <c r="U31" s="127" t="n"/>
      <c r="V31" s="127" t="n"/>
      <c r="W31" s="127" t="n"/>
      <c r="X31" s="127" t="n"/>
      <c r="Y31" s="127" t="n"/>
      <c r="Z31" s="140" t="n"/>
    </row>
    <row r="32">
      <c r="A32" s="127">
        <f>ROW()-2</f>
        <v/>
      </c>
      <c r="B32" s="128" t="n"/>
      <c r="C32" s="128" t="n"/>
      <c r="D32" s="128" t="n"/>
      <c r="E32" s="128" t="n"/>
      <c r="F32" s="138" t="inlineStr">
        <is>
          <t>SPARE</t>
        </is>
      </c>
      <c r="G32" s="128" t="n"/>
      <c r="H32" s="128" t="n"/>
      <c r="I32" s="128" t="inlineStr">
        <is>
          <t>PROD-UTIL-PLC2</t>
        </is>
      </c>
      <c r="J32" s="128" t="n">
        <v>0</v>
      </c>
      <c r="K32" s="128" t="n">
        <v>2</v>
      </c>
      <c r="L32" s="128" t="n">
        <v>13</v>
      </c>
      <c r="M32" s="128" t="inlineStr">
        <is>
          <t>24 VDC DI</t>
        </is>
      </c>
      <c r="N32" s="128" t="inlineStr">
        <is>
          <t>5069-IB16</t>
        </is>
      </c>
      <c r="O32" s="139" t="n"/>
      <c r="P32" s="127" t="n"/>
      <c r="Q32" s="127" t="n"/>
      <c r="R32" s="127" t="n"/>
      <c r="S32" s="127" t="n"/>
      <c r="T32" s="127" t="n"/>
      <c r="U32" s="127" t="n"/>
      <c r="V32" s="127" t="n"/>
      <c r="W32" s="127" t="n"/>
      <c r="X32" s="127" t="n"/>
      <c r="Y32" s="127" t="n"/>
      <c r="Z32" s="140" t="n"/>
    </row>
    <row r="33">
      <c r="A33" s="127">
        <f>ROW()-2</f>
        <v/>
      </c>
      <c r="B33" s="128" t="n"/>
      <c r="C33" s="128" t="n"/>
      <c r="D33" s="128" t="n"/>
      <c r="E33" s="128" t="n"/>
      <c r="F33" s="138" t="inlineStr">
        <is>
          <t>SPARE</t>
        </is>
      </c>
      <c r="G33" s="128" t="n"/>
      <c r="H33" s="128" t="n"/>
      <c r="I33" s="128" t="inlineStr">
        <is>
          <t>PROD-UTIL-PLC2</t>
        </is>
      </c>
      <c r="J33" s="128" t="n">
        <v>0</v>
      </c>
      <c r="K33" s="128" t="n">
        <v>2</v>
      </c>
      <c r="L33" s="128" t="n">
        <v>14</v>
      </c>
      <c r="M33" s="128" t="inlineStr">
        <is>
          <t>24 VDC DI</t>
        </is>
      </c>
      <c r="N33" s="128" t="inlineStr">
        <is>
          <t>5069-IB16</t>
        </is>
      </c>
      <c r="O33" s="139" t="n"/>
      <c r="P33" s="127" t="n"/>
      <c r="Q33" s="127" t="n"/>
      <c r="R33" s="127" t="n"/>
      <c r="S33" s="127" t="n"/>
      <c r="T33" s="127" t="n"/>
      <c r="U33" s="127" t="n"/>
      <c r="V33" s="127" t="n"/>
      <c r="W33" s="127" t="n"/>
      <c r="X33" s="127" t="n"/>
      <c r="Y33" s="127" t="n"/>
      <c r="Z33" s="140" t="n"/>
    </row>
    <row r="34">
      <c r="A34" s="127">
        <f>ROW()-2</f>
        <v/>
      </c>
      <c r="B34" s="128" t="n"/>
      <c r="C34" s="128" t="n"/>
      <c r="D34" s="128" t="n"/>
      <c r="E34" s="128" t="n"/>
      <c r="F34" s="138" t="inlineStr">
        <is>
          <t>SPARE</t>
        </is>
      </c>
      <c r="G34" s="128" t="n"/>
      <c r="H34" s="128" t="n"/>
      <c r="I34" s="128" t="inlineStr">
        <is>
          <t>PROD-UTIL-PLC2</t>
        </is>
      </c>
      <c r="J34" s="128" t="n">
        <v>0</v>
      </c>
      <c r="K34" s="128" t="n">
        <v>2</v>
      </c>
      <c r="L34" s="128" t="n">
        <v>15</v>
      </c>
      <c r="M34" s="128" t="inlineStr">
        <is>
          <t>24 VDC DI</t>
        </is>
      </c>
      <c r="N34" s="128" t="inlineStr">
        <is>
          <t>5069-IB16</t>
        </is>
      </c>
      <c r="O34" s="139" t="n"/>
      <c r="P34" s="127" t="n"/>
      <c r="Q34" s="127" t="n"/>
      <c r="R34" s="127" t="n"/>
      <c r="S34" s="127" t="n"/>
      <c r="T34" s="127" t="n"/>
      <c r="U34" s="127" t="n"/>
      <c r="V34" s="127" t="n"/>
      <c r="W34" s="127" t="n"/>
      <c r="X34" s="127" t="n"/>
      <c r="Y34" s="127" t="n"/>
      <c r="Z34" s="140" t="n"/>
    </row>
    <row r="35">
      <c r="A35" s="127">
        <f>ROW()-2</f>
        <v/>
      </c>
      <c r="B35" s="128" t="inlineStr">
        <is>
          <t>RL-TNK-201-XV-01</t>
        </is>
      </c>
      <c r="C35" s="128" t="n"/>
      <c r="D35" s="128" t="n"/>
      <c r="E35" s="128" t="n"/>
      <c r="F35" s="138" t="inlineStr">
        <is>
          <t>FOAM TANK REFILL VALVE OPEN SOLENOID</t>
        </is>
      </c>
      <c r="G35" s="128" t="inlineStr">
        <is>
          <t>DG6826</t>
        </is>
      </c>
      <c r="H35" s="128" t="inlineStr">
        <is>
          <t>HX / LA</t>
        </is>
      </c>
      <c r="I35" s="128" t="inlineStr">
        <is>
          <t>PROD-UTIL-PLC2</t>
        </is>
      </c>
      <c r="J35" s="128" t="n">
        <v>0</v>
      </c>
      <c r="K35" s="128" t="n">
        <v>3</v>
      </c>
      <c r="L35" s="128" t="n">
        <v>0</v>
      </c>
      <c r="M35" s="128" t="inlineStr">
        <is>
          <t>24 VDC DO</t>
        </is>
      </c>
      <c r="N35" s="128" t="inlineStr">
        <is>
          <t>5069-OB16</t>
        </is>
      </c>
      <c r="O35" s="139" t="n"/>
      <c r="P35" s="127" t="n"/>
      <c r="Q35" s="127" t="n"/>
      <c r="R35" s="127" t="n"/>
      <c r="S35" s="127" t="n"/>
      <c r="T35" s="127" t="n"/>
      <c r="U35" s="127" t="n"/>
      <c r="V35" s="127" t="n"/>
      <c r="W35" s="127" t="n"/>
      <c r="X35" s="127" t="n"/>
      <c r="Y35" s="127" t="n"/>
      <c r="Z35" s="140" t="n"/>
    </row>
    <row r="36">
      <c r="A36" s="127">
        <f>ROW()-2</f>
        <v/>
      </c>
      <c r="B36" s="128" t="n"/>
      <c r="C36" s="128" t="n"/>
      <c r="D36" s="128" t="n"/>
      <c r="E36" s="128" t="n"/>
      <c r="F36" s="138" t="inlineStr">
        <is>
          <t>SPARE</t>
        </is>
      </c>
      <c r="G36" s="128" t="n"/>
      <c r="H36" s="128" t="n"/>
      <c r="I36" s="128" t="inlineStr">
        <is>
          <t>PROD-UTIL-PLC2</t>
        </is>
      </c>
      <c r="J36" s="128" t="n">
        <v>0</v>
      </c>
      <c r="K36" s="128" t="n">
        <v>3</v>
      </c>
      <c r="L36" s="128" t="n">
        <v>1</v>
      </c>
      <c r="M36" s="128" t="inlineStr">
        <is>
          <t>24 VDC DO</t>
        </is>
      </c>
      <c r="N36" s="128" t="inlineStr">
        <is>
          <t>5069-OB16</t>
        </is>
      </c>
      <c r="O36" s="139" t="n"/>
      <c r="P36" s="127" t="n"/>
      <c r="Q36" s="127" t="n"/>
      <c r="R36" s="127" t="n"/>
      <c r="S36" s="127" t="n"/>
      <c r="T36" s="127" t="n"/>
      <c r="U36" s="127" t="n"/>
      <c r="V36" s="127" t="n"/>
      <c r="W36" s="127" t="n"/>
      <c r="X36" s="127" t="n"/>
      <c r="Y36" s="127" t="n"/>
      <c r="Z36" s="140" t="n"/>
    </row>
    <row r="37">
      <c r="A37" s="127">
        <f>ROW()-2</f>
        <v/>
      </c>
      <c r="B37" s="128" t="n"/>
      <c r="C37" s="128" t="n"/>
      <c r="D37" s="128" t="n"/>
      <c r="E37" s="128" t="n"/>
      <c r="F37" s="138" t="inlineStr">
        <is>
          <t>SPARE</t>
        </is>
      </c>
      <c r="G37" s="128" t="n"/>
      <c r="H37" s="128" t="n"/>
      <c r="I37" s="128" t="inlineStr">
        <is>
          <t>PROD-UTIL-PLC2</t>
        </is>
      </c>
      <c r="J37" s="128" t="n">
        <v>0</v>
      </c>
      <c r="K37" s="128" t="n">
        <v>3</v>
      </c>
      <c r="L37" s="128" t="n">
        <v>2</v>
      </c>
      <c r="M37" s="128" t="inlineStr">
        <is>
          <t>24 VDC DO</t>
        </is>
      </c>
      <c r="N37" s="128" t="inlineStr">
        <is>
          <t>5069-OB16</t>
        </is>
      </c>
      <c r="O37" s="139" t="n"/>
      <c r="P37" s="127" t="n"/>
      <c r="Q37" s="127" t="n"/>
      <c r="R37" s="127" t="n"/>
      <c r="S37" s="127" t="n"/>
      <c r="T37" s="127" t="n"/>
      <c r="U37" s="127" t="n"/>
      <c r="V37" s="127" t="n"/>
      <c r="W37" s="127" t="n"/>
      <c r="X37" s="127" t="n"/>
      <c r="Y37" s="127" t="n"/>
      <c r="Z37" s="140" t="n"/>
    </row>
    <row r="38">
      <c r="A38" s="127">
        <f>ROW()-2</f>
        <v/>
      </c>
      <c r="B38" s="128" t="n"/>
      <c r="C38" s="128" t="n"/>
      <c r="D38" s="128" t="n"/>
      <c r="E38" s="128" t="n"/>
      <c r="F38" s="138" t="inlineStr">
        <is>
          <t>SPARE</t>
        </is>
      </c>
      <c r="G38" s="128" t="n"/>
      <c r="H38" s="128" t="n"/>
      <c r="I38" s="128" t="inlineStr">
        <is>
          <t>PROD-UTIL-PLC2</t>
        </is>
      </c>
      <c r="J38" s="128" t="n">
        <v>0</v>
      </c>
      <c r="K38" s="128" t="n">
        <v>3</v>
      </c>
      <c r="L38" s="128" t="n">
        <v>3</v>
      </c>
      <c r="M38" s="128" t="inlineStr">
        <is>
          <t>24 VDC DO</t>
        </is>
      </c>
      <c r="N38" s="128" t="inlineStr">
        <is>
          <t>5069-OB16</t>
        </is>
      </c>
      <c r="O38" s="139" t="n"/>
      <c r="P38" s="127" t="n"/>
      <c r="Q38" s="127" t="n"/>
      <c r="R38" s="127" t="n"/>
      <c r="S38" s="127" t="n"/>
      <c r="T38" s="127" t="n"/>
      <c r="U38" s="127" t="n"/>
      <c r="V38" s="127" t="n"/>
      <c r="W38" s="127" t="n"/>
      <c r="X38" s="127" t="n"/>
      <c r="Y38" s="127" t="n"/>
      <c r="Z38" s="140" t="n"/>
    </row>
    <row r="39">
      <c r="A39" s="127">
        <f>ROW()-2</f>
        <v/>
      </c>
      <c r="B39" s="128" t="n"/>
      <c r="C39" s="128" t="n"/>
      <c r="D39" s="128" t="n"/>
      <c r="E39" s="128" t="n"/>
      <c r="F39" s="138" t="inlineStr">
        <is>
          <t>SPARE</t>
        </is>
      </c>
      <c r="G39" s="128" t="n"/>
      <c r="H39" s="128" t="n"/>
      <c r="I39" s="128" t="inlineStr">
        <is>
          <t>PROD-UTIL-PLC2</t>
        </is>
      </c>
      <c r="J39" s="128" t="n">
        <v>0</v>
      </c>
      <c r="K39" s="128" t="n">
        <v>3</v>
      </c>
      <c r="L39" s="128" t="n">
        <v>4</v>
      </c>
      <c r="M39" s="128" t="inlineStr">
        <is>
          <t>24 VDC DO</t>
        </is>
      </c>
      <c r="N39" s="128" t="inlineStr">
        <is>
          <t>5069-OB16</t>
        </is>
      </c>
      <c r="O39" s="139" t="n"/>
      <c r="P39" s="127" t="n"/>
      <c r="Q39" s="127" t="n"/>
      <c r="R39" s="127" t="n"/>
      <c r="S39" s="127" t="n"/>
      <c r="T39" s="127" t="n"/>
      <c r="U39" s="127" t="n"/>
      <c r="V39" s="127" t="n"/>
      <c r="W39" s="127" t="n"/>
      <c r="X39" s="127" t="n"/>
      <c r="Y39" s="127" t="n"/>
      <c r="Z39" s="140" t="n"/>
    </row>
    <row r="40">
      <c r="A40" s="127">
        <f>ROW()-2</f>
        <v/>
      </c>
      <c r="B40" s="128" t="n"/>
      <c r="C40" s="128" t="n"/>
      <c r="D40" s="128" t="n"/>
      <c r="E40" s="128" t="n"/>
      <c r="F40" s="138" t="inlineStr">
        <is>
          <t>SPARE</t>
        </is>
      </c>
      <c r="G40" s="128" t="n"/>
      <c r="H40" s="128" t="n"/>
      <c r="I40" s="128" t="inlineStr">
        <is>
          <t>PROD-UTIL-PLC2</t>
        </is>
      </c>
      <c r="J40" s="128" t="n">
        <v>0</v>
      </c>
      <c r="K40" s="128" t="n">
        <v>3</v>
      </c>
      <c r="L40" s="128" t="n">
        <v>5</v>
      </c>
      <c r="M40" s="128" t="inlineStr">
        <is>
          <t>24 VDC DO</t>
        </is>
      </c>
      <c r="N40" s="128" t="inlineStr">
        <is>
          <t>5069-OB16</t>
        </is>
      </c>
      <c r="O40" s="139" t="n"/>
      <c r="P40" s="127" t="n"/>
      <c r="Q40" s="127" t="n"/>
      <c r="R40" s="127" t="n"/>
      <c r="S40" s="127" t="n"/>
      <c r="T40" s="127" t="n"/>
      <c r="U40" s="127" t="n"/>
      <c r="V40" s="127" t="n"/>
      <c r="W40" s="127" t="n"/>
      <c r="X40" s="127" t="n"/>
      <c r="Y40" s="127" t="n"/>
      <c r="Z40" s="140" t="n"/>
    </row>
    <row r="41">
      <c r="A41" s="127">
        <f>ROW()-2</f>
        <v/>
      </c>
      <c r="B41" s="128" t="n"/>
      <c r="C41" s="128" t="n"/>
      <c r="D41" s="128" t="n"/>
      <c r="E41" s="128" t="n"/>
      <c r="F41" s="138" t="inlineStr">
        <is>
          <t>SPARE</t>
        </is>
      </c>
      <c r="G41" s="128" t="n"/>
      <c r="H41" s="128" t="n"/>
      <c r="I41" s="128" t="inlineStr">
        <is>
          <t>PROD-UTIL-PLC2</t>
        </is>
      </c>
      <c r="J41" s="128" t="n">
        <v>0</v>
      </c>
      <c r="K41" s="128" t="n">
        <v>3</v>
      </c>
      <c r="L41" s="128" t="n">
        <v>6</v>
      </c>
      <c r="M41" s="128" t="inlineStr">
        <is>
          <t>24 VDC DO</t>
        </is>
      </c>
      <c r="N41" s="128" t="inlineStr">
        <is>
          <t>5069-OB16</t>
        </is>
      </c>
      <c r="O41" s="139" t="n"/>
      <c r="P41" s="127" t="n"/>
      <c r="Q41" s="127" t="n"/>
      <c r="R41" s="127" t="n"/>
      <c r="S41" s="127" t="n"/>
      <c r="T41" s="127" t="n"/>
      <c r="U41" s="127" t="n"/>
      <c r="V41" s="127" t="n"/>
      <c r="W41" s="127" t="n"/>
      <c r="X41" s="127" t="n"/>
      <c r="Y41" s="127" t="n"/>
      <c r="Z41" s="140" t="n"/>
    </row>
    <row r="42">
      <c r="A42" s="127">
        <f>ROW()-2</f>
        <v/>
      </c>
      <c r="B42" s="128" t="n"/>
      <c r="C42" s="128" t="n"/>
      <c r="D42" s="128" t="n"/>
      <c r="E42" s="128" t="n"/>
      <c r="F42" s="138" t="inlineStr">
        <is>
          <t>SPARE</t>
        </is>
      </c>
      <c r="G42" s="128" t="n"/>
      <c r="H42" s="128" t="n"/>
      <c r="I42" s="128" t="inlineStr">
        <is>
          <t>PROD-UTIL-PLC2</t>
        </is>
      </c>
      <c r="J42" s="128" t="n">
        <v>0</v>
      </c>
      <c r="K42" s="128" t="n">
        <v>3</v>
      </c>
      <c r="L42" s="128" t="n">
        <v>7</v>
      </c>
      <c r="M42" s="128" t="inlineStr">
        <is>
          <t>24 VDC DO</t>
        </is>
      </c>
      <c r="N42" s="128" t="inlineStr">
        <is>
          <t>5069-OB16</t>
        </is>
      </c>
      <c r="O42" s="139" t="n"/>
      <c r="P42" s="127" t="n"/>
      <c r="Q42" s="127" t="n"/>
      <c r="R42" s="127" t="n"/>
      <c r="S42" s="127" t="n"/>
      <c r="T42" s="127" t="n"/>
      <c r="U42" s="127" t="n"/>
      <c r="V42" s="127" t="n"/>
      <c r="W42" s="127" t="n"/>
      <c r="X42" s="127" t="n"/>
      <c r="Y42" s="127" t="n"/>
      <c r="Z42" s="140" t="n"/>
    </row>
    <row r="43">
      <c r="A43" s="127">
        <f>ROW()-2</f>
        <v/>
      </c>
      <c r="B43" s="128" t="n"/>
      <c r="C43" s="128" t="n"/>
      <c r="D43" s="128" t="n"/>
      <c r="E43" s="128" t="n"/>
      <c r="F43" s="138" t="inlineStr">
        <is>
          <t>SPARE</t>
        </is>
      </c>
      <c r="G43" s="128" t="n"/>
      <c r="H43" s="128" t="n"/>
      <c r="I43" s="128" t="inlineStr">
        <is>
          <t>PROD-UTIL-PLC2</t>
        </is>
      </c>
      <c r="J43" s="128" t="n">
        <v>0</v>
      </c>
      <c r="K43" s="128" t="n">
        <v>3</v>
      </c>
      <c r="L43" s="128" t="n">
        <v>8</v>
      </c>
      <c r="M43" s="128" t="inlineStr">
        <is>
          <t>24 VDC DO</t>
        </is>
      </c>
      <c r="N43" s="128" t="inlineStr">
        <is>
          <t>5069-OB16</t>
        </is>
      </c>
      <c r="O43" s="139" t="n"/>
      <c r="P43" s="127" t="n"/>
      <c r="Q43" s="127" t="n"/>
      <c r="R43" s="127" t="n"/>
      <c r="S43" s="127" t="n"/>
      <c r="T43" s="127" t="n"/>
      <c r="U43" s="127" t="n"/>
      <c r="V43" s="127" t="n"/>
      <c r="W43" s="127" t="n"/>
      <c r="X43" s="127" t="n"/>
      <c r="Y43" s="127" t="n"/>
      <c r="Z43" s="140" t="n"/>
    </row>
    <row r="44">
      <c r="A44" s="127">
        <f>ROW()-2</f>
        <v/>
      </c>
      <c r="B44" s="128" t="n"/>
      <c r="C44" s="128" t="n"/>
      <c r="D44" s="128" t="n"/>
      <c r="E44" s="128" t="n"/>
      <c r="F44" s="138" t="inlineStr">
        <is>
          <t>SPARE</t>
        </is>
      </c>
      <c r="G44" s="128" t="n"/>
      <c r="H44" s="128" t="n"/>
      <c r="I44" s="128" t="inlineStr">
        <is>
          <t>PROD-UTIL-PLC2</t>
        </is>
      </c>
      <c r="J44" s="128" t="n">
        <v>0</v>
      </c>
      <c r="K44" s="128" t="n">
        <v>3</v>
      </c>
      <c r="L44" s="128" t="n">
        <v>9</v>
      </c>
      <c r="M44" s="128" t="inlineStr">
        <is>
          <t>24 VDC DO</t>
        </is>
      </c>
      <c r="N44" s="128" t="inlineStr">
        <is>
          <t>5069-OB16</t>
        </is>
      </c>
      <c r="O44" s="139" t="n"/>
      <c r="P44" s="127" t="n"/>
      <c r="Q44" s="127" t="n"/>
      <c r="R44" s="127" t="n"/>
      <c r="S44" s="127" t="n"/>
      <c r="T44" s="127" t="n"/>
      <c r="U44" s="127" t="n"/>
      <c r="V44" s="127" t="n"/>
      <c r="W44" s="127" t="n"/>
      <c r="X44" s="127" t="n"/>
      <c r="Y44" s="127" t="n"/>
      <c r="Z44" s="140" t="n"/>
    </row>
    <row r="45">
      <c r="A45" s="127">
        <f>ROW()-2</f>
        <v/>
      </c>
      <c r="B45" s="128" t="n"/>
      <c r="C45" s="128" t="n"/>
      <c r="D45" s="128" t="n"/>
      <c r="E45" s="128" t="n"/>
      <c r="F45" s="138" t="inlineStr">
        <is>
          <t>SPARE</t>
        </is>
      </c>
      <c r="G45" s="128" t="n"/>
      <c r="H45" s="128" t="n"/>
      <c r="I45" s="128" t="inlineStr">
        <is>
          <t>PROD-UTIL-PLC2</t>
        </is>
      </c>
      <c r="J45" s="128" t="n">
        <v>0</v>
      </c>
      <c r="K45" s="128" t="n">
        <v>3</v>
      </c>
      <c r="L45" s="128" t="n">
        <v>10</v>
      </c>
      <c r="M45" s="128" t="inlineStr">
        <is>
          <t>24 VDC DO</t>
        </is>
      </c>
      <c r="N45" s="128" t="inlineStr">
        <is>
          <t>5069-OB16</t>
        </is>
      </c>
      <c r="O45" s="139" t="n"/>
      <c r="P45" s="127" t="n"/>
      <c r="Q45" s="127" t="n"/>
      <c r="R45" s="127" t="n"/>
      <c r="S45" s="127" t="n"/>
      <c r="T45" s="127" t="n"/>
      <c r="U45" s="127" t="n"/>
      <c r="V45" s="127" t="n"/>
      <c r="W45" s="127" t="n"/>
      <c r="X45" s="127" t="n"/>
      <c r="Y45" s="127" t="n"/>
      <c r="Z45" s="140" t="n"/>
    </row>
    <row r="46">
      <c r="A46" s="127">
        <f>ROW()-2</f>
        <v/>
      </c>
      <c r="B46" s="128" t="n"/>
      <c r="C46" s="128" t="n"/>
      <c r="D46" s="128" t="n"/>
      <c r="E46" s="128" t="n"/>
      <c r="F46" s="138" t="inlineStr">
        <is>
          <t>SPARE</t>
        </is>
      </c>
      <c r="G46" s="128" t="n"/>
      <c r="H46" s="128" t="n"/>
      <c r="I46" s="128" t="inlineStr">
        <is>
          <t>PROD-UTIL-PLC2</t>
        </is>
      </c>
      <c r="J46" s="128" t="n">
        <v>0</v>
      </c>
      <c r="K46" s="128" t="n">
        <v>3</v>
      </c>
      <c r="L46" s="128" t="n">
        <v>11</v>
      </c>
      <c r="M46" s="128" t="inlineStr">
        <is>
          <t>24 VDC DO</t>
        </is>
      </c>
      <c r="N46" s="128" t="inlineStr">
        <is>
          <t>5069-OB16</t>
        </is>
      </c>
      <c r="O46" s="139" t="n"/>
      <c r="P46" s="127" t="n"/>
      <c r="Q46" s="127" t="n"/>
      <c r="R46" s="127" t="n"/>
      <c r="S46" s="127" t="n"/>
      <c r="T46" s="127" t="n"/>
      <c r="U46" s="127" t="n"/>
      <c r="V46" s="127" t="n"/>
      <c r="W46" s="127" t="n"/>
      <c r="X46" s="127" t="n"/>
      <c r="Y46" s="127" t="n"/>
      <c r="Z46" s="140" t="n"/>
    </row>
    <row r="47">
      <c r="A47" s="127">
        <f>ROW()-2</f>
        <v/>
      </c>
      <c r="B47" s="128" t="n"/>
      <c r="C47" s="128" t="n"/>
      <c r="D47" s="128" t="n"/>
      <c r="E47" s="128" t="n"/>
      <c r="F47" s="138" t="inlineStr">
        <is>
          <t>SPARE</t>
        </is>
      </c>
      <c r="G47" s="128" t="n"/>
      <c r="H47" s="128" t="n"/>
      <c r="I47" s="128" t="inlineStr">
        <is>
          <t>PROD-UTIL-PLC2</t>
        </is>
      </c>
      <c r="J47" s="128" t="n">
        <v>0</v>
      </c>
      <c r="K47" s="128" t="n">
        <v>3</v>
      </c>
      <c r="L47" s="128" t="n">
        <v>12</v>
      </c>
      <c r="M47" s="128" t="inlineStr">
        <is>
          <t>24 VDC DO</t>
        </is>
      </c>
      <c r="N47" s="128" t="inlineStr">
        <is>
          <t>5069-OB16</t>
        </is>
      </c>
      <c r="O47" s="139" t="n"/>
      <c r="P47" s="127" t="n"/>
      <c r="Q47" s="127" t="n"/>
      <c r="R47" s="127" t="n"/>
      <c r="S47" s="127" t="n"/>
      <c r="T47" s="127" t="n"/>
      <c r="U47" s="127" t="n"/>
      <c r="V47" s="127" t="n"/>
      <c r="W47" s="127" t="n"/>
      <c r="X47" s="127" t="n"/>
      <c r="Y47" s="127" t="n"/>
      <c r="Z47" s="140" t="n"/>
    </row>
    <row r="48">
      <c r="A48" s="127">
        <f>ROW()-2</f>
        <v/>
      </c>
      <c r="B48" s="128" t="n"/>
      <c r="C48" s="128" t="n"/>
      <c r="D48" s="128" t="n"/>
      <c r="E48" s="128" t="n"/>
      <c r="F48" s="138" t="inlineStr">
        <is>
          <t>SPARE</t>
        </is>
      </c>
      <c r="G48" s="128" t="n"/>
      <c r="H48" s="128" t="n"/>
      <c r="I48" s="128" t="inlineStr">
        <is>
          <t>PROD-UTIL-PLC2</t>
        </is>
      </c>
      <c r="J48" s="128" t="n">
        <v>0</v>
      </c>
      <c r="K48" s="128" t="n">
        <v>3</v>
      </c>
      <c r="L48" s="128" t="n">
        <v>13</v>
      </c>
      <c r="M48" s="128" t="inlineStr">
        <is>
          <t>24 VDC DO</t>
        </is>
      </c>
      <c r="N48" s="128" t="inlineStr">
        <is>
          <t>5069-OB16</t>
        </is>
      </c>
      <c r="O48" s="139" t="n"/>
      <c r="P48" s="127" t="n"/>
      <c r="Q48" s="127" t="n"/>
      <c r="R48" s="127" t="n"/>
      <c r="S48" s="127" t="n"/>
      <c r="T48" s="127" t="n"/>
      <c r="U48" s="127" t="n"/>
      <c r="V48" s="127" t="n"/>
      <c r="W48" s="127" t="n"/>
      <c r="X48" s="127" t="n"/>
      <c r="Y48" s="127" t="n"/>
      <c r="Z48" s="140" t="n"/>
    </row>
    <row r="49">
      <c r="A49" s="127">
        <f>ROW()-2</f>
        <v/>
      </c>
      <c r="B49" s="128" t="n"/>
      <c r="C49" s="128" t="n"/>
      <c r="D49" s="128" t="n"/>
      <c r="E49" s="128" t="n"/>
      <c r="F49" s="138" t="inlineStr">
        <is>
          <t>SPARE</t>
        </is>
      </c>
      <c r="G49" s="128" t="n"/>
      <c r="H49" s="128" t="n"/>
      <c r="I49" s="128" t="inlineStr">
        <is>
          <t>PROD-UTIL-PLC2</t>
        </is>
      </c>
      <c r="J49" s="128" t="n">
        <v>0</v>
      </c>
      <c r="K49" s="128" t="n">
        <v>3</v>
      </c>
      <c r="L49" s="128" t="n">
        <v>14</v>
      </c>
      <c r="M49" s="128" t="inlineStr">
        <is>
          <t>24 VDC DO</t>
        </is>
      </c>
      <c r="N49" s="128" t="inlineStr">
        <is>
          <t>5069-OB16</t>
        </is>
      </c>
      <c r="O49" s="139" t="n"/>
      <c r="P49" s="127" t="n"/>
      <c r="Q49" s="127" t="n"/>
      <c r="R49" s="127" t="n"/>
      <c r="S49" s="127" t="n"/>
      <c r="T49" s="127" t="n"/>
      <c r="U49" s="127" t="n"/>
      <c r="V49" s="127" t="n"/>
      <c r="W49" s="127" t="n"/>
      <c r="X49" s="127" t="n"/>
      <c r="Y49" s="127" t="n"/>
      <c r="Z49" s="140" t="n"/>
    </row>
    <row r="50">
      <c r="A50" s="127">
        <f>ROW()-2</f>
        <v/>
      </c>
      <c r="B50" s="128" t="n"/>
      <c r="C50" s="128" t="n"/>
      <c r="D50" s="128" t="n"/>
      <c r="E50" s="128" t="n"/>
      <c r="F50" s="138" t="inlineStr">
        <is>
          <t>SPARE</t>
        </is>
      </c>
      <c r="G50" s="128" t="n"/>
      <c r="H50" s="128" t="n"/>
      <c r="I50" s="128" t="inlineStr">
        <is>
          <t>PROD-UTIL-PLC2</t>
        </is>
      </c>
      <c r="J50" s="128" t="n">
        <v>0</v>
      </c>
      <c r="K50" s="128" t="n">
        <v>3</v>
      </c>
      <c r="L50" s="128" t="n">
        <v>15</v>
      </c>
      <c r="M50" s="128" t="inlineStr">
        <is>
          <t>24 VDC DO</t>
        </is>
      </c>
      <c r="N50" s="128" t="inlineStr">
        <is>
          <t>5069-OB16</t>
        </is>
      </c>
      <c r="O50" s="139" t="n"/>
      <c r="P50" s="127" t="n"/>
      <c r="Q50" s="127" t="n"/>
      <c r="R50" s="127" t="n"/>
      <c r="S50" s="127" t="n"/>
      <c r="T50" s="127" t="n"/>
      <c r="U50" s="127" t="n"/>
      <c r="V50" s="127" t="n"/>
      <c r="W50" s="127" t="n"/>
      <c r="X50" s="127" t="n"/>
      <c r="Y50" s="127" t="n"/>
      <c r="Z50" s="140" t="n"/>
    </row>
    <row r="51">
      <c r="A51" s="127">
        <f>ROW()-2</f>
        <v/>
      </c>
      <c r="B51" s="128" t="n"/>
      <c r="C51" s="128" t="n"/>
      <c r="D51" s="128" t="n"/>
      <c r="E51" s="128" t="n"/>
      <c r="F51" s="138" t="inlineStr">
        <is>
          <t>SPARE</t>
        </is>
      </c>
      <c r="G51" s="128" t="n"/>
      <c r="H51" s="128" t="n"/>
      <c r="I51" s="128" t="inlineStr">
        <is>
          <t>PROD-UTIL-PLC2</t>
        </is>
      </c>
      <c r="J51" s="128" t="n">
        <v>0</v>
      </c>
      <c r="K51" s="128" t="n">
        <v>4</v>
      </c>
      <c r="L51" s="128" t="n">
        <v>0</v>
      </c>
      <c r="M51" s="128" t="inlineStr">
        <is>
          <t>24 VDC DO</t>
        </is>
      </c>
      <c r="N51" s="128" t="inlineStr">
        <is>
          <t>5069-OB16</t>
        </is>
      </c>
      <c r="O51" s="139" t="n"/>
      <c r="P51" s="127" t="n"/>
      <c r="Q51" s="127" t="n"/>
      <c r="R51" s="127" t="n"/>
      <c r="S51" s="127" t="n"/>
      <c r="T51" s="127" t="n"/>
      <c r="U51" s="127" t="n"/>
      <c r="V51" s="127" t="n"/>
      <c r="W51" s="127" t="n"/>
      <c r="X51" s="127" t="n"/>
      <c r="Y51" s="127" t="n"/>
      <c r="Z51" s="140" t="n"/>
    </row>
    <row r="52">
      <c r="A52" s="127">
        <f>ROW()-2</f>
        <v/>
      </c>
      <c r="B52" s="128" t="n"/>
      <c r="C52" s="128" t="n"/>
      <c r="D52" s="128" t="n"/>
      <c r="E52" s="128" t="n"/>
      <c r="F52" s="138" t="inlineStr">
        <is>
          <t>SPARE</t>
        </is>
      </c>
      <c r="G52" s="128" t="n"/>
      <c r="H52" s="128" t="n"/>
      <c r="I52" s="128" t="inlineStr">
        <is>
          <t>PROD-UTIL-PLC2</t>
        </is>
      </c>
      <c r="J52" s="128" t="n">
        <v>0</v>
      </c>
      <c r="K52" s="128" t="n">
        <v>4</v>
      </c>
      <c r="L52" s="128" t="n">
        <v>1</v>
      </c>
      <c r="M52" s="128" t="inlineStr">
        <is>
          <t>24 VDC DO</t>
        </is>
      </c>
      <c r="N52" s="128" t="inlineStr">
        <is>
          <t>5069-OB16</t>
        </is>
      </c>
      <c r="O52" s="139" t="n"/>
      <c r="P52" s="127" t="n"/>
      <c r="Q52" s="127" t="n"/>
      <c r="R52" s="127" t="n"/>
      <c r="S52" s="127" t="n"/>
      <c r="T52" s="127" t="n"/>
      <c r="U52" s="127" t="n"/>
      <c r="V52" s="127" t="n"/>
      <c r="W52" s="127" t="n"/>
      <c r="X52" s="127" t="n"/>
      <c r="Y52" s="127" t="n"/>
      <c r="Z52" s="140" t="n"/>
    </row>
    <row r="53">
      <c r="A53" s="127">
        <f>ROW()-2</f>
        <v/>
      </c>
      <c r="B53" s="128" t="n"/>
      <c r="C53" s="128" t="n"/>
      <c r="D53" s="128" t="n"/>
      <c r="E53" s="128" t="n"/>
      <c r="F53" s="138" t="inlineStr">
        <is>
          <t>SPARE</t>
        </is>
      </c>
      <c r="G53" s="128" t="n"/>
      <c r="H53" s="128" t="n"/>
      <c r="I53" s="128" t="inlineStr">
        <is>
          <t>PROD-UTIL-PLC2</t>
        </is>
      </c>
      <c r="J53" s="128" t="n">
        <v>0</v>
      </c>
      <c r="K53" s="128" t="n">
        <v>4</v>
      </c>
      <c r="L53" s="128" t="n">
        <v>2</v>
      </c>
      <c r="M53" s="128" t="inlineStr">
        <is>
          <t>24 VDC DO</t>
        </is>
      </c>
      <c r="N53" s="128" t="inlineStr">
        <is>
          <t>5069-OB16</t>
        </is>
      </c>
      <c r="O53" s="139" t="n"/>
      <c r="P53" s="127" t="n"/>
      <c r="Q53" s="127" t="n"/>
      <c r="R53" s="127" t="n"/>
      <c r="S53" s="127" t="n"/>
      <c r="T53" s="127" t="n"/>
      <c r="U53" s="127" t="n"/>
      <c r="V53" s="127" t="n"/>
      <c r="W53" s="127" t="n"/>
      <c r="X53" s="127" t="n"/>
      <c r="Y53" s="127" t="n"/>
      <c r="Z53" s="140" t="n"/>
    </row>
    <row r="54">
      <c r="A54" s="127">
        <f>ROW()-2</f>
        <v/>
      </c>
      <c r="B54" s="128" t="n"/>
      <c r="C54" s="128" t="n"/>
      <c r="D54" s="128" t="n"/>
      <c r="E54" s="128" t="n"/>
      <c r="F54" s="138" t="inlineStr">
        <is>
          <t>SPARE</t>
        </is>
      </c>
      <c r="G54" s="128" t="n"/>
      <c r="H54" s="128" t="n"/>
      <c r="I54" s="128" t="inlineStr">
        <is>
          <t>PROD-UTIL-PLC2</t>
        </is>
      </c>
      <c r="J54" s="128" t="n">
        <v>0</v>
      </c>
      <c r="K54" s="128" t="n">
        <v>4</v>
      </c>
      <c r="L54" s="128" t="n">
        <v>3</v>
      </c>
      <c r="M54" s="128" t="inlineStr">
        <is>
          <t>24 VDC DO</t>
        </is>
      </c>
      <c r="N54" s="128" t="inlineStr">
        <is>
          <t>5069-OB16</t>
        </is>
      </c>
      <c r="O54" s="139" t="n"/>
      <c r="P54" s="127" t="n"/>
      <c r="Q54" s="127" t="n"/>
      <c r="R54" s="127" t="n"/>
      <c r="S54" s="127" t="n"/>
      <c r="T54" s="127" t="n"/>
      <c r="U54" s="127" t="n"/>
      <c r="V54" s="127" t="n"/>
      <c r="W54" s="127" t="n"/>
      <c r="X54" s="127" t="n"/>
      <c r="Y54" s="127" t="n"/>
      <c r="Z54" s="140" t="n"/>
    </row>
    <row r="55">
      <c r="A55" s="127">
        <f>ROW()-2</f>
        <v/>
      </c>
      <c r="B55" s="128" t="n"/>
      <c r="C55" s="128" t="n"/>
      <c r="D55" s="128" t="n"/>
      <c r="E55" s="128" t="n"/>
      <c r="F55" s="138" t="inlineStr">
        <is>
          <t>SPARE</t>
        </is>
      </c>
      <c r="G55" s="128" t="n"/>
      <c r="H55" s="128" t="n"/>
      <c r="I55" s="128" t="inlineStr">
        <is>
          <t>PROD-UTIL-PLC2</t>
        </is>
      </c>
      <c r="J55" s="128" t="n">
        <v>0</v>
      </c>
      <c r="K55" s="128" t="n">
        <v>4</v>
      </c>
      <c r="L55" s="128" t="n">
        <v>4</v>
      </c>
      <c r="M55" s="128" t="inlineStr">
        <is>
          <t>24 VDC DO</t>
        </is>
      </c>
      <c r="N55" s="128" t="inlineStr">
        <is>
          <t>5069-OB16</t>
        </is>
      </c>
      <c r="O55" s="139" t="n"/>
      <c r="P55" s="127" t="n"/>
      <c r="Q55" s="127" t="n"/>
      <c r="R55" s="127" t="n"/>
      <c r="S55" s="127" t="n"/>
      <c r="T55" s="127" t="n"/>
      <c r="U55" s="127" t="n"/>
      <c r="V55" s="127" t="n"/>
      <c r="W55" s="127" t="n"/>
      <c r="X55" s="127" t="n"/>
      <c r="Y55" s="127" t="n"/>
      <c r="Z55" s="140" t="n"/>
    </row>
    <row r="56">
      <c r="A56" s="127">
        <f>ROW()-2</f>
        <v/>
      </c>
      <c r="B56" s="128" t="n"/>
      <c r="C56" s="128" t="n"/>
      <c r="D56" s="128" t="n"/>
      <c r="E56" s="128" t="n"/>
      <c r="F56" s="138" t="inlineStr">
        <is>
          <t>SPARE</t>
        </is>
      </c>
      <c r="G56" s="128" t="n"/>
      <c r="H56" s="128" t="n"/>
      <c r="I56" s="128" t="inlineStr">
        <is>
          <t>PROD-UTIL-PLC2</t>
        </is>
      </c>
      <c r="J56" s="128" t="n">
        <v>0</v>
      </c>
      <c r="K56" s="128" t="n">
        <v>4</v>
      </c>
      <c r="L56" s="128" t="n">
        <v>5</v>
      </c>
      <c r="M56" s="128" t="inlineStr">
        <is>
          <t>24 VDC DO</t>
        </is>
      </c>
      <c r="N56" s="128" t="inlineStr">
        <is>
          <t>5069-OB16</t>
        </is>
      </c>
      <c r="O56" s="139" t="n"/>
      <c r="P56" s="127" t="n"/>
      <c r="Q56" s="127" t="n"/>
      <c r="R56" s="127" t="n"/>
      <c r="S56" s="127" t="n"/>
      <c r="T56" s="127" t="n"/>
      <c r="U56" s="127" t="n"/>
      <c r="V56" s="127" t="n"/>
      <c r="W56" s="127" t="n"/>
      <c r="X56" s="127" t="n"/>
      <c r="Y56" s="127" t="n"/>
      <c r="Z56" s="140" t="n"/>
    </row>
    <row r="57">
      <c r="A57" s="127">
        <f>ROW()-2</f>
        <v/>
      </c>
      <c r="B57" s="128" t="n"/>
      <c r="C57" s="128" t="n"/>
      <c r="D57" s="128" t="n"/>
      <c r="E57" s="128" t="n"/>
      <c r="F57" s="138" t="inlineStr">
        <is>
          <t>SPARE</t>
        </is>
      </c>
      <c r="G57" s="128" t="n"/>
      <c r="H57" s="128" t="n"/>
      <c r="I57" s="128" t="inlineStr">
        <is>
          <t>PROD-UTIL-PLC2</t>
        </is>
      </c>
      <c r="J57" s="128" t="n">
        <v>0</v>
      </c>
      <c r="K57" s="128" t="n">
        <v>4</v>
      </c>
      <c r="L57" s="128" t="n">
        <v>6</v>
      </c>
      <c r="M57" s="128" t="inlineStr">
        <is>
          <t>24 VDC DO</t>
        </is>
      </c>
      <c r="N57" s="128" t="inlineStr">
        <is>
          <t>5069-OB16</t>
        </is>
      </c>
      <c r="O57" s="139" t="n"/>
      <c r="P57" s="127" t="n"/>
      <c r="Q57" s="127" t="n"/>
      <c r="R57" s="127" t="n"/>
      <c r="S57" s="127" t="n"/>
      <c r="T57" s="127" t="n"/>
      <c r="U57" s="127" t="n"/>
      <c r="V57" s="127" t="n"/>
      <c r="W57" s="127" t="n"/>
      <c r="X57" s="127" t="n"/>
      <c r="Y57" s="127" t="n"/>
      <c r="Z57" s="140" t="n"/>
    </row>
    <row r="58">
      <c r="A58" s="127">
        <f>ROW()-2</f>
        <v/>
      </c>
      <c r="B58" s="128" t="n"/>
      <c r="C58" s="128" t="n"/>
      <c r="D58" s="128" t="n"/>
      <c r="E58" s="128" t="n"/>
      <c r="F58" s="138" t="inlineStr">
        <is>
          <t>SPARE</t>
        </is>
      </c>
      <c r="G58" s="128" t="n"/>
      <c r="H58" s="128" t="n"/>
      <c r="I58" s="128" t="inlineStr">
        <is>
          <t>PROD-UTIL-PLC2</t>
        </is>
      </c>
      <c r="J58" s="128" t="n">
        <v>0</v>
      </c>
      <c r="K58" s="128" t="n">
        <v>4</v>
      </c>
      <c r="L58" s="128" t="n">
        <v>7</v>
      </c>
      <c r="M58" s="128" t="inlineStr">
        <is>
          <t>24 VDC DO</t>
        </is>
      </c>
      <c r="N58" s="128" t="inlineStr">
        <is>
          <t>5069-OB16</t>
        </is>
      </c>
      <c r="O58" s="139" t="n"/>
      <c r="P58" s="127" t="n"/>
      <c r="Q58" s="127" t="n"/>
      <c r="R58" s="127" t="n"/>
      <c r="S58" s="127" t="n"/>
      <c r="T58" s="127" t="n"/>
      <c r="U58" s="127" t="n"/>
      <c r="V58" s="127" t="n"/>
      <c r="W58" s="127" t="n"/>
      <c r="X58" s="127" t="n"/>
      <c r="Y58" s="127" t="n"/>
      <c r="Z58" s="140" t="n"/>
    </row>
    <row r="59">
      <c r="A59" s="127">
        <f>ROW()-2</f>
        <v/>
      </c>
      <c r="B59" s="128" t="n"/>
      <c r="C59" s="128" t="n"/>
      <c r="D59" s="128" t="n"/>
      <c r="E59" s="128" t="n"/>
      <c r="F59" s="138" t="inlineStr">
        <is>
          <t>SPARE</t>
        </is>
      </c>
      <c r="G59" s="128" t="n"/>
      <c r="H59" s="128" t="n"/>
      <c r="I59" s="128" t="inlineStr">
        <is>
          <t>PROD-UTIL-PLC2</t>
        </is>
      </c>
      <c r="J59" s="128" t="n">
        <v>0</v>
      </c>
      <c r="K59" s="128" t="n">
        <v>4</v>
      </c>
      <c r="L59" s="128" t="n">
        <v>8</v>
      </c>
      <c r="M59" s="128" t="inlineStr">
        <is>
          <t>24 VDC DO</t>
        </is>
      </c>
      <c r="N59" s="128" t="inlineStr">
        <is>
          <t>5069-OB16</t>
        </is>
      </c>
      <c r="O59" s="139" t="n"/>
      <c r="P59" s="127" t="n"/>
      <c r="Q59" s="127" t="n"/>
      <c r="R59" s="127" t="n"/>
      <c r="S59" s="127" t="n"/>
      <c r="T59" s="127" t="n"/>
      <c r="U59" s="127" t="n"/>
      <c r="V59" s="127" t="n"/>
      <c r="W59" s="127" t="n"/>
      <c r="X59" s="127" t="n"/>
      <c r="Y59" s="127" t="n"/>
      <c r="Z59" s="140" t="n"/>
    </row>
    <row r="60">
      <c r="A60" s="127">
        <f>ROW()-2</f>
        <v/>
      </c>
      <c r="B60" s="128" t="n"/>
      <c r="C60" s="128" t="n"/>
      <c r="D60" s="128" t="n"/>
      <c r="E60" s="128" t="n"/>
      <c r="F60" s="138" t="inlineStr">
        <is>
          <t>SPARE</t>
        </is>
      </c>
      <c r="G60" s="128" t="n"/>
      <c r="H60" s="128" t="n"/>
      <c r="I60" s="128" t="inlineStr">
        <is>
          <t>PROD-UTIL-PLC2</t>
        </is>
      </c>
      <c r="J60" s="128" t="n">
        <v>0</v>
      </c>
      <c r="K60" s="128" t="n">
        <v>4</v>
      </c>
      <c r="L60" s="128" t="n">
        <v>9</v>
      </c>
      <c r="M60" s="128" t="inlineStr">
        <is>
          <t>24 VDC DO</t>
        </is>
      </c>
      <c r="N60" s="128" t="inlineStr">
        <is>
          <t>5069-OB16</t>
        </is>
      </c>
      <c r="O60" s="139" t="n"/>
      <c r="P60" s="127" t="n"/>
      <c r="Q60" s="127" t="n"/>
      <c r="R60" s="127" t="n"/>
      <c r="S60" s="127" t="n"/>
      <c r="T60" s="127" t="n"/>
      <c r="U60" s="127" t="n"/>
      <c r="V60" s="127" t="n"/>
      <c r="W60" s="127" t="n"/>
      <c r="X60" s="127" t="n"/>
      <c r="Y60" s="127" t="n"/>
      <c r="Z60" s="140" t="n"/>
    </row>
    <row r="61">
      <c r="A61" s="127">
        <f>ROW()-2</f>
        <v/>
      </c>
      <c r="B61" s="128" t="n"/>
      <c r="C61" s="128" t="n"/>
      <c r="D61" s="128" t="n"/>
      <c r="E61" s="128" t="n"/>
      <c r="F61" s="138" t="inlineStr">
        <is>
          <t>SPARE</t>
        </is>
      </c>
      <c r="G61" s="128" t="n"/>
      <c r="H61" s="128" t="n"/>
      <c r="I61" s="128" t="inlineStr">
        <is>
          <t>PROD-UTIL-PLC2</t>
        </is>
      </c>
      <c r="J61" s="128" t="n">
        <v>0</v>
      </c>
      <c r="K61" s="128" t="n">
        <v>4</v>
      </c>
      <c r="L61" s="128" t="n">
        <v>10</v>
      </c>
      <c r="M61" s="128" t="inlineStr">
        <is>
          <t>24 VDC DO</t>
        </is>
      </c>
      <c r="N61" s="128" t="inlineStr">
        <is>
          <t>5069-OB16</t>
        </is>
      </c>
      <c r="O61" s="139" t="n"/>
      <c r="P61" s="127" t="n"/>
      <c r="Q61" s="127" t="n"/>
      <c r="R61" s="127" t="n"/>
      <c r="S61" s="127" t="n"/>
      <c r="T61" s="127" t="n"/>
      <c r="U61" s="127" t="n"/>
      <c r="V61" s="127" t="n"/>
      <c r="W61" s="127" t="n"/>
      <c r="X61" s="127" t="n"/>
      <c r="Y61" s="127" t="n"/>
      <c r="Z61" s="140" t="n"/>
    </row>
    <row r="62">
      <c r="A62" s="127">
        <f>ROW()-2</f>
        <v/>
      </c>
      <c r="B62" s="128" t="n"/>
      <c r="C62" s="128" t="n"/>
      <c r="D62" s="128" t="n"/>
      <c r="E62" s="128" t="n"/>
      <c r="F62" s="138" t="inlineStr">
        <is>
          <t>SPARE</t>
        </is>
      </c>
      <c r="G62" s="128" t="n"/>
      <c r="H62" s="128" t="n"/>
      <c r="I62" s="128" t="inlineStr">
        <is>
          <t>PROD-UTIL-PLC2</t>
        </is>
      </c>
      <c r="J62" s="128" t="n">
        <v>0</v>
      </c>
      <c r="K62" s="128" t="n">
        <v>4</v>
      </c>
      <c r="L62" s="128" t="n">
        <v>11</v>
      </c>
      <c r="M62" s="128" t="inlineStr">
        <is>
          <t>24 VDC DO</t>
        </is>
      </c>
      <c r="N62" s="128" t="inlineStr">
        <is>
          <t>5069-OB16</t>
        </is>
      </c>
      <c r="O62" s="139" t="n"/>
      <c r="P62" s="127" t="n"/>
      <c r="Q62" s="127" t="n"/>
      <c r="R62" s="127" t="n"/>
      <c r="S62" s="127" t="n"/>
      <c r="T62" s="127" t="n"/>
      <c r="U62" s="127" t="n"/>
      <c r="V62" s="127" t="n"/>
      <c r="W62" s="127" t="n"/>
      <c r="X62" s="127" t="n"/>
      <c r="Y62" s="127" t="n"/>
      <c r="Z62" s="140" t="n"/>
    </row>
    <row r="63">
      <c r="A63" s="127">
        <f>ROW()-2</f>
        <v/>
      </c>
      <c r="B63" s="128" t="n"/>
      <c r="C63" s="128" t="n"/>
      <c r="D63" s="128" t="n"/>
      <c r="E63" s="128" t="n"/>
      <c r="F63" s="138" t="inlineStr">
        <is>
          <t>SPARE</t>
        </is>
      </c>
      <c r="G63" s="128" t="n"/>
      <c r="H63" s="128" t="n"/>
      <c r="I63" s="128" t="inlineStr">
        <is>
          <t>PROD-UTIL-PLC2</t>
        </is>
      </c>
      <c r="J63" s="128" t="n">
        <v>0</v>
      </c>
      <c r="K63" s="128" t="n">
        <v>4</v>
      </c>
      <c r="L63" s="128" t="n">
        <v>12</v>
      </c>
      <c r="M63" s="128" t="inlineStr">
        <is>
          <t>24 VDC DO</t>
        </is>
      </c>
      <c r="N63" s="128" t="inlineStr">
        <is>
          <t>5069-OB16</t>
        </is>
      </c>
      <c r="O63" s="139" t="n"/>
      <c r="P63" s="127" t="n"/>
      <c r="Q63" s="127" t="n"/>
      <c r="R63" s="127" t="n"/>
      <c r="S63" s="127" t="n"/>
      <c r="T63" s="127" t="n"/>
      <c r="U63" s="127" t="n"/>
      <c r="V63" s="127" t="n"/>
      <c r="W63" s="127" t="n"/>
      <c r="X63" s="127" t="n"/>
      <c r="Y63" s="127" t="n"/>
      <c r="Z63" s="140" t="n"/>
    </row>
    <row r="64">
      <c r="A64" s="127">
        <f>ROW()-2</f>
        <v/>
      </c>
      <c r="B64" s="128" t="n"/>
      <c r="C64" s="128" t="n"/>
      <c r="D64" s="128" t="n"/>
      <c r="E64" s="128" t="n"/>
      <c r="F64" s="138" t="inlineStr">
        <is>
          <t>SPARE</t>
        </is>
      </c>
      <c r="G64" s="128" t="n"/>
      <c r="H64" s="128" t="n"/>
      <c r="I64" s="128" t="inlineStr">
        <is>
          <t>PROD-UTIL-PLC2</t>
        </is>
      </c>
      <c r="J64" s="128" t="n">
        <v>0</v>
      </c>
      <c r="K64" s="128" t="n">
        <v>4</v>
      </c>
      <c r="L64" s="128" t="n">
        <v>13</v>
      </c>
      <c r="M64" s="128" t="inlineStr">
        <is>
          <t>24 VDC DO</t>
        </is>
      </c>
      <c r="N64" s="128" t="inlineStr">
        <is>
          <t>5069-OB16</t>
        </is>
      </c>
      <c r="O64" s="139" t="n"/>
      <c r="P64" s="127" t="n"/>
      <c r="Q64" s="127" t="n"/>
      <c r="R64" s="127" t="n"/>
      <c r="S64" s="127" t="n"/>
      <c r="T64" s="127" t="n"/>
      <c r="U64" s="127" t="n"/>
      <c r="V64" s="127" t="n"/>
      <c r="W64" s="127" t="n"/>
      <c r="X64" s="127" t="n"/>
      <c r="Y64" s="127" t="n"/>
      <c r="Z64" s="140" t="n"/>
    </row>
    <row r="65">
      <c r="A65" s="127">
        <f>ROW()-2</f>
        <v/>
      </c>
      <c r="B65" s="128" t="n"/>
      <c r="C65" s="128" t="n"/>
      <c r="D65" s="128" t="n"/>
      <c r="E65" s="128" t="n"/>
      <c r="F65" s="138" t="inlineStr">
        <is>
          <t>SPARE</t>
        </is>
      </c>
      <c r="G65" s="128" t="n"/>
      <c r="H65" s="128" t="n"/>
      <c r="I65" s="128" t="inlineStr">
        <is>
          <t>PROD-UTIL-PLC2</t>
        </is>
      </c>
      <c r="J65" s="128" t="n">
        <v>0</v>
      </c>
      <c r="K65" s="128" t="n">
        <v>4</v>
      </c>
      <c r="L65" s="128" t="n">
        <v>14</v>
      </c>
      <c r="M65" s="128" t="inlineStr">
        <is>
          <t>24 VDC DO</t>
        </is>
      </c>
      <c r="N65" s="128" t="inlineStr">
        <is>
          <t>5069-OB16</t>
        </is>
      </c>
      <c r="O65" s="139" t="n"/>
      <c r="P65" s="127" t="n"/>
      <c r="Q65" s="127" t="n"/>
      <c r="R65" s="127" t="n"/>
      <c r="S65" s="127" t="n"/>
      <c r="T65" s="127" t="n"/>
      <c r="U65" s="127" t="n"/>
      <c r="V65" s="127" t="n"/>
      <c r="W65" s="127" t="n"/>
      <c r="X65" s="127" t="n"/>
      <c r="Y65" s="127" t="n"/>
      <c r="Z65" s="140" t="n"/>
    </row>
    <row r="66">
      <c r="A66" s="127">
        <f>ROW()-2</f>
        <v/>
      </c>
      <c r="B66" s="128" t="n"/>
      <c r="C66" s="128" t="n"/>
      <c r="D66" s="128" t="n"/>
      <c r="E66" s="128" t="n"/>
      <c r="F66" s="138" t="inlineStr">
        <is>
          <t>SPARE</t>
        </is>
      </c>
      <c r="G66" s="128" t="n"/>
      <c r="H66" s="128" t="n"/>
      <c r="I66" s="128" t="inlineStr">
        <is>
          <t>PROD-UTIL-PLC2</t>
        </is>
      </c>
      <c r="J66" s="128" t="n">
        <v>0</v>
      </c>
      <c r="K66" s="128" t="n">
        <v>4</v>
      </c>
      <c r="L66" s="128" t="n">
        <v>15</v>
      </c>
      <c r="M66" s="128" t="inlineStr">
        <is>
          <t>24 VDC DO</t>
        </is>
      </c>
      <c r="N66" s="128" t="inlineStr">
        <is>
          <t>5069-OB16</t>
        </is>
      </c>
      <c r="O66" s="139" t="n"/>
      <c r="P66" s="127" t="n"/>
      <c r="Q66" s="127" t="n"/>
      <c r="R66" s="127" t="n"/>
      <c r="S66" s="127" t="n"/>
      <c r="T66" s="127" t="n"/>
      <c r="U66" s="127" t="n"/>
      <c r="V66" s="127" t="n"/>
      <c r="W66" s="127" t="n"/>
      <c r="X66" s="127" t="n"/>
      <c r="Y66" s="127" t="n"/>
      <c r="Z66" s="140" t="n"/>
    </row>
    <row r="67">
      <c r="A67" s="127">
        <f>ROW()-2</f>
        <v/>
      </c>
      <c r="B67" s="128" t="inlineStr">
        <is>
          <t>RL-WSH-101-PIT-01</t>
        </is>
      </c>
      <c r="C67" s="128" t="n"/>
      <c r="D67" s="128" t="n"/>
      <c r="E67" s="128" t="n"/>
      <c r="F67" s="138" t="inlineStr">
        <is>
          <t>PHASE 2 TOTE WASHER HPS PRESSURE</t>
        </is>
      </c>
      <c r="G67" s="132" t="inlineStr">
        <is>
          <t>DG6927</t>
        </is>
      </c>
      <c r="H67" s="128" t="inlineStr">
        <is>
          <t>INTSL</t>
        </is>
      </c>
      <c r="I67" s="128" t="inlineStr">
        <is>
          <t>PROD-UTIL-PLC2</t>
        </is>
      </c>
      <c r="J67" s="128" t="n">
        <v>0</v>
      </c>
      <c r="K67" s="128" t="n">
        <v>5</v>
      </c>
      <c r="L67" s="128" t="n">
        <v>0</v>
      </c>
      <c r="M67" s="128" t="inlineStr">
        <is>
          <t>4-20 mA AI</t>
        </is>
      </c>
      <c r="N67" s="128" t="inlineStr">
        <is>
          <t>5069-IF8</t>
        </is>
      </c>
      <c r="O67" s="139" t="n"/>
      <c r="P67" s="127" t="n"/>
      <c r="Q67" s="127" t="n"/>
      <c r="R67" s="127" t="n"/>
      <c r="S67" s="127" t="n"/>
      <c r="T67" s="127" t="n"/>
      <c r="U67" s="127" t="n"/>
      <c r="V67" s="127" t="n"/>
      <c r="W67" s="127" t="n"/>
      <c r="X67" s="127" t="n"/>
      <c r="Y67" s="127" t="n"/>
      <c r="Z67" s="140" t="n"/>
    </row>
    <row r="68">
      <c r="A68" s="127">
        <f>ROW()-2</f>
        <v/>
      </c>
      <c r="B68" s="128" t="inlineStr">
        <is>
          <t>RL-CKR-100-PIT-101</t>
        </is>
      </c>
      <c r="C68" s="128" t="n"/>
      <c r="D68" s="128" t="n"/>
      <c r="E68" s="128" t="n"/>
      <c r="F68" s="138" t="inlineStr">
        <is>
          <t>PHASE 2 COOKERS HPS HEADER PRESSURE</t>
        </is>
      </c>
      <c r="G68" s="132" t="inlineStr">
        <is>
          <t>DG6927</t>
        </is>
      </c>
      <c r="H68" s="128" t="inlineStr">
        <is>
          <t>INTSL</t>
        </is>
      </c>
      <c r="I68" s="128" t="inlineStr">
        <is>
          <t>PROD-UTIL-PLC2</t>
        </is>
      </c>
      <c r="J68" s="128" t="n">
        <v>0</v>
      </c>
      <c r="K68" s="128" t="n">
        <v>5</v>
      </c>
      <c r="L68" s="128" t="n">
        <v>1</v>
      </c>
      <c r="M68" s="128" t="inlineStr">
        <is>
          <t>4-20 mA AI</t>
        </is>
      </c>
      <c r="N68" s="128" t="inlineStr">
        <is>
          <t>5069-IF8</t>
        </is>
      </c>
      <c r="O68" s="139" t="n"/>
      <c r="P68" s="127" t="n"/>
      <c r="Q68" s="127" t="n"/>
      <c r="R68" s="127" t="n"/>
      <c r="S68" s="127" t="n"/>
      <c r="T68" s="127" t="n"/>
      <c r="U68" s="127" t="n"/>
      <c r="V68" s="127" t="n"/>
      <c r="W68" s="127" t="n"/>
      <c r="X68" s="127" t="n"/>
      <c r="Y68" s="127" t="n"/>
      <c r="Z68" s="140" t="n"/>
    </row>
    <row r="69">
      <c r="A69" s="127">
        <f>ROW()-2</f>
        <v/>
      </c>
      <c r="B69" s="128" t="inlineStr">
        <is>
          <t>CVI-1</t>
        </is>
      </c>
      <c r="C69" s="128" t="n"/>
      <c r="D69" s="128" t="n"/>
      <c r="E69" s="128" t="n"/>
      <c r="F69" s="138" t="inlineStr">
        <is>
          <t>PHASE 1 / 2 COMPRESSED AIR JUMPER VALVE POSITION FEEDBACK</t>
        </is>
      </c>
      <c r="G69" s="128" t="n"/>
      <c r="H69" s="128" t="inlineStr">
        <is>
          <t>INTSL</t>
        </is>
      </c>
      <c r="I69" s="128" t="inlineStr">
        <is>
          <t>PROD-UTIL-PLC2</t>
        </is>
      </c>
      <c r="J69" s="128" t="n">
        <v>0</v>
      </c>
      <c r="K69" s="128" t="n">
        <v>5</v>
      </c>
      <c r="L69" s="128" t="n">
        <v>2</v>
      </c>
      <c r="M69" s="128" t="inlineStr">
        <is>
          <t>4-20 mA AI</t>
        </is>
      </c>
      <c r="N69" s="128" t="inlineStr">
        <is>
          <t>5069-IF8</t>
        </is>
      </c>
      <c r="O69" s="139" t="n"/>
      <c r="P69" s="127" t="n"/>
      <c r="Q69" s="127" t="n"/>
      <c r="R69" s="127" t="n"/>
      <c r="S69" s="127" t="n"/>
      <c r="T69" s="127" t="n"/>
      <c r="U69" s="127" t="n"/>
      <c r="V69" s="127" t="n"/>
      <c r="W69" s="127" t="n"/>
      <c r="X69" s="127" t="n"/>
      <c r="Y69" s="127" t="n"/>
      <c r="Z69" s="140" t="n"/>
    </row>
    <row r="70">
      <c r="A70" s="127">
        <f>ROW()-2</f>
        <v/>
      </c>
      <c r="B70" s="128" t="inlineStr">
        <is>
          <t>CVI-2</t>
        </is>
      </c>
      <c r="C70" s="128" t="n"/>
      <c r="D70" s="128" t="n"/>
      <c r="E70" s="128" t="n"/>
      <c r="F70" s="138" t="inlineStr">
        <is>
          <t>PHASE 1 / 2 HIGH PRESSURE HOT WATER SUPPLY JUMPER VALVE POSITION FEEDBACK</t>
        </is>
      </c>
      <c r="G70" s="128" t="n"/>
      <c r="H70" s="128" t="inlineStr">
        <is>
          <t>INTSL</t>
        </is>
      </c>
      <c r="I70" s="128" t="inlineStr">
        <is>
          <t>PROD-UTIL-PLC2</t>
        </is>
      </c>
      <c r="J70" s="128" t="n">
        <v>0</v>
      </c>
      <c r="K70" s="128" t="n">
        <v>5</v>
      </c>
      <c r="L70" s="128" t="n">
        <v>3</v>
      </c>
      <c r="M70" s="128" t="inlineStr">
        <is>
          <t>4-20 mA AI</t>
        </is>
      </c>
      <c r="N70" s="128" t="inlineStr">
        <is>
          <t>5069-IF8</t>
        </is>
      </c>
      <c r="O70" s="139" t="n"/>
      <c r="P70" s="127" t="n"/>
      <c r="Q70" s="127" t="n"/>
      <c r="R70" s="127" t="n"/>
      <c r="S70" s="127" t="n"/>
      <c r="T70" s="127" t="n"/>
      <c r="U70" s="127" t="n"/>
      <c r="V70" s="127" t="n"/>
      <c r="W70" s="127" t="n"/>
      <c r="X70" s="127" t="n"/>
      <c r="Y70" s="127" t="n"/>
      <c r="Z70" s="140" t="n"/>
    </row>
    <row r="71">
      <c r="A71" s="127">
        <f>ROW()-2</f>
        <v/>
      </c>
      <c r="B71" s="128" t="inlineStr">
        <is>
          <t>CVI-3</t>
        </is>
      </c>
      <c r="C71" s="128" t="n"/>
      <c r="D71" s="128" t="n"/>
      <c r="E71" s="128" t="n"/>
      <c r="F71" s="138" t="inlineStr">
        <is>
          <t>PHASE 1 / 2 PROCESS HOT WATER SUPPLY JUMPER VALVE POSITION FEEDBACK</t>
        </is>
      </c>
      <c r="G71" s="128" t="n"/>
      <c r="H71" s="128" t="inlineStr">
        <is>
          <t>INTSL</t>
        </is>
      </c>
      <c r="I71" s="128" t="inlineStr">
        <is>
          <t>PROD-UTIL-PLC2</t>
        </is>
      </c>
      <c r="J71" s="128" t="n">
        <v>0</v>
      </c>
      <c r="K71" s="128" t="n">
        <v>5</v>
      </c>
      <c r="L71" s="128" t="n">
        <v>4</v>
      </c>
      <c r="M71" s="128" t="inlineStr">
        <is>
          <t>4-20 mA AI</t>
        </is>
      </c>
      <c r="N71" s="128" t="inlineStr">
        <is>
          <t>5069-IF8</t>
        </is>
      </c>
      <c r="O71" s="139" t="n"/>
      <c r="P71" s="127" t="n"/>
      <c r="Q71" s="127" t="n"/>
      <c r="R71" s="127" t="n"/>
      <c r="S71" s="127" t="n"/>
      <c r="T71" s="127" t="n"/>
      <c r="U71" s="127" t="n"/>
      <c r="V71" s="127" t="n"/>
      <c r="W71" s="127" t="n"/>
      <c r="X71" s="127" t="n"/>
      <c r="Y71" s="127" t="n"/>
      <c r="Z71" s="140" t="n"/>
    </row>
    <row r="72">
      <c r="A72" s="127">
        <f>ROW()-2</f>
        <v/>
      </c>
      <c r="B72" s="128" t="inlineStr">
        <is>
          <t>CVI-5</t>
        </is>
      </c>
      <c r="C72" s="128" t="n"/>
      <c r="D72" s="128" t="n"/>
      <c r="E72" s="128" t="n"/>
      <c r="F72" s="138" t="inlineStr">
        <is>
          <t>PHASE 1 / 2 PROCESS HOT WATER RETURN JUMPER VALVE POSITION FEEDBACK</t>
        </is>
      </c>
      <c r="G72" s="128" t="n"/>
      <c r="H72" s="128" t="inlineStr">
        <is>
          <t>INTSL</t>
        </is>
      </c>
      <c r="I72" s="128" t="inlineStr">
        <is>
          <t>PROD-UTIL-PLC2</t>
        </is>
      </c>
      <c r="J72" s="128" t="n">
        <v>0</v>
      </c>
      <c r="K72" s="128" t="n">
        <v>5</v>
      </c>
      <c r="L72" s="128" t="n">
        <v>5</v>
      </c>
      <c r="M72" s="128" t="inlineStr">
        <is>
          <t>4-20 mA AI</t>
        </is>
      </c>
      <c r="N72" s="128" t="inlineStr">
        <is>
          <t>5069-IF8</t>
        </is>
      </c>
      <c r="O72" s="139" t="n"/>
      <c r="P72" s="127" t="n"/>
      <c r="Q72" s="127" t="n"/>
      <c r="R72" s="127" t="n"/>
      <c r="S72" s="127" t="n"/>
      <c r="T72" s="127" t="n"/>
      <c r="U72" s="127" t="n"/>
      <c r="V72" s="127" t="n"/>
      <c r="W72" s="127" t="n"/>
      <c r="X72" s="127" t="n"/>
      <c r="Y72" s="127" t="n"/>
      <c r="Z72" s="140" t="n"/>
    </row>
    <row r="73">
      <c r="A73" s="127">
        <f>ROW()-2</f>
        <v/>
      </c>
      <c r="B73" s="128" t="inlineStr">
        <is>
          <t>CVI-7</t>
        </is>
      </c>
      <c r="C73" s="128" t="n"/>
      <c r="D73" s="128" t="n"/>
      <c r="E73" s="128" t="n"/>
      <c r="F73" s="138" t="inlineStr">
        <is>
          <t>PHASE 1 / 2 HIGH PRESSURE HOT WATER RETURN JUMPER VALVE POSITION FEEDBACK</t>
        </is>
      </c>
      <c r="G73" s="128" t="n"/>
      <c r="H73" s="128" t="inlineStr">
        <is>
          <t>INTSL</t>
        </is>
      </c>
      <c r="I73" s="128" t="inlineStr">
        <is>
          <t>PROD-UTIL-PLC2</t>
        </is>
      </c>
      <c r="J73" s="128" t="n">
        <v>0</v>
      </c>
      <c r="K73" s="128" t="n">
        <v>5</v>
      </c>
      <c r="L73" s="128" t="n">
        <v>6</v>
      </c>
      <c r="M73" s="128" t="inlineStr">
        <is>
          <t>4-20 mA AI</t>
        </is>
      </c>
      <c r="N73" s="128" t="inlineStr">
        <is>
          <t>5069-IF8</t>
        </is>
      </c>
      <c r="O73" s="139" t="n"/>
      <c r="P73" s="127" t="n"/>
      <c r="Q73" s="127" t="n"/>
      <c r="R73" s="127" t="n"/>
      <c r="S73" s="127" t="n"/>
      <c r="T73" s="127" t="n"/>
      <c r="U73" s="127" t="n"/>
      <c r="V73" s="127" t="n"/>
      <c r="W73" s="127" t="n"/>
      <c r="X73" s="127" t="n"/>
      <c r="Y73" s="127" t="n"/>
      <c r="Z73" s="140" t="n"/>
    </row>
    <row r="74">
      <c r="A74" s="127">
        <f>ROW()-2</f>
        <v/>
      </c>
      <c r="B74" s="128" t="inlineStr">
        <is>
          <t>RL-TNK-201-LIT-01</t>
        </is>
      </c>
      <c r="C74" s="128" t="n"/>
      <c r="D74" s="128" t="n"/>
      <c r="E74" s="128" t="n"/>
      <c r="F74" s="138" t="inlineStr">
        <is>
          <t>FOAM TANK LEVEL INDICATION</t>
        </is>
      </c>
      <c r="G74" s="128" t="inlineStr">
        <is>
          <t>DG6826</t>
        </is>
      </c>
      <c r="H74" s="128" t="inlineStr">
        <is>
          <t>INTSL</t>
        </is>
      </c>
      <c r="I74" s="128" t="inlineStr">
        <is>
          <t>PROD-UTIL-PLC2</t>
        </is>
      </c>
      <c r="J74" s="128" t="n">
        <v>0</v>
      </c>
      <c r="K74" s="128" t="n">
        <v>5</v>
      </c>
      <c r="L74" s="128" t="n">
        <v>7</v>
      </c>
      <c r="M74" s="128" t="inlineStr">
        <is>
          <t>4-20 mA AI</t>
        </is>
      </c>
      <c r="N74" s="128" t="inlineStr">
        <is>
          <t>5069-IF8</t>
        </is>
      </c>
      <c r="O74" s="139" t="n"/>
      <c r="P74" s="127" t="n"/>
      <c r="Q74" s="127" t="n"/>
      <c r="R74" s="127" t="n"/>
      <c r="S74" s="127" t="n"/>
      <c r="T74" s="127" t="n"/>
      <c r="U74" s="127" t="n"/>
      <c r="V74" s="127" t="n"/>
      <c r="W74" s="127" t="n"/>
      <c r="X74" s="127" t="n"/>
      <c r="Y74" s="127" t="n"/>
      <c r="Z74" s="140" t="n"/>
    </row>
    <row r="75">
      <c r="A75" s="127">
        <f>ROW()-2</f>
        <v/>
      </c>
      <c r="B75" s="128" t="inlineStr">
        <is>
          <t>CV-1</t>
        </is>
      </c>
      <c r="C75" s="128" t="n"/>
      <c r="D75" s="128" t="n"/>
      <c r="E75" s="128" t="n"/>
      <c r="F75" s="138" t="inlineStr">
        <is>
          <t>PHASE 1 / 2 COMPRESSED AIR JUMPER VALVE COMMAND</t>
        </is>
      </c>
      <c r="G75" s="128" t="n"/>
      <c r="H75" s="128" t="inlineStr">
        <is>
          <t>INTSL</t>
        </is>
      </c>
      <c r="I75" s="128" t="inlineStr">
        <is>
          <t>PROD-UTIL-PLC2</t>
        </is>
      </c>
      <c r="J75" s="128" t="n">
        <v>0</v>
      </c>
      <c r="K75" s="128" t="n">
        <v>6</v>
      </c>
      <c r="L75" s="128" t="n">
        <v>0</v>
      </c>
      <c r="M75" s="128" t="inlineStr">
        <is>
          <t>4-20 mA AO</t>
        </is>
      </c>
      <c r="N75" s="128" t="inlineStr">
        <is>
          <t>5069-OF8</t>
        </is>
      </c>
      <c r="O75" s="139" t="n"/>
      <c r="P75" s="127" t="n"/>
      <c r="Q75" s="127" t="n"/>
      <c r="R75" s="127" t="n"/>
      <c r="S75" s="127" t="n"/>
      <c r="T75" s="127" t="n"/>
      <c r="U75" s="127" t="n"/>
      <c r="V75" s="127" t="n"/>
      <c r="W75" s="127" t="n"/>
      <c r="X75" s="127" t="n"/>
      <c r="Y75" s="127" t="n"/>
      <c r="Z75" s="140" t="n"/>
    </row>
    <row r="76">
      <c r="A76" s="127">
        <f>ROW()-2</f>
        <v/>
      </c>
      <c r="B76" s="128" t="inlineStr">
        <is>
          <t>CV-2</t>
        </is>
      </c>
      <c r="C76" s="128" t="n"/>
      <c r="D76" s="128" t="n"/>
      <c r="E76" s="128" t="n"/>
      <c r="F76" s="138" t="inlineStr">
        <is>
          <t>PHASE 1 / 2 HIGH PRESSURE HOT WATER SUPPLY JUMPER VALVE COMMAND</t>
        </is>
      </c>
      <c r="G76" s="132" t="n"/>
      <c r="H76" s="128" t="inlineStr">
        <is>
          <t>INTSL</t>
        </is>
      </c>
      <c r="I76" s="128" t="inlineStr">
        <is>
          <t>PROD-UTIL-PLC2</t>
        </is>
      </c>
      <c r="J76" s="128" t="n">
        <v>0</v>
      </c>
      <c r="K76" s="128" t="n">
        <v>6</v>
      </c>
      <c r="L76" s="128" t="n">
        <v>1</v>
      </c>
      <c r="M76" s="128" t="inlineStr">
        <is>
          <t>4-20 mA AO</t>
        </is>
      </c>
      <c r="N76" s="128" t="inlineStr">
        <is>
          <t>5069-OF8</t>
        </is>
      </c>
      <c r="O76" s="139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40" t="n"/>
    </row>
    <row r="77">
      <c r="A77" s="127">
        <f>ROW()-2</f>
        <v/>
      </c>
      <c r="B77" s="128" t="inlineStr">
        <is>
          <t>CV-3</t>
        </is>
      </c>
      <c r="C77" s="128" t="n"/>
      <c r="D77" s="128" t="n"/>
      <c r="E77" s="128" t="n"/>
      <c r="F77" s="138" t="inlineStr">
        <is>
          <t>PHASE 1 / 2 PROCESS HOT WATER SUPPLY JUMPER VALVE COMMAND</t>
        </is>
      </c>
      <c r="G77" s="132" t="n"/>
      <c r="H77" s="128" t="inlineStr">
        <is>
          <t>INTSL</t>
        </is>
      </c>
      <c r="I77" s="128" t="inlineStr">
        <is>
          <t>PROD-UTIL-PLC2</t>
        </is>
      </c>
      <c r="J77" s="128" t="n">
        <v>0</v>
      </c>
      <c r="K77" s="128" t="n">
        <v>6</v>
      </c>
      <c r="L77" s="128" t="n">
        <v>2</v>
      </c>
      <c r="M77" s="128" t="inlineStr">
        <is>
          <t>4-20 mA AO</t>
        </is>
      </c>
      <c r="N77" s="128" t="inlineStr">
        <is>
          <t>5069-OF8</t>
        </is>
      </c>
      <c r="O77" s="139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40" t="n"/>
    </row>
    <row r="78">
      <c r="A78" s="127">
        <f>ROW()-2</f>
        <v/>
      </c>
      <c r="B78" s="128" t="inlineStr">
        <is>
          <t>CV-5</t>
        </is>
      </c>
      <c r="C78" s="128" t="n"/>
      <c r="D78" s="128" t="n"/>
      <c r="E78" s="128" t="n"/>
      <c r="F78" s="138" t="inlineStr">
        <is>
          <t>PHASE 1 / 2 PROCESS HOT WATER RETURN JUMPER VALVE COMMAND</t>
        </is>
      </c>
      <c r="G78" s="132" t="n"/>
      <c r="H78" s="128" t="inlineStr">
        <is>
          <t>INTSL</t>
        </is>
      </c>
      <c r="I78" s="128" t="inlineStr">
        <is>
          <t>PROD-UTIL-PLC2</t>
        </is>
      </c>
      <c r="J78" s="128" t="n">
        <v>0</v>
      </c>
      <c r="K78" s="128" t="n">
        <v>6</v>
      </c>
      <c r="L78" s="128" t="n">
        <v>3</v>
      </c>
      <c r="M78" s="128" t="inlineStr">
        <is>
          <t>4-20 mA AO</t>
        </is>
      </c>
      <c r="N78" s="128" t="inlineStr">
        <is>
          <t>5069-OF8</t>
        </is>
      </c>
      <c r="O78" s="139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40" t="n"/>
    </row>
    <row r="79">
      <c r="A79" s="127">
        <f>ROW()-2</f>
        <v/>
      </c>
      <c r="B79" s="128" t="inlineStr">
        <is>
          <t>CV-7</t>
        </is>
      </c>
      <c r="C79" s="128" t="n"/>
      <c r="D79" s="128" t="n"/>
      <c r="E79" s="128" t="n"/>
      <c r="F79" s="138" t="inlineStr">
        <is>
          <t>PHASE 1 / 2 HIGH PRESSURE HOT WATER RETURN JUMPER VALVE COMMAND</t>
        </is>
      </c>
      <c r="G79" s="132" t="n"/>
      <c r="H79" s="128" t="inlineStr">
        <is>
          <t>INTSL</t>
        </is>
      </c>
      <c r="I79" s="128" t="inlineStr">
        <is>
          <t>PROD-UTIL-PLC2</t>
        </is>
      </c>
      <c r="J79" s="128" t="n">
        <v>0</v>
      </c>
      <c r="K79" s="128" t="n">
        <v>6</v>
      </c>
      <c r="L79" s="128" t="n">
        <v>4</v>
      </c>
      <c r="M79" s="128" t="inlineStr">
        <is>
          <t>4-20 mA AO</t>
        </is>
      </c>
      <c r="N79" s="128" t="inlineStr">
        <is>
          <t>5069-OF8</t>
        </is>
      </c>
      <c r="O79" s="139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40" t="n"/>
    </row>
    <row r="80">
      <c r="A80" s="127">
        <f>ROW()-2</f>
        <v/>
      </c>
      <c r="B80" s="128" t="n"/>
      <c r="C80" s="128" t="n"/>
      <c r="D80" s="128" t="n"/>
      <c r="E80" s="128" t="n"/>
      <c r="F80" s="138" t="inlineStr">
        <is>
          <t>SPARE</t>
        </is>
      </c>
      <c r="G80" s="132" t="n"/>
      <c r="H80" s="128" t="n"/>
      <c r="I80" s="128" t="inlineStr">
        <is>
          <t>PROD-UTIL-PLC2</t>
        </is>
      </c>
      <c r="J80" s="128" t="n">
        <v>0</v>
      </c>
      <c r="K80" s="128" t="n">
        <v>6</v>
      </c>
      <c r="L80" s="128" t="n">
        <v>5</v>
      </c>
      <c r="M80" s="128" t="inlineStr">
        <is>
          <t>4-20 mA AO</t>
        </is>
      </c>
      <c r="N80" s="128" t="inlineStr">
        <is>
          <t>5069-OF8</t>
        </is>
      </c>
      <c r="O80" s="139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40" t="n"/>
    </row>
    <row r="81">
      <c r="A81" s="127">
        <f>ROW()-2</f>
        <v/>
      </c>
      <c r="B81" s="128" t="n"/>
      <c r="C81" s="128" t="n"/>
      <c r="D81" s="128" t="n"/>
      <c r="E81" s="128" t="n"/>
      <c r="F81" s="138" t="inlineStr">
        <is>
          <t>SPARE</t>
        </is>
      </c>
      <c r="G81" s="132" t="n"/>
      <c r="H81" s="128" t="n"/>
      <c r="I81" s="128" t="inlineStr">
        <is>
          <t>PROD-UTIL-PLC2</t>
        </is>
      </c>
      <c r="J81" s="128" t="n">
        <v>0</v>
      </c>
      <c r="K81" s="128" t="n">
        <v>6</v>
      </c>
      <c r="L81" s="128" t="n">
        <v>6</v>
      </c>
      <c r="M81" s="128" t="inlineStr">
        <is>
          <t>4-20 mA AO</t>
        </is>
      </c>
      <c r="N81" s="128" t="inlineStr">
        <is>
          <t>5069-OF8</t>
        </is>
      </c>
      <c r="O81" s="139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40" t="n"/>
    </row>
    <row r="82">
      <c r="A82" s="127">
        <f>ROW()-2</f>
        <v/>
      </c>
      <c r="B82" s="128" t="n"/>
      <c r="C82" s="128" t="n"/>
      <c r="D82" s="128" t="n"/>
      <c r="E82" s="128" t="n"/>
      <c r="F82" s="138" t="inlineStr">
        <is>
          <t>SPARE</t>
        </is>
      </c>
      <c r="G82" s="132" t="n"/>
      <c r="H82" s="128" t="n"/>
      <c r="I82" s="128" t="inlineStr">
        <is>
          <t>PROD-UTIL-PLC2</t>
        </is>
      </c>
      <c r="J82" s="128" t="n">
        <v>0</v>
      </c>
      <c r="K82" s="128" t="n">
        <v>6</v>
      </c>
      <c r="L82" s="128" t="n">
        <v>7</v>
      </c>
      <c r="M82" s="128" t="inlineStr">
        <is>
          <t>4-20 mA AO</t>
        </is>
      </c>
      <c r="N82" s="128" t="inlineStr">
        <is>
          <t>5069-OF8</t>
        </is>
      </c>
      <c r="O82" s="139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40" t="n"/>
    </row>
    <row r="83">
      <c r="O83" s="167" t="n"/>
      <c r="Z83" s="166" t="n"/>
    </row>
    <row r="84">
      <c r="O84" s="167" t="n"/>
      <c r="Z84" s="166" t="n"/>
    </row>
    <row r="85">
      <c r="O85" s="167" t="n"/>
      <c r="Z85" s="166" t="n"/>
    </row>
    <row r="86">
      <c r="O86" s="167" t="n"/>
      <c r="Z86" s="166" t="n"/>
    </row>
    <row r="87" hidden="1" ht="67.15000000000001" customHeight="1">
      <c r="L87" s="191" t="n"/>
      <c r="M87" s="192" t="n"/>
      <c r="N87" s="216" t="inlineStr">
        <is>
          <t>---------</t>
        </is>
      </c>
      <c r="O87" s="172" t="inlineStr">
        <is>
          <t>------------</t>
        </is>
      </c>
      <c r="P87" s="173" t="inlineStr">
        <is>
          <t>DEVICE
INSTALLED</t>
        </is>
      </c>
      <c r="Q87" s="173" t="inlineStr">
        <is>
          <t>DEVICE
TAGGED</t>
        </is>
      </c>
      <c r="R87" s="173" t="inlineStr">
        <is>
          <t>CA
INSTALLED</t>
        </is>
      </c>
      <c r="S87" s="173" t="inlineStr">
        <is>
          <t>RACEWAYS
COMPLETE</t>
        </is>
      </c>
      <c r="T87" s="173" t="inlineStr">
        <is>
          <t>WIRE
PULLED</t>
        </is>
      </c>
      <c r="U87" s="173" t="inlineStr">
        <is>
          <t>WIRE
TERMED</t>
        </is>
      </c>
      <c r="V87" s="173" t="inlineStr">
        <is>
          <t>WIRE
TAGGED</t>
        </is>
      </c>
      <c r="W87" s="173" t="inlineStr">
        <is>
          <t>POINT
TO POINT</t>
        </is>
      </c>
      <c r="X87" s="174" t="inlineStr">
        <is>
          <t>IO CHECK</t>
        </is>
      </c>
      <c r="Y87" s="174" t="inlineStr">
        <is>
          <t>IO GOOD</t>
        </is>
      </c>
    </row>
    <row r="88" hidden="1" ht="21" customHeight="1">
      <c r="L88" s="191" t="n"/>
      <c r="M88" s="192" t="n"/>
      <c r="N88" s="217" t="inlineStr">
        <is>
          <t>COMPLETED</t>
        </is>
      </c>
      <c r="O88" s="177" t="n"/>
      <c r="P88" s="129">
        <f>COUNTIFS($C$4:$C$82, "&lt;&gt;", P4:P82,"&lt;&gt;")</f>
        <v/>
      </c>
      <c r="Q88" s="129">
        <f>COUNTIFS($C$4:$C$82, "&lt;&gt;", Q4:Q82,"&lt;&gt;")</f>
        <v/>
      </c>
      <c r="R88" s="129">
        <f>COUNTIFS($C$4:$C$82, "&lt;&gt;", R4:R82,"Y")</f>
        <v/>
      </c>
      <c r="S88" s="129">
        <f>COUNTIFS($C$4:$C$82, "&lt;&gt;", S4:S82,"&lt;&gt;")</f>
        <v/>
      </c>
      <c r="T88" s="129">
        <f>COUNTIFS($C$4:$C$82, "&lt;&gt;", T4:T82,"&lt;&gt;")</f>
        <v/>
      </c>
      <c r="U88" s="129">
        <f>COUNTIFS($C$4:$C$82, "&lt;&gt;", U4:U82,"&lt;&gt;")</f>
        <v/>
      </c>
      <c r="V88" s="129">
        <f>COUNTIFS($C$4:$C$82, "&lt;&gt;", V4:V82,"&lt;&gt;")</f>
        <v/>
      </c>
      <c r="W88" s="129">
        <f>COUNTIFS($C$4:$C$82, "&lt;&gt;", W4:W82,"&lt;&gt;")</f>
        <v/>
      </c>
      <c r="X88" s="129">
        <f>COUNTIFS($C$4:$C$82, "&lt;&gt;", X4:X82,"&lt;&gt;")</f>
        <v/>
      </c>
      <c r="Y88" s="129">
        <f>COUNTIFS($C$4:$C$82, "&lt;&gt;", Y4:Y82,"Y")</f>
        <v/>
      </c>
      <c r="Z88" s="178" t="n"/>
    </row>
    <row r="89" hidden="1" ht="21" customHeight="1">
      <c r="L89" s="191" t="n"/>
      <c r="M89" s="192" t="n"/>
      <c r="N89" s="217" t="inlineStr">
        <is>
          <t>TOTAL</t>
        </is>
      </c>
      <c r="O89" s="177" t="n"/>
      <c r="P89" s="129">
        <f>COUNTIF($C4:$C82,"*?")</f>
        <v/>
      </c>
      <c r="Q89" s="129">
        <f>COUNTIF($C4:$C82,"*?")</f>
        <v/>
      </c>
      <c r="R89" s="129">
        <f>COUNTIF($C4:$C82,"*XV*")+COUNTIF($C4:$C82,"*XY-*")+COUNTIF($C4:$C82,"*YS*")+COUNTIF($C4:$C82,"*CV*")</f>
        <v/>
      </c>
      <c r="S89" s="129">
        <f>COUNTIF($C4:$C82,"*?")</f>
        <v/>
      </c>
      <c r="T89" s="129">
        <f>COUNTIF($C4:$C82,"*?")</f>
        <v/>
      </c>
      <c r="U89" s="129">
        <f>COUNTIF($C4:$C82,"*?")</f>
        <v/>
      </c>
      <c r="V89" s="129">
        <f>COUNTIF($C4:$C82,"*?")</f>
        <v/>
      </c>
      <c r="W89" s="129">
        <f>COUNTIF($C4:$C82,"*?")</f>
        <v/>
      </c>
      <c r="X89" s="129">
        <f>COUNTIF($C4:$C82,"*?")</f>
        <v/>
      </c>
      <c r="Y89" s="129">
        <f>COUNTIFS($C$4:$C$82, "&lt;&gt;", X4:X82,"&lt;&gt;")</f>
        <v/>
      </c>
      <c r="Z89" s="178" t="n"/>
    </row>
    <row r="90" hidden="1" ht="21" customHeight="1">
      <c r="L90" s="191" t="n"/>
      <c r="M90" s="192" t="n"/>
      <c r="N90" s="217" t="inlineStr">
        <is>
          <t>% COMPLETE</t>
        </is>
      </c>
      <c r="O90" s="177" t="n"/>
      <c r="P90" s="179">
        <f>P88/P89</f>
        <v/>
      </c>
      <c r="Q90" s="179">
        <f>Q88/Q89</f>
        <v/>
      </c>
      <c r="R90" s="179">
        <f>R88/R89</f>
        <v/>
      </c>
      <c r="S90" s="179">
        <f>S88/S89</f>
        <v/>
      </c>
      <c r="T90" s="179">
        <f>T88/T89</f>
        <v/>
      </c>
      <c r="U90" s="179">
        <f>U88/U89</f>
        <v/>
      </c>
      <c r="V90" s="179">
        <f>V88/V89</f>
        <v/>
      </c>
      <c r="W90" s="179">
        <f>W88/W89</f>
        <v/>
      </c>
      <c r="X90" s="179">
        <f>X88/X89</f>
        <v/>
      </c>
      <c r="Y90" s="179">
        <f>IFERROR(Y88/Y89,0)</f>
        <v/>
      </c>
      <c r="Z90" s="178" t="n"/>
    </row>
    <row r="91" hidden="1" ht="21" customHeight="1">
      <c r="A91" s="136" t="n"/>
      <c r="B91" s="165" t="n"/>
      <c r="C91" s="165" t="n"/>
      <c r="D91" s="165" t="n"/>
      <c r="E91" s="165" t="n"/>
      <c r="F91" s="166" t="n"/>
      <c r="G91" s="165" t="n"/>
      <c r="J91" s="136" t="n"/>
      <c r="K91" s="136" t="n"/>
      <c r="L91" s="180" t="n"/>
      <c r="M91" s="181" t="n"/>
      <c r="N91" s="217" t="inlineStr">
        <is>
          <t>% REMAINING</t>
        </is>
      </c>
      <c r="O91" s="177" t="n"/>
      <c r="P91" s="179">
        <f>1-P90</f>
        <v/>
      </c>
      <c r="Q91" s="179">
        <f>1-Q90</f>
        <v/>
      </c>
      <c r="R91" s="179">
        <f>1-R90</f>
        <v/>
      </c>
      <c r="S91" s="179">
        <f>1-S90</f>
        <v/>
      </c>
      <c r="T91" s="179">
        <f>1-T90</f>
        <v/>
      </c>
      <c r="U91" s="179">
        <f>1-U90</f>
        <v/>
      </c>
      <c r="V91" s="179">
        <f>1-V90</f>
        <v/>
      </c>
      <c r="W91" s="179">
        <f>1-W90</f>
        <v/>
      </c>
      <c r="X91" s="179">
        <f>1-X90</f>
        <v/>
      </c>
      <c r="Y91" s="179">
        <f>1-Y90</f>
        <v/>
      </c>
      <c r="Z91" s="178" t="n"/>
    </row>
    <row r="92" hidden="1">
      <c r="L92" s="290" t="n"/>
      <c r="M92" s="290" t="n"/>
      <c r="N92" s="290" t="n"/>
      <c r="O92" s="290" t="n"/>
      <c r="P92" s="182" t="n"/>
      <c r="Q92" s="182" t="n"/>
      <c r="R92" s="182" t="n"/>
      <c r="S92" s="182" t="n"/>
      <c r="T92" s="182" t="n"/>
      <c r="U92" s="182" t="n"/>
      <c r="V92" s="182" t="n"/>
      <c r="W92" s="182" t="n"/>
      <c r="X92" s="182" t="n"/>
      <c r="Y92" s="182" t="n"/>
      <c r="Z92" s="166" t="n"/>
    </row>
    <row r="93" hidden="1" ht="21" customHeight="1">
      <c r="L93" s="191" t="n"/>
      <c r="M93" s="185" t="n"/>
      <c r="N93" s="185" t="inlineStr">
        <is>
          <t>PROCESSING</t>
        </is>
      </c>
      <c r="O93" s="184" t="n"/>
      <c r="P93" s="170" t="n"/>
      <c r="Q93" s="170" t="n"/>
      <c r="R93" s="170" t="n"/>
      <c r="S93" s="185" t="n"/>
      <c r="T93" s="170" t="n"/>
      <c r="U93" s="170" t="n"/>
      <c r="V93" s="170" t="n"/>
      <c r="W93" s="170" t="n"/>
      <c r="X93" s="170" t="n"/>
      <c r="Y93" s="186" t="n"/>
      <c r="Z93" s="166" t="n"/>
    </row>
    <row r="94" hidden="1" ht="21" customHeight="1">
      <c r="L94" s="191" t="n"/>
      <c r="M94" s="192" t="n"/>
      <c r="N94" s="218" t="inlineStr">
        <is>
          <t>COMPLETED</t>
        </is>
      </c>
      <c r="O94" s="188" t="n"/>
      <c r="P94" s="189">
        <f>COUNTIFS($H$4:$H$82, "PROC", P4:P82,"&lt;&gt;")</f>
        <v/>
      </c>
      <c r="Q94" s="189">
        <f>COUNTIFS($H$4:$H$82, "PROC", Q4:Q82,"&lt;&gt;")</f>
        <v/>
      </c>
      <c r="R94" s="189">
        <f>COUNTIFS($H$4:$H$82, "PROC", R4:R82,"Y")</f>
        <v/>
      </c>
      <c r="S94" s="189">
        <f>COUNTIFS($H$4:$H$82, "PROC", S4:S82,"&lt;&gt;")</f>
        <v/>
      </c>
      <c r="T94" s="189">
        <f>COUNTIFS($H$4:$H$82, "PROC", T4:T82,"&lt;&gt;")</f>
        <v/>
      </c>
      <c r="U94" s="189">
        <f>COUNTIFS($H$4:$H$82, "PROC", U4:U82,"&lt;&gt;")</f>
        <v/>
      </c>
      <c r="V94" s="189">
        <f>COUNTIFS($H$4:$H$82, "PROC", V4:V82,"&lt;&gt;")</f>
        <v/>
      </c>
      <c r="W94" s="189">
        <f>COUNTIFS($H$4:$H$82, "PROC", W4:W82,"&lt;&gt;")</f>
        <v/>
      </c>
      <c r="X94" s="189">
        <f>COUNTIFS($H$4:$H$82, "PROC", X4:X82,"&lt;&gt;")</f>
        <v/>
      </c>
      <c r="Y94" s="189">
        <f>COUNTIFS($H$4:$H$82, "PROC", Y4:Y82,"Y")</f>
        <v/>
      </c>
      <c r="Z94" s="166" t="n"/>
    </row>
    <row r="95" hidden="1" ht="21" customHeight="1">
      <c r="L95" s="219" t="n"/>
      <c r="M95" s="192" t="n"/>
      <c r="N95" s="218" t="inlineStr">
        <is>
          <t>TOTAL</t>
        </is>
      </c>
      <c r="O95" s="188" t="n"/>
      <c r="P95" s="129">
        <f>COUNTIFS($H$4:$H$82, "PROC", $C$4:$C$82,"&lt;&gt;")</f>
        <v/>
      </c>
      <c r="Q95" s="129">
        <f>COUNTIFS($H$4:$H$82, "PROC", $C$4:$C$82,"&lt;&gt;")</f>
        <v/>
      </c>
      <c r="R95" s="129">
        <f>COUNTIFS($H$4:$H$82, "PROC", $C$4:$C$82,"*XV*")+COUNTIFS($H$4:$H$82, "PROC", $C$4:$C$82,"*XY-*")+COUNTIFS($H$4:$H$82, "PROC", $C$4:$C$82,"*CV*")+COUNTIFS($H$4:$H$82, "PROC", $C$4:$C$82,"*YS*")</f>
        <v/>
      </c>
      <c r="S95" s="129">
        <f>COUNTIFS($H$4:$H$82, "PROC", $C$4:$C$82,"&lt;&gt;")</f>
        <v/>
      </c>
      <c r="T95" s="129">
        <f>COUNTIFS($H$4:$H$82, "PROC", $C$4:$C$82,"&lt;&gt;")</f>
        <v/>
      </c>
      <c r="U95" s="129">
        <f>COUNTIFS($H$4:$H$82, "PROC", $C$4:$C$82,"&lt;&gt;")</f>
        <v/>
      </c>
      <c r="V95" s="129">
        <f>COUNTIFS($H$4:$H$82, "PROC", $C$4:$C$82,"&lt;&gt;")</f>
        <v/>
      </c>
      <c r="W95" s="129">
        <f>COUNTIFS($H$4:$H$82, "PROC", $C$4:$C$82,"&lt;&gt;")</f>
        <v/>
      </c>
      <c r="X95" s="129">
        <f>COUNTIFS($H$4:$H$82, "PROC", $C$4:$C$82,"&lt;&gt;")</f>
        <v/>
      </c>
      <c r="Y95" s="129">
        <f>COUNTIFS($H$4:$H$82, "PROC", X4:X82,"&lt;&gt;")</f>
        <v/>
      </c>
      <c r="Z95" s="166" t="n"/>
    </row>
    <row r="96" hidden="1" ht="21" customHeight="1">
      <c r="L96" s="191" t="n"/>
      <c r="M96" s="192" t="n"/>
      <c r="N96" s="218" t="inlineStr">
        <is>
          <t>% COMPLETE</t>
        </is>
      </c>
      <c r="O96" s="188" t="n"/>
      <c r="P96" s="179">
        <f>P94/P95</f>
        <v/>
      </c>
      <c r="Q96" s="179">
        <f>Q94/Q95</f>
        <v/>
      </c>
      <c r="R96" s="179">
        <f>R94/R95</f>
        <v/>
      </c>
      <c r="S96" s="179">
        <f>S94/S95</f>
        <v/>
      </c>
      <c r="T96" s="179">
        <f>T94/T95</f>
        <v/>
      </c>
      <c r="U96" s="179">
        <f>U94/U95</f>
        <v/>
      </c>
      <c r="V96" s="179">
        <f>V94/V95</f>
        <v/>
      </c>
      <c r="W96" s="179">
        <f>W94/W95</f>
        <v/>
      </c>
      <c r="X96" s="179">
        <f>X94/X95</f>
        <v/>
      </c>
      <c r="Y96" s="179">
        <f>IFERROR(Y94/Y95,0)</f>
        <v/>
      </c>
      <c r="Z96" s="166" t="n"/>
    </row>
    <row r="97" hidden="1" ht="21" customHeight="1">
      <c r="L97" s="191" t="n"/>
      <c r="M97" s="192" t="n"/>
      <c r="N97" s="218" t="inlineStr">
        <is>
          <t>% REMAINING</t>
        </is>
      </c>
      <c r="O97" s="188" t="n"/>
      <c r="P97" s="179">
        <f>1-P96</f>
        <v/>
      </c>
      <c r="Q97" s="179">
        <f>1-Q96</f>
        <v/>
      </c>
      <c r="R97" s="179">
        <f>1-R96</f>
        <v/>
      </c>
      <c r="S97" s="179">
        <f>1-S96</f>
        <v/>
      </c>
      <c r="T97" s="179">
        <f>1-T96</f>
        <v/>
      </c>
      <c r="U97" s="179">
        <f>1-U96</f>
        <v/>
      </c>
      <c r="V97" s="179">
        <f>1-V96</f>
        <v/>
      </c>
      <c r="W97" s="179">
        <f>1-W96</f>
        <v/>
      </c>
      <c r="X97" s="179">
        <f>1-X96</f>
        <v/>
      </c>
      <c r="Y97" s="179">
        <f>1-Y96</f>
        <v/>
      </c>
      <c r="Z97" s="166" t="n"/>
    </row>
    <row r="98" hidden="1">
      <c r="L98" s="290" t="n"/>
      <c r="M98" s="290" t="n"/>
      <c r="N98" s="194" t="n"/>
      <c r="O98" s="194" t="n"/>
      <c r="P98" s="182" t="n"/>
      <c r="Q98" s="182" t="n"/>
      <c r="R98" s="182" t="n"/>
      <c r="S98" s="182" t="n"/>
      <c r="T98" s="182" t="n"/>
      <c r="U98" s="182" t="n"/>
      <c r="V98" s="182" t="n"/>
      <c r="W98" s="182" t="n"/>
      <c r="X98" s="182" t="n"/>
      <c r="Y98" s="182" t="n"/>
      <c r="Z98" s="166" t="n"/>
    </row>
    <row r="99" hidden="1" ht="21" customHeight="1">
      <c r="G99" s="195" t="n"/>
      <c r="H99" s="195" t="n"/>
      <c r="I99" s="195" t="n"/>
      <c r="L99" s="191" t="n"/>
      <c r="M99" s="185" t="n"/>
      <c r="N99" s="185" t="inlineStr">
        <is>
          <t>CHILLING</t>
        </is>
      </c>
      <c r="O99" s="192" t="n"/>
      <c r="P99" s="170" t="n"/>
      <c r="Q99" s="170" t="n"/>
      <c r="R99" s="170" t="n"/>
      <c r="S99" s="185" t="n"/>
      <c r="T99" s="170" t="n"/>
      <c r="U99" s="170" t="n"/>
      <c r="V99" s="170" t="n"/>
      <c r="W99" s="170" t="n"/>
      <c r="X99" s="170" t="n"/>
      <c r="Y99" s="186" t="n"/>
      <c r="Z99" s="220" t="n"/>
    </row>
    <row r="100" hidden="1" ht="21" customHeight="1">
      <c r="L100" s="191" t="n"/>
      <c r="M100" s="192" t="n"/>
      <c r="N100" s="218" t="inlineStr">
        <is>
          <t>COMPLETED</t>
        </is>
      </c>
      <c r="O100" s="188" t="n"/>
      <c r="P100" s="129">
        <f>COUNTIFS($H$4:$H$82, "CHILL", P4:P82,"&lt;&gt;")</f>
        <v/>
      </c>
      <c r="Q100" s="129">
        <f>COUNTIFS($H$4:$H$82, "CHILL", Q4:Q82,"&lt;&gt;")</f>
        <v/>
      </c>
      <c r="R100" s="129">
        <f>COUNTIFS($H$4:$H$82, "CHILL", R4:R82,"Y")</f>
        <v/>
      </c>
      <c r="S100" s="129">
        <f>COUNTIFS($H$4:$H$82, "CHILL", S4:S82,"&lt;&gt;")</f>
        <v/>
      </c>
      <c r="T100" s="129">
        <f>COUNTIFS($H$4:$H$82, "CHILL", T4:T82,"&lt;&gt;")</f>
        <v/>
      </c>
      <c r="U100" s="129">
        <f>COUNTIFS($H$4:$H$82, "CHILL", U4:U82,"&lt;&gt;")</f>
        <v/>
      </c>
      <c r="V100" s="129">
        <f>COUNTIFS($H$4:$H$82, "CHILL", V4:V82,"&lt;&gt;")</f>
        <v/>
      </c>
      <c r="W100" s="129">
        <f>COUNTIFS($H$4:$H$82, "CHILL", W4:W82,"&lt;&gt;")</f>
        <v/>
      </c>
      <c r="X100" s="129">
        <f>COUNTIFS($H$4:$H$82, "CHILL", X4:X82,"&lt;&gt;")</f>
        <v/>
      </c>
      <c r="Y100" s="129">
        <f>COUNTIFS($H$4:$H$82, "CHILL", Y4:Y82,"Y")</f>
        <v/>
      </c>
    </row>
    <row r="101" hidden="1" ht="21" customHeight="1">
      <c r="L101" s="191" t="n"/>
      <c r="M101" s="192" t="n"/>
      <c r="N101" s="218" t="inlineStr">
        <is>
          <t>TOTAL</t>
        </is>
      </c>
      <c r="O101" s="188" t="n"/>
      <c r="P101" s="129">
        <f>COUNTIFS($H$4:$H$82, "CHILL", $C$4:$C$82,"&lt;&gt;")</f>
        <v/>
      </c>
      <c r="Q101" s="129">
        <f>COUNTIFS($H$4:$H$82, "CHILL", $C$4:$C$82,"&lt;&gt;")</f>
        <v/>
      </c>
      <c r="R101" s="129">
        <f>COUNTIFS($H$4:$H$82, "CHILL", $C$4:$C$82,"*XV*")+COUNTIFS($H$4:$H$82, "CHILL", $C$4:$C$82,"*XY-*")+COUNTIFS($H$4:$H$82, "CHILL", $C$4:$C$82,"*CV*")+COUNTIFS($H$4:$H$82, "CHILL", $C$4:$C$82,"*YS*")</f>
        <v/>
      </c>
      <c r="S101" s="129">
        <f>COUNTIFS($H$4:$H$82, "CHILL", $C$4:$C$82,"&lt;&gt;")</f>
        <v/>
      </c>
      <c r="T101" s="129">
        <f>COUNTIFS($H$4:$H$82, "CHILL", $C$4:$C$82,"&lt;&gt;")</f>
        <v/>
      </c>
      <c r="U101" s="129">
        <f>COUNTIFS($H$4:$H$82, "CHILL", $C$4:$C$82,"&lt;&gt;")</f>
        <v/>
      </c>
      <c r="V101" s="129">
        <f>COUNTIFS($H$4:$H$82, "CHILL", $C$4:$C$82,"&lt;&gt;")</f>
        <v/>
      </c>
      <c r="W101" s="129">
        <f>COUNTIFS($H$4:$H$82, "CHILL", $C$4:$C$82,"&lt;&gt;")</f>
        <v/>
      </c>
      <c r="X101" s="129">
        <f>COUNTIFS($H$4:$H$82, "CHILL", $C$4:$C$82,"&lt;&gt;")</f>
        <v/>
      </c>
      <c r="Y101" s="129">
        <f>COUNTIFS($H$4:$H$82, "CHILL", X4:X82,"&lt;&gt;")</f>
        <v/>
      </c>
    </row>
    <row r="102" hidden="1" ht="21" customHeight="1">
      <c r="L102" s="191" t="n"/>
      <c r="M102" s="192" t="n"/>
      <c r="N102" s="218" t="inlineStr">
        <is>
          <t>% COMPLETE</t>
        </is>
      </c>
      <c r="O102" s="188" t="n"/>
      <c r="P102" s="179">
        <f>P100/P101</f>
        <v/>
      </c>
      <c r="Q102" s="179">
        <f>Q100/Q101</f>
        <v/>
      </c>
      <c r="R102" s="179">
        <f>R100/R101</f>
        <v/>
      </c>
      <c r="S102" s="179">
        <f>S100/S101</f>
        <v/>
      </c>
      <c r="T102" s="179">
        <f>T100/T101</f>
        <v/>
      </c>
      <c r="U102" s="179">
        <f>U100/U101</f>
        <v/>
      </c>
      <c r="V102" s="179">
        <f>V100/V101</f>
        <v/>
      </c>
      <c r="W102" s="179">
        <f>W100/W101</f>
        <v/>
      </c>
      <c r="X102" s="179">
        <f>X100/X101</f>
        <v/>
      </c>
      <c r="Y102" s="179">
        <f>IFERROR(Y100/Y101,0)</f>
        <v/>
      </c>
    </row>
    <row r="103" hidden="1" ht="21" customHeight="1">
      <c r="L103" s="191" t="n"/>
      <c r="M103" s="192" t="n"/>
      <c r="N103" s="218" t="inlineStr">
        <is>
          <t>% REMAINING</t>
        </is>
      </c>
      <c r="O103" s="188" t="n"/>
      <c r="P103" s="179">
        <f>1-P102</f>
        <v/>
      </c>
      <c r="Q103" s="179">
        <f>1-Q102</f>
        <v/>
      </c>
      <c r="R103" s="179">
        <f>1-R102</f>
        <v/>
      </c>
      <c r="S103" s="179">
        <f>1-S102</f>
        <v/>
      </c>
      <c r="T103" s="179">
        <f>1-T102</f>
        <v/>
      </c>
      <c r="U103" s="179">
        <f>1-U102</f>
        <v/>
      </c>
      <c r="V103" s="179">
        <f>1-V102</f>
        <v/>
      </c>
      <c r="W103" s="179">
        <f>1-W102</f>
        <v/>
      </c>
      <c r="X103" s="179">
        <f>1-X102</f>
        <v/>
      </c>
      <c r="Y103" s="179">
        <f>1-Y102</f>
        <v/>
      </c>
    </row>
    <row r="104" hidden="1">
      <c r="L104" s="290" t="n"/>
      <c r="M104" s="290" t="n"/>
      <c r="N104" s="194" t="n"/>
      <c r="O104" s="194" t="n"/>
      <c r="P104" s="182" t="n"/>
      <c r="Q104" s="182" t="n"/>
      <c r="R104" s="182" t="n"/>
      <c r="S104" s="182" t="n"/>
      <c r="T104" s="182" t="n"/>
      <c r="U104" s="182" t="n"/>
      <c r="V104" s="182" t="n"/>
      <c r="W104" s="182" t="n"/>
      <c r="X104" s="182" t="n"/>
      <c r="Y104" s="182" t="n"/>
    </row>
    <row r="105" hidden="1" ht="21" customHeight="1">
      <c r="L105" s="191" t="n"/>
      <c r="M105" s="185" t="n"/>
      <c r="N105" s="185" t="inlineStr">
        <is>
          <t>INTERSTITIAL</t>
        </is>
      </c>
      <c r="O105" s="192" t="n"/>
      <c r="P105" s="170" t="n"/>
      <c r="Q105" s="170" t="n"/>
      <c r="R105" s="170" t="n"/>
      <c r="S105" s="185" t="n"/>
      <c r="T105" s="170" t="n"/>
      <c r="U105" s="170" t="n"/>
      <c r="V105" s="170" t="n"/>
      <c r="W105" s="170" t="n"/>
      <c r="X105" s="170" t="n"/>
      <c r="Y105" s="186" t="n"/>
    </row>
    <row r="106" hidden="1" ht="21" customFormat="1" customHeight="1" s="175">
      <c r="A106" s="165" t="n"/>
      <c r="B106" s="167" t="n"/>
      <c r="C106" s="167" t="n"/>
      <c r="D106" s="167" t="n"/>
      <c r="E106" s="167" t="n"/>
      <c r="F106" s="168" t="n"/>
      <c r="G106" s="167" t="n"/>
      <c r="H106" s="167" t="n"/>
      <c r="I106" s="167" t="n"/>
      <c r="J106" s="167" t="n"/>
      <c r="K106" s="167" t="n"/>
      <c r="L106" s="191" t="n"/>
      <c r="M106" s="192" t="n"/>
      <c r="N106" s="218" t="inlineStr">
        <is>
          <t>COMPLETED</t>
        </is>
      </c>
      <c r="O106" s="188" t="n"/>
      <c r="P106" s="129">
        <f>COUNTIFS($H$4:$H$82, "INTSL", P4:P82,"&lt;&gt;")</f>
        <v/>
      </c>
      <c r="Q106" s="129">
        <f>COUNTIFS($H$4:$H$82, "INTSL", Q4:Q82,"&lt;&gt;")</f>
        <v/>
      </c>
      <c r="R106" s="129">
        <f>COUNTIFS($H$4:$H$82, "INTSL", R4:R82,"Y")</f>
        <v/>
      </c>
      <c r="S106" s="129">
        <f>COUNTIFS($H$4:$H$82, "INTSL", S4:S82,"&lt;&gt;")</f>
        <v/>
      </c>
      <c r="T106" s="129">
        <f>COUNTIFS($H$4:$H$82, "INTSL", T4:T82,"&lt;&gt;")</f>
        <v/>
      </c>
      <c r="U106" s="129">
        <f>COUNTIFS($H$4:$H$82, "INTSL", U4:U82,"&lt;&gt;")</f>
        <v/>
      </c>
      <c r="V106" s="129">
        <f>COUNTIFS($H$4:$H$82, "INTSL", V4:V82,"&lt;&gt;")</f>
        <v/>
      </c>
      <c r="W106" s="129">
        <f>COUNTIFS($H$4:$H$82, "INTSL", W4:W82,"&lt;&gt;")</f>
        <v/>
      </c>
      <c r="X106" s="129">
        <f>COUNTIFS($H$4:$H$82, "INTSL", X4:X82,"&lt;&gt;")</f>
        <v/>
      </c>
      <c r="Y106" s="129">
        <f>COUNTIFS($H$4:$H$82, "INTSL", Y4:Y82,"Y")</f>
        <v/>
      </c>
    </row>
    <row r="107" hidden="1" ht="21" customFormat="1" customHeight="1" s="175">
      <c r="A107" s="165" t="n"/>
      <c r="B107" s="167" t="n"/>
      <c r="C107" s="167" t="n"/>
      <c r="D107" s="167" t="n"/>
      <c r="E107" s="167" t="n"/>
      <c r="F107" s="168" t="n"/>
      <c r="G107" s="167" t="n"/>
      <c r="H107" s="167" t="n"/>
      <c r="I107" s="167" t="n"/>
      <c r="J107" s="167" t="n"/>
      <c r="K107" s="167" t="n"/>
      <c r="L107" s="191" t="n"/>
      <c r="M107" s="192" t="n"/>
      <c r="N107" s="218" t="inlineStr">
        <is>
          <t>TOTAL</t>
        </is>
      </c>
      <c r="O107" s="188" t="n"/>
      <c r="P107" s="129">
        <f>COUNTIFS($H$4:$H$82, "INTSL", $C$4:$C$82,"&lt;&gt;")</f>
        <v/>
      </c>
      <c r="Q107" s="129">
        <f>COUNTIFS($H$4:$H$82, "INTSL", $C$4:$C$82,"&lt;&gt;")</f>
        <v/>
      </c>
      <c r="R107" s="129">
        <f>COUNTIFS($H$4:$H$82, "INTSL", $C$4:$C$82,"*XV*")+COUNTIFS($H$4:$H$82, "INTSL", $C$4:$C$82,"*XY-*")+COUNTIFS($H$4:$H$82, "INTSL", $C$4:$C$82,"*CV*")+COUNTIFS($H$4:$H$82, "INTSL", $C$4:$C$82,"*YS*")</f>
        <v/>
      </c>
      <c r="S107" s="129">
        <f>COUNTIFS($H$4:$H$82, "INTSL", $C$4:$C$82,"&lt;&gt;")</f>
        <v/>
      </c>
      <c r="T107" s="129">
        <f>COUNTIFS($H$4:$H$82, "INTSL", $C$4:$C$82,"&lt;&gt;")</f>
        <v/>
      </c>
      <c r="U107" s="129">
        <f>COUNTIFS($H$4:$H$82, "INTSL", $C$4:$C$82,"&lt;&gt;")</f>
        <v/>
      </c>
      <c r="V107" s="129">
        <f>COUNTIFS($H$4:$H$82, "INTSL", $C$4:$C$82,"&lt;&gt;")</f>
        <v/>
      </c>
      <c r="W107" s="129">
        <f>COUNTIFS($H$4:$H$82, "INTSL", $C$4:$C$82,"&lt;&gt;")</f>
        <v/>
      </c>
      <c r="X107" s="129">
        <f>COUNTIFS($H$4:$H$82, "INTSL", $C$4:$C$82,"&lt;&gt;")</f>
        <v/>
      </c>
      <c r="Y107" s="129">
        <f>COUNTIFS($H$4:$H$82, "INTSL", X4:X82,"&lt;&gt;")</f>
        <v/>
      </c>
    </row>
    <row r="108" hidden="1" ht="21" customFormat="1" customHeight="1" s="175">
      <c r="A108" s="165" t="n"/>
      <c r="B108" s="167" t="n"/>
      <c r="C108" s="167" t="n"/>
      <c r="D108" s="167" t="n"/>
      <c r="E108" s="167" t="n"/>
      <c r="F108" s="168" t="n"/>
      <c r="G108" s="167" t="n"/>
      <c r="H108" s="167" t="n"/>
      <c r="I108" s="167" t="n"/>
      <c r="J108" s="167" t="n"/>
      <c r="K108" s="167" t="n"/>
      <c r="L108" s="191" t="n"/>
      <c r="M108" s="192" t="n"/>
      <c r="N108" s="218" t="inlineStr">
        <is>
          <t>% COMPLETE</t>
        </is>
      </c>
      <c r="O108" s="188" t="n"/>
      <c r="P108" s="179">
        <f>P106/P107</f>
        <v/>
      </c>
      <c r="Q108" s="179">
        <f>Q106/Q107</f>
        <v/>
      </c>
      <c r="R108" s="179">
        <f>R106/R107</f>
        <v/>
      </c>
      <c r="S108" s="179">
        <f>S106/S107</f>
        <v/>
      </c>
      <c r="T108" s="179">
        <f>T106/T107</f>
        <v/>
      </c>
      <c r="U108" s="179">
        <f>U106/U107</f>
        <v/>
      </c>
      <c r="V108" s="179">
        <f>V106/V107</f>
        <v/>
      </c>
      <c r="W108" s="179">
        <f>W106/W107</f>
        <v/>
      </c>
      <c r="X108" s="179">
        <f>X106/X107</f>
        <v/>
      </c>
      <c r="Y108" s="179">
        <f>IFERROR(Y106/Y107,0)</f>
        <v/>
      </c>
    </row>
    <row r="109" hidden="1" ht="21" customFormat="1" customHeight="1" s="175">
      <c r="A109" s="165" t="n"/>
      <c r="B109" s="167" t="n"/>
      <c r="C109" s="167" t="n"/>
      <c r="D109" s="167" t="n"/>
      <c r="E109" s="167" t="n"/>
      <c r="F109" s="168" t="n"/>
      <c r="G109" s="167" t="n"/>
      <c r="H109" s="167" t="n"/>
      <c r="I109" s="167" t="n"/>
      <c r="J109" s="167" t="n"/>
      <c r="K109" s="167" t="n"/>
      <c r="L109" s="191" t="n"/>
      <c r="M109" s="192" t="n"/>
      <c r="N109" s="218" t="inlineStr">
        <is>
          <t>% REMAINING</t>
        </is>
      </c>
      <c r="O109" s="188" t="n"/>
      <c r="P109" s="179">
        <f>1-P108</f>
        <v/>
      </c>
      <c r="Q109" s="179">
        <f>1-Q108</f>
        <v/>
      </c>
      <c r="R109" s="179">
        <f>1-R108</f>
        <v/>
      </c>
      <c r="S109" s="179">
        <f>1-S108</f>
        <v/>
      </c>
      <c r="T109" s="179">
        <f>1-T108</f>
        <v/>
      </c>
      <c r="U109" s="179">
        <f>1-U108</f>
        <v/>
      </c>
      <c r="V109" s="179">
        <f>1-V108</f>
        <v/>
      </c>
      <c r="W109" s="179">
        <f>1-W108</f>
        <v/>
      </c>
      <c r="X109" s="179">
        <f>1-X108</f>
        <v/>
      </c>
      <c r="Y109" s="179">
        <f>1-Y108</f>
        <v/>
      </c>
    </row>
    <row r="110" hidden="1" customFormat="1" s="175">
      <c r="A110" s="165" t="n"/>
      <c r="B110" s="167" t="n"/>
      <c r="C110" s="167" t="n"/>
      <c r="D110" s="167" t="n"/>
      <c r="E110" s="167" t="n"/>
      <c r="F110" s="168" t="n"/>
      <c r="G110" s="167" t="n"/>
      <c r="H110" s="167" t="n"/>
      <c r="I110" s="167" t="n"/>
      <c r="J110" s="167" t="n"/>
      <c r="K110" s="167" t="n"/>
      <c r="L110" s="290" t="n"/>
      <c r="M110" s="290" t="n"/>
      <c r="N110" s="194" t="n"/>
      <c r="O110" s="194" t="n"/>
      <c r="P110" s="182" t="n"/>
      <c r="Q110" s="182" t="n"/>
      <c r="R110" s="182" t="n"/>
      <c r="S110" s="182" t="n"/>
      <c r="T110" s="182" t="n"/>
      <c r="U110" s="182" t="n"/>
      <c r="V110" s="182" t="n"/>
      <c r="W110" s="182" t="n"/>
      <c r="X110" s="182" t="n"/>
      <c r="Y110" s="182" t="n"/>
    </row>
    <row r="111" hidden="1" ht="21" customFormat="1" customHeight="1" s="175">
      <c r="A111" s="165" t="n"/>
      <c r="B111" s="167" t="n"/>
      <c r="C111" s="167" t="n"/>
      <c r="D111" s="167" t="n"/>
      <c r="E111" s="167" t="n"/>
      <c r="F111" s="168" t="n"/>
      <c r="G111" s="167" t="n"/>
      <c r="H111" s="167" t="n"/>
      <c r="I111" s="167" t="n"/>
      <c r="J111" s="167" t="n"/>
      <c r="K111" s="167" t="n"/>
      <c r="L111" s="191" t="n"/>
      <c r="M111" s="185" t="n"/>
      <c r="N111" s="185" t="inlineStr">
        <is>
          <t>HEAT EXCHANGER / LACTIC ACID</t>
        </is>
      </c>
      <c r="O111" s="192" t="n"/>
      <c r="P111" s="170" t="n"/>
      <c r="Q111" s="170" t="n"/>
      <c r="R111" s="170" t="n"/>
      <c r="S111" s="185" t="n"/>
      <c r="T111" s="170" t="n"/>
      <c r="U111" s="170" t="n"/>
      <c r="V111" s="170" t="n"/>
      <c r="W111" s="170" t="n"/>
      <c r="X111" s="170" t="n"/>
      <c r="Y111" s="186" t="n"/>
    </row>
    <row r="112" hidden="1" ht="21" customFormat="1" customHeight="1" s="175">
      <c r="A112" s="165" t="n"/>
      <c r="B112" s="167" t="n"/>
      <c r="C112" s="167" t="n"/>
      <c r="D112" s="167" t="n"/>
      <c r="E112" s="167" t="n"/>
      <c r="F112" s="168" t="n"/>
      <c r="G112" s="167" t="n"/>
      <c r="H112" s="167" t="n"/>
      <c r="I112" s="167" t="n"/>
      <c r="J112" s="167" t="n"/>
      <c r="K112" s="167" t="n"/>
      <c r="L112" s="191" t="n"/>
      <c r="M112" s="192" t="n"/>
      <c r="N112" s="218" t="inlineStr">
        <is>
          <t>COMPLETED</t>
        </is>
      </c>
      <c r="O112" s="188" t="n"/>
      <c r="P112" s="129">
        <f>COUNTIFS($H$4:$H$82, "HX / LA", P4:P82,"&lt;&gt;")</f>
        <v/>
      </c>
      <c r="Q112" s="129">
        <f>COUNTIFS($H$4:$H$82, "HX / LA", Q4:Q82,"&lt;&gt;")</f>
        <v/>
      </c>
      <c r="R112" s="129">
        <f>COUNTIFS($H$4:$H$82, "HX / LA", R4:R82,"Y")</f>
        <v/>
      </c>
      <c r="S112" s="129">
        <f>COUNTIFS($H$4:$H$82, "HX / LA", S4:S82,"&lt;&gt;")</f>
        <v/>
      </c>
      <c r="T112" s="129">
        <f>COUNTIFS($H$4:$H$82, "HX / LA", T4:T82,"&lt;&gt;")</f>
        <v/>
      </c>
      <c r="U112" s="129">
        <f>COUNTIFS($H$4:$H$82, "HX / LA", U4:U82,"&lt;&gt;")</f>
        <v/>
      </c>
      <c r="V112" s="129">
        <f>COUNTIFS($H$4:$H$82, "HX / LA", V4:V82,"&lt;&gt;")</f>
        <v/>
      </c>
      <c r="W112" s="129">
        <f>COUNTIFS($H$4:$H$82, "HX / LA", W4:W82,"&lt;&gt;")</f>
        <v/>
      </c>
      <c r="X112" s="129">
        <f>COUNTIFS($H$4:$H$82, "HX / LA", X4:X82,"&lt;&gt;")</f>
        <v/>
      </c>
      <c r="Y112" s="129">
        <f>COUNTIFS($H$4:$H$82, "HX / LA", Y4:Y82,"Y")</f>
        <v/>
      </c>
    </row>
    <row r="113" hidden="1" ht="21" customFormat="1" customHeight="1" s="175">
      <c r="A113" s="165" t="n"/>
      <c r="B113" s="167" t="n"/>
      <c r="C113" s="167" t="n"/>
      <c r="D113" s="167" t="n"/>
      <c r="E113" s="167" t="n"/>
      <c r="F113" s="168" t="n"/>
      <c r="G113" s="167" t="n"/>
      <c r="H113" s="167" t="n"/>
      <c r="I113" s="167" t="n"/>
      <c r="J113" s="167" t="n"/>
      <c r="K113" s="167" t="n"/>
      <c r="L113" s="191" t="n"/>
      <c r="M113" s="192" t="n"/>
      <c r="N113" s="218" t="inlineStr">
        <is>
          <t>TOTAL</t>
        </is>
      </c>
      <c r="O113" s="188" t="n"/>
      <c r="P113" s="129">
        <f>COUNTIFS($H$4:$H$82, "HX / LA", $C$4:$C$82,"&lt;&gt;")</f>
        <v/>
      </c>
      <c r="Q113" s="129">
        <f>COUNTIFS($H$4:$H$82, "HX / LA", $C$4:$C$82,"&lt;&gt;")</f>
        <v/>
      </c>
      <c r="R113" s="129">
        <f>COUNTIFS($H$4:$H$82, "HX / LA", $C$4:$C$82,"*XV*")+COUNTIFS($H$4:$H$82, "HX / LA", $C$4:$C$82,"*XY-*")+COUNTIFS($H$4:$H$82, "HX / LA", $C$4:$C$82,"*CV*")+COUNTIFS($H$4:$H$82, "HX / LA", $C$4:$C$82,"*YS*")</f>
        <v/>
      </c>
      <c r="S113" s="129">
        <f>COUNTIFS($H$4:$H$82, "HX / LA", $C$4:$C$82,"&lt;&gt;")</f>
        <v/>
      </c>
      <c r="T113" s="129">
        <f>COUNTIFS($H$4:$H$82, "HX / LA", $C$4:$C$82,"&lt;&gt;")</f>
        <v/>
      </c>
      <c r="U113" s="129">
        <f>COUNTIFS($H$4:$H$82, "HX / LA", $C$4:$C$82,"&lt;&gt;")</f>
        <v/>
      </c>
      <c r="V113" s="129">
        <f>COUNTIFS($H$4:$H$82, "HX / LA", $C$4:$C$82,"&lt;&gt;")</f>
        <v/>
      </c>
      <c r="W113" s="129">
        <f>COUNTIFS($H$4:$H$82, "HX / LA", $C$4:$C$82,"&lt;&gt;")</f>
        <v/>
      </c>
      <c r="X113" s="129">
        <f>COUNTIFS($H$4:$H$82, "HX / LA", $C$4:$C$82,"&lt;&gt;")</f>
        <v/>
      </c>
      <c r="Y113" s="129">
        <f>COUNTIFS($H$4:$H$82, "HX / LA", X4:X82,"&lt;&gt;")</f>
        <v/>
      </c>
    </row>
    <row r="114" hidden="1" ht="21" customFormat="1" customHeight="1" s="175">
      <c r="A114" s="165" t="n"/>
      <c r="B114" s="167" t="n"/>
      <c r="C114" s="167" t="n"/>
      <c r="D114" s="167" t="n"/>
      <c r="E114" s="167" t="n"/>
      <c r="F114" s="168" t="n"/>
      <c r="G114" s="167" t="n"/>
      <c r="H114" s="167" t="n"/>
      <c r="I114" s="167" t="n"/>
      <c r="J114" s="167" t="n"/>
      <c r="K114" s="167" t="n"/>
      <c r="L114" s="191" t="n"/>
      <c r="M114" s="192" t="n"/>
      <c r="N114" s="218" t="inlineStr">
        <is>
          <t>% COMPLETE</t>
        </is>
      </c>
      <c r="O114" s="188" t="n"/>
      <c r="P114" s="179">
        <f>P112/P113</f>
        <v/>
      </c>
      <c r="Q114" s="179">
        <f>Q112/Q113</f>
        <v/>
      </c>
      <c r="R114" s="179">
        <f>R112/R113</f>
        <v/>
      </c>
      <c r="S114" s="179">
        <f>S112/S113</f>
        <v/>
      </c>
      <c r="T114" s="179">
        <f>T112/T113</f>
        <v/>
      </c>
      <c r="U114" s="179">
        <f>U112/U113</f>
        <v/>
      </c>
      <c r="V114" s="179">
        <f>V112/V113</f>
        <v/>
      </c>
      <c r="W114" s="179">
        <f>W112/W113</f>
        <v/>
      </c>
      <c r="X114" s="179">
        <f>X112/X113</f>
        <v/>
      </c>
      <c r="Y114" s="179">
        <f>IFERROR(Y112/Y113,0)</f>
        <v/>
      </c>
    </row>
    <row r="115" hidden="1" ht="21" customFormat="1" customHeight="1" s="175">
      <c r="A115" s="165" t="n"/>
      <c r="B115" s="167" t="n"/>
      <c r="C115" s="167" t="n"/>
      <c r="D115" s="167" t="n"/>
      <c r="E115" s="167" t="n"/>
      <c r="F115" s="168" t="n"/>
      <c r="G115" s="167" t="n"/>
      <c r="H115" s="167" t="n"/>
      <c r="I115" s="167" t="n"/>
      <c r="J115" s="167" t="n"/>
      <c r="K115" s="167" t="n"/>
      <c r="L115" s="191" t="n"/>
      <c r="M115" s="192" t="n"/>
      <c r="N115" s="218" t="inlineStr">
        <is>
          <t>% REMAINING</t>
        </is>
      </c>
      <c r="O115" s="188" t="n"/>
      <c r="P115" s="179">
        <f>1-P114</f>
        <v/>
      </c>
      <c r="Q115" s="179">
        <f>1-Q114</f>
        <v/>
      </c>
      <c r="R115" s="179">
        <f>1-R114</f>
        <v/>
      </c>
      <c r="S115" s="179">
        <f>1-S114</f>
        <v/>
      </c>
      <c r="T115" s="179">
        <f>1-T114</f>
        <v/>
      </c>
      <c r="U115" s="179">
        <f>1-U114</f>
        <v/>
      </c>
      <c r="V115" s="179">
        <f>1-V114</f>
        <v/>
      </c>
      <c r="W115" s="179">
        <f>1-W114</f>
        <v/>
      </c>
      <c r="X115" s="179">
        <f>1-X114</f>
        <v/>
      </c>
      <c r="Y115" s="179">
        <f>1-Y114</f>
        <v/>
      </c>
    </row>
    <row r="116" hidden="1" customFormat="1" s="175">
      <c r="A116" s="165" t="n"/>
      <c r="B116" s="167" t="n"/>
      <c r="C116" s="167" t="n"/>
      <c r="D116" s="167" t="n"/>
      <c r="E116" s="167" t="n"/>
      <c r="F116" s="168" t="n"/>
      <c r="G116" s="167" t="n"/>
      <c r="H116" s="167" t="n"/>
      <c r="I116" s="167" t="n"/>
      <c r="J116" s="167" t="n"/>
      <c r="K116" s="167" t="n"/>
      <c r="L116" s="290" t="n"/>
      <c r="M116" s="290" t="n"/>
      <c r="N116" s="194" t="n"/>
      <c r="O116" s="194" t="n"/>
      <c r="P116" s="182" t="n"/>
      <c r="Q116" s="182" t="n"/>
      <c r="R116" s="182" t="n"/>
      <c r="S116" s="182" t="n"/>
      <c r="T116" s="182" t="n"/>
      <c r="U116" s="182" t="n"/>
      <c r="V116" s="182" t="n"/>
      <c r="W116" s="182" t="n"/>
      <c r="X116" s="182" t="n"/>
      <c r="Y116" s="182" t="n"/>
    </row>
    <row r="117" hidden="1" ht="21" customFormat="1" customHeight="1" s="175">
      <c r="A117" s="165" t="n"/>
      <c r="B117" s="167" t="n"/>
      <c r="C117" s="167" t="n"/>
      <c r="D117" s="167" t="n"/>
      <c r="E117" s="167" t="n"/>
      <c r="F117" s="168" t="n"/>
      <c r="G117" s="167" t="n"/>
      <c r="H117" s="167" t="n"/>
      <c r="I117" s="167" t="n"/>
      <c r="J117" s="167" t="n"/>
      <c r="K117" s="167" t="n"/>
      <c r="L117" s="191" t="n"/>
      <c r="M117" s="185" t="n"/>
      <c r="N117" s="185" t="inlineStr">
        <is>
          <t>MCC</t>
        </is>
      </c>
      <c r="O117" s="192" t="n"/>
      <c r="P117" s="170" t="n"/>
      <c r="Q117" s="170" t="n"/>
      <c r="R117" s="170" t="n"/>
      <c r="S117" s="185" t="n"/>
      <c r="T117" s="170" t="n"/>
      <c r="U117" s="170" t="n"/>
      <c r="V117" s="170" t="n"/>
      <c r="W117" s="170" t="n"/>
      <c r="X117" s="170" t="n"/>
      <c r="Y117" s="186" t="n"/>
    </row>
    <row r="118" hidden="1" ht="21" customFormat="1" customHeight="1" s="175">
      <c r="A118" s="165" t="n"/>
      <c r="B118" s="167" t="n"/>
      <c r="C118" s="167" t="n"/>
      <c r="D118" s="167" t="n"/>
      <c r="E118" s="167" t="n"/>
      <c r="F118" s="168" t="n"/>
      <c r="G118" s="167" t="n"/>
      <c r="H118" s="167" t="n"/>
      <c r="I118" s="167" t="n"/>
      <c r="J118" s="167" t="n"/>
      <c r="K118" s="167" t="n"/>
      <c r="L118" s="191" t="n"/>
      <c r="M118" s="192" t="n"/>
      <c r="N118" s="218" t="inlineStr">
        <is>
          <t>COMPLETED</t>
        </is>
      </c>
      <c r="O118" s="188" t="n"/>
      <c r="P118" s="129">
        <f>COUNTIFS($H$4:$H$82, "MCC", P4:P82,"&lt;&gt;")</f>
        <v/>
      </c>
      <c r="Q118" s="129">
        <f>COUNTIFS($H$4:$H$82, "MCC", Q4:Q82,"&lt;&gt;")</f>
        <v/>
      </c>
      <c r="R118" s="129" t="inlineStr">
        <is>
          <t>N/A</t>
        </is>
      </c>
      <c r="S118" s="129">
        <f>COUNTIFS($H$4:$H$82, "MCC", S4:S82,"&lt;&gt;")</f>
        <v/>
      </c>
      <c r="T118" s="129">
        <f>COUNTIFS($H$4:$H$82, "MCC", T4:T82,"&lt;&gt;")</f>
        <v/>
      </c>
      <c r="U118" s="129">
        <f>COUNTIFS($H$4:$H$82, "MCC", U4:U82,"&lt;&gt;")</f>
        <v/>
      </c>
      <c r="V118" s="129">
        <f>COUNTIFS($H$4:$H$82, "MCC", V4:V82,"&lt;&gt;")</f>
        <v/>
      </c>
      <c r="W118" s="129">
        <f>COUNTIFS($H$4:$H$82, "MCC", W4:W82,"&lt;&gt;")</f>
        <v/>
      </c>
      <c r="X118" s="129">
        <f>COUNTIFS($H$4:$H$82, "MCC", X4:X82,"&lt;&gt;")</f>
        <v/>
      </c>
      <c r="Y118" s="129">
        <f>COUNTIFS($H$4:$H$82, "MCC", Y4:Y82,"Y")</f>
        <v/>
      </c>
    </row>
    <row r="119" hidden="1" ht="21" customFormat="1" customHeight="1" s="175">
      <c r="A119" s="165" t="n"/>
      <c r="B119" s="167" t="n"/>
      <c r="C119" s="167" t="n"/>
      <c r="D119" s="167" t="n"/>
      <c r="E119" s="167" t="n"/>
      <c r="F119" s="168" t="n"/>
      <c r="G119" s="167" t="n"/>
      <c r="H119" s="167" t="n"/>
      <c r="I119" s="167" t="n"/>
      <c r="J119" s="167" t="n"/>
      <c r="K119" s="167" t="n"/>
      <c r="L119" s="191" t="n"/>
      <c r="M119" s="192" t="n"/>
      <c r="N119" s="218" t="inlineStr">
        <is>
          <t>TOTAL</t>
        </is>
      </c>
      <c r="O119" s="188" t="n"/>
      <c r="P119" s="129">
        <f>COUNTIFS($H$4:$H$82, "MCC", $C$4:$C$82,"&lt;&gt;")</f>
        <v/>
      </c>
      <c r="Q119" s="129">
        <f>COUNTIFS($H$4:$H$82, "MCC", $C$4:$C$82,"&lt;&gt;")</f>
        <v/>
      </c>
      <c r="R119" s="129" t="inlineStr">
        <is>
          <t>N/A</t>
        </is>
      </c>
      <c r="S119" s="129">
        <f>COUNTIFS($H$4:$H$82, "MCC", $C$4:$C$82,"&lt;&gt;")</f>
        <v/>
      </c>
      <c r="T119" s="129">
        <f>COUNTIFS($H$4:$H$82, "MCC", $C$4:$C$82,"&lt;&gt;")</f>
        <v/>
      </c>
      <c r="U119" s="129">
        <f>COUNTIFS($H$4:$H$82, "MCC", $C$4:$C$82,"&lt;&gt;")</f>
        <v/>
      </c>
      <c r="V119" s="129">
        <f>COUNTIFS($H$4:$H$82, "MCC", $C$4:$C$82,"&lt;&gt;")</f>
        <v/>
      </c>
      <c r="W119" s="129">
        <f>COUNTIFS($H$4:$H$82, "MCC", $C$4:$C$82,"&lt;&gt;")</f>
        <v/>
      </c>
      <c r="X119" s="129">
        <f>COUNTIFS($H$4:$H$82, "MCC", $C$4:$C$82,"&lt;&gt;")</f>
        <v/>
      </c>
      <c r="Y119" s="129">
        <f>COUNTIFS($H$4:$H$82, "MCC", X4:X82,"&lt;&gt;")</f>
        <v/>
      </c>
    </row>
    <row r="120" hidden="1" ht="21" customFormat="1" customHeight="1" s="175">
      <c r="A120" s="165" t="n"/>
      <c r="B120" s="167" t="n"/>
      <c r="C120" s="167" t="n"/>
      <c r="D120" s="167" t="n"/>
      <c r="E120" s="167" t="n"/>
      <c r="F120" s="168" t="n"/>
      <c r="G120" s="167" t="n"/>
      <c r="H120" s="167" t="n"/>
      <c r="I120" s="167" t="n"/>
      <c r="J120" s="167" t="n"/>
      <c r="K120" s="167" t="n"/>
      <c r="L120" s="191" t="n"/>
      <c r="M120" s="192" t="n"/>
      <c r="N120" s="218" t="inlineStr">
        <is>
          <t>% COMPLETE</t>
        </is>
      </c>
      <c r="O120" s="188" t="n"/>
      <c r="P120" s="179">
        <f>P118/P119</f>
        <v/>
      </c>
      <c r="Q120" s="179">
        <f>Q118/Q119</f>
        <v/>
      </c>
      <c r="R120" s="129" t="inlineStr">
        <is>
          <t>N/A</t>
        </is>
      </c>
      <c r="S120" s="179">
        <f>S118/S119</f>
        <v/>
      </c>
      <c r="T120" s="179">
        <f>T118/T119</f>
        <v/>
      </c>
      <c r="U120" s="179">
        <f>U118/U119</f>
        <v/>
      </c>
      <c r="V120" s="179">
        <f>V118/V119</f>
        <v/>
      </c>
      <c r="W120" s="179">
        <f>W118/W119</f>
        <v/>
      </c>
      <c r="X120" s="179">
        <f>X118/X119</f>
        <v/>
      </c>
      <c r="Y120" s="179">
        <f>IFERROR(Y118/Y119,0)</f>
        <v/>
      </c>
    </row>
    <row r="121" hidden="1" ht="21" customFormat="1" customHeight="1" s="175">
      <c r="A121" s="165" t="n"/>
      <c r="B121" s="167" t="n"/>
      <c r="C121" s="167" t="n"/>
      <c r="D121" s="167" t="n"/>
      <c r="E121" s="167" t="n"/>
      <c r="F121" s="168" t="n"/>
      <c r="G121" s="167" t="n"/>
      <c r="H121" s="167" t="n"/>
      <c r="I121" s="167" t="n"/>
      <c r="J121" s="167" t="n"/>
      <c r="K121" s="167" t="n"/>
      <c r="L121" s="191" t="n"/>
      <c r="M121" s="192" t="n"/>
      <c r="N121" s="218" t="inlineStr">
        <is>
          <t>% REMAINING</t>
        </is>
      </c>
      <c r="O121" s="188" t="n"/>
      <c r="P121" s="179">
        <f>1-P120</f>
        <v/>
      </c>
      <c r="Q121" s="179">
        <f>1-Q120</f>
        <v/>
      </c>
      <c r="R121" s="129" t="inlineStr">
        <is>
          <t>N/A</t>
        </is>
      </c>
      <c r="S121" s="179">
        <f>1-S120</f>
        <v/>
      </c>
      <c r="T121" s="179">
        <f>1-T120</f>
        <v/>
      </c>
      <c r="U121" s="179">
        <f>1-U120</f>
        <v/>
      </c>
      <c r="V121" s="179">
        <f>1-V120</f>
        <v/>
      </c>
      <c r="W121" s="179">
        <f>1-W120</f>
        <v/>
      </c>
      <c r="X121" s="179">
        <f>1-X120</f>
        <v/>
      </c>
      <c r="Y121" s="179">
        <f>1-Y120</f>
        <v/>
      </c>
    </row>
  </sheetData>
  <printOptions horizontalCentered="1"/>
  <pageMargins left="0.25" right="0.25" top="0.9" bottom="0.75" header="0.3" footer="0.3"/>
  <pageSetup orientation="landscape" paperSize="160" scale="54" fitToHeight="0"/>
  <headerFooter>
    <oddHeader>&amp;L&amp;G&amp;C&amp;"Yu Gothic UI,Bold"&amp;16 RL5 I/O LIST&amp;R&amp;G</oddHeader>
    <oddFooter>&amp;L&amp;D, &amp;T&amp;R&amp;P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codeName="Sheet3">
    <tabColor theme="9" tint="0.7999816888943144"/>
    <outlinePr summaryBelow="1" summaryRight="1"/>
    <pageSetUpPr fitToPage="1"/>
  </sheetPr>
  <dimension ref="A1:BE412"/>
  <sheetViews>
    <sheetView zoomScaleNormal="100" zoomScaleSheetLayoutView="100" workbookViewId="0">
      <pane xSplit="5" topLeftCell="I1" activePane="topRight" state="frozen"/>
      <selection pane="topRight" activeCell="J9" sqref="J9"/>
    </sheetView>
  </sheetViews>
  <sheetFormatPr baseColWidth="8" defaultColWidth="20.28515625" defaultRowHeight="15"/>
  <cols>
    <col width="13.28515625" bestFit="1" customWidth="1" style="14" min="1" max="1"/>
    <col width="12.42578125" bestFit="1" customWidth="1" min="2" max="2"/>
    <col width="19.28515625" customWidth="1" min="3" max="3"/>
    <col width="49.7109375" bestFit="1" customWidth="1" style="3" min="4" max="4"/>
    <col width="17.140625" bestFit="1" customWidth="1" min="5" max="5"/>
    <col width="15.28515625" bestFit="1" customWidth="1" min="6" max="6"/>
    <col width="12.140625" customWidth="1" min="7" max="7"/>
    <col width="13.85546875" bestFit="1" customWidth="1" min="8" max="8"/>
    <col width="8.28515625" customWidth="1" min="9" max="9"/>
    <col width="7.5703125" bestFit="1" customWidth="1" min="10" max="10"/>
    <col width="12.140625" bestFit="1" customWidth="1" min="11" max="11"/>
    <col width="14.5703125" bestFit="1" customWidth="1" min="12" max="12"/>
    <col width="7.5703125" bestFit="1" customWidth="1" style="14" min="13" max="13"/>
    <col width="24.5703125" bestFit="1" customWidth="1" min="14" max="14"/>
    <col width="27.7109375" bestFit="1" customWidth="1" style="290" min="15" max="15"/>
    <col width="9.28515625" customWidth="1" style="14" min="16" max="16"/>
    <col width="9.28515625" bestFit="1" customWidth="1" style="14" min="17" max="17"/>
    <col width="8" customWidth="1" min="18" max="18"/>
    <col width="9.28515625" customWidth="1" style="14" min="19" max="20"/>
    <col width="23.42578125" bestFit="1" customWidth="1" style="14" min="22" max="22"/>
    <col width="28.28515625" bestFit="1" customWidth="1" min="23" max="23"/>
    <col width="11.140625" bestFit="1" customWidth="1" style="14" min="24" max="27"/>
    <col width="28" bestFit="1" customWidth="1" style="14" min="28" max="28"/>
    <col width="22.85546875" bestFit="1" customWidth="1" style="14" min="29" max="29"/>
    <col width="14.5703125" bestFit="1" customWidth="1" style="14" min="30" max="30"/>
    <col hidden="1" width="13.140625" customWidth="1" style="14" min="31" max="31"/>
    <col hidden="1" width="15.85546875" customWidth="1" style="14" min="32" max="32"/>
    <col hidden="1" width="16.85546875" customWidth="1" style="14" min="33" max="33"/>
    <col hidden="1" width="9.140625" customWidth="1" style="14" min="34" max="34"/>
    <col hidden="1" width="16.140625" customWidth="1" style="14" min="35" max="35"/>
    <col hidden="1" width="15.140625" customWidth="1" min="36" max="36"/>
    <col width="11.140625" bestFit="1" customWidth="1" style="55" min="37" max="37"/>
    <col width="13.140625" customWidth="1" min="38" max="38"/>
    <col width="15.85546875" customWidth="1" min="39" max="39"/>
    <col width="16.85546875" customWidth="1" min="40" max="40"/>
    <col width="9.140625" customWidth="1" min="41" max="41"/>
    <col width="16.140625" customWidth="1" min="42" max="42"/>
    <col width="15.140625" customWidth="1" min="43" max="43"/>
    <col width="11.140625" bestFit="1" customWidth="1" style="55" min="44" max="44"/>
    <col width="11.140625" customWidth="1" style="55" min="45" max="45"/>
    <col width="13.7109375" customWidth="1" style="55" min="46" max="54"/>
    <col width="12.85546875" customWidth="1" min="56" max="57"/>
    <col width="95" bestFit="1" customWidth="1" style="14" min="58" max="58"/>
    <col width="20.28515625" customWidth="1" style="14" min="59" max="69"/>
    <col width="20.28515625" customWidth="1" style="14" min="70" max="16384"/>
  </cols>
  <sheetData>
    <row r="1" ht="58.5" customHeight="1" thickBot="1">
      <c r="A1" s="63" t="inlineStr">
        <is>
          <t>MCC</t>
        </is>
      </c>
      <c r="B1" s="64" t="inlineStr">
        <is>
          <t>BUCKET</t>
        </is>
      </c>
      <c r="C1" s="65" t="inlineStr">
        <is>
          <t>EQUIP ID</t>
        </is>
      </c>
      <c r="D1" s="65" t="inlineStr">
        <is>
          <t>DESCRIPTION</t>
        </is>
      </c>
      <c r="E1" s="65" t="inlineStr">
        <is>
          <t>BUCKET TYPE</t>
        </is>
      </c>
      <c r="F1" s="64" t="inlineStr">
        <is>
          <t>MOTOR HP</t>
        </is>
      </c>
      <c r="G1" s="65" t="inlineStr">
        <is>
          <t>STARTER
HP RATING</t>
        </is>
      </c>
      <c r="H1" s="66" t="inlineStr">
        <is>
          <t>VFD AMP RATING</t>
        </is>
      </c>
      <c r="I1" s="65" t="inlineStr">
        <is>
          <t>STARTER SIZE</t>
        </is>
      </c>
      <c r="J1" s="64" t="inlineStr">
        <is>
          <t>SF</t>
        </is>
      </c>
      <c r="K1" s="66" t="inlineStr">
        <is>
          <t>CB TRIP</t>
        </is>
      </c>
      <c r="L1" s="66" t="inlineStr">
        <is>
          <t>CB FRAME</t>
        </is>
      </c>
      <c r="M1" s="66" t="inlineStr">
        <is>
          <t>FUSE TRIP</t>
        </is>
      </c>
      <c r="N1" s="66" t="inlineStr">
        <is>
          <t>CABLE</t>
        </is>
      </c>
      <c r="O1" s="67" t="inlineStr">
        <is>
          <t>NOTES</t>
        </is>
      </c>
      <c r="P1" s="68" t="inlineStr">
        <is>
          <t>RACEWAYS
COMPLETE</t>
        </is>
      </c>
      <c r="Q1" s="69" t="inlineStr">
        <is>
          <t>FEEDER
PULLED</t>
        </is>
      </c>
      <c r="R1" s="69" t="inlineStr">
        <is>
          <t>FEEDER
TERMED</t>
        </is>
      </c>
      <c r="S1" s="69" t="inlineStr">
        <is>
          <t>MOTOR
BUMPED</t>
        </is>
      </c>
      <c r="T1" s="69" t="inlineStr">
        <is>
          <t>AUX POINT TO POINT</t>
        </is>
      </c>
      <c r="U1" s="69" t="inlineStr">
        <is>
          <t>AUX 
I/O CHECK</t>
        </is>
      </c>
      <c r="V1" s="69" t="inlineStr">
        <is>
          <t>COMMS
PULLED</t>
        </is>
      </c>
      <c r="W1" s="69" t="inlineStr">
        <is>
          <t>COMMS
TERMED</t>
        </is>
      </c>
      <c r="X1" s="69" t="inlineStr">
        <is>
          <t>COMMS
TESTED</t>
        </is>
      </c>
      <c r="Y1" s="69" t="inlineStr">
        <is>
          <t>COMMS
TAGGED</t>
        </is>
      </c>
      <c r="Z1" s="69" t="inlineStr">
        <is>
          <t>COMMS CONFIG</t>
        </is>
      </c>
      <c r="AA1" s="69" t="inlineStr">
        <is>
          <t>COMMS
GOOD</t>
        </is>
      </c>
      <c r="AB1" s="64" t="inlineStr">
        <is>
          <t>REVIT FAMILY</t>
        </is>
      </c>
      <c r="AC1" s="65" t="inlineStr">
        <is>
          <t>FAMILY TYPE</t>
        </is>
      </c>
      <c r="AD1" s="65" t="inlineStr">
        <is>
          <t>GRAPHICS</t>
        </is>
      </c>
      <c r="AE1" s="64" t="inlineStr">
        <is>
          <t>SECTION</t>
        </is>
      </c>
      <c r="AF1" s="64" t="inlineStr">
        <is>
          <t>START UNIT</t>
        </is>
      </c>
      <c r="AG1" s="64" t="inlineStr">
        <is>
          <t>START INDEX</t>
        </is>
      </c>
      <c r="AH1" s="64" t="inlineStr">
        <is>
          <t>SIZE</t>
        </is>
      </c>
      <c r="AI1" s="64" t="inlineStr">
        <is>
          <t>UNITS USED</t>
        </is>
      </c>
      <c r="AJ1" s="64" t="inlineStr">
        <is>
          <t>END INDEX</t>
        </is>
      </c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4" t="n"/>
      <c r="AU1" s="14" t="n"/>
      <c r="AV1" s="14" t="n"/>
      <c r="AW1" s="14" t="n"/>
      <c r="AX1" s="14" t="n"/>
      <c r="AY1" s="14" t="n"/>
      <c r="AZ1" s="14" t="n"/>
      <c r="BA1" s="14" t="n"/>
      <c r="BB1" s="14" t="n"/>
      <c r="BC1" s="14" t="n"/>
      <c r="BD1" s="14" t="n"/>
      <c r="BE1" s="14" t="n"/>
    </row>
    <row r="2">
      <c r="A2" s="70" t="inlineStr">
        <is>
          <t>RL7-6MCC01</t>
        </is>
      </c>
      <c r="B2" s="71" t="inlineStr">
        <is>
          <t>01A</t>
        </is>
      </c>
      <c r="C2" s="72" t="inlineStr">
        <is>
          <t>MAIN</t>
        </is>
      </c>
      <c r="D2" s="73" t="inlineStr">
        <is>
          <t>INCOMING MCB</t>
        </is>
      </c>
      <c r="E2" s="72" t="inlineStr">
        <is>
          <t>MAIN</t>
        </is>
      </c>
      <c r="F2" s="75" t="n"/>
      <c r="G2" s="75" t="n"/>
      <c r="H2" s="76" t="n"/>
      <c r="I2" s="75" t="n"/>
      <c r="J2" s="74">
        <f>IF(ISNUMBER(MCC_Table[[#This Row],[SIZE]]), MCC_Table[[#This Row],[SIZE]]/12, 0)</f>
        <v/>
      </c>
      <c r="K2" s="81" t="n">
        <v>1200</v>
      </c>
      <c r="L2" s="10" t="n">
        <v>1200</v>
      </c>
      <c r="M2" s="76" t="n"/>
      <c r="N2" s="76" t="n"/>
      <c r="O2" s="236" t="n"/>
      <c r="P2" s="78" t="n"/>
      <c r="Q2" s="79" t="n"/>
      <c r="R2" s="79" t="n"/>
      <c r="S2" s="79" t="n"/>
      <c r="T2" s="79" t="n"/>
      <c r="U2" s="79" t="n"/>
      <c r="V2" s="79" t="n"/>
      <c r="W2" s="79" t="n"/>
      <c r="X2" s="79" t="n"/>
      <c r="Y2" s="79" t="n"/>
      <c r="Z2" s="79" t="n"/>
      <c r="AA2" s="79" t="n"/>
      <c r="AB2" s="224" t="inlineStr">
        <is>
          <t>Oneline_MCC</t>
        </is>
      </c>
      <c r="AC2" s="224" t="inlineStr">
        <is>
          <t>MCC_MB-Bus3</t>
        </is>
      </c>
      <c r="AD2" s="224" t="inlineStr">
        <is>
          <t>Power-Meter</t>
        </is>
      </c>
      <c r="AE2" s="71">
        <f>_xlfn.NUMBERVALUE(LEFT(MCC_Table[[#This Row],[BUCKET]],LEN(MCC_Table[[#This Row],[BUCKET]])-1))</f>
        <v/>
      </c>
      <c r="AF2" s="71">
        <f>RIGHT(MCC_Table[[#This Row],[BUCKET]],1)</f>
        <v/>
      </c>
      <c r="AG2" s="71">
        <f>VLOOKUP(MCC_Table[[#This Row],[START UNIT]],UnitMap[],2,FALSE)</f>
        <v/>
      </c>
      <c r="AH2" s="71">
        <f t="array" ref="AH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" s="71">
        <f>IF(ISNUMBER(MCC_Table[[#This Row],[SIZE]]), MCC_Table[[#This Row],[SIZE]]/6, 0)</f>
        <v/>
      </c>
      <c r="AJ2" s="71">
        <f>MCC_Table[[#This Row],[START INDEX]]+MCC_Table[[#This Row],[UNITS USED]]-1</f>
        <v/>
      </c>
      <c r="AK2" s="14" t="n"/>
      <c r="AL2" s="14" t="n"/>
      <c r="AM2" s="14" t="n"/>
      <c r="AN2" s="14" t="n"/>
      <c r="AO2" s="14" t="n"/>
      <c r="AP2" s="14" t="n"/>
      <c r="AQ2" s="14" t="n"/>
      <c r="AR2" s="14" t="n"/>
      <c r="AS2" s="14" t="n"/>
      <c r="AT2" s="14" t="n"/>
      <c r="AU2" s="14" t="n"/>
      <c r="AV2" s="14" t="n"/>
      <c r="AW2" s="14" t="n"/>
      <c r="AX2" s="14" t="n"/>
      <c r="AY2" s="14" t="n"/>
      <c r="AZ2" s="14" t="n"/>
      <c r="BA2" s="14" t="n"/>
      <c r="BB2" s="14" t="n"/>
      <c r="BC2" s="14" t="n"/>
      <c r="BD2" s="14" t="n"/>
      <c r="BE2" s="14" t="n"/>
    </row>
    <row r="3">
      <c r="A3" s="39" t="inlineStr">
        <is>
          <t>RL7-6MCC01</t>
        </is>
      </c>
      <c r="B3" s="29" t="inlineStr">
        <is>
          <t>01H</t>
        </is>
      </c>
      <c r="C3" s="24" t="inlineStr">
        <is>
          <t>RL7-MCC1-PM</t>
        </is>
      </c>
      <c r="D3" s="62" t="inlineStr">
        <is>
          <t>POWERMONITOR 5000 W/ ETHERNET</t>
        </is>
      </c>
      <c r="E3" s="24" t="inlineStr">
        <is>
          <t>PM</t>
        </is>
      </c>
      <c r="F3" s="8" t="n"/>
      <c r="G3" s="8" t="n"/>
      <c r="H3" s="81" t="n"/>
      <c r="I3" s="8" t="n"/>
      <c r="J3" s="80">
        <f>IF(ISNUMBER(MCC_Table[[#This Row],[SIZE]]), MCC_Table[[#This Row],[SIZE]]/12, 0)</f>
        <v/>
      </c>
      <c r="K3" s="81" t="inlineStr">
        <is>
          <t>N/A</t>
        </is>
      </c>
      <c r="L3" s="8" t="inlineStr">
        <is>
          <t>N/A</t>
        </is>
      </c>
      <c r="M3" s="76" t="n">
        <v>0.75</v>
      </c>
      <c r="N3" s="76" t="n"/>
      <c r="O3" s="236" t="n"/>
      <c r="P3" s="78" t="n"/>
      <c r="Q3" s="79" t="n"/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  <c r="AA3" s="79" t="n"/>
      <c r="AB3" s="225" t="inlineStr">
        <is>
          <t>Oneline_MCC</t>
        </is>
      </c>
      <c r="AC3" s="225" t="inlineStr">
        <is>
          <t>MCC_MB-Bus3</t>
        </is>
      </c>
      <c r="AD3" s="225" t="inlineStr">
        <is>
          <t>Power-Meter</t>
        </is>
      </c>
      <c r="AE3" s="29">
        <f>_xlfn.NUMBERVALUE(LEFT(MCC_Table[[#This Row],[BUCKET]],LEN(MCC_Table[[#This Row],[BUCKET]])-1))</f>
        <v/>
      </c>
      <c r="AF3" s="29">
        <f>RIGHT(MCC_Table[[#This Row],[BUCKET]],1)</f>
        <v/>
      </c>
      <c r="AG3" s="29">
        <f>VLOOKUP(MCC_Table[[#This Row],[START UNIT]],UnitMap[],2,FALSE)</f>
        <v/>
      </c>
      <c r="AH3" s="29">
        <f t="array" ref="AH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" s="29">
        <f>IF(ISNUMBER(MCC_Table[[#This Row],[SIZE]]), MCC_Table[[#This Row],[SIZE]]/6, 0)</f>
        <v/>
      </c>
      <c r="AJ3" s="29">
        <f>MCC_Table[[#This Row],[START INDEX]]+MCC_Table[[#This Row],[UNITS USED]]-1</f>
        <v/>
      </c>
      <c r="AK3" s="14" t="n"/>
      <c r="AL3" s="14" t="n"/>
      <c r="AM3" s="14" t="n"/>
      <c r="AN3" s="14" t="n"/>
      <c r="AO3" s="14" t="n"/>
      <c r="AP3" s="14" t="n"/>
      <c r="AQ3" s="14" t="n"/>
      <c r="AR3" s="14" t="n"/>
      <c r="AS3" s="14" t="n"/>
      <c r="AT3" s="14" t="n"/>
      <c r="AU3" s="14" t="n"/>
      <c r="AV3" s="14" t="n"/>
      <c r="AW3" s="14" t="n"/>
      <c r="AX3" s="14" t="n"/>
      <c r="AY3" s="14" t="n"/>
      <c r="AZ3" s="14" t="n"/>
      <c r="BA3" s="14" t="n"/>
      <c r="BB3" s="14" t="n"/>
      <c r="BC3" s="14" t="n"/>
      <c r="BD3" s="14" t="n"/>
      <c r="BE3" s="14" t="n"/>
    </row>
    <row r="4">
      <c r="A4" s="39" t="inlineStr">
        <is>
          <t>RL7-6MCC01</t>
        </is>
      </c>
      <c r="B4" s="8" t="inlineStr">
        <is>
          <t>01L</t>
        </is>
      </c>
      <c r="C4" s="24" t="inlineStr">
        <is>
          <t>SPARE</t>
        </is>
      </c>
      <c r="D4" s="28" t="inlineStr">
        <is>
          <t>SZ1 FVNR - 1.5HP</t>
        </is>
      </c>
      <c r="E4" s="29" t="inlineStr">
        <is>
          <t>FVNR</t>
        </is>
      </c>
      <c r="F4" s="8" t="n"/>
      <c r="G4" s="8" t="n">
        <v>1.5</v>
      </c>
      <c r="H4" s="82" t="n"/>
      <c r="I4" s="8" t="n"/>
      <c r="J4" s="83">
        <f>IF(ISNUMBER(MCC_Table[[#This Row],[SIZE]]), MCC_Table[[#This Row],[SIZE]]/12, 0)</f>
        <v/>
      </c>
      <c r="K4" s="87" t="n">
        <v>7</v>
      </c>
      <c r="L4" s="8" t="n">
        <v>125</v>
      </c>
      <c r="M4" s="82" t="n"/>
      <c r="N4" s="82" t="n"/>
      <c r="O4" s="239" t="n"/>
      <c r="P4" s="85" t="n"/>
      <c r="Q4" s="86" t="n"/>
      <c r="R4" s="86" t="n"/>
      <c r="S4" s="86" t="n"/>
      <c r="T4" s="86" t="n"/>
      <c r="U4" s="86" t="n"/>
      <c r="V4" s="86" t="n"/>
      <c r="W4" s="86" t="n"/>
      <c r="X4" s="86" t="n"/>
      <c r="Y4" s="86" t="n"/>
      <c r="Z4" s="86" t="n"/>
      <c r="AA4" s="86" t="n"/>
      <c r="AB4" s="224" t="inlineStr">
        <is>
          <t>Oneline_Motor</t>
        </is>
      </c>
      <c r="AC4" s="224" t="inlineStr">
        <is>
          <t>Motor_FVNR</t>
        </is>
      </c>
      <c r="AD4" s="224" t="inlineStr">
        <is>
          <t>Motor w/ Disc</t>
        </is>
      </c>
      <c r="AE4" s="8">
        <f>_xlfn.NUMBERVALUE(LEFT(MCC_Table[[#This Row],[BUCKET]],LEN(MCC_Table[[#This Row],[BUCKET]])-1))</f>
        <v/>
      </c>
      <c r="AF4" s="8">
        <f>RIGHT(MCC_Table[[#This Row],[BUCKET]],1)</f>
        <v/>
      </c>
      <c r="AG4" s="8">
        <f>VLOOKUP(MCC_Table[[#This Row],[START UNIT]],UnitMap[],2,FALSE)</f>
        <v/>
      </c>
      <c r="AH4" s="8">
        <f t="array" ref="AH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" s="8">
        <f>IF(ISNUMBER(MCC_Table[[#This Row],[SIZE]]), MCC_Table[[#This Row],[SIZE]]/6, 0)</f>
        <v/>
      </c>
      <c r="AJ4" s="8">
        <f>MCC_Table[[#This Row],[START INDEX]]+MCC_Table[[#This Row],[UNITS USED]]-1</f>
        <v/>
      </c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4" t="n"/>
      <c r="BE4" s="14" t="n"/>
    </row>
    <row r="5" ht="30" customHeight="1">
      <c r="A5" s="39" t="inlineStr">
        <is>
          <t>RL7-6MCC01</t>
        </is>
      </c>
      <c r="B5" s="29" t="inlineStr">
        <is>
          <t>2A</t>
        </is>
      </c>
      <c r="C5" s="24" t="inlineStr">
        <is>
          <t>RL7-MCC1-2A.SW1 RL7-MCC1-2A.SW2</t>
        </is>
      </c>
      <c r="D5" s="62" t="inlineStr">
        <is>
          <t>ETHERNET SWITCH (10-PORT)
ETHERNET SWITCH (20-PORT)</t>
        </is>
      </c>
      <c r="E5" s="24" t="inlineStr">
        <is>
          <t>ENET_30</t>
        </is>
      </c>
      <c r="F5" s="8" t="n"/>
      <c r="G5" s="8" t="n"/>
      <c r="H5" s="82" t="n"/>
      <c r="I5" s="8" t="n"/>
      <c r="J5" s="80">
        <f>IF(ISNUMBER(MCC_Table[[#This Row],[SIZE]]), MCC_Table[[#This Row],[SIZE]]/12, 0)</f>
        <v/>
      </c>
      <c r="K5" s="87" t="n"/>
      <c r="L5" s="8" t="n"/>
      <c r="M5" s="82" t="n"/>
      <c r="N5" s="82" t="n"/>
      <c r="O5" s="236" t="n"/>
      <c r="P5" s="78" t="n"/>
      <c r="Q5" s="79" t="n"/>
      <c r="R5" s="79" t="n"/>
      <c r="S5" s="79" t="n"/>
      <c r="T5" s="79" t="n"/>
      <c r="U5" s="79" t="n"/>
      <c r="V5" s="79" t="n"/>
      <c r="W5" s="79" t="n"/>
      <c r="X5" s="79" t="n"/>
      <c r="Y5" s="79" t="n"/>
      <c r="Z5" s="79" t="n"/>
      <c r="AA5" s="79" t="n"/>
      <c r="AB5" s="225" t="inlineStr">
        <is>
          <t>Oneline_Ensw</t>
        </is>
      </c>
      <c r="AC5" s="225" t="inlineStr">
        <is>
          <t>Switch_30-Port</t>
        </is>
      </c>
      <c r="AD5" s="225" t="n"/>
      <c r="AE5" s="29">
        <f>_xlfn.NUMBERVALUE(LEFT(MCC_Table[[#This Row],[BUCKET]],LEN(MCC_Table[[#This Row],[BUCKET]])-1))</f>
        <v/>
      </c>
      <c r="AF5" s="29">
        <f>RIGHT(MCC_Table[[#This Row],[BUCKET]],1)</f>
        <v/>
      </c>
      <c r="AG5" s="29">
        <f>VLOOKUP(MCC_Table[[#This Row],[START UNIT]],UnitMap[],2,FALSE)</f>
        <v/>
      </c>
      <c r="AH5" s="29">
        <f t="array" ref="AH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5" s="29">
        <f>IF(ISNUMBER(MCC_Table[[#This Row],[SIZE]]), MCC_Table[[#This Row],[SIZE]]/6, 0)</f>
        <v/>
      </c>
      <c r="AJ5" s="29">
        <f>MCC_Table[[#This Row],[START INDEX]]+MCC_Table[[#This Row],[UNITS USED]]-1</f>
        <v/>
      </c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  <c r="BA5" s="14" t="n"/>
      <c r="BB5" s="14" t="n"/>
      <c r="BC5" s="14" t="n"/>
      <c r="BD5" s="14" t="n"/>
      <c r="BE5" s="14" t="n"/>
    </row>
    <row r="6">
      <c r="A6" s="39" t="inlineStr">
        <is>
          <t>RL7-6MCC01</t>
        </is>
      </c>
      <c r="B6" s="29" t="inlineStr">
        <is>
          <t>02C</t>
        </is>
      </c>
      <c r="C6" s="24" t="inlineStr">
        <is>
          <t>RL7-MCC1-2C.PS1</t>
        </is>
      </c>
      <c r="D6" s="62" t="inlineStr">
        <is>
          <t>ETHERNET SWITCH POWER SUPPLY</t>
        </is>
      </c>
      <c r="E6" s="24" t="inlineStr">
        <is>
          <t>ENET_PS</t>
        </is>
      </c>
      <c r="F6" s="8" t="n"/>
      <c r="G6" s="8" t="n"/>
      <c r="H6" s="82" t="n"/>
      <c r="I6" s="8" t="n"/>
      <c r="J6" s="80">
        <f>IF(ISNUMBER(MCC_Table[[#This Row],[SIZE]]), MCC_Table[[#This Row],[SIZE]]/12, 0)</f>
        <v/>
      </c>
      <c r="K6" s="87" t="n"/>
      <c r="L6" s="8" t="n"/>
      <c r="M6" s="82" t="n"/>
      <c r="N6" s="82" t="n"/>
      <c r="O6" s="236" t="n"/>
      <c r="P6" s="78" t="n"/>
      <c r="Q6" s="79" t="n"/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  <c r="AA6" s="79" t="n"/>
      <c r="AB6" s="225" t="inlineStr">
        <is>
          <t>Oneline_Ensw_Power_Supply</t>
        </is>
      </c>
      <c r="AC6" s="225" t="inlineStr">
        <is>
          <t>PS_2Ckt-External-Power</t>
        </is>
      </c>
      <c r="AD6" s="225" t="n"/>
      <c r="AE6" s="29">
        <f>_xlfn.NUMBERVALUE(LEFT(MCC_Table[[#This Row],[BUCKET]],LEN(MCC_Table[[#This Row],[BUCKET]])-1))</f>
        <v/>
      </c>
      <c r="AF6" s="29">
        <f>RIGHT(MCC_Table[[#This Row],[BUCKET]],1)</f>
        <v/>
      </c>
      <c r="AG6" s="29">
        <f>VLOOKUP(MCC_Table[[#This Row],[START UNIT]],UnitMap[],2,FALSE)</f>
        <v/>
      </c>
      <c r="AH6" s="29">
        <f t="array" ref="AH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6" s="29">
        <f>IF(ISNUMBER(MCC_Table[[#This Row],[SIZE]]), MCC_Table[[#This Row],[SIZE]]/6, 0)</f>
        <v/>
      </c>
      <c r="AJ6" s="29">
        <f>MCC_Table[[#This Row],[START INDEX]]+MCC_Table[[#This Row],[UNITS USED]]-1</f>
        <v/>
      </c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</row>
    <row r="7">
      <c r="A7" s="39" t="inlineStr">
        <is>
          <t>RL7-6MCC01</t>
        </is>
      </c>
      <c r="B7" s="29" t="inlineStr">
        <is>
          <t>02E</t>
        </is>
      </c>
      <c r="C7" s="24" t="inlineStr">
        <is>
          <t>SPACE</t>
        </is>
      </c>
      <c r="D7" s="62" t="inlineStr">
        <is>
          <t>6" SPACE</t>
        </is>
      </c>
      <c r="E7" s="24" t="inlineStr">
        <is>
          <t>SPACE</t>
        </is>
      </c>
      <c r="F7" s="8" t="n"/>
      <c r="G7" s="8" t="n"/>
      <c r="H7" s="82" t="n"/>
      <c r="I7" s="8" t="n"/>
      <c r="J7" s="80">
        <f>IF(ISNUMBER(MCC_Table[[#This Row],[SIZE]]), MCC_Table[[#This Row],[SIZE]]/12, 0)</f>
        <v/>
      </c>
      <c r="K7" s="87" t="n"/>
      <c r="L7" s="8" t="n"/>
      <c r="M7" s="82" t="n"/>
      <c r="N7" s="82" t="n"/>
      <c r="O7" s="236" t="n"/>
      <c r="P7" s="78" t="n"/>
      <c r="Q7" s="79" t="n"/>
      <c r="R7" s="79" t="n"/>
      <c r="S7" s="79" t="n"/>
      <c r="T7" s="79" t="n"/>
      <c r="U7" s="79" t="n"/>
      <c r="V7" s="79" t="n"/>
      <c r="W7" s="79" t="n"/>
      <c r="X7" s="79" t="n"/>
      <c r="Y7" s="79" t="n"/>
      <c r="Z7" s="79" t="n"/>
      <c r="AA7" s="79" t="n"/>
      <c r="AB7" s="225" t="inlineStr">
        <is>
          <t>Oneline_Feeder_Panel</t>
        </is>
      </c>
      <c r="AC7" s="225" t="inlineStr">
        <is>
          <t>Feeder_Space</t>
        </is>
      </c>
      <c r="AD7" s="225" t="n"/>
      <c r="AE7" s="29">
        <f>_xlfn.NUMBERVALUE(LEFT(MCC_Table[[#This Row],[BUCKET]],LEN(MCC_Table[[#This Row],[BUCKET]])-1))</f>
        <v/>
      </c>
      <c r="AF7" s="29">
        <f>RIGHT(MCC_Table[[#This Row],[BUCKET]],1)</f>
        <v/>
      </c>
      <c r="AG7" s="29">
        <f>VLOOKUP(MCC_Table[[#This Row],[START UNIT]],UnitMap[],2,FALSE)</f>
        <v/>
      </c>
      <c r="AH7" s="29">
        <f t="array" ref="AH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7" s="29">
        <f>IF(ISNUMBER(MCC_Table[[#This Row],[SIZE]]), MCC_Table[[#This Row],[SIZE]]/6, 0)</f>
        <v/>
      </c>
      <c r="AJ7" s="29">
        <f>MCC_Table[[#This Row],[START INDEX]]+MCC_Table[[#This Row],[UNITS USED]]-1</f>
        <v/>
      </c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14" t="n"/>
      <c r="AV7" s="14" t="n"/>
      <c r="AW7" s="14" t="n"/>
      <c r="AX7" s="14" t="n"/>
      <c r="AY7" s="14" t="n"/>
      <c r="AZ7" s="14" t="n"/>
      <c r="BA7" s="14" t="n"/>
      <c r="BB7" s="14" t="n"/>
      <c r="BC7" s="14" t="n"/>
      <c r="BD7" s="14" t="n"/>
      <c r="BE7" s="14" t="n"/>
    </row>
    <row r="8">
      <c r="A8" s="39" t="inlineStr">
        <is>
          <t>RL7-6MCC01</t>
        </is>
      </c>
      <c r="B8" s="8" t="inlineStr">
        <is>
          <t>02F</t>
        </is>
      </c>
      <c r="C8" s="24" t="inlineStr">
        <is>
          <t>SPARE</t>
        </is>
      </c>
      <c r="D8" s="28" t="inlineStr">
        <is>
          <t>SZ1 FVNR - 7.5HP</t>
        </is>
      </c>
      <c r="E8" s="29" t="inlineStr">
        <is>
          <t>FVNR</t>
        </is>
      </c>
      <c r="F8" s="8" t="n"/>
      <c r="G8" s="8" t="n">
        <v>7.5</v>
      </c>
      <c r="H8" s="82" t="n"/>
      <c r="I8" s="8" t="n"/>
      <c r="J8" s="83">
        <f>IF(ISNUMBER(MCC_Table[[#This Row],[SIZE]]), MCC_Table[[#This Row],[SIZE]]/12, 0)</f>
        <v/>
      </c>
      <c r="K8" s="87" t="n">
        <v>30</v>
      </c>
      <c r="L8" s="8" t="n">
        <v>125</v>
      </c>
      <c r="M8" s="82" t="n"/>
      <c r="N8" s="82" t="n"/>
      <c r="O8" s="236" t="n"/>
      <c r="P8" s="85" t="n"/>
      <c r="Q8" s="79" t="n"/>
      <c r="R8" s="79" t="n"/>
      <c r="S8" s="79" t="n"/>
      <c r="T8" s="79" t="n"/>
      <c r="U8" s="79" t="n"/>
      <c r="V8" s="79" t="n"/>
      <c r="W8" s="79" t="n"/>
      <c r="X8" s="79" t="n"/>
      <c r="Y8" s="79" t="n"/>
      <c r="Z8" s="79" t="n"/>
      <c r="AA8" s="79" t="n"/>
      <c r="AB8" s="225" t="inlineStr">
        <is>
          <t>Oneline_Motor</t>
        </is>
      </c>
      <c r="AC8" s="224" t="inlineStr">
        <is>
          <t>Motor_FVNR</t>
        </is>
      </c>
      <c r="AD8" s="224" t="inlineStr">
        <is>
          <t>Motor w/ Disc</t>
        </is>
      </c>
      <c r="AE8" s="8">
        <f>_xlfn.NUMBERVALUE(LEFT(MCC_Table[[#This Row],[BUCKET]],LEN(MCC_Table[[#This Row],[BUCKET]])-1))</f>
        <v/>
      </c>
      <c r="AF8" s="8">
        <f>RIGHT(MCC_Table[[#This Row],[BUCKET]],1)</f>
        <v/>
      </c>
      <c r="AG8" s="8">
        <f>VLOOKUP(MCC_Table[[#This Row],[START UNIT]],UnitMap[],2,FALSE)</f>
        <v/>
      </c>
      <c r="AH8" s="8">
        <f t="array" ref="AH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8" s="8">
        <f>IF(ISNUMBER(MCC_Table[[#This Row],[SIZE]]), MCC_Table[[#This Row],[SIZE]]/6, 0)</f>
        <v/>
      </c>
      <c r="AJ8" s="8">
        <f>MCC_Table[[#This Row],[START INDEX]]+MCC_Table[[#This Row],[UNITS USED]]-1</f>
        <v/>
      </c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</row>
    <row r="9">
      <c r="A9" s="39" t="inlineStr">
        <is>
          <t>RL7-6MCC01</t>
        </is>
      </c>
      <c r="B9" s="8" t="inlineStr">
        <is>
          <t>02H</t>
        </is>
      </c>
      <c r="C9" s="24" t="inlineStr">
        <is>
          <t>SPARE</t>
        </is>
      </c>
      <c r="D9" s="28" t="inlineStr">
        <is>
          <t>VFD - 10HP</t>
        </is>
      </c>
      <c r="E9" s="29" t="inlineStr">
        <is>
          <t>VFD_PF755</t>
        </is>
      </c>
      <c r="F9" s="8" t="n"/>
      <c r="G9" s="8" t="n">
        <v>10</v>
      </c>
      <c r="H9" s="82" t="n">
        <v>14</v>
      </c>
      <c r="I9" s="8" t="n"/>
      <c r="J9" s="83">
        <f>IF(ISNUMBER(MCC_Table[[#This Row],[SIZE]]), MCC_Table[[#This Row],[SIZE]]/12, 0)</f>
        <v/>
      </c>
      <c r="K9" s="87" t="n">
        <v>30</v>
      </c>
      <c r="L9" s="8" t="n">
        <v>125</v>
      </c>
      <c r="M9" s="82" t="n">
        <v>25</v>
      </c>
      <c r="N9" s="82" t="n"/>
      <c r="O9" s="236" t="n"/>
      <c r="P9" s="85" t="n"/>
      <c r="Q9" s="79" t="n"/>
      <c r="R9" s="79" t="n"/>
      <c r="S9" s="79" t="n"/>
      <c r="T9" s="79" t="n"/>
      <c r="U9" s="79" t="n"/>
      <c r="V9" s="79" t="n"/>
      <c r="W9" s="79" t="n"/>
      <c r="X9" s="79" t="n"/>
      <c r="Y9" s="79" t="n"/>
      <c r="Z9" s="79" t="n"/>
      <c r="AA9" s="79" t="n"/>
      <c r="AB9" s="225" t="inlineStr">
        <is>
          <t>Oneline_Motor</t>
        </is>
      </c>
      <c r="AC9" s="225" t="inlineStr">
        <is>
          <t>Motor_VFD-w-Fuse</t>
        </is>
      </c>
      <c r="AD9" s="224" t="inlineStr">
        <is>
          <t>Motor w/ Disc</t>
        </is>
      </c>
      <c r="AE9" s="8">
        <f>_xlfn.NUMBERVALUE(LEFT(MCC_Table[[#This Row],[BUCKET]],LEN(MCC_Table[[#This Row],[BUCKET]])-1))</f>
        <v/>
      </c>
      <c r="AF9" s="8">
        <f>RIGHT(MCC_Table[[#This Row],[BUCKET]],1)</f>
        <v/>
      </c>
      <c r="AG9" s="8">
        <f>VLOOKUP(MCC_Table[[#This Row],[START UNIT]],UnitMap[],2,FALSE)</f>
        <v/>
      </c>
      <c r="AH9" s="8">
        <f t="array" ref="AH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9" s="8">
        <f>IF(ISNUMBER(MCC_Table[[#This Row],[SIZE]]), MCC_Table[[#This Row],[SIZE]]/6, 0)</f>
        <v/>
      </c>
      <c r="AJ9" s="8">
        <f>MCC_Table[[#This Row],[START INDEX]]+MCC_Table[[#This Row],[UNITS USED]]-1</f>
        <v/>
      </c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4" t="n"/>
    </row>
    <row r="10">
      <c r="A10" s="39" t="inlineStr">
        <is>
          <t>RL7-6MCC01</t>
        </is>
      </c>
      <c r="B10" s="8" t="inlineStr">
        <is>
          <t>03A</t>
        </is>
      </c>
      <c r="C10" s="24" t="inlineStr">
        <is>
          <t>SPARE</t>
        </is>
      </c>
      <c r="D10" s="28" t="inlineStr">
        <is>
          <t>VFD - 60HP</t>
        </is>
      </c>
      <c r="E10" s="29" t="inlineStr">
        <is>
          <t>VFD_PF755</t>
        </is>
      </c>
      <c r="F10" s="8" t="n"/>
      <c r="G10" s="8" t="n">
        <v>60</v>
      </c>
      <c r="H10" s="82" t="n">
        <v>77</v>
      </c>
      <c r="I10" s="8" t="n"/>
      <c r="J10" s="83">
        <f>IF(ISNUMBER(MCC_Table[[#This Row],[SIZE]]), MCC_Table[[#This Row],[SIZE]]/12, 0)</f>
        <v/>
      </c>
      <c r="K10" s="87" t="n">
        <v>200</v>
      </c>
      <c r="L10" s="8" t="n">
        <v>250</v>
      </c>
      <c r="M10" s="82" t="n">
        <v>125</v>
      </c>
      <c r="N10" s="82" t="n"/>
      <c r="O10" s="236" t="n"/>
      <c r="P10" s="85" t="n"/>
      <c r="Q10" s="79" t="n"/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  <c r="AA10" s="79" t="n"/>
      <c r="AB10" s="225" t="inlineStr">
        <is>
          <t>Oneline_Motor</t>
        </is>
      </c>
      <c r="AC10" s="225" t="inlineStr">
        <is>
          <t>Motor_VFD-w-Fuse</t>
        </is>
      </c>
      <c r="AD10" s="224" t="inlineStr">
        <is>
          <t>Motor w/ Disc</t>
        </is>
      </c>
      <c r="AE10" s="8">
        <f>_xlfn.NUMBERVALUE(LEFT(MCC_Table[[#This Row],[BUCKET]],LEN(MCC_Table[[#This Row],[BUCKET]])-1))</f>
        <v/>
      </c>
      <c r="AF10" s="8">
        <f>RIGHT(MCC_Table[[#This Row],[BUCKET]],1)</f>
        <v/>
      </c>
      <c r="AG10" s="8">
        <f>VLOOKUP(MCC_Table[[#This Row],[START UNIT]],UnitMap[],2,FALSE)</f>
        <v/>
      </c>
      <c r="AH10" s="8">
        <f t="array" ref="AH1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0" s="8">
        <f>IF(ISNUMBER(MCC_Table[[#This Row],[SIZE]]), MCC_Table[[#This Row],[SIZE]]/6, 0)</f>
        <v/>
      </c>
      <c r="AJ10" s="8">
        <f>MCC_Table[[#This Row],[START INDEX]]+MCC_Table[[#This Row],[UNITS USED]]-1</f>
        <v/>
      </c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</row>
    <row r="11">
      <c r="A11" s="39" t="inlineStr">
        <is>
          <t>RL7-6MCC01</t>
        </is>
      </c>
      <c r="B11" s="8" t="inlineStr">
        <is>
          <t>04A</t>
        </is>
      </c>
      <c r="C11" s="24" t="inlineStr">
        <is>
          <t>RL7-GRR-101.M1</t>
        </is>
      </c>
      <c r="D11" s="28" t="inlineStr">
        <is>
          <t xml:space="preserve">FINISH GRINDER </t>
        </is>
      </c>
      <c r="E11" s="29" t="inlineStr">
        <is>
          <t>VFD_PF755</t>
        </is>
      </c>
      <c r="F11" s="8" t="n">
        <v>215</v>
      </c>
      <c r="G11" s="8" t="n">
        <v>250</v>
      </c>
      <c r="H11" s="82" t="n">
        <v>302</v>
      </c>
      <c r="I11" s="8" t="n"/>
      <c r="J11" s="83">
        <f>IF(ISNUMBER(MCC_Table[[#This Row],[SIZE]]), MCC_Table[[#This Row],[SIZE]]/12, 0)</f>
        <v/>
      </c>
      <c r="K11" s="87" t="n">
        <v>600</v>
      </c>
      <c r="L11" s="8" t="n">
        <v>800</v>
      </c>
      <c r="M11" s="82" t="n">
        <v>500</v>
      </c>
      <c r="N11" s="82" t="inlineStr">
        <is>
          <t>3/C 400 MCM VFD CABLE</t>
        </is>
      </c>
      <c r="O11" s="236" t="n"/>
      <c r="P11" s="85" t="n"/>
      <c r="Q11" s="79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  <c r="AA11" s="79" t="n"/>
      <c r="AB11" s="225" t="inlineStr">
        <is>
          <t>Oneline_Motor</t>
        </is>
      </c>
      <c r="AC11" s="225" t="inlineStr">
        <is>
          <t>Motor_VFD-w-Fuse</t>
        </is>
      </c>
      <c r="AD11" s="224" t="inlineStr">
        <is>
          <t>Motor w/ Disc</t>
        </is>
      </c>
      <c r="AE11" s="8">
        <f>_xlfn.NUMBERVALUE(LEFT(MCC_Table[[#This Row],[BUCKET]],LEN(MCC_Table[[#This Row],[BUCKET]])-1))</f>
        <v/>
      </c>
      <c r="AF11" s="8">
        <f>RIGHT(MCC_Table[[#This Row],[BUCKET]],1)</f>
        <v/>
      </c>
      <c r="AG11" s="8">
        <f>VLOOKUP(MCC_Table[[#This Row],[START UNIT]],UnitMap[],2,FALSE)</f>
        <v/>
      </c>
      <c r="AH11" s="8">
        <f t="array" ref="AH1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1" s="8">
        <f>IF(ISNUMBER(MCC_Table[[#This Row],[SIZE]]), MCC_Table[[#This Row],[SIZE]]/6, 0)</f>
        <v/>
      </c>
      <c r="AJ11" s="8">
        <f>MCC_Table[[#This Row],[START INDEX]]+MCC_Table[[#This Row],[UNITS USED]]-1</f>
        <v/>
      </c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  <c r="BA11" s="14" t="n"/>
      <c r="BB11" s="14" t="n"/>
      <c r="BC11" s="14" t="n"/>
      <c r="BD11" s="14" t="n"/>
      <c r="BE11" s="14" t="n"/>
    </row>
    <row r="12">
      <c r="A12" s="39" t="inlineStr">
        <is>
          <t>RL7-6MCC01</t>
        </is>
      </c>
      <c r="B12" s="8" t="inlineStr">
        <is>
          <t>05A</t>
        </is>
      </c>
      <c r="C12" s="24" t="inlineStr">
        <is>
          <t>SPARE</t>
        </is>
      </c>
      <c r="D12" s="28" t="inlineStr">
        <is>
          <t>VFD - 10HP</t>
        </is>
      </c>
      <c r="E12" s="29" t="inlineStr">
        <is>
          <t>VFD_PF755</t>
        </is>
      </c>
      <c r="F12" s="8" t="n"/>
      <c r="G12" s="8" t="n">
        <v>10</v>
      </c>
      <c r="H12" s="82" t="n">
        <v>14</v>
      </c>
      <c r="I12" s="8" t="n"/>
      <c r="J12" s="83">
        <f>IF(ISNUMBER(MCC_Table[[#This Row],[SIZE]]), MCC_Table[[#This Row],[SIZE]]/12, 0)</f>
        <v/>
      </c>
      <c r="K12" s="87" t="n">
        <v>30</v>
      </c>
      <c r="L12" s="8" t="n">
        <v>125</v>
      </c>
      <c r="M12" s="82" t="n">
        <v>25</v>
      </c>
      <c r="N12" s="82" t="n"/>
      <c r="O12" s="236" t="n"/>
      <c r="P12" s="85" t="n"/>
      <c r="Q12" s="79" t="n"/>
      <c r="R12" s="79" t="n"/>
      <c r="S12" s="79" t="n"/>
      <c r="T12" s="79" t="n"/>
      <c r="U12" s="79" t="n"/>
      <c r="V12" s="79" t="n"/>
      <c r="W12" s="79" t="n"/>
      <c r="X12" s="79" t="n"/>
      <c r="Y12" s="79" t="n"/>
      <c r="Z12" s="79" t="n"/>
      <c r="AA12" s="79" t="n"/>
      <c r="AB12" s="225" t="inlineStr">
        <is>
          <t>Oneline_Motor</t>
        </is>
      </c>
      <c r="AC12" s="225" t="inlineStr">
        <is>
          <t>Motor_VFD-w-Fuse</t>
        </is>
      </c>
      <c r="AD12" s="224" t="inlineStr">
        <is>
          <t>Motor w/ Disc</t>
        </is>
      </c>
      <c r="AE12" s="8">
        <f>_xlfn.NUMBERVALUE(LEFT(MCC_Table[[#This Row],[BUCKET]],LEN(MCC_Table[[#This Row],[BUCKET]])-1))</f>
        <v/>
      </c>
      <c r="AF12" s="8">
        <f>RIGHT(MCC_Table[[#This Row],[BUCKET]],1)</f>
        <v/>
      </c>
      <c r="AG12" s="8">
        <f>VLOOKUP(MCC_Table[[#This Row],[START UNIT]],UnitMap[],2,FALSE)</f>
        <v/>
      </c>
      <c r="AH12" s="8">
        <f t="array" ref="AH1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2" s="8">
        <f>IF(ISNUMBER(MCC_Table[[#This Row],[SIZE]]), MCC_Table[[#This Row],[SIZE]]/6, 0)</f>
        <v/>
      </c>
      <c r="AJ12" s="8">
        <f>MCC_Table[[#This Row],[START INDEX]]+MCC_Table[[#This Row],[UNITS USED]]-1</f>
        <v/>
      </c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</row>
    <row r="13">
      <c r="A13" s="39" t="inlineStr">
        <is>
          <t>RL7-6MCC01</t>
        </is>
      </c>
      <c r="B13" s="8" t="inlineStr">
        <is>
          <t>05F</t>
        </is>
      </c>
      <c r="C13" s="24" t="inlineStr">
        <is>
          <t>SPARE</t>
        </is>
      </c>
      <c r="D13" s="28" t="inlineStr">
        <is>
          <t>VFD - 25HP</t>
        </is>
      </c>
      <c r="E13" s="29" t="inlineStr">
        <is>
          <t>VFD_PF755</t>
        </is>
      </c>
      <c r="F13" s="8" t="n"/>
      <c r="G13" s="8" t="n">
        <v>25</v>
      </c>
      <c r="H13" s="82" t="n">
        <v>34</v>
      </c>
      <c r="I13" s="8" t="n"/>
      <c r="J13" s="83">
        <f>IF(ISNUMBER(MCC_Table[[#This Row],[SIZE]]), MCC_Table[[#This Row],[SIZE]]/12, 0)</f>
        <v/>
      </c>
      <c r="K13" s="87" t="n">
        <v>60</v>
      </c>
      <c r="L13" s="8" t="n">
        <v>125</v>
      </c>
      <c r="M13" s="82" t="n">
        <v>60</v>
      </c>
      <c r="N13" s="82" t="n"/>
      <c r="O13" s="236" t="n"/>
      <c r="P13" s="85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  <c r="AA13" s="79" t="n"/>
      <c r="AB13" s="225" t="inlineStr">
        <is>
          <t>Oneline_Motor</t>
        </is>
      </c>
      <c r="AC13" s="225" t="inlineStr">
        <is>
          <t>Motor_VFD-w-Fuse</t>
        </is>
      </c>
      <c r="AD13" s="224" t="inlineStr">
        <is>
          <t>Motor w/ Disc</t>
        </is>
      </c>
      <c r="AE13" s="8">
        <f>_xlfn.NUMBERVALUE(LEFT(MCC_Table[[#This Row],[BUCKET]],LEN(MCC_Table[[#This Row],[BUCKET]])-1))</f>
        <v/>
      </c>
      <c r="AF13" s="8">
        <f>RIGHT(MCC_Table[[#This Row],[BUCKET]],1)</f>
        <v/>
      </c>
      <c r="AG13" s="8">
        <f>VLOOKUP(MCC_Table[[#This Row],[START UNIT]],UnitMap[],2,FALSE)</f>
        <v/>
      </c>
      <c r="AH13" s="8">
        <f t="array" ref="AH1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3" s="8">
        <f>IF(ISNUMBER(MCC_Table[[#This Row],[SIZE]]), MCC_Table[[#This Row],[SIZE]]/6, 0)</f>
        <v/>
      </c>
      <c r="AJ13" s="8">
        <f>MCC_Table[[#This Row],[START INDEX]]+MCC_Table[[#This Row],[UNITS USED]]-1</f>
        <v/>
      </c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4" t="n"/>
      <c r="BE13" s="14" t="n"/>
    </row>
    <row r="14">
      <c r="A14" s="39" t="inlineStr">
        <is>
          <t>RL7-6MCC01</t>
        </is>
      </c>
      <c r="B14" s="8" t="inlineStr">
        <is>
          <t>06A</t>
        </is>
      </c>
      <c r="C14" s="24" t="inlineStr">
        <is>
          <t>RL7-CNV-112.M1</t>
        </is>
      </c>
      <c r="D14" s="28" t="inlineStr">
        <is>
          <t>SURGE BIN TAKE AWAY CONVEYOR</t>
        </is>
      </c>
      <c r="E14" s="29" t="inlineStr">
        <is>
          <t>VFD_PF755</t>
        </is>
      </c>
      <c r="F14" s="8" t="n">
        <v>1</v>
      </c>
      <c r="G14" s="8" t="n">
        <v>2</v>
      </c>
      <c r="H14" s="82" t="n">
        <v>3.4</v>
      </c>
      <c r="I14" s="8" t="n"/>
      <c r="J14" s="83">
        <f>IF(ISNUMBER(MCC_Table[[#This Row],[SIZE]]), MCC_Table[[#This Row],[SIZE]]/12, 0)</f>
        <v/>
      </c>
      <c r="K14" s="87" t="n">
        <v>15</v>
      </c>
      <c r="L14" s="8" t="n">
        <v>125</v>
      </c>
      <c r="M14" s="82" t="n">
        <v>6</v>
      </c>
      <c r="N14" s="82" t="inlineStr">
        <is>
          <t>3/C #12 VFD CABLE</t>
        </is>
      </c>
      <c r="O14" s="236" t="n"/>
      <c r="P14" s="85" t="n"/>
      <c r="Q14" s="79" t="n"/>
      <c r="R14" s="79" t="n"/>
      <c r="S14" s="79" t="n"/>
      <c r="T14" s="79" t="n"/>
      <c r="U14" s="79" t="n"/>
      <c r="V14" s="79" t="n"/>
      <c r="W14" s="79" t="n"/>
      <c r="X14" s="79" t="n"/>
      <c r="Y14" s="79" t="n"/>
      <c r="Z14" s="79" t="n"/>
      <c r="AA14" s="79" t="n"/>
      <c r="AB14" s="225" t="inlineStr">
        <is>
          <t>Oneline_Motor</t>
        </is>
      </c>
      <c r="AC14" s="225" t="inlineStr">
        <is>
          <t>Motor_VFD-w-Fuse</t>
        </is>
      </c>
      <c r="AD14" s="224" t="inlineStr">
        <is>
          <t>Motor w/ Disc</t>
        </is>
      </c>
      <c r="AE14" s="8">
        <f>_xlfn.NUMBERVALUE(LEFT(MCC_Table[[#This Row],[BUCKET]],LEN(MCC_Table[[#This Row],[BUCKET]])-1))</f>
        <v/>
      </c>
      <c r="AF14" s="8">
        <f>RIGHT(MCC_Table[[#This Row],[BUCKET]],1)</f>
        <v/>
      </c>
      <c r="AG14" s="8">
        <f>VLOOKUP(MCC_Table[[#This Row],[START UNIT]],UnitMap[],2,FALSE)</f>
        <v/>
      </c>
      <c r="AH14" s="8">
        <f t="array" ref="AH1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4" s="8">
        <f>IF(ISNUMBER(MCC_Table[[#This Row],[SIZE]]), MCC_Table[[#This Row],[SIZE]]/6, 0)</f>
        <v/>
      </c>
      <c r="AJ14" s="8">
        <f>MCC_Table[[#This Row],[START INDEX]]+MCC_Table[[#This Row],[UNITS USED]]-1</f>
        <v/>
      </c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</row>
    <row r="15">
      <c r="A15" s="39" t="inlineStr">
        <is>
          <t>RL7-6MCC01</t>
        </is>
      </c>
      <c r="B15" s="8" t="inlineStr">
        <is>
          <t>06E</t>
        </is>
      </c>
      <c r="C15" s="24" t="inlineStr">
        <is>
          <t>RL7-CNV-115.M1</t>
        </is>
      </c>
      <c r="D15" s="28" t="inlineStr">
        <is>
          <t>INCLINE BELT CONVEYOR 2</t>
        </is>
      </c>
      <c r="E15" s="29" t="inlineStr">
        <is>
          <t>VFD_PF755</t>
        </is>
      </c>
      <c r="F15" s="8" t="n">
        <v>1</v>
      </c>
      <c r="G15" s="8" t="n">
        <v>2</v>
      </c>
      <c r="H15" s="82" t="n">
        <v>3.4</v>
      </c>
      <c r="I15" s="8" t="n"/>
      <c r="J15" s="83">
        <f>IF(ISNUMBER(MCC_Table[[#This Row],[SIZE]]), MCC_Table[[#This Row],[SIZE]]/12, 0)</f>
        <v/>
      </c>
      <c r="K15" s="87" t="n">
        <v>15</v>
      </c>
      <c r="L15" s="8" t="n">
        <v>125</v>
      </c>
      <c r="M15" s="82" t="n">
        <v>6</v>
      </c>
      <c r="N15" s="82" t="inlineStr">
        <is>
          <t>3/C #12 VFD CABLE</t>
        </is>
      </c>
      <c r="O15" s="236" t="n"/>
      <c r="P15" s="85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225" t="inlineStr">
        <is>
          <t>Oneline_Motor</t>
        </is>
      </c>
      <c r="AC15" s="225" t="inlineStr">
        <is>
          <t>Motor_VFD-w-Fuse</t>
        </is>
      </c>
      <c r="AD15" s="224" t="inlineStr">
        <is>
          <t>Motor w/ Disc</t>
        </is>
      </c>
      <c r="AE15" s="8">
        <f>_xlfn.NUMBERVALUE(LEFT(MCC_Table[[#This Row],[BUCKET]],LEN(MCC_Table[[#This Row],[BUCKET]])-1))</f>
        <v/>
      </c>
      <c r="AF15" s="8">
        <f>RIGHT(MCC_Table[[#This Row],[BUCKET]],1)</f>
        <v/>
      </c>
      <c r="AG15" s="8">
        <f>VLOOKUP(MCC_Table[[#This Row],[START UNIT]],UnitMap[],2,FALSE)</f>
        <v/>
      </c>
      <c r="AH15" s="8">
        <f t="array" ref="AH1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5" s="8">
        <f>IF(ISNUMBER(MCC_Table[[#This Row],[SIZE]]), MCC_Table[[#This Row],[SIZE]]/6, 0)</f>
        <v/>
      </c>
      <c r="AJ15" s="8">
        <f>MCC_Table[[#This Row],[START INDEX]]+MCC_Table[[#This Row],[UNITS USED]]-1</f>
        <v/>
      </c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4" t="n"/>
      <c r="BE15" s="14" t="n"/>
    </row>
    <row r="16">
      <c r="A16" s="39" t="inlineStr">
        <is>
          <t>RL7-6MCC01</t>
        </is>
      </c>
      <c r="B16" s="8" t="inlineStr">
        <is>
          <t>06J</t>
        </is>
      </c>
      <c r="C16" s="24" t="inlineStr">
        <is>
          <t>RL7-CNV-116.M1</t>
        </is>
      </c>
      <c r="D16" s="28" t="inlineStr">
        <is>
          <t>ROTOCLAW BELT CONVEYOR</t>
        </is>
      </c>
      <c r="E16" s="29" t="inlineStr">
        <is>
          <t>VFD_PF755</t>
        </is>
      </c>
      <c r="F16" s="8" t="n">
        <v>1</v>
      </c>
      <c r="G16" s="8" t="n">
        <v>2</v>
      </c>
      <c r="H16" s="82" t="n">
        <v>3.4</v>
      </c>
      <c r="I16" s="8" t="n"/>
      <c r="J16" s="83">
        <f>IF(ISNUMBER(MCC_Table[[#This Row],[SIZE]]), MCC_Table[[#This Row],[SIZE]]/12, 0)</f>
        <v/>
      </c>
      <c r="K16" s="87" t="n">
        <v>15</v>
      </c>
      <c r="L16" s="8" t="n">
        <v>125</v>
      </c>
      <c r="M16" s="82" t="n">
        <v>6</v>
      </c>
      <c r="N16" s="82" t="inlineStr">
        <is>
          <t>3/C #12 VFD CABLE</t>
        </is>
      </c>
      <c r="O16" s="236" t="n"/>
      <c r="P16" s="85" t="n"/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  <c r="AA16" s="79" t="n"/>
      <c r="AB16" s="225" t="inlineStr">
        <is>
          <t>Oneline_Motor</t>
        </is>
      </c>
      <c r="AC16" s="225" t="inlineStr">
        <is>
          <t>Motor_VFD-w-Fuse</t>
        </is>
      </c>
      <c r="AD16" s="224" t="inlineStr">
        <is>
          <t>Motor w/ Disc</t>
        </is>
      </c>
      <c r="AE16" s="8">
        <f>_xlfn.NUMBERVALUE(LEFT(MCC_Table[[#This Row],[BUCKET]],LEN(MCC_Table[[#This Row],[BUCKET]])-1))</f>
        <v/>
      </c>
      <c r="AF16" s="8">
        <f>RIGHT(MCC_Table[[#This Row],[BUCKET]],1)</f>
        <v/>
      </c>
      <c r="AG16" s="8">
        <f>VLOOKUP(MCC_Table[[#This Row],[START UNIT]],UnitMap[],2,FALSE)</f>
        <v/>
      </c>
      <c r="AH16" s="8">
        <f t="array" ref="AH1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6" s="8">
        <f>IF(ISNUMBER(MCC_Table[[#This Row],[SIZE]]), MCC_Table[[#This Row],[SIZE]]/6, 0)</f>
        <v/>
      </c>
      <c r="AJ16" s="8">
        <f>MCC_Table[[#This Row],[START INDEX]]+MCC_Table[[#This Row],[UNITS USED]]-1</f>
        <v/>
      </c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</row>
    <row r="17">
      <c r="A17" s="39" t="inlineStr">
        <is>
          <t>RL7-6MCC01</t>
        </is>
      </c>
      <c r="B17" s="8" t="inlineStr">
        <is>
          <t>07A</t>
        </is>
      </c>
      <c r="C17" s="24" t="inlineStr">
        <is>
          <t>RL7-CNV-113.M1</t>
        </is>
      </c>
      <c r="D17" s="28" t="inlineStr">
        <is>
          <t>INCLINE BELT CONVEYOR 1</t>
        </is>
      </c>
      <c r="E17" s="29" t="inlineStr">
        <is>
          <t>VFD_PF755</t>
        </is>
      </c>
      <c r="F17" s="8" t="n">
        <v>1</v>
      </c>
      <c r="G17" s="8" t="n">
        <v>2</v>
      </c>
      <c r="H17" s="82" t="n">
        <v>3.4</v>
      </c>
      <c r="I17" s="8" t="n"/>
      <c r="J17" s="83">
        <f>IF(ISNUMBER(MCC_Table[[#This Row],[SIZE]]), MCC_Table[[#This Row],[SIZE]]/12, 0)</f>
        <v/>
      </c>
      <c r="K17" s="87" t="n">
        <v>15</v>
      </c>
      <c r="L17" s="8" t="n">
        <v>125</v>
      </c>
      <c r="M17" s="82" t="n">
        <v>6</v>
      </c>
      <c r="N17" s="82" t="inlineStr">
        <is>
          <t>3/C #12 VFD CABLE</t>
        </is>
      </c>
      <c r="O17" s="236" t="n"/>
      <c r="P17" s="85" t="n"/>
      <c r="Q17" s="79" t="n"/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  <c r="AA17" s="79" t="n"/>
      <c r="AB17" s="225" t="inlineStr">
        <is>
          <t>Oneline_Motor</t>
        </is>
      </c>
      <c r="AC17" s="225" t="inlineStr">
        <is>
          <t>Motor_VFD-w-Fuse</t>
        </is>
      </c>
      <c r="AD17" s="224" t="inlineStr">
        <is>
          <t>Motor w/ Disc</t>
        </is>
      </c>
      <c r="AE17" s="8">
        <f>_xlfn.NUMBERVALUE(LEFT(MCC_Table[[#This Row],[BUCKET]],LEN(MCC_Table[[#This Row],[BUCKET]])-1))</f>
        <v/>
      </c>
      <c r="AF17" s="8">
        <f>RIGHT(MCC_Table[[#This Row],[BUCKET]],1)</f>
        <v/>
      </c>
      <c r="AG17" s="8">
        <f>VLOOKUP(MCC_Table[[#This Row],[START UNIT]],UnitMap[],2,FALSE)</f>
        <v/>
      </c>
      <c r="AH17" s="8">
        <f t="array" ref="AH1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7" s="8">
        <f>IF(ISNUMBER(MCC_Table[[#This Row],[SIZE]]), MCC_Table[[#This Row],[SIZE]]/6, 0)</f>
        <v/>
      </c>
      <c r="AJ17" s="8">
        <f>MCC_Table[[#This Row],[START INDEX]]+MCC_Table[[#This Row],[UNITS USED]]-1</f>
        <v/>
      </c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</row>
    <row r="18">
      <c r="A18" s="39" t="inlineStr">
        <is>
          <t>RL7-6MCC01</t>
        </is>
      </c>
      <c r="B18" s="8" t="inlineStr">
        <is>
          <t>07E</t>
        </is>
      </c>
      <c r="C18" s="24" t="inlineStr">
        <is>
          <t>SPARE</t>
        </is>
      </c>
      <c r="D18" s="28" t="inlineStr">
        <is>
          <t>VFD - 2HP</t>
        </is>
      </c>
      <c r="E18" s="29" t="inlineStr">
        <is>
          <t>VFD_PF755</t>
        </is>
      </c>
      <c r="F18" s="8" t="n"/>
      <c r="G18" s="8" t="n">
        <v>2</v>
      </c>
      <c r="H18" s="82" t="n">
        <v>3.4</v>
      </c>
      <c r="I18" s="8" t="n"/>
      <c r="J18" s="83">
        <f>IF(ISNUMBER(MCC_Table[[#This Row],[SIZE]]), MCC_Table[[#This Row],[SIZE]]/12, 0)</f>
        <v/>
      </c>
      <c r="K18" s="87" t="n">
        <v>15</v>
      </c>
      <c r="L18" s="8" t="n">
        <v>125</v>
      </c>
      <c r="M18" s="82" t="n">
        <v>6</v>
      </c>
      <c r="N18" s="82" t="n"/>
      <c r="O18" s="236" t="n"/>
      <c r="P18" s="85" t="n"/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  <c r="AA18" s="79" t="n"/>
      <c r="AB18" s="225" t="inlineStr">
        <is>
          <t>Oneline_Motor</t>
        </is>
      </c>
      <c r="AC18" s="225" t="inlineStr">
        <is>
          <t>Motor_VFD-w-Fuse</t>
        </is>
      </c>
      <c r="AD18" s="224" t="inlineStr">
        <is>
          <t>Motor w/ Disc</t>
        </is>
      </c>
      <c r="AE18" s="8">
        <f>_xlfn.NUMBERVALUE(LEFT(MCC_Table[[#This Row],[BUCKET]],LEN(MCC_Table[[#This Row],[BUCKET]])-1))</f>
        <v/>
      </c>
      <c r="AF18" s="8">
        <f>RIGHT(MCC_Table[[#This Row],[BUCKET]],1)</f>
        <v/>
      </c>
      <c r="AG18" s="8">
        <f>VLOOKUP(MCC_Table[[#This Row],[START UNIT]],UnitMap[],2,FALSE)</f>
        <v/>
      </c>
      <c r="AH18" s="8">
        <f t="array" ref="AH1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8" s="8">
        <f>IF(ISNUMBER(MCC_Table[[#This Row],[SIZE]]), MCC_Table[[#This Row],[SIZE]]/6, 0)</f>
        <v/>
      </c>
      <c r="AJ18" s="8">
        <f>MCC_Table[[#This Row],[START INDEX]]+MCC_Table[[#This Row],[UNITS USED]]-1</f>
        <v/>
      </c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</row>
    <row r="19">
      <c r="A19" s="39" t="inlineStr">
        <is>
          <t>RL7-6MCC01</t>
        </is>
      </c>
      <c r="B19" s="8" t="inlineStr">
        <is>
          <t>07J</t>
        </is>
      </c>
      <c r="C19" s="24" t="inlineStr">
        <is>
          <t>RL7-CNV-111.M1</t>
        </is>
      </c>
      <c r="D19" s="28" t="inlineStr">
        <is>
          <t>SURGE BIN SUPPLY CONVEYOR</t>
        </is>
      </c>
      <c r="E19" s="29" t="inlineStr">
        <is>
          <t>VFD_PF755</t>
        </is>
      </c>
      <c r="F19" s="8" t="n">
        <v>1</v>
      </c>
      <c r="G19" s="8" t="n">
        <v>2</v>
      </c>
      <c r="H19" s="82" t="n">
        <v>3.4</v>
      </c>
      <c r="I19" s="8" t="n"/>
      <c r="J19" s="83">
        <f>IF(ISNUMBER(MCC_Table[[#This Row],[SIZE]]), MCC_Table[[#This Row],[SIZE]]/12, 0)</f>
        <v/>
      </c>
      <c r="K19" s="87" t="n">
        <v>15</v>
      </c>
      <c r="L19" s="8" t="n">
        <v>125</v>
      </c>
      <c r="M19" s="82" t="n">
        <v>6</v>
      </c>
      <c r="N19" s="82" t="inlineStr">
        <is>
          <t>3/C #12 VFD CABLE</t>
        </is>
      </c>
      <c r="O19" s="236" t="n"/>
      <c r="P19" s="85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  <c r="AA19" s="79" t="n"/>
      <c r="AB19" s="225" t="inlineStr">
        <is>
          <t>Oneline_Motor</t>
        </is>
      </c>
      <c r="AC19" s="225" t="inlineStr">
        <is>
          <t>Motor_VFD-w-Fuse</t>
        </is>
      </c>
      <c r="AD19" s="224" t="inlineStr">
        <is>
          <t>Motor w/ Disc</t>
        </is>
      </c>
      <c r="AE19" s="8">
        <f>_xlfn.NUMBERVALUE(LEFT(MCC_Table[[#This Row],[BUCKET]],LEN(MCC_Table[[#This Row],[BUCKET]])-1))</f>
        <v/>
      </c>
      <c r="AF19" s="8">
        <f>RIGHT(MCC_Table[[#This Row],[BUCKET]],1)</f>
        <v/>
      </c>
      <c r="AG19" s="8">
        <f>VLOOKUP(MCC_Table[[#This Row],[START UNIT]],UnitMap[],2,FALSE)</f>
        <v/>
      </c>
      <c r="AH19" s="8">
        <f t="array" ref="AH1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9" s="8">
        <f>IF(ISNUMBER(MCC_Table[[#This Row],[SIZE]]), MCC_Table[[#This Row],[SIZE]]/6, 0)</f>
        <v/>
      </c>
      <c r="AJ19" s="8">
        <f>MCC_Table[[#This Row],[START INDEX]]+MCC_Table[[#This Row],[UNITS USED]]-1</f>
        <v/>
      </c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</row>
    <row r="20">
      <c r="A20" s="39" t="inlineStr">
        <is>
          <t>RL7-6MCC01</t>
        </is>
      </c>
      <c r="B20" s="8" t="inlineStr">
        <is>
          <t>08A</t>
        </is>
      </c>
      <c r="C20" s="24" t="inlineStr">
        <is>
          <t>RL7-BIN-101.M1</t>
        </is>
      </c>
      <c r="D20" s="28" t="inlineStr">
        <is>
          <t xml:space="preserve">SURGE BIN 1 UPPER AGITATOR </t>
        </is>
      </c>
      <c r="E20" s="29" t="inlineStr">
        <is>
          <t>VFD_PF755</t>
        </is>
      </c>
      <c r="F20" s="8" t="n">
        <v>10</v>
      </c>
      <c r="G20" s="8" t="n">
        <v>10</v>
      </c>
      <c r="H20" s="82" t="n">
        <v>14</v>
      </c>
      <c r="I20" s="8" t="n"/>
      <c r="J20" s="83">
        <f>IF(ISNUMBER(MCC_Table[[#This Row],[SIZE]]), MCC_Table[[#This Row],[SIZE]]/12, 0)</f>
        <v/>
      </c>
      <c r="K20" s="87" t="n">
        <v>30</v>
      </c>
      <c r="L20" s="8" t="n">
        <v>125</v>
      </c>
      <c r="M20" s="82" t="n">
        <v>25</v>
      </c>
      <c r="N20" s="82" t="inlineStr">
        <is>
          <t>3/C #12 VFD CABLE</t>
        </is>
      </c>
      <c r="O20" s="236" t="n"/>
      <c r="P20" s="85" t="n"/>
      <c r="Q20" s="79" t="n"/>
      <c r="R20" s="79" t="n"/>
      <c r="S20" s="79" t="n"/>
      <c r="T20" s="79" t="n"/>
      <c r="U20" s="79" t="n"/>
      <c r="V20" s="79" t="n"/>
      <c r="W20" s="79" t="n"/>
      <c r="X20" s="79" t="n"/>
      <c r="Y20" s="79" t="n"/>
      <c r="Z20" s="79" t="n"/>
      <c r="AA20" s="79" t="n"/>
      <c r="AB20" s="225" t="inlineStr">
        <is>
          <t>Oneline_Motor</t>
        </is>
      </c>
      <c r="AC20" s="225" t="inlineStr">
        <is>
          <t>Motor_VFD-w-Fuse</t>
        </is>
      </c>
      <c r="AD20" s="224" t="inlineStr">
        <is>
          <t>Motor w/ Disc</t>
        </is>
      </c>
      <c r="AE20" s="8">
        <f>_xlfn.NUMBERVALUE(LEFT(MCC_Table[[#This Row],[BUCKET]],LEN(MCC_Table[[#This Row],[BUCKET]])-1))</f>
        <v/>
      </c>
      <c r="AF20" s="8">
        <f>RIGHT(MCC_Table[[#This Row],[BUCKET]],1)</f>
        <v/>
      </c>
      <c r="AG20" s="8">
        <f>VLOOKUP(MCC_Table[[#This Row],[START UNIT]],UnitMap[],2,FALSE)</f>
        <v/>
      </c>
      <c r="AH20" s="8">
        <f t="array" ref="AH2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0" s="8">
        <f>IF(ISNUMBER(MCC_Table[[#This Row],[SIZE]]), MCC_Table[[#This Row],[SIZE]]/6, 0)</f>
        <v/>
      </c>
      <c r="AJ20" s="8">
        <f>MCC_Table[[#This Row],[START INDEX]]+MCC_Table[[#This Row],[UNITS USED]]-1</f>
        <v/>
      </c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</row>
    <row r="21">
      <c r="A21" s="39" t="inlineStr">
        <is>
          <t>RL7-6MCC01</t>
        </is>
      </c>
      <c r="B21" s="29" t="inlineStr">
        <is>
          <t>08F</t>
        </is>
      </c>
      <c r="C21" s="24" t="inlineStr">
        <is>
          <t>SPACE</t>
        </is>
      </c>
      <c r="D21" s="62" t="inlineStr">
        <is>
          <t>12" SPACE</t>
        </is>
      </c>
      <c r="E21" s="24" t="inlineStr">
        <is>
          <t>SPACE</t>
        </is>
      </c>
      <c r="F21" s="8" t="n"/>
      <c r="G21" s="8" t="n"/>
      <c r="H21" s="82" t="n"/>
      <c r="I21" s="8" t="n"/>
      <c r="J21" s="80">
        <f>IF(ISNUMBER(MCC_Table[[#This Row],[SIZE]]), MCC_Table[[#This Row],[SIZE]]/12, 0)</f>
        <v/>
      </c>
      <c r="K21" s="87" t="n"/>
      <c r="L21" s="8" t="n"/>
      <c r="M21" s="82" t="n"/>
      <c r="N21" s="82" t="n"/>
      <c r="O21" s="236" t="n"/>
      <c r="P21" s="85" t="n"/>
      <c r="Q21" s="79" t="n"/>
      <c r="R21" s="79" t="n"/>
      <c r="S21" s="79" t="n"/>
      <c r="T21" s="79" t="n"/>
      <c r="U21" s="79" t="n"/>
      <c r="V21" s="79" t="n"/>
      <c r="W21" s="79" t="n"/>
      <c r="X21" s="79" t="n"/>
      <c r="Y21" s="79" t="n"/>
      <c r="Z21" s="79" t="n"/>
      <c r="AA21" s="79" t="n"/>
      <c r="AB21" s="225" t="inlineStr">
        <is>
          <t>Oneline_Feeder_Panel</t>
        </is>
      </c>
      <c r="AC21" s="225" t="inlineStr">
        <is>
          <t>Feeder_Space</t>
        </is>
      </c>
      <c r="AD21" s="225" t="n"/>
      <c r="AE21" s="29">
        <f>_xlfn.NUMBERVALUE(LEFT(MCC_Table[[#This Row],[BUCKET]],LEN(MCC_Table[[#This Row],[BUCKET]])-1))</f>
        <v/>
      </c>
      <c r="AF21" s="29">
        <f>RIGHT(MCC_Table[[#This Row],[BUCKET]],1)</f>
        <v/>
      </c>
      <c r="AG21" s="29">
        <f>VLOOKUP(MCC_Table[[#This Row],[START UNIT]],UnitMap[],2,FALSE)</f>
        <v/>
      </c>
      <c r="AH21" s="29">
        <f t="array" ref="AH2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1" s="29">
        <f>IF(ISNUMBER(MCC_Table[[#This Row],[SIZE]]), MCC_Table[[#This Row],[SIZE]]/6, 0)</f>
        <v/>
      </c>
      <c r="AJ21" s="29">
        <f>MCC_Table[[#This Row],[START INDEX]]+MCC_Table[[#This Row],[UNITS USED]]-1</f>
        <v/>
      </c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</row>
    <row r="22">
      <c r="A22" s="39" t="inlineStr">
        <is>
          <t>RL7-6MCC01</t>
        </is>
      </c>
      <c r="B22" s="8" t="inlineStr">
        <is>
          <t>08H</t>
        </is>
      </c>
      <c r="C22" s="24" t="inlineStr">
        <is>
          <t>RL7-BIN-101.M2</t>
        </is>
      </c>
      <c r="D22" s="28" t="inlineStr">
        <is>
          <t>SURGE BIN 1 AUGER</t>
        </is>
      </c>
      <c r="E22" s="29" t="inlineStr">
        <is>
          <t>VFD_PF755</t>
        </is>
      </c>
      <c r="F22" s="8" t="n">
        <v>10</v>
      </c>
      <c r="G22" s="8" t="n">
        <v>10</v>
      </c>
      <c r="H22" s="82" t="n">
        <v>14</v>
      </c>
      <c r="I22" s="8" t="n"/>
      <c r="J22" s="83">
        <f>IF(ISNUMBER(MCC_Table[[#This Row],[SIZE]]), MCC_Table[[#This Row],[SIZE]]/12, 0)</f>
        <v/>
      </c>
      <c r="K22" s="87" t="n">
        <v>30</v>
      </c>
      <c r="L22" s="8" t="n">
        <v>125</v>
      </c>
      <c r="M22" s="82" t="n">
        <v>25</v>
      </c>
      <c r="N22" s="82" t="inlineStr">
        <is>
          <t>3/C #12 VFD CABLE</t>
        </is>
      </c>
      <c r="O22" s="236" t="n"/>
      <c r="P22" s="85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  <c r="AA22" s="79" t="n"/>
      <c r="AB22" s="225" t="inlineStr">
        <is>
          <t>Oneline_Motor</t>
        </is>
      </c>
      <c r="AC22" s="225" t="inlineStr">
        <is>
          <t>Motor_VFD-w-Fuse</t>
        </is>
      </c>
      <c r="AD22" s="224" t="inlineStr">
        <is>
          <t>Motor w/ Disc</t>
        </is>
      </c>
      <c r="AE22" s="8">
        <f>_xlfn.NUMBERVALUE(LEFT(MCC_Table[[#This Row],[BUCKET]],LEN(MCC_Table[[#This Row],[BUCKET]])-1))</f>
        <v/>
      </c>
      <c r="AF22" s="8">
        <f>RIGHT(MCC_Table[[#This Row],[BUCKET]],1)</f>
        <v/>
      </c>
      <c r="AG22" s="8">
        <f>VLOOKUP(MCC_Table[[#This Row],[START UNIT]],UnitMap[],2,FALSE)</f>
        <v/>
      </c>
      <c r="AH22" s="8">
        <f t="array" ref="AH2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2" s="8">
        <f>IF(ISNUMBER(MCC_Table[[#This Row],[SIZE]]), MCC_Table[[#This Row],[SIZE]]/6, 0)</f>
        <v/>
      </c>
      <c r="AJ22" s="8">
        <f>MCC_Table[[#This Row],[START INDEX]]+MCC_Table[[#This Row],[UNITS USED]]-1</f>
        <v/>
      </c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</row>
    <row r="23">
      <c r="A23" s="39" t="inlineStr">
        <is>
          <t>RL7-6MCC01</t>
        </is>
      </c>
      <c r="B23" s="8" t="inlineStr">
        <is>
          <t>09A</t>
        </is>
      </c>
      <c r="C23" s="24" t="inlineStr">
        <is>
          <t>RL7-BIN-102.M1</t>
        </is>
      </c>
      <c r="D23" s="28" t="inlineStr">
        <is>
          <t xml:space="preserve">SURGE BIN 2 UPPER AGITATOR </t>
        </is>
      </c>
      <c r="E23" s="29" t="inlineStr">
        <is>
          <t>VFD_PF755</t>
        </is>
      </c>
      <c r="F23" s="8" t="n">
        <v>10</v>
      </c>
      <c r="G23" s="8" t="n">
        <v>10</v>
      </c>
      <c r="H23" s="82" t="n">
        <v>14</v>
      </c>
      <c r="I23" s="8" t="n"/>
      <c r="J23" s="83">
        <f>IF(ISNUMBER(MCC_Table[[#This Row],[SIZE]]), MCC_Table[[#This Row],[SIZE]]/12, 0)</f>
        <v/>
      </c>
      <c r="K23" s="87" t="n">
        <v>30</v>
      </c>
      <c r="L23" s="8" t="n">
        <v>125</v>
      </c>
      <c r="M23" s="82" t="n">
        <v>25</v>
      </c>
      <c r="N23" s="82" t="inlineStr">
        <is>
          <t>3/C #12 VFD CABLE</t>
        </is>
      </c>
      <c r="O23" s="236" t="n"/>
      <c r="P23" s="85" t="n"/>
      <c r="Q23" s="79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  <c r="AA23" s="79" t="n"/>
      <c r="AB23" s="225" t="inlineStr">
        <is>
          <t>Oneline_Motor</t>
        </is>
      </c>
      <c r="AC23" s="225" t="inlineStr">
        <is>
          <t>Motor_VFD-w-Fuse</t>
        </is>
      </c>
      <c r="AD23" s="224" t="inlineStr">
        <is>
          <t>Motor w/ Disc</t>
        </is>
      </c>
      <c r="AE23" s="8">
        <f>_xlfn.NUMBERVALUE(LEFT(MCC_Table[[#This Row],[BUCKET]],LEN(MCC_Table[[#This Row],[BUCKET]])-1))</f>
        <v/>
      </c>
      <c r="AF23" s="8">
        <f>RIGHT(MCC_Table[[#This Row],[BUCKET]],1)</f>
        <v/>
      </c>
      <c r="AG23" s="8">
        <f>VLOOKUP(MCC_Table[[#This Row],[START UNIT]],UnitMap[],2,FALSE)</f>
        <v/>
      </c>
      <c r="AH23" s="8">
        <f t="array" ref="AH2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3" s="8">
        <f>IF(ISNUMBER(MCC_Table[[#This Row],[SIZE]]), MCC_Table[[#This Row],[SIZE]]/6, 0)</f>
        <v/>
      </c>
      <c r="AJ23" s="8">
        <f>MCC_Table[[#This Row],[START INDEX]]+MCC_Table[[#This Row],[UNITS USED]]-1</f>
        <v/>
      </c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</row>
    <row r="24">
      <c r="A24" s="39" t="inlineStr">
        <is>
          <t>RL7-6MCC01</t>
        </is>
      </c>
      <c r="B24" s="29" t="inlineStr">
        <is>
          <t>09F</t>
        </is>
      </c>
      <c r="C24" s="24" t="inlineStr">
        <is>
          <t>SPACE</t>
        </is>
      </c>
      <c r="D24" s="62" t="inlineStr">
        <is>
          <t>12" SPACE</t>
        </is>
      </c>
      <c r="E24" s="24" t="inlineStr">
        <is>
          <t>SPACE</t>
        </is>
      </c>
      <c r="F24" s="8" t="n"/>
      <c r="G24" s="8" t="n"/>
      <c r="H24" s="82" t="n"/>
      <c r="I24" s="8" t="n"/>
      <c r="J24" s="80">
        <f>IF(ISNUMBER(MCC_Table[[#This Row],[SIZE]]), MCC_Table[[#This Row],[SIZE]]/12, 0)</f>
        <v/>
      </c>
      <c r="K24" s="87" t="n"/>
      <c r="L24" s="8" t="n"/>
      <c r="M24" s="82" t="n"/>
      <c r="N24" s="82" t="n"/>
      <c r="O24" s="236" t="n"/>
      <c r="P24" s="85" t="n"/>
      <c r="Q24" s="79" t="n"/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  <c r="AA24" s="79" t="n"/>
      <c r="AB24" s="225" t="inlineStr">
        <is>
          <t>Oneline_Feeder_Panel</t>
        </is>
      </c>
      <c r="AC24" s="225" t="inlineStr">
        <is>
          <t>Feeder_Space</t>
        </is>
      </c>
      <c r="AD24" s="225" t="n"/>
      <c r="AE24" s="29">
        <f>_xlfn.NUMBERVALUE(LEFT(MCC_Table[[#This Row],[BUCKET]],LEN(MCC_Table[[#This Row],[BUCKET]])-1))</f>
        <v/>
      </c>
      <c r="AF24" s="29">
        <f>RIGHT(MCC_Table[[#This Row],[BUCKET]],1)</f>
        <v/>
      </c>
      <c r="AG24" s="29">
        <f>VLOOKUP(MCC_Table[[#This Row],[START UNIT]],UnitMap[],2,FALSE)</f>
        <v/>
      </c>
      <c r="AH24" s="29">
        <f t="array" ref="AH2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4" s="29">
        <f>IF(ISNUMBER(MCC_Table[[#This Row],[SIZE]]), MCC_Table[[#This Row],[SIZE]]/6, 0)</f>
        <v/>
      </c>
      <c r="AJ24" s="29">
        <f>MCC_Table[[#This Row],[START INDEX]]+MCC_Table[[#This Row],[UNITS USED]]-1</f>
        <v/>
      </c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</row>
    <row r="25">
      <c r="A25" s="39" t="inlineStr">
        <is>
          <t>RL7-6MCC01</t>
        </is>
      </c>
      <c r="B25" s="8" t="inlineStr">
        <is>
          <t>09H</t>
        </is>
      </c>
      <c r="C25" s="24" t="inlineStr">
        <is>
          <t>RL7-BIN-102.M2</t>
        </is>
      </c>
      <c r="D25" s="28" t="inlineStr">
        <is>
          <t>SURGE BIN 2 AUGER</t>
        </is>
      </c>
      <c r="E25" s="29" t="inlineStr">
        <is>
          <t>VFD_PF755</t>
        </is>
      </c>
      <c r="F25" s="8" t="n">
        <v>10</v>
      </c>
      <c r="G25" s="8" t="n">
        <v>10</v>
      </c>
      <c r="H25" s="82" t="n">
        <v>14</v>
      </c>
      <c r="I25" s="8" t="n"/>
      <c r="J25" s="83">
        <f>IF(ISNUMBER(MCC_Table[[#This Row],[SIZE]]), MCC_Table[[#This Row],[SIZE]]/12, 0)</f>
        <v/>
      </c>
      <c r="K25" s="87" t="n">
        <v>30</v>
      </c>
      <c r="L25" s="8" t="n">
        <v>125</v>
      </c>
      <c r="M25" s="82" t="n">
        <v>25</v>
      </c>
      <c r="N25" s="82" t="inlineStr">
        <is>
          <t>3/C #12 VFD CABLE</t>
        </is>
      </c>
      <c r="O25" s="236" t="n"/>
      <c r="P25" s="85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  <c r="AA25" s="79" t="n"/>
      <c r="AB25" s="225" t="inlineStr">
        <is>
          <t>Oneline_Motor</t>
        </is>
      </c>
      <c r="AC25" s="225" t="inlineStr">
        <is>
          <t>Motor_VFD-w-Fuse</t>
        </is>
      </c>
      <c r="AD25" s="224" t="inlineStr">
        <is>
          <t>Motor w/ Disc</t>
        </is>
      </c>
      <c r="AE25" s="8">
        <f>_xlfn.NUMBERVALUE(LEFT(MCC_Table[[#This Row],[BUCKET]],LEN(MCC_Table[[#This Row],[BUCKET]])-1))</f>
        <v/>
      </c>
      <c r="AF25" s="8">
        <f>RIGHT(MCC_Table[[#This Row],[BUCKET]],1)</f>
        <v/>
      </c>
      <c r="AG25" s="8">
        <f>VLOOKUP(MCC_Table[[#This Row],[START UNIT]],UnitMap[],2,FALSE)</f>
        <v/>
      </c>
      <c r="AH25" s="8">
        <f t="array" ref="AH2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5" s="8">
        <f>IF(ISNUMBER(MCC_Table[[#This Row],[SIZE]]), MCC_Table[[#This Row],[SIZE]]/6, 0)</f>
        <v/>
      </c>
      <c r="AJ25" s="8">
        <f>MCC_Table[[#This Row],[START INDEX]]+MCC_Table[[#This Row],[UNITS USED]]-1</f>
        <v/>
      </c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14" t="n"/>
      <c r="BE25" s="14" t="n"/>
    </row>
    <row r="26">
      <c r="A26" s="39" t="inlineStr">
        <is>
          <t>RL7-6MCC01</t>
        </is>
      </c>
      <c r="B26" s="8" t="inlineStr">
        <is>
          <t>10A</t>
        </is>
      </c>
      <c r="C26" s="24" t="inlineStr">
        <is>
          <t>RL7-BIN-103.M1</t>
        </is>
      </c>
      <c r="D26" s="28" t="inlineStr">
        <is>
          <t xml:space="preserve">SURGE BIN 3 UPPER AGITATOR </t>
        </is>
      </c>
      <c r="E26" s="29" t="inlineStr">
        <is>
          <t>VFD_PF755</t>
        </is>
      </c>
      <c r="F26" s="8" t="n">
        <v>10</v>
      </c>
      <c r="G26" s="8" t="n">
        <v>10</v>
      </c>
      <c r="H26" s="82" t="n">
        <v>14</v>
      </c>
      <c r="I26" s="8" t="n"/>
      <c r="J26" s="83">
        <f>IF(ISNUMBER(MCC_Table[[#This Row],[SIZE]]), MCC_Table[[#This Row],[SIZE]]/12, 0)</f>
        <v/>
      </c>
      <c r="K26" s="87" t="n">
        <v>30</v>
      </c>
      <c r="L26" s="8" t="n">
        <v>125</v>
      </c>
      <c r="M26" s="82" t="n">
        <v>25</v>
      </c>
      <c r="N26" s="82" t="inlineStr">
        <is>
          <t>3/C #12 VFD CABLE</t>
        </is>
      </c>
      <c r="O26" s="236" t="n"/>
      <c r="P26" s="85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79" t="n"/>
      <c r="AA26" s="79" t="n"/>
      <c r="AB26" s="225" t="inlineStr">
        <is>
          <t>Oneline_Motor</t>
        </is>
      </c>
      <c r="AC26" s="225" t="inlineStr">
        <is>
          <t>Motor_VFD-w-Fuse</t>
        </is>
      </c>
      <c r="AD26" s="224" t="inlineStr">
        <is>
          <t>Motor w/ Disc</t>
        </is>
      </c>
      <c r="AE26" s="8">
        <f>_xlfn.NUMBERVALUE(LEFT(MCC_Table[[#This Row],[BUCKET]],LEN(MCC_Table[[#This Row],[BUCKET]])-1))</f>
        <v/>
      </c>
      <c r="AF26" s="8">
        <f>RIGHT(MCC_Table[[#This Row],[BUCKET]],1)</f>
        <v/>
      </c>
      <c r="AG26" s="8">
        <f>VLOOKUP(MCC_Table[[#This Row],[START UNIT]],UnitMap[],2,FALSE)</f>
        <v/>
      </c>
      <c r="AH26" s="8">
        <f t="array" ref="AH2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6" s="8">
        <f>IF(ISNUMBER(MCC_Table[[#This Row],[SIZE]]), MCC_Table[[#This Row],[SIZE]]/6, 0)</f>
        <v/>
      </c>
      <c r="AJ26" s="8">
        <f>MCC_Table[[#This Row],[START INDEX]]+MCC_Table[[#This Row],[UNITS USED]]-1</f>
        <v/>
      </c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</row>
    <row r="27">
      <c r="A27" s="39" t="inlineStr">
        <is>
          <t>RL7-6MCC01</t>
        </is>
      </c>
      <c r="B27" s="29" t="inlineStr">
        <is>
          <t>10F</t>
        </is>
      </c>
      <c r="C27" s="24" t="inlineStr">
        <is>
          <t>SPACE</t>
        </is>
      </c>
      <c r="D27" s="62" t="inlineStr">
        <is>
          <t>12" SPACE</t>
        </is>
      </c>
      <c r="E27" s="24" t="inlineStr">
        <is>
          <t>SPACE</t>
        </is>
      </c>
      <c r="F27" s="8" t="n"/>
      <c r="G27" s="8" t="n"/>
      <c r="H27" s="82" t="n"/>
      <c r="I27" s="8" t="n"/>
      <c r="J27" s="80">
        <f>IF(ISNUMBER(MCC_Table[[#This Row],[SIZE]]), MCC_Table[[#This Row],[SIZE]]/12, 0)</f>
        <v/>
      </c>
      <c r="K27" s="87" t="n"/>
      <c r="L27" s="8" t="n"/>
      <c r="M27" s="82" t="n"/>
      <c r="N27" s="82" t="n"/>
      <c r="O27" s="236" t="n"/>
      <c r="P27" s="85" t="n"/>
      <c r="Q27" s="79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  <c r="AA27" s="79" t="n"/>
      <c r="AB27" s="225" t="inlineStr">
        <is>
          <t>Oneline_Feeder_Panel</t>
        </is>
      </c>
      <c r="AC27" s="225" t="inlineStr">
        <is>
          <t>Feeder_Space</t>
        </is>
      </c>
      <c r="AD27" s="225" t="n"/>
      <c r="AE27" s="29">
        <f>_xlfn.NUMBERVALUE(LEFT(MCC_Table[[#This Row],[BUCKET]],LEN(MCC_Table[[#This Row],[BUCKET]])-1))</f>
        <v/>
      </c>
      <c r="AF27" s="29">
        <f>RIGHT(MCC_Table[[#This Row],[BUCKET]],1)</f>
        <v/>
      </c>
      <c r="AG27" s="29">
        <f>VLOOKUP(MCC_Table[[#This Row],[START UNIT]],UnitMap[],2,FALSE)</f>
        <v/>
      </c>
      <c r="AH27" s="29">
        <f t="array" ref="AH2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7" s="29">
        <f>IF(ISNUMBER(MCC_Table[[#This Row],[SIZE]]), MCC_Table[[#This Row],[SIZE]]/6, 0)</f>
        <v/>
      </c>
      <c r="AJ27" s="29">
        <f>MCC_Table[[#This Row],[START INDEX]]+MCC_Table[[#This Row],[UNITS USED]]-1</f>
        <v/>
      </c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4" t="n"/>
      <c r="BE27" s="14" t="n"/>
    </row>
    <row r="28">
      <c r="A28" s="39" t="inlineStr">
        <is>
          <t>RL7-6MCC01</t>
        </is>
      </c>
      <c r="B28" s="8" t="inlineStr">
        <is>
          <t>10H</t>
        </is>
      </c>
      <c r="C28" s="24" t="inlineStr">
        <is>
          <t>RL7-BIN-103.M2</t>
        </is>
      </c>
      <c r="D28" s="28" t="inlineStr">
        <is>
          <t>SURGE BIN 3 AUGER</t>
        </is>
      </c>
      <c r="E28" s="29" t="inlineStr">
        <is>
          <t>VFD_PF755</t>
        </is>
      </c>
      <c r="F28" s="8" t="n">
        <v>10</v>
      </c>
      <c r="G28" s="8" t="n">
        <v>10</v>
      </c>
      <c r="H28" s="82" t="n">
        <v>14</v>
      </c>
      <c r="I28" s="8" t="n"/>
      <c r="J28" s="83">
        <f>IF(ISNUMBER(MCC_Table[[#This Row],[SIZE]]), MCC_Table[[#This Row],[SIZE]]/12, 0)</f>
        <v/>
      </c>
      <c r="K28" s="87" t="n">
        <v>30</v>
      </c>
      <c r="L28" s="8" t="n">
        <v>125</v>
      </c>
      <c r="M28" s="82" t="n">
        <v>25</v>
      </c>
      <c r="N28" s="82" t="inlineStr">
        <is>
          <t>3/C #12 VFD CABLE</t>
        </is>
      </c>
      <c r="O28" s="236" t="n"/>
      <c r="P28" s="85" t="n"/>
      <c r="Q28" s="79" t="n"/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  <c r="AA28" s="79" t="n"/>
      <c r="AB28" s="225" t="inlineStr">
        <is>
          <t>Oneline_Motor</t>
        </is>
      </c>
      <c r="AC28" s="225" t="inlineStr">
        <is>
          <t>Motor_VFD-w-Fuse</t>
        </is>
      </c>
      <c r="AD28" s="224" t="inlineStr">
        <is>
          <t>Motor w/ Disc</t>
        </is>
      </c>
      <c r="AE28" s="8">
        <f>_xlfn.NUMBERVALUE(LEFT(MCC_Table[[#This Row],[BUCKET]],LEN(MCC_Table[[#This Row],[BUCKET]])-1))</f>
        <v/>
      </c>
      <c r="AF28" s="8">
        <f>RIGHT(MCC_Table[[#This Row],[BUCKET]],1)</f>
        <v/>
      </c>
      <c r="AG28" s="8">
        <f>VLOOKUP(MCC_Table[[#This Row],[START UNIT]],UnitMap[],2,FALSE)</f>
        <v/>
      </c>
      <c r="AH28" s="8">
        <f t="array" ref="AH2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8" s="8">
        <f>IF(ISNUMBER(MCC_Table[[#This Row],[SIZE]]), MCC_Table[[#This Row],[SIZE]]/6, 0)</f>
        <v/>
      </c>
      <c r="AJ28" s="8">
        <f>MCC_Table[[#This Row],[START INDEX]]+MCC_Table[[#This Row],[UNITS USED]]-1</f>
        <v/>
      </c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</row>
    <row r="29">
      <c r="A29" s="39" t="inlineStr">
        <is>
          <t>RL7-6MCC01</t>
        </is>
      </c>
      <c r="B29" s="8" t="inlineStr">
        <is>
          <t>11A</t>
        </is>
      </c>
      <c r="C29" s="24" t="inlineStr">
        <is>
          <t>RL7-BIN-104.M1</t>
        </is>
      </c>
      <c r="D29" s="28" t="inlineStr">
        <is>
          <t xml:space="preserve">SURGE BIN 4 UPPER AGITATOR </t>
        </is>
      </c>
      <c r="E29" s="29" t="inlineStr">
        <is>
          <t>VFD_PF755</t>
        </is>
      </c>
      <c r="F29" s="8" t="n">
        <v>10</v>
      </c>
      <c r="G29" s="8" t="n">
        <v>10</v>
      </c>
      <c r="H29" s="82" t="n">
        <v>14</v>
      </c>
      <c r="I29" s="8" t="n"/>
      <c r="J29" s="83">
        <f>IF(ISNUMBER(MCC_Table[[#This Row],[SIZE]]), MCC_Table[[#This Row],[SIZE]]/12, 0)</f>
        <v/>
      </c>
      <c r="K29" s="87" t="n">
        <v>30</v>
      </c>
      <c r="L29" s="8" t="n">
        <v>125</v>
      </c>
      <c r="M29" s="82" t="n">
        <v>25</v>
      </c>
      <c r="N29" s="82" t="inlineStr">
        <is>
          <t>3/C #12 VFD CABLE</t>
        </is>
      </c>
      <c r="O29" s="236" t="n"/>
      <c r="P29" s="85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  <c r="AA29" s="79" t="n"/>
      <c r="AB29" s="225" t="inlineStr">
        <is>
          <t>Oneline_Motor</t>
        </is>
      </c>
      <c r="AC29" s="225" t="inlineStr">
        <is>
          <t>Motor_VFD-w-Fuse</t>
        </is>
      </c>
      <c r="AD29" s="224" t="inlineStr">
        <is>
          <t>Motor w/ Disc</t>
        </is>
      </c>
      <c r="AE29" s="8">
        <f>_xlfn.NUMBERVALUE(LEFT(MCC_Table[[#This Row],[BUCKET]],LEN(MCC_Table[[#This Row],[BUCKET]])-1))</f>
        <v/>
      </c>
      <c r="AF29" s="8">
        <f>RIGHT(MCC_Table[[#This Row],[BUCKET]],1)</f>
        <v/>
      </c>
      <c r="AG29" s="8">
        <f>VLOOKUP(MCC_Table[[#This Row],[START UNIT]],UnitMap[],2,FALSE)</f>
        <v/>
      </c>
      <c r="AH29" s="8">
        <f t="array" ref="AH2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9" s="8">
        <f>IF(ISNUMBER(MCC_Table[[#This Row],[SIZE]]), MCC_Table[[#This Row],[SIZE]]/6, 0)</f>
        <v/>
      </c>
      <c r="AJ29" s="8">
        <f>MCC_Table[[#This Row],[START INDEX]]+MCC_Table[[#This Row],[UNITS USED]]-1</f>
        <v/>
      </c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14" t="n"/>
    </row>
    <row r="30">
      <c r="A30" s="39" t="inlineStr">
        <is>
          <t>RL7-6MCC01</t>
        </is>
      </c>
      <c r="B30" s="29" t="inlineStr">
        <is>
          <t>11F</t>
        </is>
      </c>
      <c r="C30" s="24" t="inlineStr">
        <is>
          <t>SPACE</t>
        </is>
      </c>
      <c r="D30" s="62" t="inlineStr">
        <is>
          <t>12" SPACE</t>
        </is>
      </c>
      <c r="E30" s="24" t="inlineStr">
        <is>
          <t>SPACE</t>
        </is>
      </c>
      <c r="F30" s="8" t="n"/>
      <c r="G30" s="8" t="n"/>
      <c r="H30" s="82" t="n"/>
      <c r="I30" s="8" t="n"/>
      <c r="J30" s="80">
        <f>IF(ISNUMBER(MCC_Table[[#This Row],[SIZE]]), MCC_Table[[#This Row],[SIZE]]/12, 0)</f>
        <v/>
      </c>
      <c r="K30" s="87" t="n"/>
      <c r="L30" s="8" t="n"/>
      <c r="M30" s="82" t="n"/>
      <c r="N30" s="82" t="n"/>
      <c r="O30" s="236" t="n"/>
      <c r="P30" s="85" t="n"/>
      <c r="Q30" s="79" t="n"/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  <c r="AA30" s="79" t="n"/>
      <c r="AB30" s="225" t="inlineStr">
        <is>
          <t>Oneline_Feeder_Panel</t>
        </is>
      </c>
      <c r="AC30" s="225" t="inlineStr">
        <is>
          <t>Feeder_Space</t>
        </is>
      </c>
      <c r="AD30" s="225" t="n"/>
      <c r="AE30" s="29">
        <f>_xlfn.NUMBERVALUE(LEFT(MCC_Table[[#This Row],[BUCKET]],LEN(MCC_Table[[#This Row],[BUCKET]])-1))</f>
        <v/>
      </c>
      <c r="AF30" s="29">
        <f>RIGHT(MCC_Table[[#This Row],[BUCKET]],1)</f>
        <v/>
      </c>
      <c r="AG30" s="29">
        <f>VLOOKUP(MCC_Table[[#This Row],[START UNIT]],UnitMap[],2,FALSE)</f>
        <v/>
      </c>
      <c r="AH30" s="29">
        <f t="array" ref="AH3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0" s="29">
        <f>IF(ISNUMBER(MCC_Table[[#This Row],[SIZE]]), MCC_Table[[#This Row],[SIZE]]/6, 0)</f>
        <v/>
      </c>
      <c r="AJ30" s="29">
        <f>MCC_Table[[#This Row],[START INDEX]]+MCC_Table[[#This Row],[UNITS USED]]-1</f>
        <v/>
      </c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</row>
    <row r="31">
      <c r="A31" s="39" t="inlineStr">
        <is>
          <t>RL7-6MCC01</t>
        </is>
      </c>
      <c r="B31" s="8" t="inlineStr">
        <is>
          <t>11H</t>
        </is>
      </c>
      <c r="C31" s="24" t="inlineStr">
        <is>
          <t>RL7-BIN-104.M2</t>
        </is>
      </c>
      <c r="D31" s="28" t="inlineStr">
        <is>
          <t>SURGE BIN 4 AUGER</t>
        </is>
      </c>
      <c r="E31" s="29" t="inlineStr">
        <is>
          <t>VFD_PF755</t>
        </is>
      </c>
      <c r="F31" s="8" t="n">
        <v>10</v>
      </c>
      <c r="G31" s="8" t="n">
        <v>10</v>
      </c>
      <c r="H31" s="82" t="n">
        <v>14</v>
      </c>
      <c r="I31" s="8" t="n"/>
      <c r="J31" s="83">
        <f>IF(ISNUMBER(MCC_Table[[#This Row],[SIZE]]), MCC_Table[[#This Row],[SIZE]]/12, 0)</f>
        <v/>
      </c>
      <c r="K31" s="87" t="n">
        <v>30</v>
      </c>
      <c r="L31" s="8" t="n">
        <v>125</v>
      </c>
      <c r="M31" s="82" t="n">
        <v>25</v>
      </c>
      <c r="N31" s="82" t="inlineStr">
        <is>
          <t>3/C #12 VFD CABLE</t>
        </is>
      </c>
      <c r="O31" s="236" t="n"/>
      <c r="P31" s="85" t="n"/>
      <c r="Q31" s="79" t="n"/>
      <c r="R31" s="79" t="n"/>
      <c r="S31" s="79" t="n"/>
      <c r="T31" s="79" t="n"/>
      <c r="U31" s="79" t="n"/>
      <c r="V31" s="79" t="n"/>
      <c r="W31" s="79" t="n"/>
      <c r="X31" s="79" t="n"/>
      <c r="Y31" s="79" t="n"/>
      <c r="Z31" s="79" t="n"/>
      <c r="AA31" s="79" t="n"/>
      <c r="AB31" s="225" t="inlineStr">
        <is>
          <t>Oneline_Motor</t>
        </is>
      </c>
      <c r="AC31" s="225" t="inlineStr">
        <is>
          <t>Motor_VFD-w-Fuse</t>
        </is>
      </c>
      <c r="AD31" s="224" t="inlineStr">
        <is>
          <t>Motor w/ Disc</t>
        </is>
      </c>
      <c r="AE31" s="8">
        <f>_xlfn.NUMBERVALUE(LEFT(MCC_Table[[#This Row],[BUCKET]],LEN(MCC_Table[[#This Row],[BUCKET]])-1))</f>
        <v/>
      </c>
      <c r="AF31" s="8">
        <f>RIGHT(MCC_Table[[#This Row],[BUCKET]],1)</f>
        <v/>
      </c>
      <c r="AG31" s="8">
        <f>VLOOKUP(MCC_Table[[#This Row],[START UNIT]],UnitMap[],2,FALSE)</f>
        <v/>
      </c>
      <c r="AH31" s="8">
        <f t="array" ref="AH3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1" s="8">
        <f>IF(ISNUMBER(MCC_Table[[#This Row],[SIZE]]), MCC_Table[[#This Row],[SIZE]]/6, 0)</f>
        <v/>
      </c>
      <c r="AJ31" s="8">
        <f>MCC_Table[[#This Row],[START INDEX]]+MCC_Table[[#This Row],[UNITS USED]]-1</f>
        <v/>
      </c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  <c r="BA31" s="14" t="n"/>
      <c r="BB31" s="14" t="n"/>
      <c r="BC31" s="14" t="n"/>
      <c r="BD31" s="14" t="n"/>
      <c r="BE31" s="14" t="n"/>
    </row>
    <row r="32">
      <c r="A32" s="39" t="inlineStr">
        <is>
          <t>RL7-6MCC01</t>
        </is>
      </c>
      <c r="B32" s="8" t="inlineStr">
        <is>
          <t>12A</t>
        </is>
      </c>
      <c r="C32" s="24" t="inlineStr">
        <is>
          <t>RL7-CNV-110.M1</t>
        </is>
      </c>
      <c r="D32" s="28" t="inlineStr">
        <is>
          <t>METAL DETECTOR CONVEYOR</t>
        </is>
      </c>
      <c r="E32" s="29" t="inlineStr">
        <is>
          <t>VFD_PF755</t>
        </is>
      </c>
      <c r="F32" s="8" t="n">
        <v>1</v>
      </c>
      <c r="G32" s="8" t="n">
        <v>2</v>
      </c>
      <c r="H32" s="82" t="n">
        <v>3.4</v>
      </c>
      <c r="I32" s="8" t="n"/>
      <c r="J32" s="83">
        <f>IF(ISNUMBER(MCC_Table[[#This Row],[SIZE]]), MCC_Table[[#This Row],[SIZE]]/12, 0)</f>
        <v/>
      </c>
      <c r="K32" s="87" t="n">
        <v>15</v>
      </c>
      <c r="L32" s="8" t="n">
        <v>125</v>
      </c>
      <c r="M32" s="82" t="n">
        <v>6</v>
      </c>
      <c r="N32" s="82" t="inlineStr">
        <is>
          <t>3/C #12 VFD CABLE</t>
        </is>
      </c>
      <c r="O32" s="236" t="n"/>
      <c r="P32" s="85" t="n"/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  <c r="AA32" s="79" t="n"/>
      <c r="AB32" s="225" t="inlineStr">
        <is>
          <t>Oneline_Motor</t>
        </is>
      </c>
      <c r="AC32" s="225" t="inlineStr">
        <is>
          <t>Motor_VFD-w-Fuse</t>
        </is>
      </c>
      <c r="AD32" s="224" t="inlineStr">
        <is>
          <t>Motor w/ Disc</t>
        </is>
      </c>
      <c r="AE32" s="8">
        <f>_xlfn.NUMBERVALUE(LEFT(MCC_Table[[#This Row],[BUCKET]],LEN(MCC_Table[[#This Row],[BUCKET]])-1))</f>
        <v/>
      </c>
      <c r="AF32" s="8">
        <f>RIGHT(MCC_Table[[#This Row],[BUCKET]],1)</f>
        <v/>
      </c>
      <c r="AG32" s="8">
        <f>VLOOKUP(MCC_Table[[#This Row],[START UNIT]],UnitMap[],2,FALSE)</f>
        <v/>
      </c>
      <c r="AH32" s="8">
        <f t="array" ref="AH3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2" s="8">
        <f>IF(ISNUMBER(MCC_Table[[#This Row],[SIZE]]), MCC_Table[[#This Row],[SIZE]]/6, 0)</f>
        <v/>
      </c>
      <c r="AJ32" s="8">
        <f>MCC_Table[[#This Row],[START INDEX]]+MCC_Table[[#This Row],[UNITS USED]]-1</f>
        <v/>
      </c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</row>
    <row r="33">
      <c r="A33" s="39" t="inlineStr">
        <is>
          <t>RL7-6MCC01</t>
        </is>
      </c>
      <c r="B33" s="29" t="inlineStr">
        <is>
          <t>12E</t>
        </is>
      </c>
      <c r="C33" s="24" t="inlineStr">
        <is>
          <t>SPACE</t>
        </is>
      </c>
      <c r="D33" s="62" t="inlineStr">
        <is>
          <t>6" SPACE</t>
        </is>
      </c>
      <c r="E33" s="24" t="inlineStr">
        <is>
          <t>SPACE</t>
        </is>
      </c>
      <c r="F33" s="8" t="n"/>
      <c r="G33" s="8" t="n"/>
      <c r="H33" s="82" t="n"/>
      <c r="I33" s="8" t="n"/>
      <c r="J33" s="80">
        <f>IF(ISNUMBER(MCC_Table[[#This Row],[SIZE]]), MCC_Table[[#This Row],[SIZE]]/12, 0)</f>
        <v/>
      </c>
      <c r="K33" s="87" t="n"/>
      <c r="L33" s="8" t="n"/>
      <c r="M33" s="82" t="n"/>
      <c r="N33" s="82" t="n"/>
      <c r="O33" s="236" t="n"/>
      <c r="P33" s="85" t="n"/>
      <c r="Q33" s="79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  <c r="AA33" s="79" t="n"/>
      <c r="AB33" s="225" t="inlineStr">
        <is>
          <t>Oneline_Feeder_Panel</t>
        </is>
      </c>
      <c r="AC33" s="225" t="inlineStr">
        <is>
          <t>Feeder_Space</t>
        </is>
      </c>
      <c r="AD33" s="225" t="n"/>
      <c r="AE33" s="29">
        <f>_xlfn.NUMBERVALUE(LEFT(MCC_Table[[#This Row],[BUCKET]],LEN(MCC_Table[[#This Row],[BUCKET]])-1))</f>
        <v/>
      </c>
      <c r="AF33" s="29">
        <f>RIGHT(MCC_Table[[#This Row],[BUCKET]],1)</f>
        <v/>
      </c>
      <c r="AG33" s="29">
        <f>VLOOKUP(MCC_Table[[#This Row],[START UNIT]],UnitMap[],2,FALSE)</f>
        <v/>
      </c>
      <c r="AH33" s="29">
        <f t="array" ref="AH3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3" s="29">
        <f>IF(ISNUMBER(MCC_Table[[#This Row],[SIZE]]), MCC_Table[[#This Row],[SIZE]]/6, 0)</f>
        <v/>
      </c>
      <c r="AJ33" s="29">
        <f>MCC_Table[[#This Row],[START INDEX]]+MCC_Table[[#This Row],[UNITS USED]]-1</f>
        <v/>
      </c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4" t="n"/>
      <c r="BE33" s="14" t="n"/>
    </row>
    <row r="34">
      <c r="A34" s="39" t="inlineStr">
        <is>
          <t>RL7-6MCC01</t>
        </is>
      </c>
      <c r="B34" s="8" t="inlineStr">
        <is>
          <t>12F</t>
        </is>
      </c>
      <c r="C34" s="24" t="inlineStr">
        <is>
          <t>RL7-CNV-109.M1</t>
        </is>
      </c>
      <c r="D34" s="28" t="inlineStr">
        <is>
          <t>INCLINE AUGER CONVEYOR</t>
        </is>
      </c>
      <c r="E34" s="29" t="inlineStr">
        <is>
          <t>VFD_PF755</t>
        </is>
      </c>
      <c r="F34" s="8" t="n">
        <v>25</v>
      </c>
      <c r="G34" s="8" t="n">
        <v>25</v>
      </c>
      <c r="H34" s="82" t="n">
        <v>34</v>
      </c>
      <c r="I34" s="8" t="n"/>
      <c r="J34" s="83">
        <f>IF(ISNUMBER(MCC_Table[[#This Row],[SIZE]]), MCC_Table[[#This Row],[SIZE]]/12, 0)</f>
        <v/>
      </c>
      <c r="K34" s="87" t="n">
        <v>60</v>
      </c>
      <c r="L34" s="8" t="n">
        <v>125</v>
      </c>
      <c r="M34" s="82" t="n">
        <v>60</v>
      </c>
      <c r="N34" s="82" t="inlineStr">
        <is>
          <t>3/C #8 VFD CABLE</t>
        </is>
      </c>
      <c r="O34" s="236" t="n"/>
      <c r="P34" s="85" t="n"/>
      <c r="Q34" s="79" t="n"/>
      <c r="R34" s="79" t="n"/>
      <c r="S34" s="79" t="n"/>
      <c r="T34" s="79" t="n"/>
      <c r="U34" s="79" t="n"/>
      <c r="V34" s="79" t="n"/>
      <c r="W34" s="79" t="n"/>
      <c r="X34" s="79" t="n"/>
      <c r="Y34" s="79" t="n"/>
      <c r="Z34" s="79" t="n"/>
      <c r="AA34" s="79" t="n"/>
      <c r="AB34" s="225" t="inlineStr">
        <is>
          <t>Oneline_Motor</t>
        </is>
      </c>
      <c r="AC34" s="225" t="inlineStr">
        <is>
          <t>Motor_VFD-w-Fuse</t>
        </is>
      </c>
      <c r="AD34" s="224" t="inlineStr">
        <is>
          <t>Motor w/ Disc</t>
        </is>
      </c>
      <c r="AE34" s="8">
        <f>_xlfn.NUMBERVALUE(LEFT(MCC_Table[[#This Row],[BUCKET]],LEN(MCC_Table[[#This Row],[BUCKET]])-1))</f>
        <v/>
      </c>
      <c r="AF34" s="8">
        <f>RIGHT(MCC_Table[[#This Row],[BUCKET]],1)</f>
        <v/>
      </c>
      <c r="AG34" s="8">
        <f>VLOOKUP(MCC_Table[[#This Row],[START UNIT]],UnitMap[],2,FALSE)</f>
        <v/>
      </c>
      <c r="AH34" s="8">
        <f t="array" ref="AH3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4" s="8">
        <f>IF(ISNUMBER(MCC_Table[[#This Row],[SIZE]]), MCC_Table[[#This Row],[SIZE]]/6, 0)</f>
        <v/>
      </c>
      <c r="AJ34" s="8">
        <f>MCC_Table[[#This Row],[START INDEX]]+MCC_Table[[#This Row],[UNITS USED]]-1</f>
        <v/>
      </c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</row>
    <row r="35">
      <c r="A35" s="39" t="inlineStr">
        <is>
          <t>RL7-6MCC01</t>
        </is>
      </c>
      <c r="B35" s="8" t="inlineStr">
        <is>
          <t>13A</t>
        </is>
      </c>
      <c r="C35" s="24" t="inlineStr">
        <is>
          <t>RL7-CNV-114.M2</t>
        </is>
      </c>
      <c r="D35" s="28" t="inlineStr">
        <is>
          <t>INCLINE PIVOT AUGER 1 HYDRAULIC PUMP</t>
        </is>
      </c>
      <c r="E35" s="29" t="inlineStr">
        <is>
          <t>FVNR</t>
        </is>
      </c>
      <c r="F35" s="8" t="n">
        <v>1.5</v>
      </c>
      <c r="G35" s="8" t="n">
        <v>1.5</v>
      </c>
      <c r="H35" s="82" t="n"/>
      <c r="I35" s="8" t="n">
        <v>1</v>
      </c>
      <c r="J35" s="83">
        <f>IF(ISNUMBER(MCC_Table[[#This Row],[SIZE]]), MCC_Table[[#This Row],[SIZE]]/12, 0)</f>
        <v/>
      </c>
      <c r="K35" s="87" t="n">
        <v>7</v>
      </c>
      <c r="L35" s="8" t="n">
        <v>125</v>
      </c>
      <c r="M35" s="82" t="n"/>
      <c r="N35" s="82" t="inlineStr">
        <is>
          <t>3/C #12 W/ GND</t>
        </is>
      </c>
      <c r="O35" s="236" t="n"/>
      <c r="P35" s="85" t="n"/>
      <c r="Q35" s="79" t="n"/>
      <c r="R35" s="79" t="n"/>
      <c r="S35" s="79" t="n"/>
      <c r="T35" s="79" t="n"/>
      <c r="U35" s="79" t="n"/>
      <c r="V35" s="79" t="n"/>
      <c r="W35" s="79" t="n"/>
      <c r="X35" s="79" t="n"/>
      <c r="Y35" s="79" t="n"/>
      <c r="Z35" s="79" t="n"/>
      <c r="AA35" s="79" t="n"/>
      <c r="AB35" s="225" t="inlineStr">
        <is>
          <t>Oneline_Motor</t>
        </is>
      </c>
      <c r="AC35" s="224" t="inlineStr">
        <is>
          <t>Motor_FVNR</t>
        </is>
      </c>
      <c r="AD35" s="224" t="inlineStr">
        <is>
          <t>Motor w/ Disc</t>
        </is>
      </c>
      <c r="AE35" s="8">
        <f>_xlfn.NUMBERVALUE(LEFT(MCC_Table[[#This Row],[BUCKET]],LEN(MCC_Table[[#This Row],[BUCKET]])-1))</f>
        <v/>
      </c>
      <c r="AF35" s="8">
        <f>RIGHT(MCC_Table[[#This Row],[BUCKET]],1)</f>
        <v/>
      </c>
      <c r="AG35" s="8">
        <f>VLOOKUP(MCC_Table[[#This Row],[START UNIT]],UnitMap[],2,FALSE)</f>
        <v/>
      </c>
      <c r="AH35" s="8">
        <f t="array" ref="AH3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5" s="8">
        <f>IF(ISNUMBER(MCC_Table[[#This Row],[SIZE]]), MCC_Table[[#This Row],[SIZE]]/6, 0)</f>
        <v/>
      </c>
      <c r="AJ35" s="8">
        <f>MCC_Table[[#This Row],[START INDEX]]+MCC_Table[[#This Row],[UNITS USED]]-1</f>
        <v/>
      </c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4" t="n"/>
      <c r="BC35" s="14" t="n"/>
      <c r="BD35" s="14" t="n"/>
      <c r="BE35" s="14" t="n"/>
    </row>
    <row r="36">
      <c r="A36" s="39" t="inlineStr">
        <is>
          <t>RL7-6MCC01</t>
        </is>
      </c>
      <c r="B36" s="8" t="inlineStr">
        <is>
          <t>13C</t>
        </is>
      </c>
      <c r="C36" s="24" t="inlineStr">
        <is>
          <t>RL7-CNV-114.M1</t>
        </is>
      </c>
      <c r="D36" s="28" t="inlineStr">
        <is>
          <t>INCLINE PIVOT AUGER 1</t>
        </is>
      </c>
      <c r="E36" s="29" t="inlineStr">
        <is>
          <t>VFD_PF755</t>
        </is>
      </c>
      <c r="F36" s="8" t="n">
        <v>10</v>
      </c>
      <c r="G36" s="8" t="n">
        <v>10</v>
      </c>
      <c r="H36" s="82" t="n">
        <v>14</v>
      </c>
      <c r="I36" s="8" t="n"/>
      <c r="J36" s="83">
        <f>IF(ISNUMBER(MCC_Table[[#This Row],[SIZE]]), MCC_Table[[#This Row],[SIZE]]/12, 0)</f>
        <v/>
      </c>
      <c r="K36" s="87" t="n">
        <v>30</v>
      </c>
      <c r="L36" s="8" t="n">
        <v>125</v>
      </c>
      <c r="M36" s="82" t="n">
        <v>25</v>
      </c>
      <c r="N36" s="82" t="inlineStr">
        <is>
          <t>3/C #12 VFD CABLE</t>
        </is>
      </c>
      <c r="O36" s="236" t="n"/>
      <c r="P36" s="85" t="n"/>
      <c r="Q36" s="79" t="n"/>
      <c r="R36" s="79" t="n"/>
      <c r="S36" s="79" t="n"/>
      <c r="T36" s="79" t="n"/>
      <c r="U36" s="79" t="n"/>
      <c r="V36" s="79" t="n"/>
      <c r="W36" s="79" t="n"/>
      <c r="X36" s="79" t="n"/>
      <c r="Y36" s="79" t="n"/>
      <c r="Z36" s="79" t="n"/>
      <c r="AA36" s="79" t="n"/>
      <c r="AB36" s="225" t="inlineStr">
        <is>
          <t>Oneline_Motor</t>
        </is>
      </c>
      <c r="AC36" s="225" t="inlineStr">
        <is>
          <t>Motor_VFD-w-Fuse</t>
        </is>
      </c>
      <c r="AD36" s="224" t="inlineStr">
        <is>
          <t>Motor w/ Disc</t>
        </is>
      </c>
      <c r="AE36" s="8">
        <f>_xlfn.NUMBERVALUE(LEFT(MCC_Table[[#This Row],[BUCKET]],LEN(MCC_Table[[#This Row],[BUCKET]])-1))</f>
        <v/>
      </c>
      <c r="AF36" s="8">
        <f>RIGHT(MCC_Table[[#This Row],[BUCKET]],1)</f>
        <v/>
      </c>
      <c r="AG36" s="8">
        <f>VLOOKUP(MCC_Table[[#This Row],[START UNIT]],UnitMap[],2,FALSE)</f>
        <v/>
      </c>
      <c r="AH36" s="8">
        <f t="array" ref="AH3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6" s="8">
        <f>IF(ISNUMBER(MCC_Table[[#This Row],[SIZE]]), MCC_Table[[#This Row],[SIZE]]/6, 0)</f>
        <v/>
      </c>
      <c r="AJ36" s="8">
        <f>MCC_Table[[#This Row],[START INDEX]]+MCC_Table[[#This Row],[UNITS USED]]-1</f>
        <v/>
      </c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</row>
    <row r="37">
      <c r="A37" s="39" t="inlineStr">
        <is>
          <t>RL7-6MCC01</t>
        </is>
      </c>
      <c r="B37" s="29" t="inlineStr">
        <is>
          <t>13H</t>
        </is>
      </c>
      <c r="C37" s="24" t="inlineStr">
        <is>
          <t>SPACE</t>
        </is>
      </c>
      <c r="D37" s="62" t="inlineStr">
        <is>
          <t>6" SPACE</t>
        </is>
      </c>
      <c r="E37" s="24" t="inlineStr">
        <is>
          <t>SPACE</t>
        </is>
      </c>
      <c r="F37" s="8" t="n"/>
      <c r="G37" s="8" t="n"/>
      <c r="H37" s="82" t="n"/>
      <c r="I37" s="8" t="n"/>
      <c r="J37" s="80">
        <f>IF(ISNUMBER(MCC_Table[[#This Row],[SIZE]]), MCC_Table[[#This Row],[SIZE]]/12, 0)</f>
        <v/>
      </c>
      <c r="K37" s="87" t="n"/>
      <c r="L37" s="8" t="n"/>
      <c r="M37" s="82" t="n"/>
      <c r="N37" s="82" t="n"/>
      <c r="O37" s="236" t="n"/>
      <c r="P37" s="85" t="n"/>
      <c r="Q37" s="79" t="n"/>
      <c r="R37" s="79" t="n"/>
      <c r="S37" s="79" t="n"/>
      <c r="T37" s="79" t="n"/>
      <c r="U37" s="79" t="n"/>
      <c r="V37" s="79" t="n"/>
      <c r="W37" s="79" t="n"/>
      <c r="X37" s="79" t="n"/>
      <c r="Y37" s="79" t="n"/>
      <c r="Z37" s="79" t="n"/>
      <c r="AA37" s="79" t="n"/>
      <c r="AB37" s="225" t="inlineStr">
        <is>
          <t>Oneline_Feeder_Panel</t>
        </is>
      </c>
      <c r="AC37" s="225" t="inlineStr">
        <is>
          <t>Feeder_Space</t>
        </is>
      </c>
      <c r="AD37" s="225" t="n"/>
      <c r="AE37" s="29">
        <f>_xlfn.NUMBERVALUE(LEFT(MCC_Table[[#This Row],[BUCKET]],LEN(MCC_Table[[#This Row],[BUCKET]])-1))</f>
        <v/>
      </c>
      <c r="AF37" s="29">
        <f>RIGHT(MCC_Table[[#This Row],[BUCKET]],1)</f>
        <v/>
      </c>
      <c r="AG37" s="29">
        <f>VLOOKUP(MCC_Table[[#This Row],[START UNIT]],UnitMap[],2,FALSE)</f>
        <v/>
      </c>
      <c r="AH37" s="29">
        <f t="array" ref="AH3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7" s="29">
        <f>IF(ISNUMBER(MCC_Table[[#This Row],[SIZE]]), MCC_Table[[#This Row],[SIZE]]/6, 0)</f>
        <v/>
      </c>
      <c r="AJ37" s="29">
        <f>MCC_Table[[#This Row],[START INDEX]]+MCC_Table[[#This Row],[UNITS USED]]-1</f>
        <v/>
      </c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  <c r="BA37" s="14" t="n"/>
      <c r="BB37" s="14" t="n"/>
      <c r="BC37" s="14" t="n"/>
      <c r="BD37" s="14" t="n"/>
      <c r="BE37" s="14" t="n"/>
    </row>
    <row r="38">
      <c r="A38" s="39" t="inlineStr">
        <is>
          <t>RL7-6MCC01</t>
        </is>
      </c>
      <c r="B38" s="8" t="inlineStr">
        <is>
          <t>13J</t>
        </is>
      </c>
      <c r="C38" s="24" t="inlineStr">
        <is>
          <t>RL7-CNV-114.M3</t>
        </is>
      </c>
      <c r="D38" s="28" t="inlineStr">
        <is>
          <t>INCLINE PIVOT AUGER 1 SLIDE TRACK</t>
        </is>
      </c>
      <c r="E38" s="29" t="inlineStr">
        <is>
          <t>VFD_PF755</t>
        </is>
      </c>
      <c r="F38" s="8" t="n">
        <v>0.75</v>
      </c>
      <c r="G38" s="8" t="n">
        <v>1</v>
      </c>
      <c r="H38" s="82" t="n">
        <v>2.1</v>
      </c>
      <c r="I38" s="8" t="n"/>
      <c r="J38" s="83">
        <f>IF(ISNUMBER(MCC_Table[[#This Row],[SIZE]]), MCC_Table[[#This Row],[SIZE]]/12, 0)</f>
        <v/>
      </c>
      <c r="K38" s="87" t="n">
        <v>15</v>
      </c>
      <c r="L38" s="8" t="n">
        <v>125</v>
      </c>
      <c r="M38" s="82" t="n">
        <v>3</v>
      </c>
      <c r="N38" s="82" t="inlineStr">
        <is>
          <t>3/C #12 VFD CABLE</t>
        </is>
      </c>
      <c r="O38" s="236" t="n"/>
      <c r="P38" s="85" t="n"/>
      <c r="Q38" s="79" t="n"/>
      <c r="R38" s="79" t="n"/>
      <c r="S38" s="79" t="n"/>
      <c r="T38" s="79" t="n"/>
      <c r="U38" s="79" t="n"/>
      <c r="V38" s="79" t="n"/>
      <c r="W38" s="79" t="n"/>
      <c r="X38" s="79" t="n"/>
      <c r="Y38" s="79" t="n"/>
      <c r="Z38" s="79" t="n"/>
      <c r="AA38" s="79" t="n"/>
      <c r="AB38" s="225" t="inlineStr">
        <is>
          <t>Oneline_Motor</t>
        </is>
      </c>
      <c r="AC38" s="225" t="inlineStr">
        <is>
          <t>Motor_VFD-w-Fuse</t>
        </is>
      </c>
      <c r="AD38" s="224" t="inlineStr">
        <is>
          <t>Motor w/ Disc</t>
        </is>
      </c>
      <c r="AE38" s="8">
        <f>_xlfn.NUMBERVALUE(LEFT(MCC_Table[[#This Row],[BUCKET]],LEN(MCC_Table[[#This Row],[BUCKET]])-1))</f>
        <v/>
      </c>
      <c r="AF38" s="8">
        <f>RIGHT(MCC_Table[[#This Row],[BUCKET]],1)</f>
        <v/>
      </c>
      <c r="AG38" s="8">
        <f>VLOOKUP(MCC_Table[[#This Row],[START UNIT]],UnitMap[],2,FALSE)</f>
        <v/>
      </c>
      <c r="AH38" s="8">
        <f t="array" ref="AH3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8" s="8">
        <f>IF(ISNUMBER(MCC_Table[[#This Row],[SIZE]]), MCC_Table[[#This Row],[SIZE]]/6, 0)</f>
        <v/>
      </c>
      <c r="AJ38" s="8">
        <f>MCC_Table[[#This Row],[START INDEX]]+MCC_Table[[#This Row],[UNITS USED]]-1</f>
        <v/>
      </c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</row>
    <row r="39" ht="30" customHeight="1">
      <c r="A39" s="39" t="inlineStr">
        <is>
          <t>RL7-6MCC01</t>
        </is>
      </c>
      <c r="B39" s="29" t="inlineStr">
        <is>
          <t>14A</t>
        </is>
      </c>
      <c r="C39" s="24" t="inlineStr">
        <is>
          <t>RL7-MCC1-14A.SW1 RL7-MCC1-14A.SW2</t>
        </is>
      </c>
      <c r="D39" s="62" t="inlineStr">
        <is>
          <t>ETHERNET SWITCH (10-PORT)
ETHERNET SWITCH (20-PORT)</t>
        </is>
      </c>
      <c r="E39" s="24" t="inlineStr">
        <is>
          <t>ENET_30</t>
        </is>
      </c>
      <c r="F39" s="8" t="n"/>
      <c r="G39" s="8" t="n"/>
      <c r="H39" s="82" t="n"/>
      <c r="I39" s="8" t="n"/>
      <c r="J39" s="80">
        <f>IF(ISNUMBER(MCC_Table[[#This Row],[SIZE]]), MCC_Table[[#This Row],[SIZE]]/12, 0)</f>
        <v/>
      </c>
      <c r="K39" s="87" t="n"/>
      <c r="L39" s="8" t="n"/>
      <c r="M39" s="82" t="n"/>
      <c r="N39" s="82" t="n"/>
      <c r="O39" s="236" t="n"/>
      <c r="P39" s="85" t="n"/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  <c r="Z39" s="79" t="n"/>
      <c r="AA39" s="79" t="n"/>
      <c r="AB39" s="225" t="inlineStr">
        <is>
          <t>Oneline_Ensw</t>
        </is>
      </c>
      <c r="AC39" s="225" t="inlineStr">
        <is>
          <t>Switch_30-Port</t>
        </is>
      </c>
      <c r="AD39" s="225" t="n"/>
      <c r="AE39" s="29">
        <f>_xlfn.NUMBERVALUE(LEFT(MCC_Table[[#This Row],[BUCKET]],LEN(MCC_Table[[#This Row],[BUCKET]])-1))</f>
        <v/>
      </c>
      <c r="AF39" s="29">
        <f>RIGHT(MCC_Table[[#This Row],[BUCKET]],1)</f>
        <v/>
      </c>
      <c r="AG39" s="29">
        <f>VLOOKUP(MCC_Table[[#This Row],[START UNIT]],UnitMap[],2,FALSE)</f>
        <v/>
      </c>
      <c r="AH39" s="29">
        <f t="array" ref="AH3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9" s="29">
        <f>IF(ISNUMBER(MCC_Table[[#This Row],[SIZE]]), MCC_Table[[#This Row],[SIZE]]/6, 0)</f>
        <v/>
      </c>
      <c r="AJ39" s="29">
        <f>MCC_Table[[#This Row],[START INDEX]]+MCC_Table[[#This Row],[UNITS USED]]-1</f>
        <v/>
      </c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14" t="n"/>
      <c r="BE39" s="14" t="n"/>
    </row>
    <row r="40">
      <c r="A40" s="39" t="inlineStr">
        <is>
          <t>RL7-6MCC01</t>
        </is>
      </c>
      <c r="B40" s="29" t="inlineStr">
        <is>
          <t>14C</t>
        </is>
      </c>
      <c r="C40" s="24" t="inlineStr">
        <is>
          <t>SPACE</t>
        </is>
      </c>
      <c r="D40" s="62" t="inlineStr">
        <is>
          <t>12" SPACE</t>
        </is>
      </c>
      <c r="E40" s="24" t="inlineStr">
        <is>
          <t>SPACE</t>
        </is>
      </c>
      <c r="F40" s="8" t="n"/>
      <c r="G40" s="8" t="n"/>
      <c r="H40" s="82" t="n"/>
      <c r="I40" s="8" t="n"/>
      <c r="J40" s="80">
        <f>IF(ISNUMBER(MCC_Table[[#This Row],[SIZE]]), MCC_Table[[#This Row],[SIZE]]/12, 0)</f>
        <v/>
      </c>
      <c r="K40" s="87" t="n"/>
      <c r="L40" s="8" t="n"/>
      <c r="M40" s="82" t="n"/>
      <c r="N40" s="82" t="n"/>
      <c r="O40" s="236" t="n"/>
      <c r="P40" s="85" t="n"/>
      <c r="Q40" s="79" t="n"/>
      <c r="R40" s="79" t="n"/>
      <c r="S40" s="79" t="n"/>
      <c r="T40" s="79" t="n"/>
      <c r="U40" s="79" t="n"/>
      <c r="V40" s="79" t="n"/>
      <c r="W40" s="79" t="n"/>
      <c r="X40" s="79" t="n"/>
      <c r="Y40" s="79" t="n"/>
      <c r="Z40" s="79" t="n"/>
      <c r="AA40" s="79" t="n"/>
      <c r="AB40" s="225" t="inlineStr">
        <is>
          <t>Oneline_Feeder_Panel</t>
        </is>
      </c>
      <c r="AC40" s="225" t="inlineStr">
        <is>
          <t>Feeder_Space</t>
        </is>
      </c>
      <c r="AD40" s="225" t="n"/>
      <c r="AE40" s="29">
        <f>_xlfn.NUMBERVALUE(LEFT(MCC_Table[[#This Row],[BUCKET]],LEN(MCC_Table[[#This Row],[BUCKET]])-1))</f>
        <v/>
      </c>
      <c r="AF40" s="29">
        <f>RIGHT(MCC_Table[[#This Row],[BUCKET]],1)</f>
        <v/>
      </c>
      <c r="AG40" s="29">
        <f>VLOOKUP(MCC_Table[[#This Row],[START UNIT]],UnitMap[],2,FALSE)</f>
        <v/>
      </c>
      <c r="AH40" s="29">
        <f t="array" ref="AH4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0" s="29">
        <f>IF(ISNUMBER(MCC_Table[[#This Row],[SIZE]]), MCC_Table[[#This Row],[SIZE]]/6, 0)</f>
        <v/>
      </c>
      <c r="AJ40" s="29">
        <f>MCC_Table[[#This Row],[START INDEX]]+MCC_Table[[#This Row],[UNITS USED]]-1</f>
        <v/>
      </c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</row>
    <row r="41">
      <c r="A41" s="39" t="inlineStr">
        <is>
          <t>RL7-6MCC01</t>
        </is>
      </c>
      <c r="B41" s="29" t="inlineStr">
        <is>
          <t>14E</t>
        </is>
      </c>
      <c r="C41" s="24" t="inlineStr">
        <is>
          <t>RL7-AGC-101.M1</t>
        </is>
      </c>
      <c r="D41" s="4" t="inlineStr">
        <is>
          <t>FRESH AUGER CART 1 - AUGER 1</t>
        </is>
      </c>
      <c r="E41" s="29" t="inlineStr">
        <is>
          <t>VFD_PF755</t>
        </is>
      </c>
      <c r="F41" s="29" t="n">
        <v>5</v>
      </c>
      <c r="G41" s="8" t="n">
        <v>5</v>
      </c>
      <c r="H41" s="82" t="n">
        <v>8</v>
      </c>
      <c r="I41" s="8" t="n"/>
      <c r="J41" s="80">
        <f>IF(ISNUMBER(MCC_Table[[#This Row],[SIZE]]), MCC_Table[[#This Row],[SIZE]]/12, 0)</f>
        <v/>
      </c>
      <c r="K41" s="87" t="n">
        <v>20</v>
      </c>
      <c r="L41" s="8" t="n">
        <v>125</v>
      </c>
      <c r="M41" s="82" t="n">
        <v>12</v>
      </c>
      <c r="N41" s="82" t="inlineStr">
        <is>
          <t>3/C #12 VFD CABLE</t>
        </is>
      </c>
      <c r="O41" s="236" t="n"/>
      <c r="P41" s="85" t="n"/>
      <c r="Q41" s="79" t="n"/>
      <c r="R41" s="79" t="n"/>
      <c r="S41" s="79" t="n"/>
      <c r="T41" s="79" t="n"/>
      <c r="U41" s="79" t="n"/>
      <c r="V41" s="79" t="n"/>
      <c r="W41" s="79" t="n"/>
      <c r="X41" s="79" t="n"/>
      <c r="Y41" s="79" t="n"/>
      <c r="Z41" s="79" t="n"/>
      <c r="AA41" s="79" t="n"/>
      <c r="AB41" s="225" t="inlineStr">
        <is>
          <t>Oneline_Motor</t>
        </is>
      </c>
      <c r="AC41" s="225" t="inlineStr">
        <is>
          <t>Motor_VFD-w-Fuse</t>
        </is>
      </c>
      <c r="AD41" s="224" t="inlineStr">
        <is>
          <t>Motor w/ Disc</t>
        </is>
      </c>
      <c r="AE41" s="29">
        <f>_xlfn.NUMBERVALUE(LEFT(MCC_Table[[#This Row],[BUCKET]],LEN(MCC_Table[[#This Row],[BUCKET]])-1))</f>
        <v/>
      </c>
      <c r="AF41" s="29">
        <f>RIGHT(MCC_Table[[#This Row],[BUCKET]],1)</f>
        <v/>
      </c>
      <c r="AG41" s="29">
        <f>VLOOKUP(MCC_Table[[#This Row],[START UNIT]],UnitMap[],2,FALSE)</f>
        <v/>
      </c>
      <c r="AH41" s="29">
        <f t="array" ref="AH4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1" s="29">
        <f>IF(ISNUMBER(MCC_Table[[#This Row],[SIZE]]), MCC_Table[[#This Row],[SIZE]]/6, 0)</f>
        <v/>
      </c>
      <c r="AJ41" s="29">
        <f>MCC_Table[[#This Row],[START INDEX]]+MCC_Table[[#This Row],[UNITS USED]]-1</f>
        <v/>
      </c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  <c r="BA41" s="14" t="n"/>
      <c r="BB41" s="14" t="n"/>
      <c r="BC41" s="14" t="n"/>
      <c r="BD41" s="14" t="n"/>
      <c r="BE41" s="14" t="n"/>
    </row>
    <row r="42">
      <c r="A42" s="39" t="inlineStr">
        <is>
          <t>RL7-6MCC01</t>
        </is>
      </c>
      <c r="B42" s="8" t="inlineStr">
        <is>
          <t>14J</t>
        </is>
      </c>
      <c r="C42" s="24" t="inlineStr">
        <is>
          <t>RL7-AGC-101.M2</t>
        </is>
      </c>
      <c r="D42" s="4" t="inlineStr">
        <is>
          <t>FRESH AUGER CART 1 - AUGER 2</t>
        </is>
      </c>
      <c r="E42" s="29" t="inlineStr">
        <is>
          <t>VFD_PF755</t>
        </is>
      </c>
      <c r="F42" s="29" t="n">
        <v>5</v>
      </c>
      <c r="G42" s="8" t="n">
        <v>5</v>
      </c>
      <c r="H42" s="82" t="n">
        <v>8</v>
      </c>
      <c r="I42" s="8" t="n"/>
      <c r="J42" s="83">
        <f>IF(ISNUMBER(MCC_Table[[#This Row],[SIZE]]), MCC_Table[[#This Row],[SIZE]]/12, 0)</f>
        <v/>
      </c>
      <c r="K42" s="87" t="n">
        <v>20</v>
      </c>
      <c r="L42" s="8" t="n">
        <v>125</v>
      </c>
      <c r="M42" s="82" t="n">
        <v>12</v>
      </c>
      <c r="N42" s="82" t="inlineStr">
        <is>
          <t>3/C #12 VFD CABLE</t>
        </is>
      </c>
      <c r="O42" s="236" t="n"/>
      <c r="P42" s="85" t="n"/>
      <c r="Q42" s="79" t="n"/>
      <c r="R42" s="79" t="n"/>
      <c r="S42" s="79" t="n"/>
      <c r="T42" s="79" t="n"/>
      <c r="U42" s="79" t="n"/>
      <c r="V42" s="79" t="n"/>
      <c r="W42" s="79" t="n"/>
      <c r="X42" s="79" t="n"/>
      <c r="Y42" s="79" t="n"/>
      <c r="Z42" s="79" t="n"/>
      <c r="AA42" s="79" t="n"/>
      <c r="AB42" s="225" t="inlineStr">
        <is>
          <t>Oneline_Motor</t>
        </is>
      </c>
      <c r="AC42" s="225" t="inlineStr">
        <is>
          <t>Motor_VFD-w-Fuse</t>
        </is>
      </c>
      <c r="AD42" s="224" t="inlineStr">
        <is>
          <t>Motor w/ Disc</t>
        </is>
      </c>
      <c r="AE42" s="8">
        <f>_xlfn.NUMBERVALUE(LEFT(MCC_Table[[#This Row],[BUCKET]],LEN(MCC_Table[[#This Row],[BUCKET]])-1))</f>
        <v/>
      </c>
      <c r="AF42" s="8">
        <f>RIGHT(MCC_Table[[#This Row],[BUCKET]],1)</f>
        <v/>
      </c>
      <c r="AG42" s="8">
        <f>VLOOKUP(MCC_Table[[#This Row],[START UNIT]],UnitMap[],2,FALSE)</f>
        <v/>
      </c>
      <c r="AH42" s="8">
        <f t="array" ref="AH4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2" s="8">
        <f>IF(ISNUMBER(MCC_Table[[#This Row],[SIZE]]), MCC_Table[[#This Row],[SIZE]]/6, 0)</f>
        <v/>
      </c>
      <c r="AJ42" s="8">
        <f>MCC_Table[[#This Row],[START INDEX]]+MCC_Table[[#This Row],[UNITS USED]]-1</f>
        <v/>
      </c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</row>
    <row r="43">
      <c r="A43" s="39" t="inlineStr">
        <is>
          <t>RL7-6MCC01</t>
        </is>
      </c>
      <c r="B43" s="8" t="inlineStr">
        <is>
          <t>15A</t>
        </is>
      </c>
      <c r="C43" s="24" t="inlineStr">
        <is>
          <t>RL7-PMP-101.M1</t>
        </is>
      </c>
      <c r="D43" s="4" t="inlineStr">
        <is>
          <t>FRESH AUGER CART 1 - PUMP</t>
        </is>
      </c>
      <c r="E43" s="29" t="inlineStr">
        <is>
          <t>VFD_PF755</t>
        </is>
      </c>
      <c r="F43" s="29" t="n">
        <v>20</v>
      </c>
      <c r="G43" s="8" t="n">
        <v>20</v>
      </c>
      <c r="H43" s="87" t="n">
        <v>27</v>
      </c>
      <c r="I43" s="8" t="n"/>
      <c r="J43" s="83">
        <f>IF(ISNUMBER(MCC_Table[[#This Row],[SIZE]]), MCC_Table[[#This Row],[SIZE]]/12, 0)</f>
        <v/>
      </c>
      <c r="K43" s="87" t="n">
        <v>60</v>
      </c>
      <c r="L43" s="8" t="n">
        <v>125</v>
      </c>
      <c r="M43" s="82" t="n">
        <v>45</v>
      </c>
      <c r="N43" s="82" t="inlineStr">
        <is>
          <t>3/C #10 VFD CABLE</t>
        </is>
      </c>
      <c r="O43" s="236" t="n"/>
      <c r="P43" s="88" t="n"/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  <c r="AA43" s="79" t="n"/>
      <c r="AB43" s="225" t="inlineStr">
        <is>
          <t>Oneline_Motor</t>
        </is>
      </c>
      <c r="AC43" s="225" t="inlineStr">
        <is>
          <t>Motor_VFD-w-Fuse</t>
        </is>
      </c>
      <c r="AD43" s="224" t="inlineStr">
        <is>
          <t>Motor w/ Disc</t>
        </is>
      </c>
      <c r="AE43" s="8">
        <f>_xlfn.NUMBERVALUE(LEFT(MCC_Table[[#This Row],[BUCKET]],LEN(MCC_Table[[#This Row],[BUCKET]])-1))</f>
        <v/>
      </c>
      <c r="AF43" s="8">
        <f>RIGHT(MCC_Table[[#This Row],[BUCKET]],1)</f>
        <v/>
      </c>
      <c r="AG43" s="8">
        <f>VLOOKUP(MCC_Table[[#This Row],[START UNIT]],UnitMap[],2,FALSE)</f>
        <v/>
      </c>
      <c r="AH43" s="8">
        <f t="array" ref="AH4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3" s="8">
        <f>IF(ISNUMBER(MCC_Table[[#This Row],[SIZE]]), MCC_Table[[#This Row],[SIZE]]/6, 0)</f>
        <v/>
      </c>
      <c r="AJ43" s="8">
        <f>MCC_Table[[#This Row],[START INDEX]]+MCC_Table[[#This Row],[UNITS USED]]-1</f>
        <v/>
      </c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4" t="n"/>
      <c r="BE43" s="14" t="n"/>
    </row>
    <row r="44">
      <c r="A44" s="39" t="inlineStr">
        <is>
          <t>RL7-6MCC01</t>
        </is>
      </c>
      <c r="B44" s="8" t="inlineStr">
        <is>
          <t>15G</t>
        </is>
      </c>
      <c r="C44" s="24" t="inlineStr">
        <is>
          <t>RL7-PMP-102.M1</t>
        </is>
      </c>
      <c r="D44" s="4" t="inlineStr">
        <is>
          <t>FRESH AUGER CART 2 - PUMP</t>
        </is>
      </c>
      <c r="E44" s="29" t="inlineStr">
        <is>
          <t>VFD_PF755</t>
        </is>
      </c>
      <c r="F44" s="29" t="n">
        <v>20</v>
      </c>
      <c r="G44" s="8" t="n">
        <v>20</v>
      </c>
      <c r="H44" s="87" t="n">
        <v>27</v>
      </c>
      <c r="I44" s="8" t="n"/>
      <c r="J44" s="83">
        <f>IF(ISNUMBER(MCC_Table[[#This Row],[SIZE]]), MCC_Table[[#This Row],[SIZE]]/12, 0)</f>
        <v/>
      </c>
      <c r="K44" s="87" t="n">
        <v>60</v>
      </c>
      <c r="L44" s="8" t="n">
        <v>125</v>
      </c>
      <c r="M44" s="82" t="n">
        <v>45</v>
      </c>
      <c r="N44" s="82" t="inlineStr">
        <is>
          <t>3/C #10 VFD CABLE</t>
        </is>
      </c>
      <c r="O44" s="236" t="n"/>
      <c r="P44" s="85" t="n"/>
      <c r="Q44" s="79" t="n"/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  <c r="AA44" s="79" t="n"/>
      <c r="AB44" s="225" t="inlineStr">
        <is>
          <t>Oneline_Motor</t>
        </is>
      </c>
      <c r="AC44" s="225" t="inlineStr">
        <is>
          <t>Motor_VFD-w-Fuse</t>
        </is>
      </c>
      <c r="AD44" s="224" t="inlineStr">
        <is>
          <t>Motor w/ Disc</t>
        </is>
      </c>
      <c r="AE44" s="8">
        <f>_xlfn.NUMBERVALUE(LEFT(MCC_Table[[#This Row],[BUCKET]],LEN(MCC_Table[[#This Row],[BUCKET]])-1))</f>
        <v/>
      </c>
      <c r="AF44" s="8">
        <f>RIGHT(MCC_Table[[#This Row],[BUCKET]],1)</f>
        <v/>
      </c>
      <c r="AG44" s="8">
        <f>VLOOKUP(MCC_Table[[#This Row],[START UNIT]],UnitMap[],2,FALSE)</f>
        <v/>
      </c>
      <c r="AH44" s="8">
        <f t="array" ref="AH4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4" s="8">
        <f>IF(ISNUMBER(MCC_Table[[#This Row],[SIZE]]), MCC_Table[[#This Row],[SIZE]]/6, 0)</f>
        <v/>
      </c>
      <c r="AJ44" s="8">
        <f>MCC_Table[[#This Row],[START INDEX]]+MCC_Table[[#This Row],[UNITS USED]]-1</f>
        <v/>
      </c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</row>
    <row r="45">
      <c r="A45" s="39" t="inlineStr">
        <is>
          <t>RL7-6MCC01</t>
        </is>
      </c>
      <c r="B45" s="8" t="inlineStr">
        <is>
          <t>16A</t>
        </is>
      </c>
      <c r="C45" s="24" t="inlineStr">
        <is>
          <t>RL7-MLT-104.M1</t>
        </is>
      </c>
      <c r="D45" s="89" t="inlineStr">
        <is>
          <t>FRESH AUGER CART 1 - COMBO DUMPER</t>
        </is>
      </c>
      <c r="E45" s="29" t="inlineStr">
        <is>
          <t>FVNR</t>
        </is>
      </c>
      <c r="F45" s="29" t="n">
        <v>7.5</v>
      </c>
      <c r="G45" s="8" t="n">
        <v>7.5</v>
      </c>
      <c r="H45" s="87" t="n"/>
      <c r="I45" s="8" t="n">
        <v>1</v>
      </c>
      <c r="J45" s="83">
        <f>IF(ISNUMBER(MCC_Table[[#This Row],[SIZE]]), MCC_Table[[#This Row],[SIZE]]/12, 0)</f>
        <v/>
      </c>
      <c r="K45" s="87" t="n">
        <v>30</v>
      </c>
      <c r="L45" s="8" t="n">
        <v>125</v>
      </c>
      <c r="M45" s="82" t="n"/>
      <c r="N45" s="82" t="inlineStr">
        <is>
          <t>3/C #12 W/ GND</t>
        </is>
      </c>
      <c r="O45" s="236" t="n"/>
      <c r="P45" s="88" t="n"/>
      <c r="Q45" s="79" t="n"/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  <c r="AA45" s="79" t="n"/>
      <c r="AB45" s="225" t="inlineStr">
        <is>
          <t>Oneline_Motor</t>
        </is>
      </c>
      <c r="AC45" s="224" t="inlineStr">
        <is>
          <t>Motor_FVNR</t>
        </is>
      </c>
      <c r="AD45" s="224" t="inlineStr">
        <is>
          <t>Motor w/ Disc</t>
        </is>
      </c>
      <c r="AE45" s="8">
        <f>_xlfn.NUMBERVALUE(LEFT(MCC_Table[[#This Row],[BUCKET]],LEN(MCC_Table[[#This Row],[BUCKET]])-1))</f>
        <v/>
      </c>
      <c r="AF45" s="8">
        <f>RIGHT(MCC_Table[[#This Row],[BUCKET]],1)</f>
        <v/>
      </c>
      <c r="AG45" s="8">
        <f>VLOOKUP(MCC_Table[[#This Row],[START UNIT]],UnitMap[],2,FALSE)</f>
        <v/>
      </c>
      <c r="AH45" s="8">
        <f t="array" ref="AH4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5" s="8">
        <f>IF(ISNUMBER(MCC_Table[[#This Row],[SIZE]]), MCC_Table[[#This Row],[SIZE]]/6, 0)</f>
        <v/>
      </c>
      <c r="AJ45" s="8">
        <f>MCC_Table[[#This Row],[START INDEX]]+MCC_Table[[#This Row],[UNITS USED]]-1</f>
        <v/>
      </c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  <c r="BA45" s="14" t="n"/>
      <c r="BB45" s="14" t="n"/>
      <c r="BC45" s="14" t="n"/>
      <c r="BD45" s="14" t="n"/>
      <c r="BE45" s="14" t="n"/>
    </row>
    <row r="46">
      <c r="A46" s="39" t="inlineStr">
        <is>
          <t>RL7-6MCC01</t>
        </is>
      </c>
      <c r="B46" s="8" t="inlineStr">
        <is>
          <t>16C</t>
        </is>
      </c>
      <c r="C46" s="24" t="inlineStr">
        <is>
          <t>RL7-MLT-105.M1</t>
        </is>
      </c>
      <c r="D46" s="89" t="inlineStr">
        <is>
          <t>FRESH AUGER CART 2 - COMBO DUMPER</t>
        </is>
      </c>
      <c r="E46" s="29" t="inlineStr">
        <is>
          <t>FVNR</t>
        </is>
      </c>
      <c r="F46" s="29" t="n">
        <v>7.5</v>
      </c>
      <c r="G46" s="8" t="n">
        <v>7.5</v>
      </c>
      <c r="H46" s="87" t="n"/>
      <c r="I46" s="8" t="n">
        <v>1</v>
      </c>
      <c r="J46" s="83">
        <f>IF(ISNUMBER(MCC_Table[[#This Row],[SIZE]]), MCC_Table[[#This Row],[SIZE]]/12, 0)</f>
        <v/>
      </c>
      <c r="K46" s="87" t="n">
        <v>30</v>
      </c>
      <c r="L46" s="8" t="n">
        <v>125</v>
      </c>
      <c r="M46" s="82" t="n"/>
      <c r="N46" s="82" t="inlineStr">
        <is>
          <t>3/C #12 W/ GND</t>
        </is>
      </c>
      <c r="O46" s="236" t="n"/>
      <c r="P46" s="88" t="n"/>
      <c r="Q46" s="79" t="n"/>
      <c r="R46" s="79" t="n"/>
      <c r="S46" s="79" t="n"/>
      <c r="T46" s="79" t="n"/>
      <c r="U46" s="79" t="n"/>
      <c r="V46" s="79" t="n"/>
      <c r="W46" s="79" t="n"/>
      <c r="X46" s="79" t="n"/>
      <c r="Y46" s="79" t="n"/>
      <c r="Z46" s="79" t="n"/>
      <c r="AA46" s="79" t="n"/>
      <c r="AB46" s="225" t="inlineStr">
        <is>
          <t>Oneline_Motor</t>
        </is>
      </c>
      <c r="AC46" s="224" t="inlineStr">
        <is>
          <t>Motor_FVNR</t>
        </is>
      </c>
      <c r="AD46" s="224" t="inlineStr">
        <is>
          <t>Motor w/ Disc</t>
        </is>
      </c>
      <c r="AE46" s="8">
        <f>_xlfn.NUMBERVALUE(LEFT(MCC_Table[[#This Row],[BUCKET]],LEN(MCC_Table[[#This Row],[BUCKET]])-1))</f>
        <v/>
      </c>
      <c r="AF46" s="8">
        <f>RIGHT(MCC_Table[[#This Row],[BUCKET]],1)</f>
        <v/>
      </c>
      <c r="AG46" s="8">
        <f>VLOOKUP(MCC_Table[[#This Row],[START UNIT]],UnitMap[],2,FALSE)</f>
        <v/>
      </c>
      <c r="AH46" s="8">
        <f t="array" ref="AH4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6" s="8">
        <f>IF(ISNUMBER(MCC_Table[[#This Row],[SIZE]]), MCC_Table[[#This Row],[SIZE]]/6, 0)</f>
        <v/>
      </c>
      <c r="AJ46" s="8">
        <f>MCC_Table[[#This Row],[START INDEX]]+MCC_Table[[#This Row],[UNITS USED]]-1</f>
        <v/>
      </c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</row>
    <row r="47">
      <c r="A47" s="39" t="inlineStr">
        <is>
          <t>RL7-6MCC01</t>
        </is>
      </c>
      <c r="B47" s="8" t="inlineStr">
        <is>
          <t>16E</t>
        </is>
      </c>
      <c r="C47" s="24" t="inlineStr">
        <is>
          <t>RL7-AGC-102.M1</t>
        </is>
      </c>
      <c r="D47" s="4" t="inlineStr">
        <is>
          <t>FRESH AUGER CART 2 - AUGER 1</t>
        </is>
      </c>
      <c r="E47" s="29" t="inlineStr">
        <is>
          <t>VFD_PF755</t>
        </is>
      </c>
      <c r="F47" s="29" t="n">
        <v>5</v>
      </c>
      <c r="G47" s="8" t="n">
        <v>5</v>
      </c>
      <c r="H47" s="82" t="n">
        <v>8</v>
      </c>
      <c r="I47" s="8" t="n"/>
      <c r="J47" s="83">
        <f>IF(ISNUMBER(MCC_Table[[#This Row],[SIZE]]), MCC_Table[[#This Row],[SIZE]]/12, 0)</f>
        <v/>
      </c>
      <c r="K47" s="87" t="n">
        <v>20</v>
      </c>
      <c r="L47" s="8" t="n">
        <v>125</v>
      </c>
      <c r="M47" s="82" t="n">
        <v>12</v>
      </c>
      <c r="N47" s="82" t="inlineStr">
        <is>
          <t>3/C #12 VFD CABLE</t>
        </is>
      </c>
      <c r="O47" s="236" t="n"/>
      <c r="P47" s="85" t="n"/>
      <c r="Q47" s="79" t="n"/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  <c r="AA47" s="79" t="n"/>
      <c r="AB47" s="225" t="inlineStr">
        <is>
          <t>Oneline_Motor</t>
        </is>
      </c>
      <c r="AC47" s="225" t="inlineStr">
        <is>
          <t>Motor_VFD-w-Fuse</t>
        </is>
      </c>
      <c r="AD47" s="224" t="inlineStr">
        <is>
          <t>Motor w/ Disc</t>
        </is>
      </c>
      <c r="AE47" s="8">
        <f>_xlfn.NUMBERVALUE(LEFT(MCC_Table[[#This Row],[BUCKET]],LEN(MCC_Table[[#This Row],[BUCKET]])-1))</f>
        <v/>
      </c>
      <c r="AF47" s="8">
        <f>RIGHT(MCC_Table[[#This Row],[BUCKET]],1)</f>
        <v/>
      </c>
      <c r="AG47" s="8">
        <f>VLOOKUP(MCC_Table[[#This Row],[START UNIT]],UnitMap[],2,FALSE)</f>
        <v/>
      </c>
      <c r="AH47" s="8">
        <f t="array" ref="AH4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7" s="8">
        <f>IF(ISNUMBER(MCC_Table[[#This Row],[SIZE]]), MCC_Table[[#This Row],[SIZE]]/6, 0)</f>
        <v/>
      </c>
      <c r="AJ47" s="8">
        <f>MCC_Table[[#This Row],[START INDEX]]+MCC_Table[[#This Row],[UNITS USED]]-1</f>
        <v/>
      </c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4" t="n"/>
      <c r="BC47" s="14" t="n"/>
      <c r="BD47" s="14" t="n"/>
      <c r="BE47" s="14" t="n"/>
    </row>
    <row r="48">
      <c r="A48" s="39" t="inlineStr">
        <is>
          <t>RL7-6MCC01</t>
        </is>
      </c>
      <c r="B48" s="8" t="inlineStr">
        <is>
          <t>16J</t>
        </is>
      </c>
      <c r="C48" s="24" t="inlineStr">
        <is>
          <t>RL7-AGC-102.M2</t>
        </is>
      </c>
      <c r="D48" s="4" t="inlineStr">
        <is>
          <t>FRESH AUGER CART 2 - AUGER 2</t>
        </is>
      </c>
      <c r="E48" s="29" t="inlineStr">
        <is>
          <t>VFD_PF755</t>
        </is>
      </c>
      <c r="F48" s="29" t="n">
        <v>5</v>
      </c>
      <c r="G48" s="8" t="n">
        <v>5</v>
      </c>
      <c r="H48" s="82" t="n">
        <v>8</v>
      </c>
      <c r="I48" s="8" t="n"/>
      <c r="J48" s="83">
        <f>IF(ISNUMBER(MCC_Table[[#This Row],[SIZE]]), MCC_Table[[#This Row],[SIZE]]/12, 0)</f>
        <v/>
      </c>
      <c r="K48" s="87" t="n">
        <v>20</v>
      </c>
      <c r="L48" s="8" t="n">
        <v>125</v>
      </c>
      <c r="M48" s="82" t="n">
        <v>12</v>
      </c>
      <c r="N48" s="82" t="inlineStr">
        <is>
          <t>3/C #12 VFD CABLE</t>
        </is>
      </c>
      <c r="O48" s="236" t="n"/>
      <c r="P48" s="88" t="n"/>
      <c r="Q48" s="79" t="n"/>
      <c r="R48" s="79" t="n"/>
      <c r="S48" s="79" t="n"/>
      <c r="T48" s="79" t="n"/>
      <c r="U48" s="79" t="n"/>
      <c r="V48" s="79" t="n"/>
      <c r="W48" s="79" t="n"/>
      <c r="X48" s="79" t="n"/>
      <c r="Y48" s="79" t="n"/>
      <c r="Z48" s="79" t="n"/>
      <c r="AA48" s="79" t="n"/>
      <c r="AB48" s="225" t="inlineStr">
        <is>
          <t>Oneline_Motor</t>
        </is>
      </c>
      <c r="AC48" s="225" t="inlineStr">
        <is>
          <t>Motor_VFD-w-Fuse</t>
        </is>
      </c>
      <c r="AD48" s="224" t="inlineStr">
        <is>
          <t>Motor w/ Disc</t>
        </is>
      </c>
      <c r="AE48" s="8">
        <f>_xlfn.NUMBERVALUE(LEFT(MCC_Table[[#This Row],[BUCKET]],LEN(MCC_Table[[#This Row],[BUCKET]])-1))</f>
        <v/>
      </c>
      <c r="AF48" s="8">
        <f>RIGHT(MCC_Table[[#This Row],[BUCKET]],1)</f>
        <v/>
      </c>
      <c r="AG48" s="8">
        <f>VLOOKUP(MCC_Table[[#This Row],[START UNIT]],UnitMap[],2,FALSE)</f>
        <v/>
      </c>
      <c r="AH48" s="8">
        <f t="array" ref="AH4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8" s="8">
        <f>IF(ISNUMBER(MCC_Table[[#This Row],[SIZE]]), MCC_Table[[#This Row],[SIZE]]/6, 0)</f>
        <v/>
      </c>
      <c r="AJ48" s="8">
        <f>MCC_Table[[#This Row],[START INDEX]]+MCC_Table[[#This Row],[UNITS USED]]-1</f>
        <v/>
      </c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</row>
    <row r="49">
      <c r="A49" s="39" t="inlineStr">
        <is>
          <t>RL7-6MCC01</t>
        </is>
      </c>
      <c r="B49" s="8" t="inlineStr">
        <is>
          <t>17A</t>
        </is>
      </c>
      <c r="C49" s="24" t="inlineStr">
        <is>
          <t>RL7-GRR-103.M1</t>
        </is>
      </c>
      <c r="D49" s="28" t="inlineStr">
        <is>
          <t>FROZEN BLOCK CRUSHER</t>
        </is>
      </c>
      <c r="E49" s="29" t="inlineStr">
        <is>
          <t>VFD_PF755</t>
        </is>
      </c>
      <c r="F49" s="8" t="n">
        <v>50</v>
      </c>
      <c r="G49" s="8" t="n">
        <v>50</v>
      </c>
      <c r="H49" s="87" t="n">
        <v>65</v>
      </c>
      <c r="I49" s="8" t="n"/>
      <c r="J49" s="83">
        <f>IF(ISNUMBER(MCC_Table[[#This Row],[SIZE]]), MCC_Table[[#This Row],[SIZE]]/12, 0)</f>
        <v/>
      </c>
      <c r="K49" s="87" t="n">
        <v>125</v>
      </c>
      <c r="L49" s="8" t="n">
        <v>125</v>
      </c>
      <c r="M49" s="82" t="n">
        <v>100</v>
      </c>
      <c r="N49" s="82" t="inlineStr">
        <is>
          <t>3/C #4 VFD CABLE</t>
        </is>
      </c>
      <c r="O49" s="236" t="n"/>
      <c r="P49" s="88" t="n"/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  <c r="Z49" s="79" t="n"/>
      <c r="AA49" s="79" t="n"/>
      <c r="AB49" s="225" t="inlineStr">
        <is>
          <t>Oneline_Motor</t>
        </is>
      </c>
      <c r="AC49" s="225" t="inlineStr">
        <is>
          <t>Motor_VFD-w-Fuse</t>
        </is>
      </c>
      <c r="AD49" s="224" t="inlineStr">
        <is>
          <t>Motor w/ Disc</t>
        </is>
      </c>
      <c r="AE49" s="8">
        <f>_xlfn.NUMBERVALUE(LEFT(MCC_Table[[#This Row],[BUCKET]],LEN(MCC_Table[[#This Row],[BUCKET]])-1))</f>
        <v/>
      </c>
      <c r="AF49" s="8">
        <f>RIGHT(MCC_Table[[#This Row],[BUCKET]],1)</f>
        <v/>
      </c>
      <c r="AG49" s="8">
        <f>VLOOKUP(MCC_Table[[#This Row],[START UNIT]],UnitMap[],2,FALSE)</f>
        <v/>
      </c>
      <c r="AH49" s="8">
        <f t="array" ref="AH4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9" s="8">
        <f>IF(ISNUMBER(MCC_Table[[#This Row],[SIZE]]), MCC_Table[[#This Row],[SIZE]]/6, 0)</f>
        <v/>
      </c>
      <c r="AJ49" s="8">
        <f>MCC_Table[[#This Row],[START INDEX]]+MCC_Table[[#This Row],[UNITS USED]]-1</f>
        <v/>
      </c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  <c r="BA49" s="14" t="n"/>
      <c r="BB49" s="14" t="n"/>
      <c r="BC49" s="14" t="n"/>
      <c r="BD49" s="14" t="n"/>
      <c r="BE49" s="14" t="n"/>
    </row>
    <row r="50" ht="15.75" customHeight="1" thickBot="1">
      <c r="A50" s="90" t="inlineStr">
        <is>
          <t>RL7-6MCC01</t>
        </is>
      </c>
      <c r="B50" s="91" t="inlineStr">
        <is>
          <t>18A</t>
        </is>
      </c>
      <c r="C50" s="92" t="inlineStr">
        <is>
          <t>RL7-GRR-103.M2</t>
        </is>
      </c>
      <c r="D50" s="93" t="inlineStr">
        <is>
          <t>FROZEN BLOCK CRUSHER</t>
        </is>
      </c>
      <c r="E50" s="94" t="inlineStr">
        <is>
          <t>VFD_PF755</t>
        </is>
      </c>
      <c r="F50" s="91" t="n">
        <v>50</v>
      </c>
      <c r="G50" s="91" t="n">
        <v>50</v>
      </c>
      <c r="H50" s="96" t="n">
        <v>65</v>
      </c>
      <c r="I50" s="91" t="n"/>
      <c r="J50" s="95">
        <f>IF(ISNUMBER(MCC_Table[[#This Row],[SIZE]]), MCC_Table[[#This Row],[SIZE]]/12, 0)</f>
        <v/>
      </c>
      <c r="K50" s="96" t="n">
        <v>125</v>
      </c>
      <c r="L50" s="91" t="n">
        <v>125</v>
      </c>
      <c r="M50" s="97" t="n">
        <v>100</v>
      </c>
      <c r="N50" s="97" t="inlineStr">
        <is>
          <t>3/C #4 VFD CABLE</t>
        </is>
      </c>
      <c r="O50" s="237" t="n"/>
      <c r="P50" s="228" t="n"/>
      <c r="Q50" s="229" t="n"/>
      <c r="R50" s="229" t="n"/>
      <c r="S50" s="229" t="n"/>
      <c r="T50" s="229" t="n"/>
      <c r="U50" s="229" t="n"/>
      <c r="V50" s="229" t="n"/>
      <c r="W50" s="229" t="n"/>
      <c r="X50" s="229" t="n"/>
      <c r="Y50" s="229" t="n"/>
      <c r="Z50" s="229" t="n"/>
      <c r="AA50" s="229" t="n"/>
      <c r="AB50" s="117" t="inlineStr">
        <is>
          <t>Oneline_Motor</t>
        </is>
      </c>
      <c r="AC50" s="117" t="inlineStr">
        <is>
          <t>Motor_VFD-w-Fuse</t>
        </is>
      </c>
      <c r="AD50" s="117" t="inlineStr">
        <is>
          <t>Motor w/ Disc</t>
        </is>
      </c>
      <c r="AE50" s="91">
        <f>_xlfn.NUMBERVALUE(LEFT(MCC_Table[[#This Row],[BUCKET]],LEN(MCC_Table[[#This Row],[BUCKET]])-1))</f>
        <v/>
      </c>
      <c r="AF50" s="91">
        <f>RIGHT(MCC_Table[[#This Row],[BUCKET]],1)</f>
        <v/>
      </c>
      <c r="AG50" s="91">
        <f>VLOOKUP(MCC_Table[[#This Row],[START UNIT]],UnitMap[],2,FALSE)</f>
        <v/>
      </c>
      <c r="AH50" s="91">
        <f t="array" ref="AH5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50" s="91">
        <f>IF(ISNUMBER(MCC_Table[[#This Row],[SIZE]]), MCC_Table[[#This Row],[SIZE]]/6, 0)</f>
        <v/>
      </c>
      <c r="AJ50" s="91">
        <f>MCC_Table[[#This Row],[START INDEX]]+MCC_Table[[#This Row],[UNITS USED]]-1</f>
        <v/>
      </c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</row>
    <row r="51" ht="15.75" customHeight="1" thickTop="1">
      <c r="A51" s="37" t="inlineStr">
        <is>
          <t>RL7-6MCC02</t>
        </is>
      </c>
      <c r="B51" s="98" t="inlineStr">
        <is>
          <t>01A</t>
        </is>
      </c>
      <c r="C51" s="99" t="inlineStr">
        <is>
          <t>MAIN</t>
        </is>
      </c>
      <c r="D51" s="100" t="inlineStr">
        <is>
          <t>INCOMING MCB</t>
        </is>
      </c>
      <c r="E51" s="99" t="inlineStr">
        <is>
          <t>MAIN</t>
        </is>
      </c>
      <c r="F51" s="10" t="n"/>
      <c r="G51" s="10" t="n"/>
      <c r="H51" s="76" t="n"/>
      <c r="I51" s="10" t="n"/>
      <c r="J51" s="101">
        <f>IF(ISNUMBER(MCC_Table[[#This Row],[SIZE]]), MCC_Table[[#This Row],[SIZE]]/12, 0)</f>
        <v/>
      </c>
      <c r="K51" s="81" t="n">
        <v>1200</v>
      </c>
      <c r="L51" s="10" t="n">
        <v>1200</v>
      </c>
      <c r="M51" s="76" t="n"/>
      <c r="N51" s="76" t="n"/>
      <c r="O51" s="239" t="n"/>
      <c r="P51" s="227" t="n"/>
      <c r="Q51" s="86" t="n"/>
      <c r="R51" s="86" t="n"/>
      <c r="S51" s="86" t="n"/>
      <c r="T51" s="86" t="n"/>
      <c r="U51" s="86" t="n"/>
      <c r="V51" s="86" t="n"/>
      <c r="W51" s="86" t="n"/>
      <c r="X51" s="86" t="n"/>
      <c r="Y51" s="86" t="n"/>
      <c r="Z51" s="86" t="n"/>
      <c r="AA51" s="86" t="n"/>
      <c r="AB51" s="224" t="inlineStr">
        <is>
          <t>Oneline_MCC</t>
        </is>
      </c>
      <c r="AC51" s="224" t="inlineStr">
        <is>
          <t>MCC_MB-Bus4</t>
        </is>
      </c>
      <c r="AD51" s="224" t="inlineStr">
        <is>
          <t>Power-Meter</t>
        </is>
      </c>
      <c r="AE51" s="98">
        <f>_xlfn.NUMBERVALUE(LEFT(MCC_Table[[#This Row],[BUCKET]],LEN(MCC_Table[[#This Row],[BUCKET]])-1))</f>
        <v/>
      </c>
      <c r="AF51" s="98">
        <f>RIGHT(MCC_Table[[#This Row],[BUCKET]],1)</f>
        <v/>
      </c>
      <c r="AG51" s="98">
        <f>VLOOKUP(MCC_Table[[#This Row],[START UNIT]],UnitMap[],2,FALSE)</f>
        <v/>
      </c>
      <c r="AH51" s="98">
        <f t="array" ref="AH5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51" s="98">
        <f>IF(ISNUMBER(MCC_Table[[#This Row],[SIZE]]), MCC_Table[[#This Row],[SIZE]]/6, 0)</f>
        <v/>
      </c>
      <c r="AJ51" s="98">
        <f>MCC_Table[[#This Row],[START INDEX]]+MCC_Table[[#This Row],[UNITS USED]]-1</f>
        <v/>
      </c>
      <c r="AK51" s="14" t="n"/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  <c r="AY51" s="14" t="n"/>
      <c r="AZ51" s="14" t="n"/>
      <c r="BA51" s="14" t="n"/>
      <c r="BB51" s="14" t="n"/>
      <c r="BC51" s="14" t="n"/>
      <c r="BD51" s="14" t="n"/>
      <c r="BE51" s="14" t="n"/>
    </row>
    <row r="52">
      <c r="A52" s="37" t="inlineStr">
        <is>
          <t>RL7-6MCC02</t>
        </is>
      </c>
      <c r="B52" s="98" t="inlineStr">
        <is>
          <t>01H</t>
        </is>
      </c>
      <c r="C52" s="99" t="inlineStr">
        <is>
          <t>RL7-MCC2-PM</t>
        </is>
      </c>
      <c r="D52" s="100" t="inlineStr">
        <is>
          <t>POWERMONITOR 5000 W/ ETHERNET</t>
        </is>
      </c>
      <c r="E52" s="99" t="inlineStr">
        <is>
          <t>PM</t>
        </is>
      </c>
      <c r="F52" s="10" t="n"/>
      <c r="G52" s="10" t="n"/>
      <c r="H52" s="81" t="n"/>
      <c r="I52" s="10" t="n"/>
      <c r="J52" s="101">
        <f>IF(ISNUMBER(MCC_Table[[#This Row],[SIZE]]), MCC_Table[[#This Row],[SIZE]]/12, 0)</f>
        <v/>
      </c>
      <c r="K52" s="81" t="n"/>
      <c r="L52" s="8" t="n"/>
      <c r="M52" s="76" t="n">
        <v>0.75</v>
      </c>
      <c r="N52" s="76" t="n"/>
      <c r="O52" s="239" t="n"/>
      <c r="P52" s="102" t="n"/>
      <c r="Q52" s="86" t="n"/>
      <c r="R52" s="86" t="n"/>
      <c r="S52" s="86" t="n"/>
      <c r="T52" s="86" t="n"/>
      <c r="U52" s="86" t="n"/>
      <c r="V52" s="86" t="n"/>
      <c r="W52" s="86" t="n"/>
      <c r="X52" s="86" t="n"/>
      <c r="Y52" s="86" t="n"/>
      <c r="Z52" s="86" t="n"/>
      <c r="AA52" s="86" t="n"/>
      <c r="AB52" s="224" t="inlineStr">
        <is>
          <t>Oneline_MCC</t>
        </is>
      </c>
      <c r="AC52" s="224" t="inlineStr">
        <is>
          <t>MCC_MB-Bus4</t>
        </is>
      </c>
      <c r="AD52" s="224" t="inlineStr">
        <is>
          <t>Power-Meter</t>
        </is>
      </c>
      <c r="AE52" s="98">
        <f>_xlfn.NUMBERVALUE(LEFT(MCC_Table[[#This Row],[BUCKET]],LEN(MCC_Table[[#This Row],[BUCKET]])-1))</f>
        <v/>
      </c>
      <c r="AF52" s="98">
        <f>RIGHT(MCC_Table[[#This Row],[BUCKET]],1)</f>
        <v/>
      </c>
      <c r="AG52" s="98">
        <f>VLOOKUP(MCC_Table[[#This Row],[START UNIT]],UnitMap[],2,FALSE)</f>
        <v/>
      </c>
      <c r="AH52" s="98">
        <f t="array" ref="AH5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52" s="98">
        <f>IF(ISNUMBER(MCC_Table[[#This Row],[SIZE]]), MCC_Table[[#This Row],[SIZE]]/6, 0)</f>
        <v/>
      </c>
      <c r="AJ52" s="98">
        <f>MCC_Table[[#This Row],[START INDEX]]+MCC_Table[[#This Row],[UNITS USED]]-1</f>
        <v/>
      </c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</row>
    <row r="53">
      <c r="A53" s="37" t="inlineStr">
        <is>
          <t>RL7-6MCC02</t>
        </is>
      </c>
      <c r="B53" s="8" t="inlineStr">
        <is>
          <t>01L</t>
        </is>
      </c>
      <c r="C53" s="24" t="inlineStr">
        <is>
          <t>RL7-DRM-101.M1</t>
        </is>
      </c>
      <c r="D53" s="28" t="inlineStr">
        <is>
          <t>BREDDO DUMPER</t>
        </is>
      </c>
      <c r="E53" s="29" t="inlineStr">
        <is>
          <t>FVNR</t>
        </is>
      </c>
      <c r="F53" s="8" t="n">
        <v>2</v>
      </c>
      <c r="G53" s="8" t="n">
        <v>2</v>
      </c>
      <c r="H53" s="82" t="n"/>
      <c r="I53" s="8" t="n">
        <v>1</v>
      </c>
      <c r="J53" s="83">
        <f>IF(ISNUMBER(MCC_Table[[#This Row],[SIZE]]), MCC_Table[[#This Row],[SIZE]]/12, 0)</f>
        <v/>
      </c>
      <c r="K53" s="87" t="n">
        <v>7</v>
      </c>
      <c r="L53" s="8" t="n">
        <v>125</v>
      </c>
      <c r="M53" s="82" t="n"/>
      <c r="N53" s="82" t="inlineStr">
        <is>
          <t>3/C #12 W/ GND</t>
        </is>
      </c>
      <c r="O53" s="236" t="n"/>
      <c r="P53" s="85" t="n"/>
      <c r="Q53" s="79" t="n"/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  <c r="AA53" s="79" t="n"/>
      <c r="AB53" s="225" t="inlineStr">
        <is>
          <t>Oneline_Motor</t>
        </is>
      </c>
      <c r="AC53" s="224" t="inlineStr">
        <is>
          <t>Motor_FVNR</t>
        </is>
      </c>
      <c r="AD53" s="225" t="inlineStr">
        <is>
          <t>Motor w/ Disc</t>
        </is>
      </c>
      <c r="AE53" s="8">
        <f>_xlfn.NUMBERVALUE(LEFT(MCC_Table[[#This Row],[BUCKET]],LEN(MCC_Table[[#This Row],[BUCKET]])-1))</f>
        <v/>
      </c>
      <c r="AF53" s="8">
        <f>RIGHT(MCC_Table[[#This Row],[BUCKET]],1)</f>
        <v/>
      </c>
      <c r="AG53" s="8">
        <f>VLOOKUP(MCC_Table[[#This Row],[START UNIT]],UnitMap[],2,FALSE)</f>
        <v/>
      </c>
      <c r="AH53" s="8">
        <f t="array" ref="AH5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53" s="8">
        <f>IF(ISNUMBER(MCC_Table[[#This Row],[SIZE]]), MCC_Table[[#This Row],[SIZE]]/6, 0)</f>
        <v/>
      </c>
      <c r="AJ53" s="8">
        <f>MCC_Table[[#This Row],[START INDEX]]+MCC_Table[[#This Row],[UNITS USED]]-1</f>
        <v/>
      </c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4" t="n"/>
      <c r="AU53" s="14" t="n"/>
      <c r="AV53" s="14" t="n"/>
      <c r="AW53" s="14" t="n"/>
      <c r="AX53" s="14" t="n"/>
      <c r="AY53" s="14" t="n"/>
      <c r="AZ53" s="14" t="n"/>
      <c r="BA53" s="14" t="n"/>
      <c r="BB53" s="14" t="n"/>
      <c r="BC53" s="14" t="n"/>
      <c r="BD53" s="14" t="n"/>
      <c r="BE53" s="14" t="n"/>
    </row>
    <row r="54">
      <c r="A54" s="37" t="inlineStr">
        <is>
          <t>RL7-6MCC02</t>
        </is>
      </c>
      <c r="B54" s="29" t="inlineStr">
        <is>
          <t>02A</t>
        </is>
      </c>
      <c r="C54" s="24" t="inlineStr">
        <is>
          <t>RL7-MCC2-2A.SW1</t>
        </is>
      </c>
      <c r="D54" s="62" t="inlineStr">
        <is>
          <t>ETHERNET SWITCH (20-PORT)</t>
        </is>
      </c>
      <c r="E54" s="24" t="inlineStr">
        <is>
          <t>ENET_20</t>
        </is>
      </c>
      <c r="F54" s="8" t="n"/>
      <c r="G54" s="9" t="n"/>
      <c r="H54" s="233" t="n"/>
      <c r="I54" s="9" t="n"/>
      <c r="J54" s="234">
        <f>IF(ISNUMBER(MCC_Table[[#This Row],[SIZE]]), MCC_Table[[#This Row],[SIZE]]/12, 0)</f>
        <v/>
      </c>
      <c r="K54" s="238" t="n"/>
      <c r="L54" s="9" t="n"/>
      <c r="M54" s="233" t="n"/>
      <c r="N54" s="82" t="n"/>
      <c r="O54" s="236" t="n"/>
      <c r="P54" s="78" t="n"/>
      <c r="Q54" s="79" t="n"/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  <c r="AA54" s="79" t="n"/>
      <c r="AB54" s="225" t="inlineStr">
        <is>
          <t>Oneline_Ensw</t>
        </is>
      </c>
      <c r="AC54" s="225" t="inlineStr">
        <is>
          <t>Switch_20-Port</t>
        </is>
      </c>
      <c r="AD54" s="225" t="n"/>
      <c r="AE54" s="29">
        <f>_xlfn.NUMBERVALUE(LEFT(MCC_Table[[#This Row],[BUCKET]],LEN(MCC_Table[[#This Row],[BUCKET]])-1))</f>
        <v/>
      </c>
      <c r="AF54" s="29">
        <f>RIGHT(MCC_Table[[#This Row],[BUCKET]],1)</f>
        <v/>
      </c>
      <c r="AG54" s="29">
        <f>VLOOKUP(MCC_Table[[#This Row],[START UNIT]],UnitMap[],2,FALSE)</f>
        <v/>
      </c>
      <c r="AH54" s="29">
        <f t="array" ref="AH5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54" s="29">
        <f>IF(ISNUMBER(MCC_Table[[#This Row],[SIZE]]), MCC_Table[[#This Row],[SIZE]]/6, 0)</f>
        <v/>
      </c>
      <c r="AJ54" s="29">
        <f>MCC_Table[[#This Row],[START INDEX]]+MCC_Table[[#This Row],[UNITS USED]]-1</f>
        <v/>
      </c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</row>
    <row r="55">
      <c r="A55" s="39" t="inlineStr">
        <is>
          <t>RL7-6MCC02</t>
        </is>
      </c>
      <c r="B55" s="29" t="inlineStr">
        <is>
          <t>02C</t>
        </is>
      </c>
      <c r="C55" s="24" t="inlineStr">
        <is>
          <t>RL7-MCC2-2C.PS1</t>
        </is>
      </c>
      <c r="D55" s="62" t="inlineStr">
        <is>
          <t>ETHERNET SWITCH POWER SUPPLY</t>
        </is>
      </c>
      <c r="E55" s="24" t="inlineStr">
        <is>
          <t>ENET_PS</t>
        </is>
      </c>
      <c r="F55" s="230" t="n"/>
      <c r="G55" s="8" t="n"/>
      <c r="H55" s="8" t="n">
        <v>14</v>
      </c>
      <c r="I55" s="8" t="n"/>
      <c r="J55" s="80">
        <f>IF(ISNUMBER(MCC_Table[[#This Row],[SIZE]]), MCC_Table[[#This Row],[SIZE]]/12, 0)</f>
        <v/>
      </c>
      <c r="K55" s="230" t="n"/>
      <c r="L55" s="8" t="n"/>
      <c r="M55" s="82" t="n"/>
      <c r="N55" s="82" t="n"/>
      <c r="O55" s="236" t="n"/>
      <c r="P55" s="105" t="n"/>
      <c r="Q55" s="79" t="n"/>
      <c r="R55" s="79" t="n"/>
      <c r="S55" s="79" t="n"/>
      <c r="T55" s="79" t="n"/>
      <c r="U55" s="79" t="n"/>
      <c r="V55" s="79" t="n"/>
      <c r="W55" s="79" t="n"/>
      <c r="X55" s="79" t="n"/>
      <c r="Y55" s="79" t="n"/>
      <c r="Z55" s="79" t="n"/>
      <c r="AA55" s="79" t="n"/>
      <c r="AB55" s="225" t="inlineStr">
        <is>
          <t>Oneline_Ensw_Power_Supply</t>
        </is>
      </c>
      <c r="AC55" s="225" t="inlineStr">
        <is>
          <t>PS_2Ckt-External-Power</t>
        </is>
      </c>
      <c r="AD55" s="225" t="n"/>
      <c r="AE55" s="29">
        <f>_xlfn.NUMBERVALUE(LEFT(MCC_Table[[#This Row],[BUCKET]],LEN(MCC_Table[[#This Row],[BUCKET]])-1))</f>
        <v/>
      </c>
      <c r="AF55" s="29">
        <f>RIGHT(MCC_Table[[#This Row],[BUCKET]],1)</f>
        <v/>
      </c>
      <c r="AG55" s="29">
        <f>VLOOKUP(MCC_Table[[#This Row],[START UNIT]],UnitMap[],2,FALSE)</f>
        <v/>
      </c>
      <c r="AH55" s="29">
        <f t="array" ref="AH5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55" s="29">
        <f>IF(ISNUMBER(MCC_Table[[#This Row],[SIZE]]), MCC_Table[[#This Row],[SIZE]]/6, 0)</f>
        <v/>
      </c>
      <c r="AJ55" s="29">
        <f>MCC_Table[[#This Row],[START INDEX]]+MCC_Table[[#This Row],[UNITS USED]]-1</f>
        <v/>
      </c>
      <c r="AK55" s="14" t="n"/>
      <c r="AL55" s="14" t="n"/>
      <c r="AM55" s="14" t="n"/>
      <c r="AN55" s="14" t="n"/>
      <c r="AO55" s="14" t="n"/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  <c r="AY55" s="14" t="n"/>
      <c r="AZ55" s="14" t="n"/>
      <c r="BA55" s="14" t="n"/>
      <c r="BB55" s="14" t="n"/>
      <c r="BC55" s="14" t="n"/>
      <c r="BD55" s="14" t="n"/>
      <c r="BE55" s="14" t="n"/>
    </row>
    <row r="56">
      <c r="A56" s="37" t="inlineStr">
        <is>
          <t>RL7-6MCC02</t>
        </is>
      </c>
      <c r="B56" s="29" t="inlineStr">
        <is>
          <t>02E</t>
        </is>
      </c>
      <c r="C56" s="24" t="inlineStr">
        <is>
          <t>SPACE</t>
        </is>
      </c>
      <c r="D56" s="62" t="inlineStr">
        <is>
          <t>6" SPACE</t>
        </is>
      </c>
      <c r="E56" s="24" t="inlineStr">
        <is>
          <t>SPACE</t>
        </is>
      </c>
      <c r="F56" s="230" t="n"/>
      <c r="G56" s="8" t="n"/>
      <c r="H56" s="8" t="n"/>
      <c r="I56" s="8" t="n"/>
      <c r="J56" s="80">
        <f>IF(ISNUMBER(MCC_Table[[#This Row],[SIZE]]), MCC_Table[[#This Row],[SIZE]]/12, 0)</f>
        <v/>
      </c>
      <c r="K56" s="230" t="n"/>
      <c r="L56" s="8" t="n"/>
      <c r="M56" s="82" t="n"/>
      <c r="N56" s="82" t="n"/>
      <c r="O56" s="236" t="n"/>
      <c r="P56" s="88" t="n"/>
      <c r="Q56" s="79" t="n"/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  <c r="AA56" s="79" t="n"/>
      <c r="AB56" s="225" t="inlineStr">
        <is>
          <t>Oneline_Feeder_Panel</t>
        </is>
      </c>
      <c r="AC56" s="225" t="inlineStr">
        <is>
          <t>Feeder_Space</t>
        </is>
      </c>
      <c r="AD56" s="225" t="n"/>
      <c r="AE56" s="29">
        <f>_xlfn.NUMBERVALUE(LEFT(MCC_Table[[#This Row],[BUCKET]],LEN(MCC_Table[[#This Row],[BUCKET]])-1))</f>
        <v/>
      </c>
      <c r="AF56" s="29">
        <f>RIGHT(MCC_Table[[#This Row],[BUCKET]],1)</f>
        <v/>
      </c>
      <c r="AG56" s="29">
        <f>VLOOKUP(MCC_Table[[#This Row],[START UNIT]],UnitMap[],2,FALSE)</f>
        <v/>
      </c>
      <c r="AH56" s="29">
        <f t="array" ref="AH5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56" s="29">
        <f>IF(ISNUMBER(MCC_Table[[#This Row],[SIZE]]), MCC_Table[[#This Row],[SIZE]]/6, 0)</f>
        <v/>
      </c>
      <c r="AJ56" s="29">
        <f>MCC_Table[[#This Row],[START INDEX]]+MCC_Table[[#This Row],[UNITS USED]]-1</f>
        <v/>
      </c>
      <c r="AK56" s="14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  <c r="AY56" s="14" t="n"/>
      <c r="AZ56" s="14" t="n"/>
      <c r="BA56" s="14" t="n"/>
      <c r="BB56" s="14" t="n"/>
      <c r="BC56" s="14" t="n"/>
      <c r="BD56" s="14" t="n"/>
      <c r="BE56" s="14" t="n"/>
    </row>
    <row r="57">
      <c r="A57" s="37" t="inlineStr">
        <is>
          <t>RL7-6MCC02</t>
        </is>
      </c>
      <c r="B57" s="8" t="inlineStr">
        <is>
          <t>02F</t>
        </is>
      </c>
      <c r="C57" s="8" t="inlineStr">
        <is>
          <t>SPARE</t>
        </is>
      </c>
      <c r="D57" s="28" t="inlineStr">
        <is>
          <t>VFD - 25HP</t>
        </is>
      </c>
      <c r="E57" s="29" t="inlineStr">
        <is>
          <t>VFD_PF755</t>
        </is>
      </c>
      <c r="F57" s="230" t="n">
        <v>25</v>
      </c>
      <c r="G57" s="8" t="n">
        <v>25</v>
      </c>
      <c r="H57" s="8" t="n">
        <v>34</v>
      </c>
      <c r="I57" s="104" t="n"/>
      <c r="J57" s="83">
        <f>IF(ISNUMBER(MCC_Table[[#This Row],[SIZE]]), MCC_Table[[#This Row],[SIZE]]/12, 0)</f>
        <v/>
      </c>
      <c r="K57" s="230" t="n">
        <v>60</v>
      </c>
      <c r="L57" s="8" t="n">
        <v>125</v>
      </c>
      <c r="M57" s="82" t="n">
        <v>60</v>
      </c>
      <c r="N57" s="82" t="n"/>
      <c r="O57" s="236" t="n"/>
      <c r="P57" s="88" t="n"/>
      <c r="Q57" s="79" t="n"/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  <c r="AA57" s="79" t="n"/>
      <c r="AB57" s="225" t="inlineStr">
        <is>
          <t>Oneline_Motor</t>
        </is>
      </c>
      <c r="AC57" s="225" t="inlineStr">
        <is>
          <t>Motor_VFD-w-Fuse</t>
        </is>
      </c>
      <c r="AD57" s="224" t="inlineStr">
        <is>
          <t>Motor w/ Disc</t>
        </is>
      </c>
      <c r="AE57" s="8">
        <f>_xlfn.NUMBERVALUE(LEFT(MCC_Table[[#This Row],[BUCKET]],LEN(MCC_Table[[#This Row],[BUCKET]])-1))</f>
        <v/>
      </c>
      <c r="AF57" s="8">
        <f>RIGHT(MCC_Table[[#This Row],[BUCKET]],1)</f>
        <v/>
      </c>
      <c r="AG57" s="8">
        <f>VLOOKUP(MCC_Table[[#This Row],[START UNIT]],UnitMap[],2,FALSE)</f>
        <v/>
      </c>
      <c r="AH57" s="8">
        <f t="array" ref="AH5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57" s="8">
        <f>IF(ISNUMBER(MCC_Table[[#This Row],[SIZE]]), MCC_Table[[#This Row],[SIZE]]/6, 0)</f>
        <v/>
      </c>
      <c r="AJ57" s="8">
        <f>MCC_Table[[#This Row],[START INDEX]]+MCC_Table[[#This Row],[UNITS USED]]-1</f>
        <v/>
      </c>
      <c r="AK57" s="14" t="n"/>
      <c r="AL57" s="14" t="n"/>
      <c r="AM57" s="14" t="n"/>
      <c r="AN57" s="14" t="n"/>
      <c r="AO57" s="14" t="n"/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  <c r="AY57" s="14" t="n"/>
      <c r="AZ57" s="14" t="n"/>
      <c r="BA57" s="14" t="n"/>
      <c r="BB57" s="14" t="n"/>
      <c r="BC57" s="14" t="n"/>
      <c r="BD57" s="14" t="n"/>
      <c r="BE57" s="14" t="n"/>
    </row>
    <row r="58">
      <c r="A58" s="37" t="inlineStr">
        <is>
          <t>RL7-6MCC02</t>
        </is>
      </c>
      <c r="B58" s="8" t="inlineStr">
        <is>
          <t>03A</t>
        </is>
      </c>
      <c r="C58" s="24" t="inlineStr">
        <is>
          <t>RL7-CKR-101.M1</t>
        </is>
      </c>
      <c r="D58" s="28" t="inlineStr">
        <is>
          <t>COOKER 1 - AGITATOR 1 (LEFT)</t>
        </is>
      </c>
      <c r="E58" s="29" t="inlineStr">
        <is>
          <t>VFD_PF755</t>
        </is>
      </c>
      <c r="F58" s="231" t="n">
        <v>25</v>
      </c>
      <c r="G58" s="8" t="n">
        <v>25</v>
      </c>
      <c r="H58" s="8" t="n">
        <v>34</v>
      </c>
      <c r="I58" s="8" t="n"/>
      <c r="J58" s="83">
        <f>IF(ISNUMBER(MCC_Table[[#This Row],[SIZE]]), MCC_Table[[#This Row],[SIZE]]/12, 0)</f>
        <v/>
      </c>
      <c r="K58" s="230" t="n">
        <v>60</v>
      </c>
      <c r="L58" s="8" t="n">
        <v>125</v>
      </c>
      <c r="M58" s="82" t="n">
        <v>60</v>
      </c>
      <c r="N58" s="82" t="inlineStr">
        <is>
          <t>3/C #8 VFD CABLE</t>
        </is>
      </c>
      <c r="O58" s="236" t="n"/>
      <c r="P58" s="85" t="n"/>
      <c r="Q58" s="79" t="n"/>
      <c r="R58" s="79" t="n"/>
      <c r="S58" s="79" t="n"/>
      <c r="T58" s="79" t="n"/>
      <c r="U58" s="79" t="n"/>
      <c r="V58" s="79" t="n"/>
      <c r="W58" s="79" t="n"/>
      <c r="X58" s="79" t="n"/>
      <c r="Y58" s="79" t="n"/>
      <c r="Z58" s="79" t="n"/>
      <c r="AA58" s="79" t="n"/>
      <c r="AB58" s="225" t="inlineStr">
        <is>
          <t>Oneline_Motor</t>
        </is>
      </c>
      <c r="AC58" s="225" t="inlineStr">
        <is>
          <t>Motor_VFD-w-Fuse</t>
        </is>
      </c>
      <c r="AD58" s="224" t="inlineStr">
        <is>
          <t>Motor w/ Disc</t>
        </is>
      </c>
      <c r="AE58" s="8">
        <f>_xlfn.NUMBERVALUE(LEFT(MCC_Table[[#This Row],[BUCKET]],LEN(MCC_Table[[#This Row],[BUCKET]])-1))</f>
        <v/>
      </c>
      <c r="AF58" s="8">
        <f>RIGHT(MCC_Table[[#This Row],[BUCKET]],1)</f>
        <v/>
      </c>
      <c r="AG58" s="8">
        <f>VLOOKUP(MCC_Table[[#This Row],[START UNIT]],UnitMap[],2,FALSE)</f>
        <v/>
      </c>
      <c r="AH58" s="8">
        <f t="array" ref="AH5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58" s="8">
        <f>IF(ISNUMBER(MCC_Table[[#This Row],[SIZE]]), MCC_Table[[#This Row],[SIZE]]/6, 0)</f>
        <v/>
      </c>
      <c r="AJ58" s="8">
        <f>MCC_Table[[#This Row],[START INDEX]]+MCC_Table[[#This Row],[UNITS USED]]-1</f>
        <v/>
      </c>
      <c r="AK58" s="14" t="n"/>
      <c r="AL58" s="14" t="n"/>
      <c r="AM58" s="14" t="n"/>
      <c r="AN58" s="14" t="n"/>
      <c r="AO58" s="14" t="n"/>
      <c r="AP58" s="14" t="n"/>
      <c r="AQ58" s="14" t="n"/>
      <c r="AR58" s="14" t="n"/>
      <c r="AS58" s="14" t="n"/>
      <c r="AT58" s="14" t="n"/>
      <c r="AU58" s="14" t="n"/>
      <c r="AV58" s="14" t="n"/>
      <c r="AW58" s="14" t="n"/>
      <c r="AX58" s="14" t="n"/>
      <c r="AY58" s="14" t="n"/>
      <c r="AZ58" s="14" t="n"/>
      <c r="BA58" s="14" t="n"/>
      <c r="BB58" s="14" t="n"/>
      <c r="BC58" s="14" t="n"/>
      <c r="BD58" s="14" t="n"/>
      <c r="BE58" s="14" t="n"/>
    </row>
    <row r="59">
      <c r="A59" s="37" t="inlineStr">
        <is>
          <t>RL7-6MCC02</t>
        </is>
      </c>
      <c r="B59" s="8" t="inlineStr">
        <is>
          <t>03H</t>
        </is>
      </c>
      <c r="C59" s="24" t="inlineStr">
        <is>
          <t>SPARE</t>
        </is>
      </c>
      <c r="D59" s="28" t="inlineStr">
        <is>
          <t>VFD - 2HP</t>
        </is>
      </c>
      <c r="E59" s="29" t="inlineStr">
        <is>
          <t>VFD_PF755</t>
        </is>
      </c>
      <c r="F59" s="230" t="n"/>
      <c r="G59" s="8" t="n">
        <v>2</v>
      </c>
      <c r="H59" s="8" t="n">
        <v>3.4</v>
      </c>
      <c r="I59" s="8" t="n"/>
      <c r="J59" s="83">
        <f>IF(ISNUMBER(MCC_Table[[#This Row],[SIZE]]), MCC_Table[[#This Row],[SIZE]]/12, 0)</f>
        <v/>
      </c>
      <c r="K59" s="230" t="n">
        <v>15</v>
      </c>
      <c r="L59" s="8" t="n">
        <v>125</v>
      </c>
      <c r="M59" s="82" t="n">
        <v>6</v>
      </c>
      <c r="N59" s="82" t="n"/>
      <c r="O59" s="236" t="n"/>
      <c r="P59" s="85" t="n"/>
      <c r="Q59" s="79" t="n"/>
      <c r="R59" s="79" t="n"/>
      <c r="S59" s="79" t="n"/>
      <c r="T59" s="79" t="n"/>
      <c r="U59" s="79" t="n"/>
      <c r="V59" s="79" t="n"/>
      <c r="W59" s="79" t="n"/>
      <c r="X59" s="79" t="n"/>
      <c r="Y59" s="79" t="n"/>
      <c r="Z59" s="79" t="n"/>
      <c r="AA59" s="79" t="n"/>
      <c r="AB59" s="225" t="inlineStr">
        <is>
          <t>Oneline_Motor</t>
        </is>
      </c>
      <c r="AC59" s="225" t="inlineStr">
        <is>
          <t>Motor_VFD-w-Fuse</t>
        </is>
      </c>
      <c r="AD59" s="224" t="inlineStr">
        <is>
          <t>Motor w/ Disc</t>
        </is>
      </c>
      <c r="AE59" s="8">
        <f>_xlfn.NUMBERVALUE(LEFT(MCC_Table[[#This Row],[BUCKET]],LEN(MCC_Table[[#This Row],[BUCKET]])-1))</f>
        <v/>
      </c>
      <c r="AF59" s="8">
        <f>RIGHT(MCC_Table[[#This Row],[BUCKET]],1)</f>
        <v/>
      </c>
      <c r="AG59" s="8">
        <f>VLOOKUP(MCC_Table[[#This Row],[START UNIT]],UnitMap[],2,FALSE)</f>
        <v/>
      </c>
      <c r="AH59" s="8">
        <f t="array" ref="AH5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59" s="8">
        <f>IF(ISNUMBER(MCC_Table[[#This Row],[SIZE]]), MCC_Table[[#This Row],[SIZE]]/6, 0)</f>
        <v/>
      </c>
      <c r="AJ59" s="8">
        <f>MCC_Table[[#This Row],[START INDEX]]+MCC_Table[[#This Row],[UNITS USED]]-1</f>
        <v/>
      </c>
      <c r="AK59" s="14" t="n"/>
      <c r="AL59" s="14" t="n"/>
      <c r="AM59" s="14" t="n"/>
      <c r="AN59" s="14" t="n"/>
      <c r="AO59" s="14" t="n"/>
      <c r="AP59" s="14" t="n"/>
      <c r="AQ59" s="14" t="n"/>
      <c r="AR59" s="14" t="n"/>
      <c r="AS59" s="14" t="n"/>
      <c r="AT59" s="14" t="n"/>
      <c r="AU59" s="14" t="n"/>
      <c r="AV59" s="14" t="n"/>
      <c r="AW59" s="14" t="n"/>
      <c r="AX59" s="14" t="n"/>
      <c r="AY59" s="14" t="n"/>
      <c r="AZ59" s="14" t="n"/>
      <c r="BA59" s="14" t="n"/>
      <c r="BB59" s="14" t="n"/>
      <c r="BC59" s="14" t="n"/>
      <c r="BD59" s="14" t="n"/>
      <c r="BE59" s="14" t="n"/>
    </row>
    <row r="60">
      <c r="A60" s="37" t="inlineStr">
        <is>
          <t>RL7-6MCC02</t>
        </is>
      </c>
      <c r="B60" s="29" t="inlineStr">
        <is>
          <t>03M</t>
        </is>
      </c>
      <c r="C60" s="24" t="inlineStr">
        <is>
          <t>SPACE</t>
        </is>
      </c>
      <c r="D60" s="62" t="inlineStr">
        <is>
          <t>6" SPACE</t>
        </is>
      </c>
      <c r="E60" s="24" t="inlineStr">
        <is>
          <t>SPACE</t>
        </is>
      </c>
      <c r="F60" s="230" t="n"/>
      <c r="G60" s="8" t="n"/>
      <c r="H60" s="8" t="n"/>
      <c r="I60" s="8" t="n"/>
      <c r="J60" s="80">
        <f>IF(ISNUMBER(MCC_Table[[#This Row],[SIZE]]), MCC_Table[[#This Row],[SIZE]]/12, 0)</f>
        <v/>
      </c>
      <c r="K60" s="230" t="n"/>
      <c r="L60" s="8" t="n"/>
      <c r="M60" s="82" t="n"/>
      <c r="N60" s="82" t="n"/>
      <c r="O60" s="236" t="n"/>
      <c r="P60" s="88" t="n"/>
      <c r="Q60" s="79" t="n"/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  <c r="AA60" s="79" t="n"/>
      <c r="AB60" s="225" t="inlineStr">
        <is>
          <t>Oneline_Feeder_Panel</t>
        </is>
      </c>
      <c r="AC60" s="225" t="inlineStr">
        <is>
          <t>Feeder_Space</t>
        </is>
      </c>
      <c r="AD60" s="225" t="n"/>
      <c r="AE60" s="29">
        <f>_xlfn.NUMBERVALUE(LEFT(MCC_Table[[#This Row],[BUCKET]],LEN(MCC_Table[[#This Row],[BUCKET]])-1))</f>
        <v/>
      </c>
      <c r="AF60" s="29">
        <f>RIGHT(MCC_Table[[#This Row],[BUCKET]],1)</f>
        <v/>
      </c>
      <c r="AG60" s="29">
        <f>VLOOKUP(MCC_Table[[#This Row],[START UNIT]],UnitMap[],2,FALSE)</f>
        <v/>
      </c>
      <c r="AH60" s="29">
        <f t="array" ref="AH6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60" s="29">
        <f>IF(ISNUMBER(MCC_Table[[#This Row],[SIZE]]), MCC_Table[[#This Row],[SIZE]]/6, 0)</f>
        <v/>
      </c>
      <c r="AJ60" s="29">
        <f>MCC_Table[[#This Row],[START INDEX]]+MCC_Table[[#This Row],[UNITS USED]]-1</f>
        <v/>
      </c>
      <c r="AK60" s="14" t="n"/>
      <c r="AL60" s="14" t="n"/>
      <c r="AM60" s="14" t="n"/>
      <c r="AN60" s="14" t="n"/>
      <c r="AO60" s="14" t="n"/>
      <c r="AP60" s="14" t="n"/>
      <c r="AQ60" s="14" t="n"/>
      <c r="AR60" s="14" t="n"/>
      <c r="AS60" s="14" t="n"/>
      <c r="AT60" s="14" t="n"/>
      <c r="AU60" s="14" t="n"/>
      <c r="AV60" s="14" t="n"/>
      <c r="AW60" s="14" t="n"/>
      <c r="AX60" s="14" t="n"/>
      <c r="AY60" s="14" t="n"/>
      <c r="AZ60" s="14" t="n"/>
      <c r="BA60" s="14" t="n"/>
      <c r="BB60" s="14" t="n"/>
      <c r="BC60" s="14" t="n"/>
      <c r="BD60" s="14" t="n"/>
      <c r="BE60" s="14" t="n"/>
    </row>
    <row r="61">
      <c r="A61" s="37" t="inlineStr">
        <is>
          <t>RL7-6MCC02</t>
        </is>
      </c>
      <c r="B61" s="8" t="inlineStr">
        <is>
          <t>04A</t>
        </is>
      </c>
      <c r="C61" s="24" t="inlineStr">
        <is>
          <t>RL7-CKR-101.M2</t>
        </is>
      </c>
      <c r="D61" s="28" t="inlineStr">
        <is>
          <t>COOKER 1 - AGITATOR 2 (RIGHT)</t>
        </is>
      </c>
      <c r="E61" s="29" t="inlineStr">
        <is>
          <t>VFD_PF755</t>
        </is>
      </c>
      <c r="F61" s="231" t="n">
        <v>25</v>
      </c>
      <c r="G61" s="8" t="n">
        <v>25</v>
      </c>
      <c r="H61" s="8" t="n">
        <v>34</v>
      </c>
      <c r="I61" s="8" t="n"/>
      <c r="J61" s="83">
        <f>IF(ISNUMBER(MCC_Table[[#This Row],[SIZE]]), MCC_Table[[#This Row],[SIZE]]/12, 0)</f>
        <v/>
      </c>
      <c r="K61" s="230" t="n">
        <v>60</v>
      </c>
      <c r="L61" s="8" t="n">
        <v>125</v>
      </c>
      <c r="M61" s="82" t="n">
        <v>60</v>
      </c>
      <c r="N61" s="82" t="inlineStr">
        <is>
          <t>3/C #8 VFD CABLE</t>
        </is>
      </c>
      <c r="O61" s="236" t="n"/>
      <c r="P61" s="85" t="n"/>
      <c r="Q61" s="79" t="n"/>
      <c r="R61" s="79" t="n"/>
      <c r="S61" s="79" t="n"/>
      <c r="T61" s="79" t="n"/>
      <c r="U61" s="79" t="n"/>
      <c r="V61" s="79" t="n"/>
      <c r="W61" s="79" t="n"/>
      <c r="X61" s="79" t="n"/>
      <c r="Y61" s="79" t="n"/>
      <c r="Z61" s="79" t="n"/>
      <c r="AA61" s="79" t="n"/>
      <c r="AB61" s="225" t="inlineStr">
        <is>
          <t>Oneline_Motor</t>
        </is>
      </c>
      <c r="AC61" s="225" t="inlineStr">
        <is>
          <t>Motor_VFD-w-Fuse</t>
        </is>
      </c>
      <c r="AD61" s="224" t="inlineStr">
        <is>
          <t>Motor w/ Disc</t>
        </is>
      </c>
      <c r="AE61" s="8">
        <f>_xlfn.NUMBERVALUE(LEFT(MCC_Table[[#This Row],[BUCKET]],LEN(MCC_Table[[#This Row],[BUCKET]])-1))</f>
        <v/>
      </c>
      <c r="AF61" s="8">
        <f>RIGHT(MCC_Table[[#This Row],[BUCKET]],1)</f>
        <v/>
      </c>
      <c r="AG61" s="8">
        <f>VLOOKUP(MCC_Table[[#This Row],[START UNIT]],UnitMap[],2,FALSE)</f>
        <v/>
      </c>
      <c r="AH61" s="8">
        <f t="array" ref="AH6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61" s="8">
        <f>IF(ISNUMBER(MCC_Table[[#This Row],[SIZE]]), MCC_Table[[#This Row],[SIZE]]/6, 0)</f>
        <v/>
      </c>
      <c r="AJ61" s="8">
        <f>MCC_Table[[#This Row],[START INDEX]]+MCC_Table[[#This Row],[UNITS USED]]-1</f>
        <v/>
      </c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4" t="n"/>
      <c r="BC61" s="14" t="n"/>
      <c r="BD61" s="14" t="n"/>
      <c r="BE61" s="14" t="n"/>
    </row>
    <row r="62">
      <c r="A62" s="37" t="inlineStr">
        <is>
          <t>RL7-6MCC02</t>
        </is>
      </c>
      <c r="B62" s="8" t="inlineStr">
        <is>
          <t>04H</t>
        </is>
      </c>
      <c r="C62" s="24" t="inlineStr">
        <is>
          <t>SPARE</t>
        </is>
      </c>
      <c r="D62" s="28" t="inlineStr">
        <is>
          <t>VFD - 2HP</t>
        </is>
      </c>
      <c r="E62" s="29" t="inlineStr">
        <is>
          <t>VFD_PF755</t>
        </is>
      </c>
      <c r="F62" s="230" t="n"/>
      <c r="G62" s="8" t="n">
        <v>2</v>
      </c>
      <c r="H62" s="8" t="n">
        <v>3.4</v>
      </c>
      <c r="I62" s="8" t="n"/>
      <c r="J62" s="83">
        <f>IF(ISNUMBER(MCC_Table[[#This Row],[SIZE]]), MCC_Table[[#This Row],[SIZE]]/12, 0)</f>
        <v/>
      </c>
      <c r="K62" s="230" t="n">
        <v>15</v>
      </c>
      <c r="L62" s="8" t="n">
        <v>125</v>
      </c>
      <c r="M62" s="82" t="n">
        <v>6</v>
      </c>
      <c r="N62" s="82" t="n"/>
      <c r="O62" s="236" t="n"/>
      <c r="P62" s="85" t="n"/>
      <c r="Q62" s="79" t="n"/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  <c r="AA62" s="79" t="n"/>
      <c r="AB62" s="225" t="inlineStr">
        <is>
          <t>Oneline_Motor</t>
        </is>
      </c>
      <c r="AC62" s="225" t="inlineStr">
        <is>
          <t>Motor_VFD-w-Fuse</t>
        </is>
      </c>
      <c r="AD62" s="224" t="inlineStr">
        <is>
          <t>Motor w/ Disc</t>
        </is>
      </c>
      <c r="AE62" s="8">
        <f>_xlfn.NUMBERVALUE(LEFT(MCC_Table[[#This Row],[BUCKET]],LEN(MCC_Table[[#This Row],[BUCKET]])-1))</f>
        <v/>
      </c>
      <c r="AF62" s="8">
        <f>RIGHT(MCC_Table[[#This Row],[BUCKET]],1)</f>
        <v/>
      </c>
      <c r="AG62" s="8">
        <f>VLOOKUP(MCC_Table[[#This Row],[START UNIT]],UnitMap[],2,FALSE)</f>
        <v/>
      </c>
      <c r="AH62" s="8">
        <f t="array" ref="AH6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62" s="8">
        <f>IF(ISNUMBER(MCC_Table[[#This Row],[SIZE]]), MCC_Table[[#This Row],[SIZE]]/6, 0)</f>
        <v/>
      </c>
      <c r="AJ62" s="8">
        <f>MCC_Table[[#This Row],[START INDEX]]+MCC_Table[[#This Row],[UNITS USED]]-1</f>
        <v/>
      </c>
      <c r="AK62" s="14" t="n"/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</row>
    <row r="63">
      <c r="A63" s="37" t="inlineStr">
        <is>
          <t>RL7-6MCC02</t>
        </is>
      </c>
      <c r="B63" s="29" t="inlineStr">
        <is>
          <t>04M</t>
        </is>
      </c>
      <c r="C63" s="24" t="inlineStr">
        <is>
          <t>SPACE</t>
        </is>
      </c>
      <c r="D63" s="62" t="inlineStr">
        <is>
          <t>6" SPACE</t>
        </is>
      </c>
      <c r="E63" s="24" t="inlineStr">
        <is>
          <t>SPACE</t>
        </is>
      </c>
      <c r="F63" s="230" t="n"/>
      <c r="G63" s="8" t="n"/>
      <c r="H63" s="8" t="n"/>
      <c r="I63" s="8" t="n"/>
      <c r="J63" s="80">
        <f>IF(ISNUMBER(MCC_Table[[#This Row],[SIZE]]), MCC_Table[[#This Row],[SIZE]]/12, 0)</f>
        <v/>
      </c>
      <c r="K63" s="230" t="n"/>
      <c r="L63" s="8" t="n"/>
      <c r="M63" s="82" t="n"/>
      <c r="N63" s="82" t="n"/>
      <c r="O63" s="236" t="n"/>
      <c r="P63" s="88" t="n"/>
      <c r="Q63" s="79" t="n"/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  <c r="AA63" s="79" t="n"/>
      <c r="AB63" s="225" t="inlineStr">
        <is>
          <t>Oneline_Feeder_Panel</t>
        </is>
      </c>
      <c r="AC63" s="225" t="inlineStr">
        <is>
          <t>Feeder_Space</t>
        </is>
      </c>
      <c r="AD63" s="225" t="n"/>
      <c r="AE63" s="29">
        <f>_xlfn.NUMBERVALUE(LEFT(MCC_Table[[#This Row],[BUCKET]],LEN(MCC_Table[[#This Row],[BUCKET]])-1))</f>
        <v/>
      </c>
      <c r="AF63" s="29">
        <f>RIGHT(MCC_Table[[#This Row],[BUCKET]],1)</f>
        <v/>
      </c>
      <c r="AG63" s="29">
        <f>VLOOKUP(MCC_Table[[#This Row],[START UNIT]],UnitMap[],2,FALSE)</f>
        <v/>
      </c>
      <c r="AH63" s="29">
        <f t="array" ref="AH6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63" s="29">
        <f>IF(ISNUMBER(MCC_Table[[#This Row],[SIZE]]), MCC_Table[[#This Row],[SIZE]]/6, 0)</f>
        <v/>
      </c>
      <c r="AJ63" s="29">
        <f>MCC_Table[[#This Row],[START INDEX]]+MCC_Table[[#This Row],[UNITS USED]]-1</f>
        <v/>
      </c>
      <c r="AK63" s="14" t="n"/>
      <c r="AL63" s="14" t="n"/>
      <c r="AM63" s="14" t="n"/>
      <c r="AN63" s="14" t="n"/>
      <c r="AO63" s="14" t="n"/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4" t="n"/>
      <c r="BE63" s="14" t="n"/>
    </row>
    <row r="64">
      <c r="A64" s="37" t="inlineStr">
        <is>
          <t>RL7-6MCC02</t>
        </is>
      </c>
      <c r="B64" s="8" t="inlineStr">
        <is>
          <t>05A</t>
        </is>
      </c>
      <c r="C64" s="24" t="inlineStr">
        <is>
          <t>RL7-CKR-102.M1</t>
        </is>
      </c>
      <c r="D64" s="28" t="inlineStr">
        <is>
          <t>COOKER 2 - AGITATOR 1 (LEFT)</t>
        </is>
      </c>
      <c r="E64" s="29" t="inlineStr">
        <is>
          <t>VFD_PF755</t>
        </is>
      </c>
      <c r="F64" s="231" t="n">
        <v>25</v>
      </c>
      <c r="G64" s="8" t="n">
        <v>25</v>
      </c>
      <c r="H64" s="8" t="n">
        <v>34</v>
      </c>
      <c r="I64" s="8" t="n"/>
      <c r="J64" s="83">
        <f>IF(ISNUMBER(MCC_Table[[#This Row],[SIZE]]), MCC_Table[[#This Row],[SIZE]]/12, 0)</f>
        <v/>
      </c>
      <c r="K64" s="230" t="n">
        <v>60</v>
      </c>
      <c r="L64" s="8" t="n">
        <v>125</v>
      </c>
      <c r="M64" s="82" t="n">
        <v>60</v>
      </c>
      <c r="N64" s="82" t="inlineStr">
        <is>
          <t>3/C #8 VFD CABLE</t>
        </is>
      </c>
      <c r="O64" s="236" t="n"/>
      <c r="P64" s="85" t="n"/>
      <c r="Q64" s="79" t="n"/>
      <c r="R64" s="79" t="n"/>
      <c r="S64" s="79" t="n"/>
      <c r="T64" s="79" t="n"/>
      <c r="U64" s="79" t="n"/>
      <c r="V64" s="79" t="n"/>
      <c r="W64" s="79" t="n"/>
      <c r="X64" s="79" t="n"/>
      <c r="Y64" s="79" t="n"/>
      <c r="Z64" s="79" t="n"/>
      <c r="AA64" s="79" t="n"/>
      <c r="AB64" s="225" t="inlineStr">
        <is>
          <t>Oneline_Motor</t>
        </is>
      </c>
      <c r="AC64" s="225" t="inlineStr">
        <is>
          <t>Motor_VFD-w-Fuse</t>
        </is>
      </c>
      <c r="AD64" s="224" t="inlineStr">
        <is>
          <t>Motor w/ Disc</t>
        </is>
      </c>
      <c r="AE64" s="8">
        <f>_xlfn.NUMBERVALUE(LEFT(MCC_Table[[#This Row],[BUCKET]],LEN(MCC_Table[[#This Row],[BUCKET]])-1))</f>
        <v/>
      </c>
      <c r="AF64" s="8">
        <f>RIGHT(MCC_Table[[#This Row],[BUCKET]],1)</f>
        <v/>
      </c>
      <c r="AG64" s="8">
        <f>VLOOKUP(MCC_Table[[#This Row],[START UNIT]],UnitMap[],2,FALSE)</f>
        <v/>
      </c>
      <c r="AH64" s="8">
        <f t="array" ref="AH6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64" s="8">
        <f>IF(ISNUMBER(MCC_Table[[#This Row],[SIZE]]), MCC_Table[[#This Row],[SIZE]]/6, 0)</f>
        <v/>
      </c>
      <c r="AJ64" s="8">
        <f>MCC_Table[[#This Row],[START INDEX]]+MCC_Table[[#This Row],[UNITS USED]]-1</f>
        <v/>
      </c>
      <c r="AK64" s="14" t="n"/>
      <c r="AL64" s="14" t="n"/>
      <c r="AM64" s="14" t="n"/>
      <c r="AN64" s="14" t="n"/>
      <c r="AO64" s="14" t="n"/>
      <c r="AP64" s="14" t="n"/>
      <c r="AQ64" s="14" t="n"/>
      <c r="AR64" s="14" t="n"/>
      <c r="AS64" s="14" t="n"/>
      <c r="AT64" s="14" t="n"/>
      <c r="AU64" s="14" t="n"/>
      <c r="AV64" s="14" t="n"/>
      <c r="AW64" s="14" t="n"/>
      <c r="AX64" s="14" t="n"/>
      <c r="AY64" s="14" t="n"/>
      <c r="AZ64" s="14" t="n"/>
      <c r="BA64" s="14" t="n"/>
      <c r="BB64" s="14" t="n"/>
      <c r="BC64" s="14" t="n"/>
      <c r="BD64" s="14" t="n"/>
      <c r="BE64" s="14" t="n"/>
    </row>
    <row r="65">
      <c r="A65" s="37" t="inlineStr">
        <is>
          <t>RL7-6MCC02</t>
        </is>
      </c>
      <c r="B65" s="8" t="inlineStr">
        <is>
          <t>05H</t>
        </is>
      </c>
      <c r="C65" s="24" t="inlineStr">
        <is>
          <t>SPARE</t>
        </is>
      </c>
      <c r="D65" s="28" t="inlineStr">
        <is>
          <t>VFD - 2HP</t>
        </is>
      </c>
      <c r="E65" s="29" t="inlineStr">
        <is>
          <t>VFD_PF755</t>
        </is>
      </c>
      <c r="F65" s="230" t="n"/>
      <c r="G65" s="8" t="n">
        <v>2</v>
      </c>
      <c r="H65" s="8" t="n">
        <v>3.4</v>
      </c>
      <c r="I65" s="8" t="n"/>
      <c r="J65" s="83">
        <f>IF(ISNUMBER(MCC_Table[[#This Row],[SIZE]]), MCC_Table[[#This Row],[SIZE]]/12, 0)</f>
        <v/>
      </c>
      <c r="K65" s="230" t="n">
        <v>15</v>
      </c>
      <c r="L65" s="8" t="n">
        <v>125</v>
      </c>
      <c r="M65" s="82" t="n">
        <v>6</v>
      </c>
      <c r="N65" s="82" t="n"/>
      <c r="O65" s="236" t="n"/>
      <c r="P65" s="85" t="n"/>
      <c r="Q65" s="79" t="n"/>
      <c r="R65" s="79" t="n"/>
      <c r="S65" s="79" t="n"/>
      <c r="T65" s="79" t="n"/>
      <c r="U65" s="79" t="n"/>
      <c r="V65" s="79" t="n"/>
      <c r="W65" s="79" t="n"/>
      <c r="X65" s="79" t="n"/>
      <c r="Y65" s="79" t="n"/>
      <c r="Z65" s="79" t="n"/>
      <c r="AA65" s="79" t="n"/>
      <c r="AB65" s="225" t="inlineStr">
        <is>
          <t>Oneline_Motor</t>
        </is>
      </c>
      <c r="AC65" s="225" t="inlineStr">
        <is>
          <t>Motor_VFD-w-Fuse</t>
        </is>
      </c>
      <c r="AD65" s="224" t="inlineStr">
        <is>
          <t>Motor w/ Disc</t>
        </is>
      </c>
      <c r="AE65" s="8">
        <f>_xlfn.NUMBERVALUE(LEFT(MCC_Table[[#This Row],[BUCKET]],LEN(MCC_Table[[#This Row],[BUCKET]])-1))</f>
        <v/>
      </c>
      <c r="AF65" s="8">
        <f>RIGHT(MCC_Table[[#This Row],[BUCKET]],1)</f>
        <v/>
      </c>
      <c r="AG65" s="8">
        <f>VLOOKUP(MCC_Table[[#This Row],[START UNIT]],UnitMap[],2,FALSE)</f>
        <v/>
      </c>
      <c r="AH65" s="8">
        <f t="array" ref="AH6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65" s="8">
        <f>IF(ISNUMBER(MCC_Table[[#This Row],[SIZE]]), MCC_Table[[#This Row],[SIZE]]/6, 0)</f>
        <v/>
      </c>
      <c r="AJ65" s="8">
        <f>MCC_Table[[#This Row],[START INDEX]]+MCC_Table[[#This Row],[UNITS USED]]-1</f>
        <v/>
      </c>
      <c r="AK65" s="14" t="n"/>
      <c r="AL65" s="14" t="n"/>
      <c r="AM65" s="14" t="n"/>
      <c r="AN65" s="14" t="n"/>
      <c r="AO65" s="14" t="n"/>
      <c r="AP65" s="14" t="n"/>
      <c r="AQ65" s="14" t="n"/>
      <c r="AR65" s="14" t="n"/>
      <c r="AS65" s="14" t="n"/>
      <c r="AT65" s="14" t="n"/>
      <c r="AU65" s="14" t="n"/>
      <c r="AV65" s="14" t="n"/>
      <c r="AW65" s="14" t="n"/>
      <c r="AX65" s="14" t="n"/>
      <c r="AY65" s="14" t="n"/>
      <c r="AZ65" s="14" t="n"/>
      <c r="BA65" s="14" t="n"/>
      <c r="BB65" s="14" t="n"/>
      <c r="BC65" s="14" t="n"/>
      <c r="BD65" s="14" t="n"/>
      <c r="BE65" s="14" t="n"/>
    </row>
    <row r="66">
      <c r="A66" s="37" t="inlineStr">
        <is>
          <t>RL7-6MCC02</t>
        </is>
      </c>
      <c r="B66" s="29" t="inlineStr">
        <is>
          <t>05M</t>
        </is>
      </c>
      <c r="C66" s="24" t="inlineStr">
        <is>
          <t>SPACE</t>
        </is>
      </c>
      <c r="D66" s="62" t="inlineStr">
        <is>
          <t>6" SPACE</t>
        </is>
      </c>
      <c r="E66" s="24" t="inlineStr">
        <is>
          <t>SPACE</t>
        </is>
      </c>
      <c r="F66" s="230" t="n"/>
      <c r="G66" s="8" t="n"/>
      <c r="H66" s="8" t="n"/>
      <c r="I66" s="8" t="n"/>
      <c r="J66" s="80">
        <f>IF(ISNUMBER(MCC_Table[[#This Row],[SIZE]]), MCC_Table[[#This Row],[SIZE]]/12, 0)</f>
        <v/>
      </c>
      <c r="K66" s="230" t="n"/>
      <c r="L66" s="8" t="n"/>
      <c r="M66" s="82" t="n"/>
      <c r="N66" s="82" t="n"/>
      <c r="O66" s="236" t="n"/>
      <c r="P66" s="88" t="n"/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  <c r="Z66" s="79" t="n"/>
      <c r="AA66" s="79" t="n"/>
      <c r="AB66" s="225" t="inlineStr">
        <is>
          <t>Oneline_Feeder_Panel</t>
        </is>
      </c>
      <c r="AC66" s="225" t="inlineStr">
        <is>
          <t>Feeder_Space</t>
        </is>
      </c>
      <c r="AD66" s="225" t="n"/>
      <c r="AE66" s="29">
        <f>_xlfn.NUMBERVALUE(LEFT(MCC_Table[[#This Row],[BUCKET]],LEN(MCC_Table[[#This Row],[BUCKET]])-1))</f>
        <v/>
      </c>
      <c r="AF66" s="29">
        <f>RIGHT(MCC_Table[[#This Row],[BUCKET]],1)</f>
        <v/>
      </c>
      <c r="AG66" s="29">
        <f>VLOOKUP(MCC_Table[[#This Row],[START UNIT]],UnitMap[],2,FALSE)</f>
        <v/>
      </c>
      <c r="AH66" s="29">
        <f t="array" ref="AH6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66" s="29">
        <f>IF(ISNUMBER(MCC_Table[[#This Row],[SIZE]]), MCC_Table[[#This Row],[SIZE]]/6, 0)</f>
        <v/>
      </c>
      <c r="AJ66" s="29">
        <f>MCC_Table[[#This Row],[START INDEX]]+MCC_Table[[#This Row],[UNITS USED]]-1</f>
        <v/>
      </c>
      <c r="AK66" s="14" t="n"/>
      <c r="AL66" s="14" t="n"/>
      <c r="AM66" s="14" t="n"/>
      <c r="AN66" s="14" t="n"/>
      <c r="AO66" s="14" t="n"/>
      <c r="AP66" s="14" t="n"/>
      <c r="AQ66" s="14" t="n"/>
      <c r="AR66" s="14" t="n"/>
      <c r="AS66" s="14" t="n"/>
      <c r="AT66" s="14" t="n"/>
      <c r="AU66" s="14" t="n"/>
      <c r="AV66" s="14" t="n"/>
      <c r="AW66" s="14" t="n"/>
      <c r="AX66" s="14" t="n"/>
      <c r="AY66" s="14" t="n"/>
      <c r="AZ66" s="14" t="n"/>
      <c r="BA66" s="14" t="n"/>
      <c r="BB66" s="14" t="n"/>
      <c r="BC66" s="14" t="n"/>
      <c r="BD66" s="14" t="n"/>
      <c r="BE66" s="14" t="n"/>
    </row>
    <row r="67">
      <c r="A67" s="37" t="inlineStr">
        <is>
          <t>RL7-6MCC02</t>
        </is>
      </c>
      <c r="B67" s="8" t="inlineStr">
        <is>
          <t>06A</t>
        </is>
      </c>
      <c r="C67" s="24" t="inlineStr">
        <is>
          <t>RL7-SKD-101.M1</t>
        </is>
      </c>
      <c r="D67" s="28" t="inlineStr">
        <is>
          <t>BREDDO MIXER</t>
        </is>
      </c>
      <c r="E67" s="29" t="inlineStr">
        <is>
          <t>VFD_PF755</t>
        </is>
      </c>
      <c r="F67" s="230" t="n">
        <v>75</v>
      </c>
      <c r="G67" s="8" t="n">
        <v>75</v>
      </c>
      <c r="H67" s="8" t="n">
        <v>96</v>
      </c>
      <c r="I67" s="8" t="n"/>
      <c r="J67" s="83">
        <f>IF(ISNUMBER(MCC_Table[[#This Row],[SIZE]]), MCC_Table[[#This Row],[SIZE]]/12, 0)</f>
        <v/>
      </c>
      <c r="K67" s="230" t="n">
        <v>250</v>
      </c>
      <c r="L67" s="8" t="n">
        <v>250</v>
      </c>
      <c r="M67" s="82" t="n">
        <v>175</v>
      </c>
      <c r="N67" s="82" t="inlineStr">
        <is>
          <t>3/C #1 VFD CABLE</t>
        </is>
      </c>
      <c r="O67" s="236" t="n"/>
      <c r="P67" s="85" t="n"/>
      <c r="Q67" s="79" t="n"/>
      <c r="R67" s="79" t="n"/>
      <c r="S67" s="79" t="n"/>
      <c r="T67" s="79" t="n"/>
      <c r="U67" s="79" t="n"/>
      <c r="V67" s="79" t="n"/>
      <c r="W67" s="79" t="n"/>
      <c r="X67" s="79" t="n"/>
      <c r="Y67" s="79" t="n"/>
      <c r="Z67" s="79" t="n"/>
      <c r="AA67" s="79" t="n"/>
      <c r="AB67" s="225" t="inlineStr">
        <is>
          <t>Oneline_Motor</t>
        </is>
      </c>
      <c r="AC67" s="225" t="inlineStr">
        <is>
          <t>Motor_VFD-w-Fuse</t>
        </is>
      </c>
      <c r="AD67" s="224" t="inlineStr">
        <is>
          <t>Motor w/ Disc</t>
        </is>
      </c>
      <c r="AE67" s="8">
        <f>_xlfn.NUMBERVALUE(LEFT(MCC_Table[[#This Row],[BUCKET]],LEN(MCC_Table[[#This Row],[BUCKET]])-1))</f>
        <v/>
      </c>
      <c r="AF67" s="8">
        <f>RIGHT(MCC_Table[[#This Row],[BUCKET]],1)</f>
        <v/>
      </c>
      <c r="AG67" s="8">
        <f>VLOOKUP(MCC_Table[[#This Row],[START UNIT]],UnitMap[],2,FALSE)</f>
        <v/>
      </c>
      <c r="AH67" s="8">
        <f t="array" ref="AH6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67" s="8">
        <f>IF(ISNUMBER(MCC_Table[[#This Row],[SIZE]]), MCC_Table[[#This Row],[SIZE]]/6, 0)</f>
        <v/>
      </c>
      <c r="AJ67" s="8">
        <f>MCC_Table[[#This Row],[START INDEX]]+MCC_Table[[#This Row],[UNITS USED]]-1</f>
        <v/>
      </c>
      <c r="AK67" s="14" t="n"/>
      <c r="AL67" s="14" t="n"/>
      <c r="AM67" s="14" t="n"/>
      <c r="AN67" s="14" t="n"/>
      <c r="AO67" s="14" t="n"/>
      <c r="AP67" s="14" t="n"/>
      <c r="AQ67" s="14" t="n"/>
      <c r="AR67" s="14" t="n"/>
      <c r="AS67" s="14" t="n"/>
      <c r="AT67" s="14" t="n"/>
      <c r="AU67" s="14" t="n"/>
      <c r="AV67" s="14" t="n"/>
      <c r="AW67" s="14" t="n"/>
      <c r="AX67" s="14" t="n"/>
      <c r="AY67" s="14" t="n"/>
      <c r="AZ67" s="14" t="n"/>
      <c r="BA67" s="14" t="n"/>
      <c r="BB67" s="14" t="n"/>
      <c r="BC67" s="14" t="n"/>
      <c r="BD67" s="14" t="n"/>
      <c r="BE67" s="14" t="n"/>
    </row>
    <row r="68">
      <c r="A68" s="37" t="inlineStr">
        <is>
          <t>RL7-6MCC02</t>
        </is>
      </c>
      <c r="B68" s="8" t="inlineStr">
        <is>
          <t>07A</t>
        </is>
      </c>
      <c r="C68" s="24" t="inlineStr">
        <is>
          <t>RL7-CKR-102.M2</t>
        </is>
      </c>
      <c r="D68" s="28" t="inlineStr">
        <is>
          <t>COOKER 2 - AGITATOR 2 (RIGHT)</t>
        </is>
      </c>
      <c r="E68" s="29" t="inlineStr">
        <is>
          <t>VFD_PF755</t>
        </is>
      </c>
      <c r="F68" s="231" t="n">
        <v>25</v>
      </c>
      <c r="G68" s="8" t="n">
        <v>25</v>
      </c>
      <c r="H68" s="8" t="n">
        <v>34</v>
      </c>
      <c r="I68" s="8" t="n"/>
      <c r="J68" s="83">
        <f>IF(ISNUMBER(MCC_Table[[#This Row],[SIZE]]), MCC_Table[[#This Row],[SIZE]]/12, 0)</f>
        <v/>
      </c>
      <c r="K68" s="230" t="n">
        <v>60</v>
      </c>
      <c r="L68" s="8" t="n">
        <v>125</v>
      </c>
      <c r="M68" s="82" t="n">
        <v>60</v>
      </c>
      <c r="N68" s="82" t="inlineStr">
        <is>
          <t>3/C #8 VFD CABLE</t>
        </is>
      </c>
      <c r="O68" s="236" t="n"/>
      <c r="P68" s="88" t="n"/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  <c r="Z68" s="79" t="n"/>
      <c r="AA68" s="79" t="n"/>
      <c r="AB68" s="225" t="inlineStr">
        <is>
          <t>Oneline_Motor</t>
        </is>
      </c>
      <c r="AC68" s="225" t="inlineStr">
        <is>
          <t>Motor_VFD-w-Fuse</t>
        </is>
      </c>
      <c r="AD68" s="224" t="inlineStr">
        <is>
          <t>Motor w/ Disc</t>
        </is>
      </c>
      <c r="AE68" s="8">
        <f>_xlfn.NUMBERVALUE(LEFT(MCC_Table[[#This Row],[BUCKET]],LEN(MCC_Table[[#This Row],[BUCKET]])-1))</f>
        <v/>
      </c>
      <c r="AF68" s="8">
        <f>RIGHT(MCC_Table[[#This Row],[BUCKET]],1)</f>
        <v/>
      </c>
      <c r="AG68" s="8">
        <f>VLOOKUP(MCC_Table[[#This Row],[START UNIT]],UnitMap[],2,FALSE)</f>
        <v/>
      </c>
      <c r="AH68" s="8">
        <f t="array" ref="AH6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68" s="8">
        <f>IF(ISNUMBER(MCC_Table[[#This Row],[SIZE]]), MCC_Table[[#This Row],[SIZE]]/6, 0)</f>
        <v/>
      </c>
      <c r="AJ68" s="8">
        <f>MCC_Table[[#This Row],[START INDEX]]+MCC_Table[[#This Row],[UNITS USED]]-1</f>
        <v/>
      </c>
      <c r="AK68" s="14" t="n"/>
      <c r="AL68" s="14" t="n"/>
      <c r="AM68" s="14" t="n"/>
      <c r="AN68" s="14" t="n"/>
      <c r="AO68" s="14" t="n"/>
      <c r="AP68" s="14" t="n"/>
      <c r="AQ68" s="14" t="n"/>
      <c r="AR68" s="14" t="n"/>
      <c r="AS68" s="14" t="n"/>
      <c r="AT68" s="14" t="n"/>
      <c r="AU68" s="14" t="n"/>
      <c r="AV68" s="14" t="n"/>
      <c r="AW68" s="14" t="n"/>
      <c r="AX68" s="14" t="n"/>
      <c r="AY68" s="14" t="n"/>
      <c r="AZ68" s="14" t="n"/>
      <c r="BA68" s="14" t="n"/>
      <c r="BB68" s="14" t="n"/>
      <c r="BC68" s="14" t="n"/>
      <c r="BD68" s="14" t="n"/>
      <c r="BE68" s="14" t="n"/>
    </row>
    <row r="69">
      <c r="A69" s="39" t="inlineStr">
        <is>
          <t>RL7-6MCC02</t>
        </is>
      </c>
      <c r="B69" s="8" t="inlineStr">
        <is>
          <t>07H</t>
        </is>
      </c>
      <c r="C69" s="24" t="inlineStr">
        <is>
          <t>RL7-PRM-101.M1</t>
        </is>
      </c>
      <c r="D69" s="89" t="inlineStr">
        <is>
          <t>PRE-MIXER DISCHARGE SCREW</t>
        </is>
      </c>
      <c r="E69" s="29" t="inlineStr">
        <is>
          <t>VFD_PF755</t>
        </is>
      </c>
      <c r="F69" s="231" t="n">
        <v>10</v>
      </c>
      <c r="G69" s="8" t="n">
        <v>10</v>
      </c>
      <c r="H69" s="8" t="n">
        <v>14</v>
      </c>
      <c r="I69" s="8" t="n"/>
      <c r="J69" s="83">
        <f>IF(ISNUMBER(MCC_Table[[#This Row],[SIZE]]), MCC_Table[[#This Row],[SIZE]]/12, 0)</f>
        <v/>
      </c>
      <c r="K69" s="230" t="n">
        <v>30</v>
      </c>
      <c r="L69" s="8" t="n">
        <v>125</v>
      </c>
      <c r="M69" s="82" t="n">
        <v>25</v>
      </c>
      <c r="N69" s="82" t="inlineStr">
        <is>
          <t>3/C #12 VFD CABLE</t>
        </is>
      </c>
      <c r="O69" s="236" t="inlineStr">
        <is>
          <t>FED THRU JIC2A</t>
        </is>
      </c>
      <c r="P69" s="88" t="n"/>
      <c r="Q69" s="79" t="n"/>
      <c r="R69" s="79" t="n"/>
      <c r="S69" s="79" t="n"/>
      <c r="T69" s="79" t="n"/>
      <c r="U69" s="79" t="n"/>
      <c r="V69" s="79" t="n"/>
      <c r="W69" s="79" t="n"/>
      <c r="X69" s="79" t="n"/>
      <c r="Y69" s="79" t="n"/>
      <c r="Z69" s="79" t="n"/>
      <c r="AA69" s="79" t="n"/>
      <c r="AB69" s="225" t="inlineStr">
        <is>
          <t>Oneline_Motor</t>
        </is>
      </c>
      <c r="AC69" s="225" t="inlineStr">
        <is>
          <t>Motor_VFD-w-Fuse</t>
        </is>
      </c>
      <c r="AD69" s="224" t="inlineStr">
        <is>
          <t>Motor w/ Disc</t>
        </is>
      </c>
      <c r="AE69" s="8">
        <f>_xlfn.NUMBERVALUE(LEFT(MCC_Table[[#This Row],[BUCKET]],LEN(MCC_Table[[#This Row],[BUCKET]])-1))</f>
        <v/>
      </c>
      <c r="AF69" s="8">
        <f>RIGHT(MCC_Table[[#This Row],[BUCKET]],1)</f>
        <v/>
      </c>
      <c r="AG69" s="8">
        <f>VLOOKUP(MCC_Table[[#This Row],[START UNIT]],UnitMap[],2,FALSE)</f>
        <v/>
      </c>
      <c r="AH69" s="8">
        <f t="array" ref="AH6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69" s="8">
        <f>IF(ISNUMBER(MCC_Table[[#This Row],[SIZE]]), MCC_Table[[#This Row],[SIZE]]/6, 0)</f>
        <v/>
      </c>
      <c r="AJ69" s="8">
        <f>MCC_Table[[#This Row],[START INDEX]]+MCC_Table[[#This Row],[UNITS USED]]-1</f>
        <v/>
      </c>
      <c r="AK69" s="14" t="n"/>
      <c r="AL69" s="14" t="n"/>
      <c r="AM69" s="14" t="n"/>
      <c r="AN69" s="14" t="n"/>
      <c r="AO69" s="14" t="n"/>
      <c r="AP69" s="14" t="n"/>
      <c r="AQ69" s="14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4" t="n"/>
      <c r="BE69" s="14" t="n"/>
    </row>
    <row r="70">
      <c r="A70" s="39" t="inlineStr">
        <is>
          <t>RL7-6MCC02</t>
        </is>
      </c>
      <c r="B70" s="8" t="inlineStr">
        <is>
          <t>08A</t>
        </is>
      </c>
      <c r="C70" s="24" t="inlineStr">
        <is>
          <t>RL7-SKD-101.M2</t>
        </is>
      </c>
      <c r="D70" s="28" t="inlineStr">
        <is>
          <t>BREDDO MIXER AGITATOR</t>
        </is>
      </c>
      <c r="E70" s="29" t="inlineStr">
        <is>
          <t>VFD_PF755</t>
        </is>
      </c>
      <c r="F70" s="230" t="n">
        <v>5</v>
      </c>
      <c r="G70" s="8" t="n">
        <v>5</v>
      </c>
      <c r="H70" s="8" t="n">
        <v>8</v>
      </c>
      <c r="I70" s="8" t="n"/>
      <c r="J70" s="83">
        <f>IF(ISNUMBER(MCC_Table[[#This Row],[SIZE]]), MCC_Table[[#This Row],[SIZE]]/12, 0)</f>
        <v/>
      </c>
      <c r="K70" s="230" t="n">
        <v>20</v>
      </c>
      <c r="L70" s="8" t="n">
        <v>125</v>
      </c>
      <c r="M70" s="82" t="n">
        <v>12</v>
      </c>
      <c r="N70" s="82" t="inlineStr">
        <is>
          <t>3/C #12 VFD CABLE</t>
        </is>
      </c>
      <c r="O70" s="236" t="n"/>
      <c r="P70" s="85" t="n"/>
      <c r="Q70" s="79" t="n"/>
      <c r="R70" s="79" t="n"/>
      <c r="S70" s="79" t="n"/>
      <c r="T70" s="79" t="n"/>
      <c r="U70" s="79" t="n"/>
      <c r="V70" s="79" t="n"/>
      <c r="W70" s="79" t="n"/>
      <c r="X70" s="79" t="n"/>
      <c r="Y70" s="79" t="n"/>
      <c r="Z70" s="79" t="n"/>
      <c r="AA70" s="79" t="n"/>
      <c r="AB70" s="225" t="inlineStr">
        <is>
          <t>Oneline_Motor</t>
        </is>
      </c>
      <c r="AC70" s="225" t="inlineStr">
        <is>
          <t>Motor_VFD-w-Fuse</t>
        </is>
      </c>
      <c r="AD70" s="224" t="inlineStr">
        <is>
          <t>Motor w/ Disc</t>
        </is>
      </c>
      <c r="AE70" s="8">
        <f>_xlfn.NUMBERVALUE(LEFT(MCC_Table[[#This Row],[BUCKET]],LEN(MCC_Table[[#This Row],[BUCKET]])-1))</f>
        <v/>
      </c>
      <c r="AF70" s="8">
        <f>RIGHT(MCC_Table[[#This Row],[BUCKET]],1)</f>
        <v/>
      </c>
      <c r="AG70" s="8">
        <f>VLOOKUP(MCC_Table[[#This Row],[START UNIT]],UnitMap[],2,FALSE)</f>
        <v/>
      </c>
      <c r="AH70" s="8">
        <f t="array" ref="AH7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70" s="8">
        <f>IF(ISNUMBER(MCC_Table[[#This Row],[SIZE]]), MCC_Table[[#This Row],[SIZE]]/6, 0)</f>
        <v/>
      </c>
      <c r="AJ70" s="8">
        <f>MCC_Table[[#This Row],[START INDEX]]+MCC_Table[[#This Row],[UNITS USED]]-1</f>
        <v/>
      </c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</row>
    <row r="71">
      <c r="A71" s="39" t="inlineStr">
        <is>
          <t>RL7-6MCC02</t>
        </is>
      </c>
      <c r="B71" s="29" t="inlineStr">
        <is>
          <t>08E</t>
        </is>
      </c>
      <c r="C71" s="24" t="inlineStr">
        <is>
          <t>SPACE</t>
        </is>
      </c>
      <c r="D71" s="62" t="inlineStr">
        <is>
          <t>12" SPACE</t>
        </is>
      </c>
      <c r="E71" s="24" t="inlineStr">
        <is>
          <t>SPACE</t>
        </is>
      </c>
      <c r="F71" s="230" t="n"/>
      <c r="G71" s="8" t="n"/>
      <c r="H71" s="8" t="n"/>
      <c r="I71" s="8" t="n"/>
      <c r="J71" s="80">
        <f>IF(ISNUMBER(MCC_Table[[#This Row],[SIZE]]), MCC_Table[[#This Row],[SIZE]]/12, 0)</f>
        <v/>
      </c>
      <c r="K71" s="230" t="n"/>
      <c r="L71" s="8" t="n"/>
      <c r="M71" s="82" t="n"/>
      <c r="N71" s="82" t="n"/>
      <c r="O71" s="236" t="n"/>
      <c r="P71" s="88" t="n"/>
      <c r="Q71" s="79" t="n"/>
      <c r="R71" s="79" t="n"/>
      <c r="S71" s="79" t="n"/>
      <c r="T71" s="79" t="n"/>
      <c r="U71" s="79" t="n"/>
      <c r="V71" s="79" t="n"/>
      <c r="W71" s="79" t="n"/>
      <c r="X71" s="79" t="n"/>
      <c r="Y71" s="79" t="n"/>
      <c r="Z71" s="79" t="n"/>
      <c r="AA71" s="79" t="n"/>
      <c r="AB71" s="225" t="inlineStr">
        <is>
          <t>Oneline_Feeder_Panel</t>
        </is>
      </c>
      <c r="AC71" s="225" t="inlineStr">
        <is>
          <t>Feeder_Space</t>
        </is>
      </c>
      <c r="AD71" s="225" t="n"/>
      <c r="AE71" s="29">
        <f>_xlfn.NUMBERVALUE(LEFT(MCC_Table[[#This Row],[BUCKET]],LEN(MCC_Table[[#This Row],[BUCKET]])-1))</f>
        <v/>
      </c>
      <c r="AF71" s="29">
        <f>RIGHT(MCC_Table[[#This Row],[BUCKET]],1)</f>
        <v/>
      </c>
      <c r="AG71" s="29">
        <f>VLOOKUP(MCC_Table[[#This Row],[START UNIT]],UnitMap[],2,FALSE)</f>
        <v/>
      </c>
      <c r="AH71" s="29">
        <f t="array" ref="AH7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71" s="29">
        <f>IF(ISNUMBER(MCC_Table[[#This Row],[SIZE]]), MCC_Table[[#This Row],[SIZE]]/6, 0)</f>
        <v/>
      </c>
      <c r="AJ71" s="29">
        <f>MCC_Table[[#This Row],[START INDEX]]+MCC_Table[[#This Row],[UNITS USED]]-1</f>
        <v/>
      </c>
      <c r="AK71" s="14" t="n"/>
      <c r="AL71" s="14" t="n"/>
      <c r="AM71" s="14" t="n"/>
      <c r="AN71" s="14" t="n"/>
      <c r="AO71" s="14" t="n"/>
      <c r="AP71" s="14" t="n"/>
      <c r="AQ71" s="14" t="n"/>
      <c r="AR71" s="14" t="n"/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</row>
    <row r="72">
      <c r="A72" s="39" t="inlineStr">
        <is>
          <t>RL7-6MCC02</t>
        </is>
      </c>
      <c r="B72" s="8" t="inlineStr">
        <is>
          <t>08G</t>
        </is>
      </c>
      <c r="C72" s="24" t="inlineStr">
        <is>
          <t>RL7-PMP-104.M1</t>
        </is>
      </c>
      <c r="D72" s="28" t="inlineStr">
        <is>
          <t>COOKER 1 - PUMP</t>
        </is>
      </c>
      <c r="E72" s="29" t="inlineStr">
        <is>
          <t>VFD_PF755</t>
        </is>
      </c>
      <c r="F72" s="231" t="n">
        <v>20</v>
      </c>
      <c r="G72" s="8" t="n">
        <v>20</v>
      </c>
      <c r="H72" s="8" t="n">
        <v>27</v>
      </c>
      <c r="I72" s="8" t="n"/>
      <c r="J72" s="83">
        <f>IF(ISNUMBER(MCC_Table[[#This Row],[SIZE]]), MCC_Table[[#This Row],[SIZE]]/12, 0)</f>
        <v/>
      </c>
      <c r="K72" s="230" t="n">
        <v>60</v>
      </c>
      <c r="L72" s="8" t="n">
        <v>125</v>
      </c>
      <c r="M72" s="82" t="n">
        <v>45</v>
      </c>
      <c r="N72" s="82" t="inlineStr">
        <is>
          <t>3/C #10 VFD CABLE</t>
        </is>
      </c>
      <c r="O72" s="236" t="n"/>
      <c r="P72" s="88" t="n"/>
      <c r="Q72" s="79" t="n"/>
      <c r="R72" s="79" t="n"/>
      <c r="S72" s="79" t="n"/>
      <c r="T72" s="79" t="n"/>
      <c r="U72" s="79" t="n"/>
      <c r="V72" s="79" t="n"/>
      <c r="W72" s="79" t="n"/>
      <c r="X72" s="79" t="n"/>
      <c r="Y72" s="79" t="n"/>
      <c r="Z72" s="79" t="n"/>
      <c r="AA72" s="79" t="n"/>
      <c r="AB72" s="225" t="inlineStr">
        <is>
          <t>Oneline_Motor</t>
        </is>
      </c>
      <c r="AC72" s="225" t="inlineStr">
        <is>
          <t>Motor_VFD-w-Fuse</t>
        </is>
      </c>
      <c r="AD72" s="224" t="inlineStr">
        <is>
          <t>Motor w/ Disc</t>
        </is>
      </c>
      <c r="AE72" s="8">
        <f>_xlfn.NUMBERVALUE(LEFT(MCC_Table[[#This Row],[BUCKET]],LEN(MCC_Table[[#This Row],[BUCKET]])-1))</f>
        <v/>
      </c>
      <c r="AF72" s="8">
        <f>RIGHT(MCC_Table[[#This Row],[BUCKET]],1)</f>
        <v/>
      </c>
      <c r="AG72" s="8">
        <f>VLOOKUP(MCC_Table[[#This Row],[START UNIT]],UnitMap[],2,FALSE)</f>
        <v/>
      </c>
      <c r="AH72" s="8">
        <f t="array" ref="AH7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72" s="8">
        <f>IF(ISNUMBER(MCC_Table[[#This Row],[SIZE]]), MCC_Table[[#This Row],[SIZE]]/6, 0)</f>
        <v/>
      </c>
      <c r="AJ72" s="8">
        <f>MCC_Table[[#This Row],[START INDEX]]+MCC_Table[[#This Row],[UNITS USED]]-1</f>
        <v/>
      </c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</row>
    <row r="73">
      <c r="A73" s="39" t="inlineStr">
        <is>
          <t>RL7-6MCC02</t>
        </is>
      </c>
      <c r="B73" s="8" t="inlineStr">
        <is>
          <t>09A</t>
        </is>
      </c>
      <c r="C73" s="24" t="inlineStr">
        <is>
          <t>RL7-FAN-103.M1</t>
        </is>
      </c>
      <c r="D73" s="28" t="inlineStr">
        <is>
          <t>COOKER 1 HOOD EXHAUST FAN</t>
        </is>
      </c>
      <c r="E73" s="29" t="inlineStr">
        <is>
          <t>VFD_PF755</t>
        </is>
      </c>
      <c r="F73" s="231" t="n">
        <v>5</v>
      </c>
      <c r="G73" s="8" t="n">
        <v>5</v>
      </c>
      <c r="H73" s="8" t="n">
        <v>8</v>
      </c>
      <c r="I73" s="8" t="n"/>
      <c r="J73" s="83">
        <f>IF(ISNUMBER(MCC_Table[[#This Row],[SIZE]]), MCC_Table[[#This Row],[SIZE]]/12, 0)</f>
        <v/>
      </c>
      <c r="K73" s="230" t="n">
        <v>20</v>
      </c>
      <c r="L73" s="8" t="n">
        <v>125</v>
      </c>
      <c r="M73" s="82" t="n">
        <v>12</v>
      </c>
      <c r="N73" s="82" t="inlineStr">
        <is>
          <t>3/C #12 VFD CABLE</t>
        </is>
      </c>
      <c r="O73" s="236" t="n"/>
      <c r="P73" s="85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  <c r="Z73" s="79" t="n"/>
      <c r="AA73" s="79" t="n"/>
      <c r="AB73" s="225" t="inlineStr">
        <is>
          <t>Oneline_Motor</t>
        </is>
      </c>
      <c r="AC73" s="225" t="inlineStr">
        <is>
          <t>Motor_VFD-w-Fuse</t>
        </is>
      </c>
      <c r="AD73" s="224" t="inlineStr">
        <is>
          <t>Motor w/ Disc</t>
        </is>
      </c>
      <c r="AE73" s="8">
        <f>_xlfn.NUMBERVALUE(LEFT(MCC_Table[[#This Row],[BUCKET]],LEN(MCC_Table[[#This Row],[BUCKET]])-1))</f>
        <v/>
      </c>
      <c r="AF73" s="8">
        <f>RIGHT(MCC_Table[[#This Row],[BUCKET]],1)</f>
        <v/>
      </c>
      <c r="AG73" s="8">
        <f>VLOOKUP(MCC_Table[[#This Row],[START UNIT]],UnitMap[],2,FALSE)</f>
        <v/>
      </c>
      <c r="AH73" s="8">
        <f t="array" ref="AH7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73" s="8">
        <f>IF(ISNUMBER(MCC_Table[[#This Row],[SIZE]]), MCC_Table[[#This Row],[SIZE]]/6, 0)</f>
        <v/>
      </c>
      <c r="AJ73" s="8">
        <f>MCC_Table[[#This Row],[START INDEX]]+MCC_Table[[#This Row],[UNITS USED]]-1</f>
        <v/>
      </c>
      <c r="AK73" s="14" t="n"/>
      <c r="AL73" s="14" t="n"/>
      <c r="AM73" s="14" t="n"/>
      <c r="AN73" s="14" t="n"/>
      <c r="AO73" s="14" t="n"/>
      <c r="AP73" s="14" t="n"/>
      <c r="AQ73" s="14" t="n"/>
      <c r="AR73" s="14" t="n"/>
      <c r="AS73" s="14" t="n"/>
      <c r="AT73" s="14" t="n"/>
      <c r="AU73" s="14" t="n"/>
      <c r="AV73" s="14" t="n"/>
      <c r="AW73" s="14" t="n"/>
      <c r="AX73" s="14" t="n"/>
      <c r="AY73" s="14" t="n"/>
      <c r="AZ73" s="14" t="n"/>
      <c r="BA73" s="14" t="n"/>
      <c r="BB73" s="14" t="n"/>
      <c r="BC73" s="14" t="n"/>
      <c r="BD73" s="14" t="n"/>
      <c r="BE73" s="14" t="n"/>
    </row>
    <row r="74">
      <c r="A74" s="39" t="inlineStr">
        <is>
          <t>RL7-6MCC02</t>
        </is>
      </c>
      <c r="B74" s="29" t="inlineStr">
        <is>
          <t>09E</t>
        </is>
      </c>
      <c r="C74" s="24" t="inlineStr">
        <is>
          <t>SPACE</t>
        </is>
      </c>
      <c r="D74" s="62" t="inlineStr">
        <is>
          <t>12" SPACE</t>
        </is>
      </c>
      <c r="E74" s="24" t="inlineStr">
        <is>
          <t>SPACE</t>
        </is>
      </c>
      <c r="F74" s="230" t="n"/>
      <c r="G74" s="8" t="n"/>
      <c r="H74" s="8" t="n"/>
      <c r="I74" s="8" t="n"/>
      <c r="J74" s="80">
        <f>IF(ISNUMBER(MCC_Table[[#This Row],[SIZE]]), MCC_Table[[#This Row],[SIZE]]/12, 0)</f>
        <v/>
      </c>
      <c r="K74" s="230" t="n"/>
      <c r="L74" s="8" t="n"/>
      <c r="M74" s="82" t="n"/>
      <c r="N74" s="82" t="n"/>
      <c r="O74" s="236" t="n"/>
      <c r="P74" s="88" t="n"/>
      <c r="Q74" s="79" t="n"/>
      <c r="R74" s="79" t="n"/>
      <c r="S74" s="79" t="n"/>
      <c r="T74" s="79" t="n"/>
      <c r="U74" s="79" t="n"/>
      <c r="V74" s="79" t="n"/>
      <c r="W74" s="79" t="n"/>
      <c r="X74" s="79" t="n"/>
      <c r="Y74" s="79" t="n"/>
      <c r="Z74" s="79" t="n"/>
      <c r="AA74" s="79" t="n"/>
      <c r="AB74" s="225" t="inlineStr">
        <is>
          <t>Oneline_Feeder_Panel</t>
        </is>
      </c>
      <c r="AC74" s="225" t="inlineStr">
        <is>
          <t>Feeder_Space</t>
        </is>
      </c>
      <c r="AD74" s="225" t="n"/>
      <c r="AE74" s="29">
        <f>_xlfn.NUMBERVALUE(LEFT(MCC_Table[[#This Row],[BUCKET]],LEN(MCC_Table[[#This Row],[BUCKET]])-1))</f>
        <v/>
      </c>
      <c r="AF74" s="29">
        <f>RIGHT(MCC_Table[[#This Row],[BUCKET]],1)</f>
        <v/>
      </c>
      <c r="AG74" s="29">
        <f>VLOOKUP(MCC_Table[[#This Row],[START UNIT]],UnitMap[],2,FALSE)</f>
        <v/>
      </c>
      <c r="AH74" s="29">
        <f t="array" ref="AH7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74" s="29">
        <f>IF(ISNUMBER(MCC_Table[[#This Row],[SIZE]]), MCC_Table[[#This Row],[SIZE]]/6, 0)</f>
        <v/>
      </c>
      <c r="AJ74" s="29">
        <f>MCC_Table[[#This Row],[START INDEX]]+MCC_Table[[#This Row],[UNITS USED]]-1</f>
        <v/>
      </c>
      <c r="AK74" s="14" t="n"/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</row>
    <row r="75">
      <c r="A75" s="39" t="inlineStr">
        <is>
          <t>RL7-6MCC02</t>
        </is>
      </c>
      <c r="B75" s="8" t="inlineStr">
        <is>
          <t>09G</t>
        </is>
      </c>
      <c r="C75" s="24" t="inlineStr">
        <is>
          <t>RL7-PMP-105.M1</t>
        </is>
      </c>
      <c r="D75" s="28" t="inlineStr">
        <is>
          <t>COOKER 2 - PUMP</t>
        </is>
      </c>
      <c r="E75" s="29" t="inlineStr">
        <is>
          <t>VFD_PF755</t>
        </is>
      </c>
      <c r="F75" s="231" t="n">
        <v>20</v>
      </c>
      <c r="G75" s="8" t="n">
        <v>20</v>
      </c>
      <c r="H75" s="8" t="n">
        <v>27</v>
      </c>
      <c r="I75" s="8" t="n"/>
      <c r="J75" s="83">
        <f>IF(ISNUMBER(MCC_Table[[#This Row],[SIZE]]), MCC_Table[[#This Row],[SIZE]]/12, 0)</f>
        <v/>
      </c>
      <c r="K75" s="230" t="n">
        <v>60</v>
      </c>
      <c r="L75" s="8" t="n">
        <v>125</v>
      </c>
      <c r="M75" s="82" t="n">
        <v>45</v>
      </c>
      <c r="N75" s="82" t="inlineStr">
        <is>
          <t>3/C #10 VFD CABLE</t>
        </is>
      </c>
      <c r="O75" s="236" t="n"/>
      <c r="P75" s="88" t="n"/>
      <c r="Q75" s="79" t="n"/>
      <c r="R75" s="79" t="n"/>
      <c r="S75" s="79" t="n"/>
      <c r="T75" s="79" t="n"/>
      <c r="U75" s="79" t="n"/>
      <c r="V75" s="79" t="n"/>
      <c r="W75" s="79" t="n"/>
      <c r="X75" s="79" t="n"/>
      <c r="Y75" s="79" t="n"/>
      <c r="Z75" s="79" t="n"/>
      <c r="AA75" s="79" t="n"/>
      <c r="AB75" s="225" t="inlineStr">
        <is>
          <t>Oneline_Motor</t>
        </is>
      </c>
      <c r="AC75" s="225" t="inlineStr">
        <is>
          <t>Motor_VFD-w-Fuse</t>
        </is>
      </c>
      <c r="AD75" s="224" t="inlineStr">
        <is>
          <t>Motor w/ Disc</t>
        </is>
      </c>
      <c r="AE75" s="8">
        <f>_xlfn.NUMBERVALUE(LEFT(MCC_Table[[#This Row],[BUCKET]],LEN(MCC_Table[[#This Row],[BUCKET]])-1))</f>
        <v/>
      </c>
      <c r="AF75" s="8">
        <f>RIGHT(MCC_Table[[#This Row],[BUCKET]],1)</f>
        <v/>
      </c>
      <c r="AG75" s="8">
        <f>VLOOKUP(MCC_Table[[#This Row],[START UNIT]],UnitMap[],2,FALSE)</f>
        <v/>
      </c>
      <c r="AH75" s="8">
        <f t="array" ref="AH7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75" s="8">
        <f>IF(ISNUMBER(MCC_Table[[#This Row],[SIZE]]), MCC_Table[[#This Row],[SIZE]]/6, 0)</f>
        <v/>
      </c>
      <c r="AJ75" s="8">
        <f>MCC_Table[[#This Row],[START INDEX]]+MCC_Table[[#This Row],[UNITS USED]]-1</f>
        <v/>
      </c>
      <c r="AK75" s="14" t="n"/>
      <c r="AL75" s="14" t="n"/>
      <c r="AM75" s="14" t="n"/>
      <c r="AN75" s="14" t="n"/>
      <c r="AO75" s="14" t="n"/>
      <c r="AP75" s="14" t="n"/>
      <c r="AQ75" s="14" t="n"/>
      <c r="AR75" s="14" t="n"/>
      <c r="AS75" s="14" t="n"/>
      <c r="AT75" s="14" t="n"/>
      <c r="AU75" s="14" t="n"/>
      <c r="AV75" s="14" t="n"/>
      <c r="AW75" s="14" t="n"/>
      <c r="AX75" s="14" t="n"/>
      <c r="AY75" s="14" t="n"/>
      <c r="AZ75" s="14" t="n"/>
      <c r="BA75" s="14" t="n"/>
      <c r="BB75" s="14" t="n"/>
      <c r="BC75" s="14" t="n"/>
      <c r="BD75" s="14" t="n"/>
      <c r="BE75" s="14" t="n"/>
    </row>
    <row r="76">
      <c r="A76" s="39" t="inlineStr">
        <is>
          <t>RL7-6MCC02</t>
        </is>
      </c>
      <c r="B76" s="8" t="inlineStr">
        <is>
          <t>10A</t>
        </is>
      </c>
      <c r="C76" s="24" t="inlineStr">
        <is>
          <t>RL7-FAN-104.M1</t>
        </is>
      </c>
      <c r="D76" s="28" t="inlineStr">
        <is>
          <t>COOKER 2 HOOD EXHAUST FAN</t>
        </is>
      </c>
      <c r="E76" s="29" t="inlineStr">
        <is>
          <t>VFD_PF755</t>
        </is>
      </c>
      <c r="F76" s="231" t="n">
        <v>5</v>
      </c>
      <c r="G76" s="8" t="n">
        <v>5</v>
      </c>
      <c r="H76" s="8" t="n">
        <v>8</v>
      </c>
      <c r="I76" s="8" t="n"/>
      <c r="J76" s="83">
        <f>IF(ISNUMBER(MCC_Table[[#This Row],[SIZE]]), MCC_Table[[#This Row],[SIZE]]/12, 0)</f>
        <v/>
      </c>
      <c r="K76" s="230" t="n">
        <v>20</v>
      </c>
      <c r="L76" s="8" t="n">
        <v>125</v>
      </c>
      <c r="M76" s="82" t="n">
        <v>12</v>
      </c>
      <c r="N76" s="82" t="inlineStr">
        <is>
          <t>3/C #12 VFD CABLE</t>
        </is>
      </c>
      <c r="O76" s="236" t="n"/>
      <c r="P76" s="88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  <c r="Z76" s="79" t="n"/>
      <c r="AA76" s="79" t="n"/>
      <c r="AB76" s="225" t="inlineStr">
        <is>
          <t>Oneline_Motor</t>
        </is>
      </c>
      <c r="AC76" s="225" t="inlineStr">
        <is>
          <t>Motor_VFD-w-Fuse</t>
        </is>
      </c>
      <c r="AD76" s="224" t="inlineStr">
        <is>
          <t>Motor w/ Disc</t>
        </is>
      </c>
      <c r="AE76" s="8">
        <f>_xlfn.NUMBERVALUE(LEFT(MCC_Table[[#This Row],[BUCKET]],LEN(MCC_Table[[#This Row],[BUCKET]])-1))</f>
        <v/>
      </c>
      <c r="AF76" s="8">
        <f>RIGHT(MCC_Table[[#This Row],[BUCKET]],1)</f>
        <v/>
      </c>
      <c r="AG76" s="8">
        <f>VLOOKUP(MCC_Table[[#This Row],[START UNIT]],UnitMap[],2,FALSE)</f>
        <v/>
      </c>
      <c r="AH76" s="8">
        <f t="array" ref="AH7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76" s="8">
        <f>IF(ISNUMBER(MCC_Table[[#This Row],[SIZE]]), MCC_Table[[#This Row],[SIZE]]/6, 0)</f>
        <v/>
      </c>
      <c r="AJ76" s="8">
        <f>MCC_Table[[#This Row],[START INDEX]]+MCC_Table[[#This Row],[UNITS USED]]-1</f>
        <v/>
      </c>
      <c r="AK76" s="14" t="n"/>
      <c r="AL76" s="14" t="n"/>
      <c r="AM76" s="14" t="n"/>
      <c r="AN76" s="14" t="n"/>
      <c r="AO76" s="14" t="n"/>
      <c r="AP76" s="14" t="n"/>
      <c r="AQ76" s="14" t="n"/>
      <c r="AR76" s="14" t="n"/>
      <c r="AS76" s="14" t="n"/>
      <c r="AT76" s="14" t="n"/>
      <c r="AU76" s="14" t="n"/>
      <c r="AV76" s="14" t="n"/>
      <c r="AW76" s="14" t="n"/>
      <c r="AX76" s="14" t="n"/>
      <c r="AY76" s="14" t="n"/>
      <c r="AZ76" s="14" t="n"/>
      <c r="BA76" s="14" t="n"/>
      <c r="BB76" s="14" t="n"/>
      <c r="BC76" s="14" t="n"/>
      <c r="BD76" s="14" t="n"/>
      <c r="BE76" s="14" t="n"/>
    </row>
    <row r="77">
      <c r="A77" s="39" t="inlineStr">
        <is>
          <t>RL7-6MCC02</t>
        </is>
      </c>
      <c r="B77" s="8" t="inlineStr">
        <is>
          <t>10E</t>
        </is>
      </c>
      <c r="C77" s="24" t="inlineStr">
        <is>
          <t>RL7-PMP-103.M1</t>
        </is>
      </c>
      <c r="D77" s="28" t="inlineStr">
        <is>
          <t>BREDDO MIXER PUMP</t>
        </is>
      </c>
      <c r="E77" s="29" t="inlineStr">
        <is>
          <t>VFD_PF755</t>
        </is>
      </c>
      <c r="F77" s="230" t="n">
        <v>20</v>
      </c>
      <c r="G77" s="8" t="n">
        <v>20</v>
      </c>
      <c r="H77" s="8" t="n">
        <v>27</v>
      </c>
      <c r="I77" s="8" t="n"/>
      <c r="J77" s="83">
        <f>IF(ISNUMBER(MCC_Table[[#This Row],[SIZE]]), MCC_Table[[#This Row],[SIZE]]/12, 0)</f>
        <v/>
      </c>
      <c r="K77" s="230" t="n">
        <v>60</v>
      </c>
      <c r="L77" s="8" t="n">
        <v>125</v>
      </c>
      <c r="M77" s="82" t="n">
        <v>45</v>
      </c>
      <c r="N77" s="82" t="inlineStr">
        <is>
          <t>3/C #10 VFD CABLE</t>
        </is>
      </c>
      <c r="O77" s="236" t="n"/>
      <c r="P77" s="85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  <c r="AA77" s="79" t="n"/>
      <c r="AB77" s="225" t="inlineStr">
        <is>
          <t>Oneline_Motor</t>
        </is>
      </c>
      <c r="AC77" s="225" t="inlineStr">
        <is>
          <t>Motor_VFD-w-Fuse</t>
        </is>
      </c>
      <c r="AD77" s="224" t="inlineStr">
        <is>
          <t>Motor w/ Disc</t>
        </is>
      </c>
      <c r="AE77" s="8">
        <f>_xlfn.NUMBERVALUE(LEFT(MCC_Table[[#This Row],[BUCKET]],LEN(MCC_Table[[#This Row],[BUCKET]])-1))</f>
        <v/>
      </c>
      <c r="AF77" s="8">
        <f>RIGHT(MCC_Table[[#This Row],[BUCKET]],1)</f>
        <v/>
      </c>
      <c r="AG77" s="8">
        <f>VLOOKUP(MCC_Table[[#This Row],[START UNIT]],UnitMap[],2,FALSE)</f>
        <v/>
      </c>
      <c r="AH77" s="8">
        <f t="array" ref="AH7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77" s="8">
        <f>IF(ISNUMBER(MCC_Table[[#This Row],[SIZE]]), MCC_Table[[#This Row],[SIZE]]/6, 0)</f>
        <v/>
      </c>
      <c r="AJ77" s="8">
        <f>MCC_Table[[#This Row],[START INDEX]]+MCC_Table[[#This Row],[UNITS USED]]-1</f>
        <v/>
      </c>
      <c r="AK77" s="14" t="n"/>
      <c r="AL77" s="14" t="n"/>
      <c r="AM77" s="14" t="n"/>
      <c r="AN77" s="14" t="n"/>
      <c r="AO77" s="14" t="n"/>
      <c r="AP77" s="14" t="n"/>
      <c r="AQ77" s="14" t="n"/>
      <c r="AR77" s="14" t="n"/>
      <c r="AS77" s="14" t="n"/>
      <c r="AT77" s="14" t="n"/>
      <c r="AU77" s="14" t="n"/>
      <c r="AV77" s="14" t="n"/>
      <c r="AW77" s="14" t="n"/>
      <c r="AX77" s="14" t="n"/>
      <c r="AY77" s="14" t="n"/>
      <c r="AZ77" s="14" t="n"/>
      <c r="BA77" s="14" t="n"/>
      <c r="BB77" s="14" t="n"/>
      <c r="BC77" s="14" t="n"/>
      <c r="BD77" s="14" t="n"/>
      <c r="BE77" s="14" t="n"/>
    </row>
    <row r="78">
      <c r="A78" s="39" t="inlineStr">
        <is>
          <t>RL7-6MCC02</t>
        </is>
      </c>
      <c r="B78" s="29" t="inlineStr">
        <is>
          <t>10L</t>
        </is>
      </c>
      <c r="C78" s="24" t="inlineStr">
        <is>
          <t>SPACE</t>
        </is>
      </c>
      <c r="D78" s="62" t="inlineStr">
        <is>
          <t>12" SPACE</t>
        </is>
      </c>
      <c r="E78" s="24" t="inlineStr">
        <is>
          <t>SPACE</t>
        </is>
      </c>
      <c r="F78" s="230" t="n"/>
      <c r="G78" s="8" t="n"/>
      <c r="H78" s="8" t="n"/>
      <c r="I78" s="8" t="n"/>
      <c r="J78" s="80">
        <f>IF(ISNUMBER(MCC_Table[[#This Row],[SIZE]]), MCC_Table[[#This Row],[SIZE]]/12, 0)</f>
        <v/>
      </c>
      <c r="K78" s="230" t="n"/>
      <c r="L78" s="8" t="n"/>
      <c r="M78" s="82" t="n"/>
      <c r="N78" s="82" t="n"/>
      <c r="O78" s="236" t="n"/>
      <c r="P78" s="78" t="n"/>
      <c r="Q78" s="79" t="n"/>
      <c r="R78" s="79" t="n"/>
      <c r="S78" s="79" t="n"/>
      <c r="T78" s="79" t="n"/>
      <c r="U78" s="79" t="n"/>
      <c r="V78" s="79" t="n"/>
      <c r="W78" s="79" t="n"/>
      <c r="X78" s="79" t="n"/>
      <c r="Y78" s="79" t="n"/>
      <c r="Z78" s="79" t="n"/>
      <c r="AA78" s="79" t="n"/>
      <c r="AB78" s="225" t="inlineStr">
        <is>
          <t>Oneline_Feeder_Panel</t>
        </is>
      </c>
      <c r="AC78" s="225" t="inlineStr">
        <is>
          <t>Feeder_Space</t>
        </is>
      </c>
      <c r="AD78" s="225" t="n"/>
      <c r="AE78" s="29">
        <f>_xlfn.NUMBERVALUE(LEFT(MCC_Table[[#This Row],[BUCKET]],LEN(MCC_Table[[#This Row],[BUCKET]])-1))</f>
        <v/>
      </c>
      <c r="AF78" s="29">
        <f>RIGHT(MCC_Table[[#This Row],[BUCKET]],1)</f>
        <v/>
      </c>
      <c r="AG78" s="29">
        <f>VLOOKUP(MCC_Table[[#This Row],[START UNIT]],UnitMap[],2,FALSE)</f>
        <v/>
      </c>
      <c r="AH78" s="29">
        <f t="array" ref="AH7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78" s="29">
        <f>IF(ISNUMBER(MCC_Table[[#This Row],[SIZE]]), MCC_Table[[#This Row],[SIZE]]/6, 0)</f>
        <v/>
      </c>
      <c r="AJ78" s="29">
        <f>MCC_Table[[#This Row],[START INDEX]]+MCC_Table[[#This Row],[UNITS USED]]-1</f>
        <v/>
      </c>
      <c r="AK78" s="14" t="n"/>
      <c r="AL78" s="14" t="n"/>
      <c r="AM78" s="14" t="n"/>
      <c r="AN78" s="14" t="n"/>
      <c r="AO78" s="14" t="n"/>
      <c r="AP78" s="14" t="n"/>
      <c r="AQ78" s="14" t="n"/>
      <c r="AR78" s="14" t="n"/>
      <c r="AS78" s="14" t="n"/>
      <c r="AT78" s="14" t="n"/>
      <c r="AU78" s="14" t="n"/>
      <c r="AV78" s="14" t="n"/>
      <c r="AW78" s="14" t="n"/>
      <c r="AX78" s="14" t="n"/>
      <c r="AY78" s="14" t="n"/>
      <c r="AZ78" s="14" t="n"/>
      <c r="BA78" s="14" t="n"/>
      <c r="BB78" s="14" t="n"/>
      <c r="BC78" s="14" t="n"/>
      <c r="BD78" s="14" t="n"/>
      <c r="BE78" s="14" t="n"/>
    </row>
    <row r="79">
      <c r="A79" s="39" t="inlineStr">
        <is>
          <t>RL7-6MCC02</t>
        </is>
      </c>
      <c r="B79" s="8" t="inlineStr">
        <is>
          <t>11A</t>
        </is>
      </c>
      <c r="C79" s="24" t="inlineStr">
        <is>
          <t>SPACE</t>
        </is>
      </c>
      <c r="D79" s="62" t="inlineStr">
        <is>
          <t>18" SPACE</t>
        </is>
      </c>
      <c r="E79" s="24" t="inlineStr">
        <is>
          <t>SPACE</t>
        </is>
      </c>
      <c r="F79" s="230" t="n"/>
      <c r="G79" s="8" t="n"/>
      <c r="H79" s="8" t="n"/>
      <c r="I79" s="8" t="n"/>
      <c r="J79" s="83">
        <f>IF(ISNUMBER(MCC_Table[[#This Row],[SIZE]]), MCC_Table[[#This Row],[SIZE]]/12, 0)</f>
        <v/>
      </c>
      <c r="K79" s="230" t="n"/>
      <c r="L79" s="8" t="n"/>
      <c r="M79" s="82" t="n"/>
      <c r="N79" s="82" t="n"/>
      <c r="O79" s="236" t="n"/>
      <c r="P79" s="105" t="n"/>
      <c r="Q79" s="79" t="n"/>
      <c r="R79" s="79" t="n"/>
      <c r="S79" s="79" t="n"/>
      <c r="T79" s="79" t="n"/>
      <c r="U79" s="79" t="n"/>
      <c r="V79" s="79" t="n"/>
      <c r="W79" s="79" t="n"/>
      <c r="X79" s="79" t="n"/>
      <c r="Y79" s="79" t="n"/>
      <c r="Z79" s="79" t="n"/>
      <c r="AA79" s="79" t="n"/>
      <c r="AB79" s="225" t="inlineStr">
        <is>
          <t>Oneline_Feeder_Panel</t>
        </is>
      </c>
      <c r="AC79" s="225" t="inlineStr">
        <is>
          <t>Feeder_Space</t>
        </is>
      </c>
      <c r="AD79" s="225" t="n"/>
      <c r="AE79" s="8">
        <f>_xlfn.NUMBERVALUE(LEFT(MCC_Table[[#This Row],[BUCKET]],LEN(MCC_Table[[#This Row],[BUCKET]])-1))</f>
        <v/>
      </c>
      <c r="AF79" s="8">
        <f>RIGHT(MCC_Table[[#This Row],[BUCKET]],1)</f>
        <v/>
      </c>
      <c r="AG79" s="8">
        <f>VLOOKUP(MCC_Table[[#This Row],[START UNIT]],UnitMap[],2,FALSE)</f>
        <v/>
      </c>
      <c r="AH79" s="8">
        <f t="array" ref="AH7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79" s="8">
        <f>IF(ISNUMBER(MCC_Table[[#This Row],[SIZE]]), MCC_Table[[#This Row],[SIZE]]/6, 0)</f>
        <v/>
      </c>
      <c r="AJ79" s="8">
        <f>MCC_Table[[#This Row],[START INDEX]]+MCC_Table[[#This Row],[UNITS USED]]-1</f>
        <v/>
      </c>
      <c r="AK79" s="14" t="n"/>
      <c r="AL79" s="14" t="n"/>
      <c r="AM79" s="14" t="n"/>
      <c r="AN79" s="14" t="n"/>
      <c r="AO79" s="14" t="n"/>
      <c r="AP79" s="14" t="n"/>
      <c r="AQ79" s="14" t="n"/>
      <c r="AR79" s="14" t="n"/>
      <c r="AS79" s="14" t="n"/>
      <c r="AT79" s="14" t="n"/>
      <c r="AU79" s="14" t="n"/>
      <c r="AV79" s="14" t="n"/>
      <c r="AW79" s="14" t="n"/>
      <c r="AX79" s="14" t="n"/>
      <c r="AY79" s="14" t="n"/>
      <c r="AZ79" s="14" t="n"/>
      <c r="BA79" s="14" t="n"/>
      <c r="BB79" s="14" t="n"/>
      <c r="BC79" s="14" t="n"/>
      <c r="BD79" s="14" t="n"/>
      <c r="BE79" s="14" t="n"/>
    </row>
    <row r="80">
      <c r="A80" s="37" t="inlineStr">
        <is>
          <t>RL7-6MCC02</t>
        </is>
      </c>
      <c r="B80" s="8" t="inlineStr">
        <is>
          <t>11D</t>
        </is>
      </c>
      <c r="C80" s="24" t="inlineStr">
        <is>
          <t>RL7-SKD-102.M1</t>
        </is>
      </c>
      <c r="D80" s="28" t="inlineStr">
        <is>
          <t>LACTIC ACID SKID PUMP</t>
        </is>
      </c>
      <c r="E80" s="29" t="inlineStr">
        <is>
          <t>VFD_PF755</t>
        </is>
      </c>
      <c r="F80" s="231" t="n">
        <v>2</v>
      </c>
      <c r="G80" s="8" t="n">
        <v>2</v>
      </c>
      <c r="H80" s="8" t="n">
        <v>3.4</v>
      </c>
      <c r="I80" s="8" t="n"/>
      <c r="J80" s="83">
        <f>IF(ISNUMBER(MCC_Table[[#This Row],[SIZE]]), MCC_Table[[#This Row],[SIZE]]/12, 0)</f>
        <v/>
      </c>
      <c r="K80" s="230" t="n">
        <v>15</v>
      </c>
      <c r="L80" s="8" t="n">
        <v>125</v>
      </c>
      <c r="M80" s="82" t="n">
        <v>6</v>
      </c>
      <c r="N80" s="82" t="inlineStr">
        <is>
          <t>3/C #12 VFD CABLE</t>
        </is>
      </c>
      <c r="O80" s="236" t="n"/>
      <c r="P80" s="85" t="n"/>
      <c r="Q80" s="79" t="n"/>
      <c r="R80" s="79" t="n"/>
      <c r="S80" s="79" t="n"/>
      <c r="T80" s="79" t="n"/>
      <c r="U80" s="79" t="n"/>
      <c r="V80" s="79" t="n"/>
      <c r="W80" s="79" t="n"/>
      <c r="X80" s="79" t="n"/>
      <c r="Y80" s="79" t="n"/>
      <c r="Z80" s="79" t="n"/>
      <c r="AA80" s="79" t="n"/>
      <c r="AB80" s="225" t="inlineStr">
        <is>
          <t>Oneline_Motor</t>
        </is>
      </c>
      <c r="AC80" s="225" t="inlineStr">
        <is>
          <t>Motor_VFD-w-Fuse</t>
        </is>
      </c>
      <c r="AD80" s="224" t="inlineStr">
        <is>
          <t>Motor w/ Disc</t>
        </is>
      </c>
      <c r="AE80" s="8">
        <f>_xlfn.NUMBERVALUE(LEFT(MCC_Table[[#This Row],[BUCKET]],LEN(MCC_Table[[#This Row],[BUCKET]])-1))</f>
        <v/>
      </c>
      <c r="AF80" s="8">
        <f>RIGHT(MCC_Table[[#This Row],[BUCKET]],1)</f>
        <v/>
      </c>
      <c r="AG80" s="8">
        <f>VLOOKUP(MCC_Table[[#This Row],[START UNIT]],UnitMap[],2,FALSE)</f>
        <v/>
      </c>
      <c r="AH80" s="8">
        <f t="array" ref="AH8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80" s="8">
        <f>IF(ISNUMBER(MCC_Table[[#This Row],[SIZE]]), MCC_Table[[#This Row],[SIZE]]/6, 0)</f>
        <v/>
      </c>
      <c r="AJ80" s="8">
        <f>MCC_Table[[#This Row],[START INDEX]]+MCC_Table[[#This Row],[UNITS USED]]-1</f>
        <v/>
      </c>
      <c r="AK80" s="14" t="n"/>
      <c r="AL80" s="14" t="n"/>
      <c r="AM80" s="14" t="n"/>
      <c r="AN80" s="14" t="n"/>
      <c r="AO80" s="14" t="n"/>
      <c r="AP80" s="14" t="n"/>
      <c r="AQ80" s="14" t="n"/>
      <c r="AR80" s="14" t="n"/>
      <c r="AS80" s="14" t="n"/>
      <c r="AT80" s="14" t="n"/>
      <c r="AU80" s="14" t="n"/>
      <c r="AV80" s="14" t="n"/>
      <c r="AW80" s="14" t="n"/>
      <c r="AX80" s="14" t="n"/>
      <c r="AY80" s="14" t="n"/>
      <c r="AZ80" s="14" t="n"/>
      <c r="BA80" s="14" t="n"/>
      <c r="BB80" s="14" t="n"/>
      <c r="BC80" s="14" t="n"/>
      <c r="BD80" s="14" t="n"/>
      <c r="BE80" s="14" t="n"/>
    </row>
    <row r="81">
      <c r="A81" s="39" t="inlineStr">
        <is>
          <t>RL7-6MCC02</t>
        </is>
      </c>
      <c r="B81" s="8" t="inlineStr">
        <is>
          <t>11H</t>
        </is>
      </c>
      <c r="C81" s="24" t="inlineStr">
        <is>
          <t>RL7-PMP-108.M1</t>
        </is>
      </c>
      <c r="D81" s="89" t="inlineStr">
        <is>
          <t>HOT WATER JACKET PUMP</t>
        </is>
      </c>
      <c r="E81" s="29" t="inlineStr">
        <is>
          <t>VFD_PF755</t>
        </is>
      </c>
      <c r="F81" s="231" t="n">
        <v>10</v>
      </c>
      <c r="G81" s="8" t="n">
        <v>10</v>
      </c>
      <c r="H81" s="8" t="n">
        <v>14</v>
      </c>
      <c r="I81" s="8" t="n"/>
      <c r="J81" s="83">
        <f>IF(ISNUMBER(MCC_Table[[#This Row],[SIZE]]), MCC_Table[[#This Row],[SIZE]]/12, 0)</f>
        <v/>
      </c>
      <c r="K81" s="230" t="n">
        <v>30</v>
      </c>
      <c r="L81" s="8" t="n">
        <v>125</v>
      </c>
      <c r="M81" s="82" t="n">
        <v>25</v>
      </c>
      <c r="N81" s="82" t="inlineStr">
        <is>
          <t>3/C #12 VFD CABLE</t>
        </is>
      </c>
      <c r="O81" s="236" t="n"/>
      <c r="P81" s="88" t="n"/>
      <c r="Q81" s="79" t="n"/>
      <c r="R81" s="79" t="n"/>
      <c r="S81" s="79" t="n"/>
      <c r="T81" s="79" t="n"/>
      <c r="U81" s="79" t="n"/>
      <c r="V81" s="79" t="n"/>
      <c r="W81" s="79" t="n"/>
      <c r="X81" s="79" t="n"/>
      <c r="Y81" s="79" t="n"/>
      <c r="Z81" s="79" t="n"/>
      <c r="AA81" s="79" t="n"/>
      <c r="AB81" s="225" t="inlineStr">
        <is>
          <t>Oneline_Motor</t>
        </is>
      </c>
      <c r="AC81" s="225" t="inlineStr">
        <is>
          <t>Motor_VFD-w-Fuse</t>
        </is>
      </c>
      <c r="AD81" s="224" t="inlineStr">
        <is>
          <t>Motor w/ Disc</t>
        </is>
      </c>
      <c r="AE81" s="8">
        <f>_xlfn.NUMBERVALUE(LEFT(MCC_Table[[#This Row],[BUCKET]],LEN(MCC_Table[[#This Row],[BUCKET]])-1))</f>
        <v/>
      </c>
      <c r="AF81" s="8">
        <f>RIGHT(MCC_Table[[#This Row],[BUCKET]],1)</f>
        <v/>
      </c>
      <c r="AG81" s="8">
        <f>VLOOKUP(MCC_Table[[#This Row],[START UNIT]],UnitMap[],2,FALSE)</f>
        <v/>
      </c>
      <c r="AH81" s="8">
        <f t="array" ref="AH8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81" s="8">
        <f>IF(ISNUMBER(MCC_Table[[#This Row],[SIZE]]), MCC_Table[[#This Row],[SIZE]]/6, 0)</f>
        <v/>
      </c>
      <c r="AJ81" s="8">
        <f>MCC_Table[[#This Row],[START INDEX]]+MCC_Table[[#This Row],[UNITS USED]]-1</f>
        <v/>
      </c>
      <c r="AK81" s="14" t="n"/>
      <c r="AL81" s="14" t="n"/>
      <c r="AM81" s="14" t="n"/>
      <c r="AN81" s="14" t="n"/>
      <c r="AO81" s="14" t="n"/>
      <c r="AP81" s="14" t="n"/>
      <c r="AQ81" s="14" t="n"/>
      <c r="AR81" s="14" t="n"/>
      <c r="AS81" s="14" t="n"/>
      <c r="AT81" s="14" t="n"/>
      <c r="AU81" s="14" t="n"/>
      <c r="AV81" s="14" t="n"/>
      <c r="AW81" s="14" t="n"/>
      <c r="AX81" s="14" t="n"/>
      <c r="AY81" s="14" t="n"/>
      <c r="AZ81" s="14" t="n"/>
      <c r="BA81" s="14" t="n"/>
      <c r="BB81" s="14" t="n"/>
      <c r="BC81" s="14" t="n"/>
      <c r="BD81" s="14" t="n"/>
      <c r="BE81" s="14" t="n"/>
    </row>
    <row r="82">
      <c r="A82" s="39" t="inlineStr">
        <is>
          <t>RL7-6MCC02</t>
        </is>
      </c>
      <c r="B82" s="29" t="inlineStr">
        <is>
          <t>12A</t>
        </is>
      </c>
      <c r="C82" s="24" t="inlineStr">
        <is>
          <t>RL7-MCC2-12A.SW1</t>
        </is>
      </c>
      <c r="D82" s="62" t="inlineStr">
        <is>
          <t>ETHERNET SWITCH (20-PORT)</t>
        </is>
      </c>
      <c r="E82" s="24" t="inlineStr">
        <is>
          <t>ENET_20</t>
        </is>
      </c>
      <c r="F82" s="230" t="n"/>
      <c r="G82" s="8" t="n"/>
      <c r="H82" s="8" t="n"/>
      <c r="I82" s="8" t="n"/>
      <c r="J82" s="80">
        <f>IF(ISNUMBER(MCC_Table[[#This Row],[SIZE]]), MCC_Table[[#This Row],[SIZE]]/12, 0)</f>
        <v/>
      </c>
      <c r="K82" s="230" t="n"/>
      <c r="L82" s="8" t="n"/>
      <c r="M82" s="82" t="n"/>
      <c r="N82" s="82" t="n"/>
      <c r="O82" s="236" t="n"/>
      <c r="P82" s="105" t="n"/>
      <c r="Q82" s="79" t="n"/>
      <c r="R82" s="79" t="n"/>
      <c r="S82" s="79" t="n"/>
      <c r="T82" s="79" t="n"/>
      <c r="U82" s="79" t="n"/>
      <c r="V82" s="79" t="n"/>
      <c r="W82" s="79" t="n"/>
      <c r="X82" s="79" t="n"/>
      <c r="Y82" s="79" t="n"/>
      <c r="Z82" s="79" t="n"/>
      <c r="AA82" s="79" t="n"/>
      <c r="AB82" s="225" t="inlineStr">
        <is>
          <t>Oneline_Ensw</t>
        </is>
      </c>
      <c r="AC82" s="225" t="inlineStr">
        <is>
          <t>Switch_20-Port</t>
        </is>
      </c>
      <c r="AD82" s="225" t="n"/>
      <c r="AE82" s="29">
        <f>_xlfn.NUMBERVALUE(LEFT(MCC_Table[[#This Row],[BUCKET]],LEN(MCC_Table[[#This Row],[BUCKET]])-1))</f>
        <v/>
      </c>
      <c r="AF82" s="29">
        <f>RIGHT(MCC_Table[[#This Row],[BUCKET]],1)</f>
        <v/>
      </c>
      <c r="AG82" s="29">
        <f>VLOOKUP(MCC_Table[[#This Row],[START UNIT]],UnitMap[],2,FALSE)</f>
        <v/>
      </c>
      <c r="AH82" s="29">
        <f t="array" ref="AH8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82" s="29">
        <f>IF(ISNUMBER(MCC_Table[[#This Row],[SIZE]]), MCC_Table[[#This Row],[SIZE]]/6, 0)</f>
        <v/>
      </c>
      <c r="AJ82" s="29">
        <f>MCC_Table[[#This Row],[START INDEX]]+MCC_Table[[#This Row],[UNITS USED]]-1</f>
        <v/>
      </c>
      <c r="AK82" s="14" t="n"/>
      <c r="AL82" s="14" t="n"/>
      <c r="AM82" s="14" t="n"/>
      <c r="AN82" s="14" t="n"/>
      <c r="AO82" s="14" t="n"/>
      <c r="AP82" s="14" t="n"/>
      <c r="AQ82" s="14" t="n"/>
      <c r="AR82" s="14" t="n"/>
      <c r="AS82" s="14" t="n"/>
      <c r="AT82" s="14" t="n"/>
      <c r="AU82" s="14" t="n"/>
      <c r="AV82" s="14" t="n"/>
      <c r="AW82" s="14" t="n"/>
      <c r="AX82" s="14" t="n"/>
      <c r="AY82" s="14" t="n"/>
      <c r="AZ82" s="14" t="n"/>
      <c r="BA82" s="14" t="n"/>
      <c r="BB82" s="14" t="n"/>
      <c r="BC82" s="14" t="n"/>
      <c r="BD82" s="14" t="n"/>
      <c r="BE82" s="14" t="n"/>
    </row>
    <row r="83">
      <c r="A83" s="39" t="inlineStr">
        <is>
          <t>RL7-6MCC02</t>
        </is>
      </c>
      <c r="B83" s="8" t="inlineStr">
        <is>
          <t>12C</t>
        </is>
      </c>
      <c r="C83" s="24" t="inlineStr">
        <is>
          <t>SPARE</t>
        </is>
      </c>
      <c r="D83" s="28" t="inlineStr">
        <is>
          <t>SZ1 FVNR - 5HP</t>
        </is>
      </c>
      <c r="E83" s="29" t="inlineStr">
        <is>
          <t>FVNR</t>
        </is>
      </c>
      <c r="F83" s="230" t="n"/>
      <c r="G83" s="8" t="n">
        <v>5</v>
      </c>
      <c r="H83" s="8" t="n"/>
      <c r="I83" s="8" t="n">
        <v>1</v>
      </c>
      <c r="J83" s="83">
        <f>IF(ISNUMBER(MCC_Table[[#This Row],[SIZE]]), MCC_Table[[#This Row],[SIZE]]/12, 0)</f>
        <v/>
      </c>
      <c r="K83" s="230" t="n">
        <v>15</v>
      </c>
      <c r="L83" s="8" t="n">
        <v>125</v>
      </c>
      <c r="M83" s="82" t="n"/>
      <c r="N83" s="82" t="inlineStr">
        <is>
          <t>3/C #12 W/ GND</t>
        </is>
      </c>
      <c r="O83" s="236" t="n"/>
      <c r="P83" s="88" t="n"/>
      <c r="Q83" s="79" t="n"/>
      <c r="R83" s="79" t="n"/>
      <c r="S83" s="79" t="n"/>
      <c r="T83" s="79" t="n"/>
      <c r="U83" s="79" t="n"/>
      <c r="V83" s="79" t="n"/>
      <c r="W83" s="79" t="n"/>
      <c r="X83" s="79" t="n"/>
      <c r="Y83" s="79" t="n"/>
      <c r="Z83" s="79" t="n"/>
      <c r="AA83" s="79" t="n"/>
      <c r="AB83" s="225" t="inlineStr">
        <is>
          <t>Oneline_Motor</t>
        </is>
      </c>
      <c r="AC83" s="224" t="inlineStr">
        <is>
          <t>Motor_FVNR</t>
        </is>
      </c>
      <c r="AD83" s="224" t="inlineStr">
        <is>
          <t>Motor w/ Disc</t>
        </is>
      </c>
      <c r="AE83" s="8">
        <f>_xlfn.NUMBERVALUE(LEFT(MCC_Table[[#This Row],[BUCKET]],LEN(MCC_Table[[#This Row],[BUCKET]])-1))</f>
        <v/>
      </c>
      <c r="AF83" s="8">
        <f>RIGHT(MCC_Table[[#This Row],[BUCKET]],1)</f>
        <v/>
      </c>
      <c r="AG83" s="8">
        <f>VLOOKUP(MCC_Table[[#This Row],[START UNIT]],UnitMap[],2,FALSE)</f>
        <v/>
      </c>
      <c r="AH83" s="8">
        <f t="array" ref="AH8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83" s="8">
        <f>IF(ISNUMBER(MCC_Table[[#This Row],[SIZE]]), MCC_Table[[#This Row],[SIZE]]/6, 0)</f>
        <v/>
      </c>
      <c r="AJ83" s="8">
        <f>MCC_Table[[#This Row],[START INDEX]]+MCC_Table[[#This Row],[UNITS USED]]-1</f>
        <v/>
      </c>
      <c r="AK83" s="14" t="n"/>
      <c r="AL83" s="14" t="n"/>
      <c r="AM83" s="14" t="n"/>
      <c r="AN83" s="14" t="n"/>
      <c r="AO83" s="14" t="n"/>
      <c r="AP83" s="14" t="n"/>
      <c r="AQ83" s="14" t="n"/>
      <c r="AR83" s="14" t="n"/>
      <c r="AS83" s="14" t="n"/>
      <c r="AT83" s="14" t="n"/>
      <c r="AU83" s="14" t="n"/>
      <c r="AV83" s="14" t="n"/>
      <c r="AW83" s="14" t="n"/>
      <c r="AX83" s="14" t="n"/>
      <c r="AY83" s="14" t="n"/>
      <c r="AZ83" s="14" t="n"/>
      <c r="BA83" s="14" t="n"/>
      <c r="BB83" s="14" t="n"/>
      <c r="BC83" s="14" t="n"/>
      <c r="BD83" s="14" t="n"/>
      <c r="BE83" s="14" t="n"/>
    </row>
    <row r="84">
      <c r="A84" s="39" t="inlineStr">
        <is>
          <t>RL7-6MCC02</t>
        </is>
      </c>
      <c r="B84" s="8" t="inlineStr">
        <is>
          <t>12E</t>
        </is>
      </c>
      <c r="C84" s="24" t="inlineStr">
        <is>
          <t>RL7-FAN-101.M1</t>
        </is>
      </c>
      <c r="D84" s="28" t="inlineStr">
        <is>
          <t>COOKER 1 - EXHAUST FAN</t>
        </is>
      </c>
      <c r="E84" s="29" t="inlineStr">
        <is>
          <t>VFD_PF755</t>
        </is>
      </c>
      <c r="F84" s="231" t="n">
        <v>1</v>
      </c>
      <c r="G84" s="8" t="n">
        <v>2</v>
      </c>
      <c r="H84" s="8" t="n">
        <v>3.4</v>
      </c>
      <c r="I84" s="8" t="n"/>
      <c r="J84" s="83">
        <f>IF(ISNUMBER(MCC_Table[[#This Row],[SIZE]]), MCC_Table[[#This Row],[SIZE]]/12, 0)</f>
        <v/>
      </c>
      <c r="K84" s="230" t="n">
        <v>15</v>
      </c>
      <c r="L84" s="8" t="n">
        <v>125</v>
      </c>
      <c r="M84" s="82" t="n">
        <v>6</v>
      </c>
      <c r="N84" s="82" t="inlineStr">
        <is>
          <t>3/C #12 VFD CABLE</t>
        </is>
      </c>
      <c r="O84" s="236" t="n"/>
      <c r="P84" s="88" t="n"/>
      <c r="Q84" s="79" t="n"/>
      <c r="R84" s="79" t="n"/>
      <c r="S84" s="79" t="n"/>
      <c r="T84" s="79" t="n"/>
      <c r="U84" s="79" t="n"/>
      <c r="V84" s="79" t="n"/>
      <c r="W84" s="79" t="n"/>
      <c r="X84" s="79" t="n"/>
      <c r="Y84" s="79" t="n"/>
      <c r="Z84" s="79" t="n"/>
      <c r="AA84" s="79" t="n"/>
      <c r="AB84" s="225" t="inlineStr">
        <is>
          <t>Oneline_Motor</t>
        </is>
      </c>
      <c r="AC84" s="225" t="inlineStr">
        <is>
          <t>Motor_VFD-w-Fuse</t>
        </is>
      </c>
      <c r="AD84" s="224" t="inlineStr">
        <is>
          <t>Motor w/ Disc</t>
        </is>
      </c>
      <c r="AE84" s="8">
        <f>_xlfn.NUMBERVALUE(LEFT(MCC_Table[[#This Row],[BUCKET]],LEN(MCC_Table[[#This Row],[BUCKET]])-1))</f>
        <v/>
      </c>
      <c r="AF84" s="8">
        <f>RIGHT(MCC_Table[[#This Row],[BUCKET]],1)</f>
        <v/>
      </c>
      <c r="AG84" s="8">
        <f>VLOOKUP(MCC_Table[[#This Row],[START UNIT]],UnitMap[],2,FALSE)</f>
        <v/>
      </c>
      <c r="AH84" s="8">
        <f t="array" ref="AH8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84" s="8">
        <f>IF(ISNUMBER(MCC_Table[[#This Row],[SIZE]]), MCC_Table[[#This Row],[SIZE]]/6, 0)</f>
        <v/>
      </c>
      <c r="AJ84" s="8">
        <f>MCC_Table[[#This Row],[START INDEX]]+MCC_Table[[#This Row],[UNITS USED]]-1</f>
        <v/>
      </c>
      <c r="AK84" s="14" t="n"/>
      <c r="AL84" s="14" t="n"/>
      <c r="AM84" s="14" t="n"/>
      <c r="AN84" s="14" t="n"/>
      <c r="AO84" s="14" t="n"/>
      <c r="AP84" s="14" t="n"/>
      <c r="AQ84" s="14" t="n"/>
      <c r="AR84" s="14" t="n"/>
      <c r="AS84" s="14" t="n"/>
      <c r="AT84" s="14" t="n"/>
      <c r="AU84" s="14" t="n"/>
      <c r="AV84" s="14" t="n"/>
      <c r="AW84" s="14" t="n"/>
      <c r="AX84" s="14" t="n"/>
      <c r="AY84" s="14" t="n"/>
      <c r="AZ84" s="14" t="n"/>
      <c r="BA84" s="14" t="n"/>
      <c r="BB84" s="14" t="n"/>
      <c r="BC84" s="14" t="n"/>
      <c r="BD84" s="14" t="n"/>
      <c r="BE84" s="14" t="n"/>
    </row>
    <row r="85">
      <c r="A85" s="39" t="inlineStr">
        <is>
          <t>RL7-6MCC02</t>
        </is>
      </c>
      <c r="B85" s="8" t="inlineStr">
        <is>
          <t>12J</t>
        </is>
      </c>
      <c r="C85" s="24" t="inlineStr">
        <is>
          <t>RL7-FAN-102.M1</t>
        </is>
      </c>
      <c r="D85" s="28" t="inlineStr">
        <is>
          <t>COOKER 2 - EXHAUST FAN</t>
        </is>
      </c>
      <c r="E85" s="29" t="inlineStr">
        <is>
          <t>VFD_PF755</t>
        </is>
      </c>
      <c r="F85" s="231" t="n">
        <v>1</v>
      </c>
      <c r="G85" s="8" t="n">
        <v>2</v>
      </c>
      <c r="H85" s="8" t="n">
        <v>3.4</v>
      </c>
      <c r="I85" s="8" t="n"/>
      <c r="J85" s="83">
        <f>IF(ISNUMBER(MCC_Table[[#This Row],[SIZE]]), MCC_Table[[#This Row],[SIZE]]/12, 0)</f>
        <v/>
      </c>
      <c r="K85" s="230" t="n">
        <v>15</v>
      </c>
      <c r="L85" s="8" t="n">
        <v>125</v>
      </c>
      <c r="M85" s="82" t="n">
        <v>6</v>
      </c>
      <c r="N85" s="82" t="inlineStr">
        <is>
          <t>3/C #12 VFD CABLE</t>
        </is>
      </c>
      <c r="O85" s="236" t="n"/>
      <c r="P85" s="88" t="n"/>
      <c r="Q85" s="79" t="n"/>
      <c r="R85" s="79" t="n"/>
      <c r="S85" s="79" t="n"/>
      <c r="T85" s="79" t="n"/>
      <c r="U85" s="79" t="n"/>
      <c r="V85" s="79" t="n"/>
      <c r="W85" s="79" t="n"/>
      <c r="X85" s="79" t="n"/>
      <c r="Y85" s="79" t="n"/>
      <c r="Z85" s="79" t="n"/>
      <c r="AA85" s="79" t="n"/>
      <c r="AB85" s="225" t="inlineStr">
        <is>
          <t>Oneline_Motor</t>
        </is>
      </c>
      <c r="AC85" s="225" t="inlineStr">
        <is>
          <t>Motor_VFD-w-Fuse</t>
        </is>
      </c>
      <c r="AD85" s="224" t="inlineStr">
        <is>
          <t>Motor w/ Disc</t>
        </is>
      </c>
      <c r="AE85" s="8">
        <f>_xlfn.NUMBERVALUE(LEFT(MCC_Table[[#This Row],[BUCKET]],LEN(MCC_Table[[#This Row],[BUCKET]])-1))</f>
        <v/>
      </c>
      <c r="AF85" s="8">
        <f>RIGHT(MCC_Table[[#This Row],[BUCKET]],1)</f>
        <v/>
      </c>
      <c r="AG85" s="8">
        <f>VLOOKUP(MCC_Table[[#This Row],[START UNIT]],UnitMap[],2,FALSE)</f>
        <v/>
      </c>
      <c r="AH85" s="8">
        <f t="array" ref="AH8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85" s="8">
        <f>IF(ISNUMBER(MCC_Table[[#This Row],[SIZE]]), MCC_Table[[#This Row],[SIZE]]/6, 0)</f>
        <v/>
      </c>
      <c r="AJ85" s="8">
        <f>MCC_Table[[#This Row],[START INDEX]]+MCC_Table[[#This Row],[UNITS USED]]-1</f>
        <v/>
      </c>
      <c r="AK85" s="14" t="n"/>
      <c r="AL85" s="14" t="n"/>
      <c r="AM85" s="14" t="n"/>
      <c r="AN85" s="14" t="n"/>
      <c r="AO85" s="14" t="n"/>
      <c r="AP85" s="14" t="n"/>
      <c r="AQ85" s="14" t="n"/>
      <c r="AR85" s="14" t="n"/>
      <c r="AS85" s="14" t="n"/>
      <c r="AT85" s="14" t="n"/>
      <c r="AU85" s="14" t="n"/>
      <c r="AV85" s="14" t="n"/>
      <c r="AW85" s="14" t="n"/>
      <c r="AX85" s="14" t="n"/>
      <c r="AY85" s="14" t="n"/>
      <c r="AZ85" s="14" t="n"/>
      <c r="BA85" s="14" t="n"/>
      <c r="BB85" s="14" t="n"/>
      <c r="BC85" s="14" t="n"/>
      <c r="BD85" s="14" t="n"/>
      <c r="BE85" s="14" t="n"/>
    </row>
    <row r="86" ht="30" customHeight="1">
      <c r="A86" s="39" t="inlineStr">
        <is>
          <t>RL7-6MCC02</t>
        </is>
      </c>
      <c r="B86" s="8" t="inlineStr">
        <is>
          <t>13A</t>
        </is>
      </c>
      <c r="C86" s="24" t="inlineStr">
        <is>
          <t>RL7-PRM-101.M2
RL7-PRM-101.M3</t>
        </is>
      </c>
      <c r="D86" s="89" t="inlineStr">
        <is>
          <t>PRE-MIXER AGITATORS</t>
        </is>
      </c>
      <c r="E86" s="29" t="inlineStr">
        <is>
          <t>VFD_PF755</t>
        </is>
      </c>
      <c r="F86" s="231" t="inlineStr">
        <is>
          <t>(2) 30</t>
        </is>
      </c>
      <c r="G86" s="8" t="n">
        <v>75</v>
      </c>
      <c r="H86" s="8" t="n">
        <v>96</v>
      </c>
      <c r="I86" s="8" t="n"/>
      <c r="J86" s="83">
        <f>IF(ISNUMBER(MCC_Table[[#This Row],[SIZE]]), MCC_Table[[#This Row],[SIZE]]/12, 0)</f>
        <v/>
      </c>
      <c r="K86" s="230" t="n">
        <v>250</v>
      </c>
      <c r="L86" s="8" t="n">
        <v>250</v>
      </c>
      <c r="M86" s="82" t="n">
        <v>175</v>
      </c>
      <c r="N86" s="82" t="inlineStr">
        <is>
          <t>3/C #6 VFD CABLE</t>
        </is>
      </c>
      <c r="O86" s="236" t="inlineStr">
        <is>
          <t>SHARED VFD - FED THRU JIC2A</t>
        </is>
      </c>
      <c r="P86" s="88" t="n"/>
      <c r="Q86" s="79" t="n"/>
      <c r="R86" s="79" t="n"/>
      <c r="S86" s="79" t="n"/>
      <c r="T86" s="79" t="n"/>
      <c r="U86" s="79" t="n"/>
      <c r="V86" s="79" t="n"/>
      <c r="W86" s="79" t="n"/>
      <c r="X86" s="79" t="n"/>
      <c r="Y86" s="79" t="n"/>
      <c r="Z86" s="79" t="n"/>
      <c r="AA86" s="79" t="n"/>
      <c r="AB86" s="225" t="inlineStr">
        <is>
          <t>Oneline_Motor</t>
        </is>
      </c>
      <c r="AC86" s="225" t="inlineStr">
        <is>
          <t>Motor_VFD-w-Fuse</t>
        </is>
      </c>
      <c r="AD86" s="224" t="inlineStr">
        <is>
          <t>Motor w/ Disc</t>
        </is>
      </c>
      <c r="AE86" s="8">
        <f>_xlfn.NUMBERVALUE(LEFT(MCC_Table[[#This Row],[BUCKET]],LEN(MCC_Table[[#This Row],[BUCKET]])-1))</f>
        <v/>
      </c>
      <c r="AF86" s="8">
        <f>RIGHT(MCC_Table[[#This Row],[BUCKET]],1)</f>
        <v/>
      </c>
      <c r="AG86" s="8">
        <f>VLOOKUP(MCC_Table[[#This Row],[START UNIT]],UnitMap[],2,FALSE)</f>
        <v/>
      </c>
      <c r="AH86" s="8">
        <f t="array" ref="AH8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86" s="8">
        <f>IF(ISNUMBER(MCC_Table[[#This Row],[SIZE]]), MCC_Table[[#This Row],[SIZE]]/6, 0)</f>
        <v/>
      </c>
      <c r="AJ86" s="8">
        <f>MCC_Table[[#This Row],[START INDEX]]+MCC_Table[[#This Row],[UNITS USED]]-1</f>
        <v/>
      </c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14" t="n"/>
      <c r="BE86" s="14" t="n"/>
    </row>
    <row r="87">
      <c r="A87" s="39" t="inlineStr">
        <is>
          <t>RL7-6MCC02</t>
        </is>
      </c>
      <c r="B87" s="8" t="inlineStr">
        <is>
          <t>14A</t>
        </is>
      </c>
      <c r="C87" s="8" t="inlineStr">
        <is>
          <t>RL7-PMP-106.M1</t>
        </is>
      </c>
      <c r="D87" s="103" t="inlineStr">
        <is>
          <t>PRE-MIXER PUMP</t>
        </is>
      </c>
      <c r="E87" s="29" t="inlineStr">
        <is>
          <t>VFD_PF755</t>
        </is>
      </c>
      <c r="F87" s="231" t="n"/>
      <c r="G87" s="8" t="n">
        <v>75</v>
      </c>
      <c r="H87" s="8" t="n">
        <v>96</v>
      </c>
      <c r="I87" s="8" t="n"/>
      <c r="J87" s="83">
        <f>IF(ISNUMBER(MCC_Table[[#This Row],[SIZE]]), MCC_Table[[#This Row],[SIZE]]/12, 0)</f>
        <v/>
      </c>
      <c r="K87" s="230" t="n">
        <v>250</v>
      </c>
      <c r="L87" s="8" t="n">
        <v>250</v>
      </c>
      <c r="M87" s="82" t="n">
        <v>175</v>
      </c>
      <c r="N87" s="82" t="inlineStr">
        <is>
          <t>3/C #1 VFD CABLE</t>
        </is>
      </c>
      <c r="O87" s="236" t="n"/>
      <c r="P87" s="88" t="n"/>
      <c r="Q87" s="79" t="n"/>
      <c r="R87" s="79" t="n"/>
      <c r="S87" s="79" t="n"/>
      <c r="T87" s="79" t="n"/>
      <c r="U87" s="79" t="n"/>
      <c r="V87" s="79" t="n"/>
      <c r="W87" s="79" t="n"/>
      <c r="X87" s="79" t="n"/>
      <c r="Y87" s="79" t="n"/>
      <c r="Z87" s="79" t="n"/>
      <c r="AA87" s="79" t="n"/>
      <c r="AB87" s="225" t="inlineStr">
        <is>
          <t>Oneline_Motor</t>
        </is>
      </c>
      <c r="AC87" s="225" t="inlineStr">
        <is>
          <t>Motor_VFD-w-Fuse</t>
        </is>
      </c>
      <c r="AD87" s="224" t="inlineStr">
        <is>
          <t>Motor w/ Disc</t>
        </is>
      </c>
      <c r="AE87" s="8">
        <f>_xlfn.NUMBERVALUE(LEFT(MCC_Table[[#This Row],[BUCKET]],LEN(MCC_Table[[#This Row],[BUCKET]])-1))</f>
        <v/>
      </c>
      <c r="AF87" s="8">
        <f>RIGHT(MCC_Table[[#This Row],[BUCKET]],1)</f>
        <v/>
      </c>
      <c r="AG87" s="8">
        <f>VLOOKUP(MCC_Table[[#This Row],[START UNIT]],UnitMap[],2,FALSE)</f>
        <v/>
      </c>
      <c r="AH87" s="8">
        <f t="array" ref="AH8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87" s="8">
        <f>IF(ISNUMBER(MCC_Table[[#This Row],[SIZE]]), MCC_Table[[#This Row],[SIZE]]/6, 0)</f>
        <v/>
      </c>
      <c r="AJ87" s="8">
        <f>MCC_Table[[#This Row],[START INDEX]]+MCC_Table[[#This Row],[UNITS USED]]-1</f>
        <v/>
      </c>
      <c r="AK87" s="14" t="n"/>
      <c r="AL87" s="14" t="n"/>
      <c r="AM87" s="14" t="n"/>
      <c r="AN87" s="14" t="n"/>
      <c r="AO87" s="14" t="n"/>
      <c r="AP87" s="14" t="n"/>
      <c r="AQ87" s="14" t="n"/>
      <c r="AR87" s="14" t="n"/>
      <c r="AS87" s="14" t="n"/>
      <c r="AT87" s="14" t="n"/>
      <c r="AU87" s="14" t="n"/>
      <c r="AV87" s="14" t="n"/>
      <c r="AW87" s="14" t="n"/>
      <c r="AX87" s="14" t="n"/>
      <c r="AY87" s="14" t="n"/>
      <c r="AZ87" s="14" t="n"/>
      <c r="BA87" s="14" t="n"/>
      <c r="BB87" s="14" t="n"/>
      <c r="BC87" s="14" t="n"/>
      <c r="BD87" s="14" t="n"/>
      <c r="BE87" s="14" t="n"/>
    </row>
    <row r="88">
      <c r="A88" s="39" t="inlineStr">
        <is>
          <t>RL7-6MCC02</t>
        </is>
      </c>
      <c r="B88" s="8" t="inlineStr">
        <is>
          <t>15A</t>
        </is>
      </c>
      <c r="C88" s="24" t="inlineStr">
        <is>
          <t>SPACE</t>
        </is>
      </c>
      <c r="D88" s="62" t="inlineStr">
        <is>
          <t>6" SPACE</t>
        </is>
      </c>
      <c r="E88" s="24" t="inlineStr">
        <is>
          <t>SPACE</t>
        </is>
      </c>
      <c r="F88" s="230" t="n"/>
      <c r="G88" s="8" t="n"/>
      <c r="H88" s="8" t="n"/>
      <c r="I88" s="8" t="n"/>
      <c r="J88" s="83">
        <f>IF(ISNUMBER(MCC_Table[[#This Row],[SIZE]]), MCC_Table[[#This Row],[SIZE]]/12, 0)</f>
        <v/>
      </c>
      <c r="K88" s="230" t="n"/>
      <c r="L88" s="8" t="n"/>
      <c r="M88" s="82" t="n"/>
      <c r="N88" s="82" t="n"/>
      <c r="O88" s="236" t="n"/>
      <c r="P88" s="85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  <c r="Z88" s="79" t="n"/>
      <c r="AA88" s="79" t="n"/>
      <c r="AB88" s="225" t="inlineStr">
        <is>
          <t>Oneline_Feeder_Panel</t>
        </is>
      </c>
      <c r="AC88" s="225" t="inlineStr">
        <is>
          <t>Feeder_Space</t>
        </is>
      </c>
      <c r="AD88" s="225" t="n"/>
      <c r="AE88" s="8">
        <f>_xlfn.NUMBERVALUE(LEFT(MCC_Table[[#This Row],[BUCKET]],LEN(MCC_Table[[#This Row],[BUCKET]])-1))</f>
        <v/>
      </c>
      <c r="AF88" s="8">
        <f>RIGHT(MCC_Table[[#This Row],[BUCKET]],1)</f>
        <v/>
      </c>
      <c r="AG88" s="8">
        <f>VLOOKUP(MCC_Table[[#This Row],[START UNIT]],UnitMap[],2,FALSE)</f>
        <v/>
      </c>
      <c r="AH88" s="8">
        <f t="array" ref="AH8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88" s="8">
        <f>IF(ISNUMBER(MCC_Table[[#This Row],[SIZE]]), MCC_Table[[#This Row],[SIZE]]/6, 0)</f>
        <v/>
      </c>
      <c r="AJ88" s="8">
        <f>MCC_Table[[#This Row],[START INDEX]]+MCC_Table[[#This Row],[UNITS USED]]-1</f>
        <v/>
      </c>
      <c r="AK88" s="14" t="n"/>
      <c r="AL88" s="14" t="n"/>
      <c r="AM88" s="14" t="n"/>
      <c r="AN88" s="14" t="n"/>
      <c r="AO88" s="14" t="n"/>
      <c r="AP88" s="14" t="n"/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14" t="n"/>
      <c r="BE88" s="14" t="n"/>
    </row>
    <row r="89">
      <c r="A89" s="39" t="inlineStr">
        <is>
          <t>RL7-6MCC02</t>
        </is>
      </c>
      <c r="B89" s="8" t="inlineStr">
        <is>
          <t>15C</t>
        </is>
      </c>
      <c r="C89" s="24" t="inlineStr">
        <is>
          <t>RL7-MLT-107.M1</t>
        </is>
      </c>
      <c r="D89" s="89" t="inlineStr">
        <is>
          <t>COOKER 1 - COLUMN DUMPER</t>
        </is>
      </c>
      <c r="E89" s="29" t="inlineStr">
        <is>
          <t>FVR</t>
        </is>
      </c>
      <c r="F89" s="231" t="n">
        <v>1.5</v>
      </c>
      <c r="G89" s="8" t="n">
        <v>1.5</v>
      </c>
      <c r="H89" s="8" t="n"/>
      <c r="I89" s="8" t="n">
        <v>1</v>
      </c>
      <c r="J89" s="83">
        <f>IF(ISNUMBER(MCC_Table[[#This Row],[SIZE]]), MCC_Table[[#This Row],[SIZE]]/12, 0)</f>
        <v/>
      </c>
      <c r="K89" s="230" t="n">
        <v>7</v>
      </c>
      <c r="L89" s="8" t="n">
        <v>125</v>
      </c>
      <c r="M89" s="82" t="n"/>
      <c r="N89" s="82" t="inlineStr">
        <is>
          <t>3/C #12 W/ GND</t>
        </is>
      </c>
      <c r="O89" s="236" t="inlineStr">
        <is>
          <t>FED THRU COOKER 1 JIC4A</t>
        </is>
      </c>
      <c r="P89" s="88" t="n"/>
      <c r="Q89" s="79" t="n"/>
      <c r="R89" s="79" t="n"/>
      <c r="S89" s="79" t="n"/>
      <c r="T89" s="79" t="n"/>
      <c r="U89" s="79" t="n"/>
      <c r="V89" s="79" t="n"/>
      <c r="W89" s="79" t="n"/>
      <c r="X89" s="79" t="n"/>
      <c r="Y89" s="79" t="n"/>
      <c r="Z89" s="79" t="n"/>
      <c r="AA89" s="79" t="n"/>
      <c r="AB89" s="225" t="inlineStr">
        <is>
          <t>Oneline_Motor</t>
        </is>
      </c>
      <c r="AC89" s="225" t="inlineStr">
        <is>
          <t>Motor_FVR</t>
        </is>
      </c>
      <c r="AD89" s="224" t="inlineStr">
        <is>
          <t>Motor w/ Disc</t>
        </is>
      </c>
      <c r="AE89" s="8">
        <f>_xlfn.NUMBERVALUE(LEFT(MCC_Table[[#This Row],[BUCKET]],LEN(MCC_Table[[#This Row],[BUCKET]])-1))</f>
        <v/>
      </c>
      <c r="AF89" s="8">
        <f>RIGHT(MCC_Table[[#This Row],[BUCKET]],1)</f>
        <v/>
      </c>
      <c r="AG89" s="8">
        <f>VLOOKUP(MCC_Table[[#This Row],[START UNIT]],UnitMap[],2,FALSE)</f>
        <v/>
      </c>
      <c r="AH89" s="8">
        <f t="array" ref="AH8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89" s="8">
        <f>IF(ISNUMBER(MCC_Table[[#This Row],[SIZE]]), MCC_Table[[#This Row],[SIZE]]/6, 0)</f>
        <v/>
      </c>
      <c r="AJ89" s="8">
        <f>MCC_Table[[#This Row],[START INDEX]]+MCC_Table[[#This Row],[UNITS USED]]-1</f>
        <v/>
      </c>
      <c r="AK89" s="14" t="n"/>
      <c r="AL89" s="14" t="n"/>
      <c r="AM89" s="14" t="n"/>
      <c r="AN89" s="14" t="n"/>
      <c r="AO89" s="14" t="n"/>
      <c r="AP89" s="14" t="n"/>
      <c r="AQ89" s="14" t="n"/>
      <c r="AR89" s="14" t="n"/>
      <c r="AS89" s="14" t="n"/>
      <c r="AT89" s="14" t="n"/>
      <c r="AU89" s="14" t="n"/>
      <c r="AV89" s="14" t="n"/>
      <c r="AW89" s="14" t="n"/>
      <c r="AX89" s="14" t="n"/>
      <c r="AY89" s="14" t="n"/>
      <c r="AZ89" s="14" t="n"/>
      <c r="BA89" s="14" t="n"/>
      <c r="BB89" s="14" t="n"/>
      <c r="BC89" s="14" t="n"/>
      <c r="BD89" s="14" t="n"/>
      <c r="BE89" s="14" t="n"/>
    </row>
    <row r="90">
      <c r="A90" s="39" t="inlineStr">
        <is>
          <t>RL7-6MCC02</t>
        </is>
      </c>
      <c r="B90" s="8" t="inlineStr">
        <is>
          <t>15F</t>
        </is>
      </c>
      <c r="C90" s="24" t="inlineStr">
        <is>
          <t>RL7-MLT-108.M1</t>
        </is>
      </c>
      <c r="D90" s="89" t="inlineStr">
        <is>
          <t>COOKER 2 - COLUMN DUMPER</t>
        </is>
      </c>
      <c r="E90" s="29" t="inlineStr">
        <is>
          <t>FVR</t>
        </is>
      </c>
      <c r="F90" s="231" t="n">
        <v>1.5</v>
      </c>
      <c r="G90" s="8" t="n">
        <v>1.5</v>
      </c>
      <c r="H90" s="8" t="n"/>
      <c r="I90" s="8" t="n">
        <v>1</v>
      </c>
      <c r="J90" s="83">
        <f>IF(ISNUMBER(MCC_Table[[#This Row],[SIZE]]), MCC_Table[[#This Row],[SIZE]]/12, 0)</f>
        <v/>
      </c>
      <c r="K90" s="230" t="n">
        <v>7</v>
      </c>
      <c r="L90" s="8" t="n">
        <v>125</v>
      </c>
      <c r="M90" s="82" t="n"/>
      <c r="N90" s="82" t="inlineStr">
        <is>
          <t>3/C #12 W/ GND</t>
        </is>
      </c>
      <c r="O90" s="236" t="inlineStr">
        <is>
          <t>FED THRU COOKER 2 JIC3A</t>
        </is>
      </c>
      <c r="P90" s="85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  <c r="Z90" s="79" t="n"/>
      <c r="AA90" s="79" t="n"/>
      <c r="AB90" s="225" t="inlineStr">
        <is>
          <t>Oneline_Motor</t>
        </is>
      </c>
      <c r="AC90" s="225" t="inlineStr">
        <is>
          <t>Motor_FVR</t>
        </is>
      </c>
      <c r="AD90" s="224" t="inlineStr">
        <is>
          <t>Motor w/ Disc</t>
        </is>
      </c>
      <c r="AE90" s="8">
        <f>_xlfn.NUMBERVALUE(LEFT(MCC_Table[[#This Row],[BUCKET]],LEN(MCC_Table[[#This Row],[BUCKET]])-1))</f>
        <v/>
      </c>
      <c r="AF90" s="8">
        <f>RIGHT(MCC_Table[[#This Row],[BUCKET]],1)</f>
        <v/>
      </c>
      <c r="AG90" s="8">
        <f>VLOOKUP(MCC_Table[[#This Row],[START UNIT]],UnitMap[],2,FALSE)</f>
        <v/>
      </c>
      <c r="AH90" s="8">
        <f t="array" ref="AH9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90" s="8">
        <f>IF(ISNUMBER(MCC_Table[[#This Row],[SIZE]]), MCC_Table[[#This Row],[SIZE]]/6, 0)</f>
        <v/>
      </c>
      <c r="AJ90" s="8">
        <f>MCC_Table[[#This Row],[START INDEX]]+MCC_Table[[#This Row],[UNITS USED]]-1</f>
        <v/>
      </c>
      <c r="AK90" s="14" t="n"/>
      <c r="AL90" s="14" t="n"/>
      <c r="AM90" s="14" t="n"/>
      <c r="AN90" s="14" t="n"/>
      <c r="AO90" s="14" t="n"/>
      <c r="AP90" s="14" t="n"/>
      <c r="AQ90" s="14" t="n"/>
      <c r="AR90" s="14" t="n"/>
      <c r="AS90" s="14" t="n"/>
      <c r="AT90" s="14" t="n"/>
      <c r="AU90" s="14" t="n"/>
      <c r="AV90" s="14" t="n"/>
      <c r="AW90" s="14" t="n"/>
      <c r="AX90" s="14" t="n"/>
      <c r="AY90" s="14" t="n"/>
      <c r="AZ90" s="14" t="n"/>
      <c r="BA90" s="14" t="n"/>
      <c r="BB90" s="14" t="n"/>
      <c r="BC90" s="14" t="n"/>
      <c r="BD90" s="14" t="n"/>
      <c r="BE90" s="14" t="n"/>
    </row>
    <row r="91">
      <c r="A91" s="39" t="inlineStr">
        <is>
          <t>RL7-6MCC02</t>
        </is>
      </c>
      <c r="B91" s="8" t="inlineStr">
        <is>
          <t>15J</t>
        </is>
      </c>
      <c r="C91" s="24" t="inlineStr">
        <is>
          <t>SPACE</t>
        </is>
      </c>
      <c r="D91" s="62" t="inlineStr">
        <is>
          <t>12" SPACE</t>
        </is>
      </c>
      <c r="E91" s="24" t="inlineStr">
        <is>
          <t>SPACE</t>
        </is>
      </c>
      <c r="F91" s="230" t="n"/>
      <c r="G91" s="8" t="n"/>
      <c r="H91" s="8" t="n"/>
      <c r="I91" s="8" t="n"/>
      <c r="J91" s="83">
        <f>IF(ISNUMBER(MCC_Table[[#This Row],[SIZE]]), MCC_Table[[#This Row],[SIZE]]/12, 0)</f>
        <v/>
      </c>
      <c r="K91" s="230" t="n"/>
      <c r="L91" s="8" t="n"/>
      <c r="M91" s="82" t="n"/>
      <c r="N91" s="82" t="n"/>
      <c r="O91" s="236" t="n"/>
      <c r="P91" s="88" t="n"/>
      <c r="Q91" s="79" t="n"/>
      <c r="R91" s="79" t="n"/>
      <c r="S91" s="79" t="n"/>
      <c r="T91" s="79" t="n"/>
      <c r="U91" s="79" t="n"/>
      <c r="V91" s="79" t="n"/>
      <c r="W91" s="79" t="n"/>
      <c r="X91" s="79" t="n"/>
      <c r="Y91" s="79" t="n"/>
      <c r="Z91" s="79" t="n"/>
      <c r="AA91" s="79" t="n"/>
      <c r="AB91" s="225" t="inlineStr">
        <is>
          <t>Oneline_Feeder_Panel</t>
        </is>
      </c>
      <c r="AC91" s="225" t="inlineStr">
        <is>
          <t>Feeder_Space</t>
        </is>
      </c>
      <c r="AD91" s="225" t="n"/>
      <c r="AE91" s="8">
        <f>_xlfn.NUMBERVALUE(LEFT(MCC_Table[[#This Row],[BUCKET]],LEN(MCC_Table[[#This Row],[BUCKET]])-1))</f>
        <v/>
      </c>
      <c r="AF91" s="8">
        <f>RIGHT(MCC_Table[[#This Row],[BUCKET]],1)</f>
        <v/>
      </c>
      <c r="AG91" s="8">
        <f>VLOOKUP(MCC_Table[[#This Row],[START UNIT]],UnitMap[],2,FALSE)</f>
        <v/>
      </c>
      <c r="AH91" s="8">
        <f t="array" ref="AH9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91" s="8">
        <f>IF(ISNUMBER(MCC_Table[[#This Row],[SIZE]]), MCC_Table[[#This Row],[SIZE]]/6, 0)</f>
        <v/>
      </c>
      <c r="AJ91" s="8">
        <f>MCC_Table[[#This Row],[START INDEX]]+MCC_Table[[#This Row],[UNITS USED]]-1</f>
        <v/>
      </c>
      <c r="AK91" s="14" t="n"/>
      <c r="AL91" s="14" t="n"/>
      <c r="AM91" s="14" t="n"/>
      <c r="AN91" s="14" t="n"/>
      <c r="AO91" s="14" t="n"/>
      <c r="AP91" s="14" t="n"/>
      <c r="AQ91" s="14" t="n"/>
      <c r="AR91" s="14" t="n"/>
      <c r="AS91" s="14" t="n"/>
      <c r="AT91" s="14" t="n"/>
      <c r="AU91" s="14" t="n"/>
      <c r="AV91" s="14" t="n"/>
      <c r="AW91" s="14" t="n"/>
      <c r="AX91" s="14" t="n"/>
      <c r="AY91" s="14" t="n"/>
      <c r="AZ91" s="14" t="n"/>
      <c r="BA91" s="14" t="n"/>
      <c r="BB91" s="14" t="n"/>
      <c r="BC91" s="14" t="n"/>
      <c r="BD91" s="14" t="n"/>
      <c r="BE91" s="14" t="n"/>
    </row>
    <row r="92">
      <c r="A92" s="39" t="inlineStr">
        <is>
          <t>RL7-6MCC02</t>
        </is>
      </c>
      <c r="B92" s="8" t="inlineStr">
        <is>
          <t>15L</t>
        </is>
      </c>
      <c r="C92" s="24" t="inlineStr">
        <is>
          <t>SPACE</t>
        </is>
      </c>
      <c r="D92" s="62" t="inlineStr">
        <is>
          <t>12" SPACE</t>
        </is>
      </c>
      <c r="E92" s="24" t="inlineStr">
        <is>
          <t>SPACE</t>
        </is>
      </c>
      <c r="F92" s="230" t="n"/>
      <c r="G92" s="8" t="n"/>
      <c r="H92" s="8" t="n"/>
      <c r="I92" s="8" t="n"/>
      <c r="J92" s="83">
        <f>IF(ISNUMBER(MCC_Table[[#This Row],[SIZE]]), MCC_Table[[#This Row],[SIZE]]/12, 0)</f>
        <v/>
      </c>
      <c r="K92" s="230" t="n"/>
      <c r="L92" s="8" t="n"/>
      <c r="M92" s="82" t="n"/>
      <c r="N92" s="82" t="n"/>
      <c r="O92" s="239" t="n"/>
      <c r="P92" s="85" t="n"/>
      <c r="Q92" s="86" t="n"/>
      <c r="R92" s="86" t="n"/>
      <c r="S92" s="86" t="n"/>
      <c r="T92" s="86" t="n"/>
      <c r="U92" s="86" t="n"/>
      <c r="V92" s="86" t="n"/>
      <c r="W92" s="86" t="n"/>
      <c r="X92" s="86" t="n"/>
      <c r="Y92" s="86" t="n"/>
      <c r="Z92" s="86" t="n"/>
      <c r="AA92" s="86" t="n"/>
      <c r="AB92" s="225" t="inlineStr">
        <is>
          <t>Oneline_Feeder_Panel</t>
        </is>
      </c>
      <c r="AC92" s="225" t="inlineStr">
        <is>
          <t>Feeder_Space</t>
        </is>
      </c>
      <c r="AD92" s="224" t="n"/>
      <c r="AE92" s="8">
        <f>_xlfn.NUMBERVALUE(LEFT(MCC_Table[[#This Row],[BUCKET]],LEN(MCC_Table[[#This Row],[BUCKET]])-1))</f>
        <v/>
      </c>
      <c r="AF92" s="8">
        <f>RIGHT(MCC_Table[[#This Row],[BUCKET]],1)</f>
        <v/>
      </c>
      <c r="AG92" s="8">
        <f>VLOOKUP(MCC_Table[[#This Row],[START UNIT]],UnitMap[],2,FALSE)</f>
        <v/>
      </c>
      <c r="AH92" s="8">
        <f t="array" ref="AH9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92" s="8">
        <f>IF(ISNUMBER(MCC_Table[[#This Row],[SIZE]]), MCC_Table[[#This Row],[SIZE]]/6, 0)</f>
        <v/>
      </c>
      <c r="AJ92" s="8">
        <f>MCC_Table[[#This Row],[START INDEX]]+MCC_Table[[#This Row],[UNITS USED]]-1</f>
        <v/>
      </c>
      <c r="AK92" s="14" t="n"/>
      <c r="AL92" s="14" t="n"/>
      <c r="AM92" s="14" t="n"/>
      <c r="AN92" s="14" t="n"/>
      <c r="AO92" s="14" t="n"/>
      <c r="AP92" s="14" t="n"/>
      <c r="AQ92" s="14" t="n"/>
      <c r="AR92" s="14" t="n"/>
      <c r="AS92" s="14" t="n"/>
      <c r="AT92" s="14" t="n"/>
      <c r="AU92" s="14" t="n"/>
      <c r="AV92" s="14" t="n"/>
      <c r="AW92" s="14" t="n"/>
      <c r="AX92" s="14" t="n"/>
      <c r="AY92" s="14" t="n"/>
      <c r="AZ92" s="14" t="n"/>
      <c r="BA92" s="14" t="n"/>
      <c r="BB92" s="14" t="n"/>
      <c r="BC92" s="14" t="n"/>
      <c r="BD92" s="14" t="n"/>
      <c r="BE92" s="14" t="n"/>
    </row>
    <row r="93" ht="30" customHeight="1">
      <c r="A93" s="39" t="inlineStr">
        <is>
          <t>RL7-6MCC02</t>
        </is>
      </c>
      <c r="B93" s="29" t="inlineStr">
        <is>
          <t>16A</t>
        </is>
      </c>
      <c r="C93" s="24" t="inlineStr">
        <is>
          <t>RL7-MCC2-16A.SW1 RL7-MCC2-16A.SW2</t>
        </is>
      </c>
      <c r="D93" s="62" t="inlineStr">
        <is>
          <t>ETHERNET SWITCHES (10P &amp; 20P)</t>
        </is>
      </c>
      <c r="E93" s="24" t="inlineStr">
        <is>
          <t>ENET_30</t>
        </is>
      </c>
      <c r="F93" s="230" t="n"/>
      <c r="G93" s="8" t="n"/>
      <c r="H93" s="8" t="n"/>
      <c r="I93" s="8" t="n"/>
      <c r="J93" s="80">
        <f>IF(ISNUMBER(MCC_Table[[#This Row],[SIZE]]), MCC_Table[[#This Row],[SIZE]]/12, 0)</f>
        <v/>
      </c>
      <c r="K93" s="230" t="n"/>
      <c r="L93" s="8" t="n"/>
      <c r="M93" s="82" t="n"/>
      <c r="N93" s="82" t="n"/>
      <c r="O93" s="236" t="n"/>
      <c r="P93" s="85" t="n"/>
      <c r="Q93" s="79" t="n"/>
      <c r="R93" s="79" t="n"/>
      <c r="S93" s="79" t="n"/>
      <c r="T93" s="79" t="n"/>
      <c r="U93" s="79" t="n"/>
      <c r="V93" s="79" t="n"/>
      <c r="W93" s="79" t="n"/>
      <c r="X93" s="79" t="n"/>
      <c r="Y93" s="79" t="n"/>
      <c r="Z93" s="79" t="n"/>
      <c r="AA93" s="79" t="n"/>
      <c r="AB93" s="225" t="inlineStr">
        <is>
          <t>Oneline_Ensw</t>
        </is>
      </c>
      <c r="AC93" s="225" t="inlineStr">
        <is>
          <t>Switch_20-Port</t>
        </is>
      </c>
      <c r="AD93" s="225" t="n"/>
      <c r="AE93" s="29">
        <f>_xlfn.NUMBERVALUE(LEFT(MCC_Table[[#This Row],[BUCKET]],LEN(MCC_Table[[#This Row],[BUCKET]])-1))</f>
        <v/>
      </c>
      <c r="AF93" s="29">
        <f>RIGHT(MCC_Table[[#This Row],[BUCKET]],1)</f>
        <v/>
      </c>
      <c r="AG93" s="29">
        <f>VLOOKUP(MCC_Table[[#This Row],[START UNIT]],UnitMap[],2,FALSE)</f>
        <v/>
      </c>
      <c r="AH93" s="29">
        <f t="array" ref="AH9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93" s="29">
        <f>IF(ISNUMBER(MCC_Table[[#This Row],[SIZE]]), MCC_Table[[#This Row],[SIZE]]/6, 0)</f>
        <v/>
      </c>
      <c r="AJ93" s="29">
        <f>MCC_Table[[#This Row],[START INDEX]]+MCC_Table[[#This Row],[UNITS USED]]-1</f>
        <v/>
      </c>
      <c r="AK93" s="14" t="n"/>
      <c r="AL93" s="14" t="n"/>
      <c r="AM93" s="14" t="n"/>
      <c r="AN93" s="14" t="n"/>
      <c r="AO93" s="14" t="n"/>
      <c r="AP93" s="14" t="n"/>
      <c r="AQ93" s="14" t="n"/>
      <c r="AR93" s="14" t="n"/>
      <c r="AS93" s="14" t="n"/>
      <c r="AT93" s="14" t="n"/>
      <c r="AU93" s="14" t="n"/>
      <c r="AV93" s="14" t="n"/>
      <c r="AW93" s="14" t="n"/>
      <c r="AX93" s="14" t="n"/>
      <c r="AY93" s="14" t="n"/>
      <c r="AZ93" s="14" t="n"/>
      <c r="BA93" s="14" t="n"/>
      <c r="BB93" s="14" t="n"/>
      <c r="BC93" s="14" t="n"/>
      <c r="BD93" s="14" t="n"/>
      <c r="BE93" s="14" t="n"/>
    </row>
    <row r="94">
      <c r="A94" s="39" t="inlineStr">
        <is>
          <t>RL7-6MCC02</t>
        </is>
      </c>
      <c r="B94" s="8" t="inlineStr">
        <is>
          <t>16C</t>
        </is>
      </c>
      <c r="C94" s="24" t="inlineStr">
        <is>
          <t>SPARE</t>
        </is>
      </c>
      <c r="D94" s="28" t="inlineStr">
        <is>
          <t>VFD - 5HP</t>
        </is>
      </c>
      <c r="E94" s="29" t="inlineStr">
        <is>
          <t>VFD_PF755</t>
        </is>
      </c>
      <c r="F94" s="231" t="n"/>
      <c r="G94" s="8" t="n">
        <v>5</v>
      </c>
      <c r="H94" s="8" t="n">
        <v>8</v>
      </c>
      <c r="I94" s="8" t="n"/>
      <c r="J94" s="83">
        <f>IF(ISNUMBER(MCC_Table[[#This Row],[SIZE]]), MCC_Table[[#This Row],[SIZE]]/12, 0)</f>
        <v/>
      </c>
      <c r="K94" s="230" t="n">
        <v>20</v>
      </c>
      <c r="L94" s="8" t="n">
        <v>125</v>
      </c>
      <c r="M94" s="82" t="n">
        <v>12</v>
      </c>
      <c r="N94" s="82" t="n"/>
      <c r="O94" s="236" t="n"/>
      <c r="P94" s="106" t="n"/>
      <c r="Q94" s="79" t="n"/>
      <c r="R94" s="79" t="n"/>
      <c r="S94" s="79" t="n"/>
      <c r="T94" s="79" t="n"/>
      <c r="U94" s="79" t="n"/>
      <c r="V94" s="79" t="n"/>
      <c r="W94" s="79" t="n"/>
      <c r="X94" s="79" t="n"/>
      <c r="Y94" s="79" t="n"/>
      <c r="Z94" s="79" t="n"/>
      <c r="AA94" s="79" t="n"/>
      <c r="AB94" s="225" t="inlineStr">
        <is>
          <t>Oneline_Motor</t>
        </is>
      </c>
      <c r="AC94" s="225" t="inlineStr">
        <is>
          <t>Motor_VFD-w-Fuse</t>
        </is>
      </c>
      <c r="AD94" s="224" t="inlineStr">
        <is>
          <t>Motor w/ Disc</t>
        </is>
      </c>
      <c r="AE94" s="8">
        <f>_xlfn.NUMBERVALUE(LEFT(MCC_Table[[#This Row],[BUCKET]],LEN(MCC_Table[[#This Row],[BUCKET]])-1))</f>
        <v/>
      </c>
      <c r="AF94" s="8">
        <f>RIGHT(MCC_Table[[#This Row],[BUCKET]],1)</f>
        <v/>
      </c>
      <c r="AG94" s="8">
        <f>VLOOKUP(MCC_Table[[#This Row],[START UNIT]],UnitMap[],2,FALSE)</f>
        <v/>
      </c>
      <c r="AH94" s="8">
        <f t="array" ref="AH9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94" s="8">
        <f>IF(ISNUMBER(MCC_Table[[#This Row],[SIZE]]), MCC_Table[[#This Row],[SIZE]]/6, 0)</f>
        <v/>
      </c>
      <c r="AJ94" s="8">
        <f>MCC_Table[[#This Row],[START INDEX]]+MCC_Table[[#This Row],[UNITS USED]]-1</f>
        <v/>
      </c>
      <c r="AK94" s="14" t="n"/>
      <c r="AL94" s="14" t="n"/>
      <c r="AM94" s="14" t="n"/>
      <c r="AN94" s="14" t="n"/>
      <c r="AO94" s="14" t="n"/>
      <c r="AP94" s="14" t="n"/>
      <c r="AQ94" s="14" t="n"/>
      <c r="AR94" s="14" t="n"/>
      <c r="AS94" s="14" t="n"/>
      <c r="AT94" s="14" t="n"/>
      <c r="AU94" s="14" t="n"/>
      <c r="AV94" s="14" t="n"/>
      <c r="AW94" s="14" t="n"/>
      <c r="AX94" s="14" t="n"/>
      <c r="AY94" s="14" t="n"/>
      <c r="AZ94" s="14" t="n"/>
      <c r="BA94" s="14" t="n"/>
      <c r="BB94" s="14" t="n"/>
      <c r="BC94" s="14" t="n"/>
      <c r="BD94" s="14" t="n"/>
      <c r="BE94" s="14" t="n"/>
    </row>
    <row r="95">
      <c r="A95" s="39" t="inlineStr">
        <is>
          <t>RL7-6MCC02</t>
        </is>
      </c>
      <c r="B95" s="8" t="inlineStr">
        <is>
          <t>16G</t>
        </is>
      </c>
      <c r="C95" s="24" t="inlineStr">
        <is>
          <t>RL7-MLT-106.M1</t>
        </is>
      </c>
      <c r="D95" s="89" t="inlineStr">
        <is>
          <t>PRE-MIXER COLUMN DUMPER</t>
        </is>
      </c>
      <c r="E95" s="29" t="inlineStr">
        <is>
          <t>FVR</t>
        </is>
      </c>
      <c r="F95" s="231" t="n">
        <v>1.5</v>
      </c>
      <c r="G95" s="8" t="n">
        <v>1.5</v>
      </c>
      <c r="H95" s="8" t="n"/>
      <c r="I95" s="8" t="n">
        <v>1</v>
      </c>
      <c r="J95" s="83">
        <f>IF(ISNUMBER(MCC_Table[[#This Row],[SIZE]]), MCC_Table[[#This Row],[SIZE]]/12, 0)</f>
        <v/>
      </c>
      <c r="K95" s="230" t="n">
        <v>7</v>
      </c>
      <c r="L95" s="8" t="n">
        <v>125</v>
      </c>
      <c r="M95" s="82" t="n"/>
      <c r="N95" s="82" t="inlineStr">
        <is>
          <t>3/C #12 W/ GND</t>
        </is>
      </c>
      <c r="O95" s="236" t="n"/>
      <c r="P95" s="88" t="n"/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  <c r="Z95" s="79" t="n"/>
      <c r="AA95" s="79" t="n"/>
      <c r="AB95" s="225" t="inlineStr">
        <is>
          <t>Oneline_Motor</t>
        </is>
      </c>
      <c r="AC95" s="225" t="inlineStr">
        <is>
          <t>Motor_FVR</t>
        </is>
      </c>
      <c r="AD95" s="224" t="inlineStr">
        <is>
          <t>Motor w/ Disc</t>
        </is>
      </c>
      <c r="AE95" s="8">
        <f>_xlfn.NUMBERVALUE(LEFT(MCC_Table[[#This Row],[BUCKET]],LEN(MCC_Table[[#This Row],[BUCKET]])-1))</f>
        <v/>
      </c>
      <c r="AF95" s="8">
        <f>RIGHT(MCC_Table[[#This Row],[BUCKET]],1)</f>
        <v/>
      </c>
      <c r="AG95" s="8">
        <f>VLOOKUP(MCC_Table[[#This Row],[START UNIT]],UnitMap[],2,FALSE)</f>
        <v/>
      </c>
      <c r="AH95" s="8">
        <f t="array" ref="AH9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95" s="8">
        <f>IF(ISNUMBER(MCC_Table[[#This Row],[SIZE]]), MCC_Table[[#This Row],[SIZE]]/6, 0)</f>
        <v/>
      </c>
      <c r="AJ95" s="8">
        <f>MCC_Table[[#This Row],[START INDEX]]+MCC_Table[[#This Row],[UNITS USED]]-1</f>
        <v/>
      </c>
      <c r="AK95" s="14" t="n"/>
      <c r="AL95" s="14" t="n"/>
      <c r="AM95" s="14" t="n"/>
      <c r="AN95" s="14" t="n"/>
      <c r="AO95" s="14" t="n"/>
      <c r="AP95" s="14" t="n"/>
      <c r="AQ95" s="14" t="n"/>
      <c r="AR95" s="14" t="n"/>
      <c r="AS95" s="14" t="n"/>
      <c r="AT95" s="14" t="n"/>
      <c r="AU95" s="14" t="n"/>
      <c r="AV95" s="14" t="n"/>
      <c r="AW95" s="14" t="n"/>
      <c r="AX95" s="14" t="n"/>
      <c r="AY95" s="14" t="n"/>
      <c r="AZ95" s="14" t="n"/>
      <c r="BA95" s="14" t="n"/>
      <c r="BB95" s="14" t="n"/>
      <c r="BC95" s="14" t="n"/>
      <c r="BD95" s="14" t="n"/>
      <c r="BE95" s="14" t="n"/>
    </row>
    <row r="96">
      <c r="A96" s="39" t="inlineStr">
        <is>
          <t>RL7-6MCC02</t>
        </is>
      </c>
      <c r="B96" s="29" t="inlineStr">
        <is>
          <t>16K</t>
        </is>
      </c>
      <c r="C96" s="24" t="inlineStr">
        <is>
          <t>SPACE</t>
        </is>
      </c>
      <c r="D96" s="62" t="inlineStr">
        <is>
          <t>18" SPACE</t>
        </is>
      </c>
      <c r="E96" s="24" t="inlineStr">
        <is>
          <t>SPACE</t>
        </is>
      </c>
      <c r="F96" s="230" t="n"/>
      <c r="G96" s="8" t="n"/>
      <c r="H96" s="8" t="n"/>
      <c r="I96" s="8" t="n"/>
      <c r="J96" s="80">
        <f>IF(ISNUMBER(MCC_Table[[#This Row],[SIZE]]), MCC_Table[[#This Row],[SIZE]]/12, 0)</f>
        <v/>
      </c>
      <c r="K96" s="230" t="n"/>
      <c r="L96" s="8" t="n"/>
      <c r="M96" s="82" t="n"/>
      <c r="N96" s="82" t="n"/>
      <c r="O96" s="236" t="n"/>
      <c r="P96" s="88" t="n"/>
      <c r="Q96" s="79" t="n"/>
      <c r="R96" s="79" t="n"/>
      <c r="S96" s="79" t="n"/>
      <c r="T96" s="79" t="n"/>
      <c r="U96" s="79" t="n"/>
      <c r="V96" s="79" t="n"/>
      <c r="W96" s="79" t="n"/>
      <c r="X96" s="79" t="n"/>
      <c r="Y96" s="79" t="n"/>
      <c r="Z96" s="79" t="n"/>
      <c r="AA96" s="79" t="n"/>
      <c r="AB96" s="225" t="inlineStr">
        <is>
          <t>Oneline_Feeder_Panel</t>
        </is>
      </c>
      <c r="AC96" s="225" t="inlineStr">
        <is>
          <t>Feeder_Space</t>
        </is>
      </c>
      <c r="AD96" s="225" t="n"/>
      <c r="AE96" s="29">
        <f>_xlfn.NUMBERVALUE(LEFT(MCC_Table[[#This Row],[BUCKET]],LEN(MCC_Table[[#This Row],[BUCKET]])-1))</f>
        <v/>
      </c>
      <c r="AF96" s="29">
        <f>RIGHT(MCC_Table[[#This Row],[BUCKET]],1)</f>
        <v/>
      </c>
      <c r="AG96" s="29">
        <f>VLOOKUP(MCC_Table[[#This Row],[START UNIT]],UnitMap[],2,FALSE)</f>
        <v/>
      </c>
      <c r="AH96" s="29">
        <f t="array" ref="AH9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96" s="29">
        <f>IF(ISNUMBER(MCC_Table[[#This Row],[SIZE]]), MCC_Table[[#This Row],[SIZE]]/6, 0)</f>
        <v/>
      </c>
      <c r="AJ96" s="29">
        <f>MCC_Table[[#This Row],[START INDEX]]+MCC_Table[[#This Row],[UNITS USED]]-1</f>
        <v/>
      </c>
      <c r="AK96" s="14" t="n"/>
      <c r="AL96" s="14" t="n"/>
      <c r="AM96" s="14" t="n"/>
      <c r="AN96" s="14" t="n"/>
      <c r="AO96" s="14" t="n"/>
      <c r="AP96" s="14" t="n"/>
      <c r="AQ96" s="14" t="n"/>
      <c r="AR96" s="14" t="n"/>
      <c r="AS96" s="14" t="n"/>
      <c r="AT96" s="14" t="n"/>
      <c r="AU96" s="14" t="n"/>
      <c r="AV96" s="14" t="n"/>
      <c r="AW96" s="14" t="n"/>
      <c r="AX96" s="14" t="n"/>
      <c r="AY96" s="14" t="n"/>
      <c r="AZ96" s="14" t="n"/>
      <c r="BA96" s="14" t="n"/>
      <c r="BB96" s="14" t="n"/>
      <c r="BC96" s="14" t="n"/>
      <c r="BD96" s="14" t="n"/>
      <c r="BE96" s="14" t="n"/>
    </row>
    <row r="97">
      <c r="A97" s="39" t="inlineStr">
        <is>
          <t>RL7-6MCC02</t>
        </is>
      </c>
      <c r="B97" s="8" t="inlineStr">
        <is>
          <t>17A</t>
        </is>
      </c>
      <c r="C97" s="24" t="inlineStr">
        <is>
          <t>SPARE</t>
        </is>
      </c>
      <c r="D97" s="28" t="inlineStr">
        <is>
          <t>SZ1 FVNR - 1.5HP</t>
        </is>
      </c>
      <c r="E97" s="29" t="inlineStr">
        <is>
          <t>FVNR</t>
        </is>
      </c>
      <c r="F97" s="230" t="n"/>
      <c r="G97" s="8" t="n">
        <v>1.5</v>
      </c>
      <c r="H97" s="8" t="n"/>
      <c r="I97" s="8" t="n"/>
      <c r="J97" s="83">
        <f>IF(ISNUMBER(MCC_Table[[#This Row],[SIZE]]), MCC_Table[[#This Row],[SIZE]]/12, 0)</f>
        <v/>
      </c>
      <c r="K97" s="230" t="n">
        <v>7</v>
      </c>
      <c r="L97" s="8" t="n">
        <v>125</v>
      </c>
      <c r="M97" s="82" t="n"/>
      <c r="N97" s="82" t="n"/>
      <c r="O97" s="236" t="n"/>
      <c r="P97" s="88" t="n"/>
      <c r="Q97" s="79" t="n"/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  <c r="AA97" s="79" t="n"/>
      <c r="AB97" s="225" t="inlineStr">
        <is>
          <t>Oneline_Motor</t>
        </is>
      </c>
      <c r="AC97" s="224" t="inlineStr">
        <is>
          <t>Motor_FVNR</t>
        </is>
      </c>
      <c r="AD97" s="224" t="inlineStr">
        <is>
          <t>Motor w/ Disc</t>
        </is>
      </c>
      <c r="AE97" s="8">
        <f>_xlfn.NUMBERVALUE(LEFT(MCC_Table[[#This Row],[BUCKET]],LEN(MCC_Table[[#This Row],[BUCKET]])-1))</f>
        <v/>
      </c>
      <c r="AF97" s="8">
        <f>RIGHT(MCC_Table[[#This Row],[BUCKET]],1)</f>
        <v/>
      </c>
      <c r="AG97" s="8">
        <f>VLOOKUP(MCC_Table[[#This Row],[START UNIT]],UnitMap[],2,FALSE)</f>
        <v/>
      </c>
      <c r="AH97" s="8">
        <f t="array" ref="AH9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97" s="8">
        <f>IF(ISNUMBER(MCC_Table[[#This Row],[SIZE]]), MCC_Table[[#This Row],[SIZE]]/6, 0)</f>
        <v/>
      </c>
      <c r="AJ97" s="8">
        <f>MCC_Table[[#This Row],[START INDEX]]+MCC_Table[[#This Row],[UNITS USED]]-1</f>
        <v/>
      </c>
      <c r="AK97" s="14" t="n"/>
      <c r="AL97" s="14" t="n"/>
      <c r="AM97" s="14" t="n"/>
      <c r="AN97" s="14" t="n"/>
      <c r="AO97" s="14" t="n"/>
      <c r="AP97" s="14" t="n"/>
      <c r="AQ97" s="14" t="n"/>
      <c r="AR97" s="14" t="n"/>
      <c r="AS97" s="14" t="n"/>
      <c r="AT97" s="14" t="n"/>
      <c r="AU97" s="14" t="n"/>
      <c r="AV97" s="14" t="n"/>
      <c r="AW97" s="14" t="n"/>
      <c r="AX97" s="14" t="n"/>
      <c r="AY97" s="14" t="n"/>
      <c r="AZ97" s="14" t="n"/>
      <c r="BA97" s="14" t="n"/>
      <c r="BB97" s="14" t="n"/>
      <c r="BC97" s="14" t="n"/>
      <c r="BD97" s="14" t="n"/>
      <c r="BE97" s="14" t="n"/>
    </row>
    <row r="98">
      <c r="A98" s="39" t="inlineStr">
        <is>
          <t>RL7-6MCC02</t>
        </is>
      </c>
      <c r="B98" s="8" t="inlineStr">
        <is>
          <t>17C</t>
        </is>
      </c>
      <c r="C98" s="24" t="inlineStr">
        <is>
          <t>SPARE</t>
        </is>
      </c>
      <c r="D98" s="28" t="inlineStr">
        <is>
          <t>VFD - 2HP</t>
        </is>
      </c>
      <c r="E98" s="29" t="inlineStr">
        <is>
          <t>VFD_PF755</t>
        </is>
      </c>
      <c r="F98" s="231" t="n"/>
      <c r="G98" s="8" t="n">
        <v>2</v>
      </c>
      <c r="H98" s="8" t="n">
        <v>3.4</v>
      </c>
      <c r="I98" s="8" t="n"/>
      <c r="J98" s="83">
        <f>IF(ISNUMBER(MCC_Table[[#This Row],[SIZE]]), MCC_Table[[#This Row],[SIZE]]/12, 0)</f>
        <v/>
      </c>
      <c r="K98" s="230" t="n">
        <v>15</v>
      </c>
      <c r="L98" s="8" t="n">
        <v>125</v>
      </c>
      <c r="M98" s="82" t="n">
        <v>6</v>
      </c>
      <c r="N98" s="82" t="n"/>
      <c r="O98" s="236" t="n"/>
      <c r="P98" s="106" t="n"/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  <c r="Z98" s="79" t="n"/>
      <c r="AA98" s="79" t="n"/>
      <c r="AB98" s="225" t="inlineStr">
        <is>
          <t>Oneline_Motor</t>
        </is>
      </c>
      <c r="AC98" s="225" t="inlineStr">
        <is>
          <t>Motor_VFD-w-Fuse</t>
        </is>
      </c>
      <c r="AD98" s="224" t="inlineStr">
        <is>
          <t>Motor w/ Disc</t>
        </is>
      </c>
      <c r="AE98" s="8">
        <f>_xlfn.NUMBERVALUE(LEFT(MCC_Table[[#This Row],[BUCKET]],LEN(MCC_Table[[#This Row],[BUCKET]])-1))</f>
        <v/>
      </c>
      <c r="AF98" s="8">
        <f>RIGHT(MCC_Table[[#This Row],[BUCKET]],1)</f>
        <v/>
      </c>
      <c r="AG98" s="8">
        <f>VLOOKUP(MCC_Table[[#This Row],[START UNIT]],UnitMap[],2,FALSE)</f>
        <v/>
      </c>
      <c r="AH98" s="8">
        <f t="array" ref="AH9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98" s="8">
        <f>IF(ISNUMBER(MCC_Table[[#This Row],[SIZE]]), MCC_Table[[#This Row],[SIZE]]/6, 0)</f>
        <v/>
      </c>
      <c r="AJ98" s="8">
        <f>MCC_Table[[#This Row],[START INDEX]]+MCC_Table[[#This Row],[UNITS USED]]-1</f>
        <v/>
      </c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4" t="n"/>
      <c r="BC98" s="14" t="n"/>
      <c r="BD98" s="14" t="n"/>
      <c r="BE98" s="14" t="n"/>
    </row>
    <row r="99">
      <c r="A99" s="39" t="inlineStr">
        <is>
          <t>RL7-6MCC02</t>
        </is>
      </c>
      <c r="B99" s="8" t="inlineStr">
        <is>
          <t>17G</t>
        </is>
      </c>
      <c r="C99" s="24" t="inlineStr">
        <is>
          <t>SPARE</t>
        </is>
      </c>
      <c r="D99" s="28" t="inlineStr">
        <is>
          <t>VFD - 10HP</t>
        </is>
      </c>
      <c r="E99" s="29" t="inlineStr">
        <is>
          <t>VFD_PF755</t>
        </is>
      </c>
      <c r="F99" s="231" t="n"/>
      <c r="G99" s="8" t="n">
        <v>10</v>
      </c>
      <c r="H99" s="8" t="n">
        <v>14</v>
      </c>
      <c r="I99" s="8" t="n"/>
      <c r="J99" s="83">
        <f>IF(ISNUMBER(MCC_Table[[#This Row],[SIZE]]), MCC_Table[[#This Row],[SIZE]]/12, 0)</f>
        <v/>
      </c>
      <c r="K99" s="230" t="n">
        <v>30</v>
      </c>
      <c r="L99" s="8" t="n">
        <v>125</v>
      </c>
      <c r="M99" s="82" t="n">
        <v>25</v>
      </c>
      <c r="N99" s="82" t="n"/>
      <c r="O99" s="236" t="n"/>
      <c r="P99" s="107" t="n"/>
      <c r="Q99" s="79" t="n"/>
      <c r="R99" s="79" t="n"/>
      <c r="S99" s="79" t="n"/>
      <c r="T99" s="79" t="n"/>
      <c r="U99" s="79" t="n"/>
      <c r="V99" s="79" t="n"/>
      <c r="W99" s="79" t="n"/>
      <c r="X99" s="79" t="n"/>
      <c r="Y99" s="79" t="n"/>
      <c r="Z99" s="79" t="n"/>
      <c r="AA99" s="79" t="n"/>
      <c r="AB99" s="225" t="inlineStr">
        <is>
          <t>Oneline_Motor</t>
        </is>
      </c>
      <c r="AC99" s="225" t="inlineStr">
        <is>
          <t>Motor_VFD-w-Fuse</t>
        </is>
      </c>
      <c r="AD99" s="224" t="inlineStr">
        <is>
          <t>Motor w/ Disc</t>
        </is>
      </c>
      <c r="AE99" s="8">
        <f>_xlfn.NUMBERVALUE(LEFT(MCC_Table[[#This Row],[BUCKET]],LEN(MCC_Table[[#This Row],[BUCKET]])-1))</f>
        <v/>
      </c>
      <c r="AF99" s="8">
        <f>RIGHT(MCC_Table[[#This Row],[BUCKET]],1)</f>
        <v/>
      </c>
      <c r="AG99" s="8">
        <f>VLOOKUP(MCC_Table[[#This Row],[START UNIT]],UnitMap[],2,FALSE)</f>
        <v/>
      </c>
      <c r="AH99" s="8">
        <f t="array" ref="AH9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99" s="8">
        <f>IF(ISNUMBER(MCC_Table[[#This Row],[SIZE]]), MCC_Table[[#This Row],[SIZE]]/6, 0)</f>
        <v/>
      </c>
      <c r="AJ99" s="8">
        <f>MCC_Table[[#This Row],[START INDEX]]+MCC_Table[[#This Row],[UNITS USED]]-1</f>
        <v/>
      </c>
      <c r="AK99" s="14" t="n"/>
      <c r="AL99" s="14" t="n"/>
      <c r="AM99" s="14" t="n"/>
      <c r="AN99" s="14" t="n"/>
      <c r="AO99" s="14" t="n"/>
      <c r="AP99" s="14" t="n"/>
      <c r="AQ99" s="14" t="n"/>
      <c r="AR99" s="14" t="n"/>
      <c r="AS99" s="14" t="n"/>
      <c r="AT99" s="14" t="n"/>
      <c r="AU99" s="14" t="n"/>
      <c r="AV99" s="14" t="n"/>
      <c r="AW99" s="14" t="n"/>
      <c r="AX99" s="14" t="n"/>
      <c r="AY99" s="14" t="n"/>
      <c r="AZ99" s="14" t="n"/>
      <c r="BA99" s="14" t="n"/>
      <c r="BB99" s="14" t="n"/>
      <c r="BC99" s="14" t="n"/>
      <c r="BD99" s="14" t="n"/>
      <c r="BE99" s="14" t="n"/>
    </row>
    <row r="100">
      <c r="A100" s="39" t="inlineStr">
        <is>
          <t>RL7-6MCC02</t>
        </is>
      </c>
      <c r="B100" s="29" t="inlineStr">
        <is>
          <t>17M</t>
        </is>
      </c>
      <c r="C100" s="24" t="inlineStr">
        <is>
          <t>SPACE</t>
        </is>
      </c>
      <c r="D100" s="62" t="inlineStr">
        <is>
          <t>6" SPACE</t>
        </is>
      </c>
      <c r="E100" s="24" t="inlineStr">
        <is>
          <t>SPACE</t>
        </is>
      </c>
      <c r="F100" s="230" t="n"/>
      <c r="G100" s="8" t="n"/>
      <c r="H100" s="8" t="n"/>
      <c r="I100" s="8" t="n"/>
      <c r="J100" s="80">
        <f>IF(ISNUMBER(MCC_Table[[#This Row],[SIZE]]), MCC_Table[[#This Row],[SIZE]]/12, 0)</f>
        <v/>
      </c>
      <c r="K100" s="230" t="n"/>
      <c r="L100" s="8" t="n"/>
      <c r="M100" s="82" t="n"/>
      <c r="N100" s="82" t="n"/>
      <c r="O100" s="236" t="n"/>
      <c r="P100" s="88" t="n"/>
      <c r="Q100" s="79" t="n"/>
      <c r="R100" s="79" t="n"/>
      <c r="S100" s="79" t="n"/>
      <c r="T100" s="79" t="n"/>
      <c r="U100" s="79" t="n"/>
      <c r="V100" s="79" t="n"/>
      <c r="W100" s="79" t="n"/>
      <c r="X100" s="79" t="n"/>
      <c r="Y100" s="79" t="n"/>
      <c r="Z100" s="79" t="n"/>
      <c r="AA100" s="79" t="n"/>
      <c r="AB100" s="225" t="inlineStr">
        <is>
          <t>Oneline_Feeder_Panel</t>
        </is>
      </c>
      <c r="AC100" s="225" t="inlineStr">
        <is>
          <t>Feeder_Space</t>
        </is>
      </c>
      <c r="AD100" s="225" t="n"/>
      <c r="AE100" s="29">
        <f>_xlfn.NUMBERVALUE(LEFT(MCC_Table[[#This Row],[BUCKET]],LEN(MCC_Table[[#This Row],[BUCKET]])-1))</f>
        <v/>
      </c>
      <c r="AF100" s="29">
        <f>RIGHT(MCC_Table[[#This Row],[BUCKET]],1)</f>
        <v/>
      </c>
      <c r="AG100" s="29">
        <f>VLOOKUP(MCC_Table[[#This Row],[START UNIT]],UnitMap[],2,FALSE)</f>
        <v/>
      </c>
      <c r="AH100" s="29">
        <f t="array" ref="AH10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00" s="29">
        <f>IF(ISNUMBER(MCC_Table[[#This Row],[SIZE]]), MCC_Table[[#This Row],[SIZE]]/6, 0)</f>
        <v/>
      </c>
      <c r="AJ100" s="29">
        <f>MCC_Table[[#This Row],[START INDEX]]+MCC_Table[[#This Row],[UNITS USED]]-1</f>
        <v/>
      </c>
      <c r="AK100" s="14" t="n"/>
      <c r="AL100" s="14" t="n"/>
      <c r="AM100" s="14" t="n"/>
      <c r="AN100" s="14" t="n"/>
      <c r="AO100" s="14" t="n"/>
      <c r="AP100" s="14" t="n"/>
      <c r="AQ100" s="14" t="n"/>
      <c r="AR100" s="14" t="n"/>
      <c r="AS100" s="14" t="n"/>
      <c r="AT100" s="14" t="n"/>
      <c r="AU100" s="14" t="n"/>
      <c r="AV100" s="14" t="n"/>
      <c r="AW100" s="14" t="n"/>
      <c r="AX100" s="14" t="n"/>
      <c r="AY100" s="14" t="n"/>
      <c r="AZ100" s="14" t="n"/>
      <c r="BA100" s="14" t="n"/>
      <c r="BB100" s="14" t="n"/>
      <c r="BC100" s="14" t="n"/>
      <c r="BD100" s="14" t="n"/>
      <c r="BE100" s="14" t="n"/>
    </row>
    <row r="101">
      <c r="A101" s="39" t="inlineStr">
        <is>
          <t>RL7-6MCC02</t>
        </is>
      </c>
      <c r="B101" s="8" t="inlineStr">
        <is>
          <t>18A</t>
        </is>
      </c>
      <c r="C101" s="24" t="inlineStr">
        <is>
          <t>RL7-CNV-106.M2</t>
        </is>
      </c>
      <c r="D101" s="89" t="inlineStr">
        <is>
          <t>INCLINE PIVOT AUGER 2 HYDRAULIC PUMP</t>
        </is>
      </c>
      <c r="E101" s="29" t="inlineStr">
        <is>
          <t>FVNR</t>
        </is>
      </c>
      <c r="F101" s="231" t="n">
        <v>1.5</v>
      </c>
      <c r="G101" s="8" t="n">
        <v>1.5</v>
      </c>
      <c r="H101" s="8" t="n"/>
      <c r="I101" s="8" t="n">
        <v>1</v>
      </c>
      <c r="J101" s="83">
        <f>IF(ISNUMBER(MCC_Table[[#This Row],[SIZE]]), MCC_Table[[#This Row],[SIZE]]/12, 0)</f>
        <v/>
      </c>
      <c r="K101" s="230" t="n">
        <v>7</v>
      </c>
      <c r="L101" s="8" t="n">
        <v>125</v>
      </c>
      <c r="M101" s="82" t="n"/>
      <c r="N101" s="82" t="inlineStr">
        <is>
          <t>3/C #12 W/ GND</t>
        </is>
      </c>
      <c r="O101" s="236" t="n"/>
      <c r="P101" s="88" t="n"/>
      <c r="Q101" s="79" t="n"/>
      <c r="R101" s="79" t="n"/>
      <c r="S101" s="79" t="n"/>
      <c r="T101" s="79" t="n"/>
      <c r="U101" s="79" t="n"/>
      <c r="V101" s="79" t="n"/>
      <c r="W101" s="79" t="n"/>
      <c r="X101" s="79" t="n"/>
      <c r="Y101" s="79" t="n"/>
      <c r="Z101" s="79" t="n"/>
      <c r="AA101" s="79" t="n"/>
      <c r="AB101" s="225" t="inlineStr">
        <is>
          <t>Oneline_Motor</t>
        </is>
      </c>
      <c r="AC101" s="224" t="inlineStr">
        <is>
          <t>Motor_FVNR</t>
        </is>
      </c>
      <c r="AD101" s="224" t="inlineStr">
        <is>
          <t>Motor w/ Disc</t>
        </is>
      </c>
      <c r="AE101" s="8">
        <f>_xlfn.NUMBERVALUE(LEFT(MCC_Table[[#This Row],[BUCKET]],LEN(MCC_Table[[#This Row],[BUCKET]])-1))</f>
        <v/>
      </c>
      <c r="AF101" s="8">
        <f>RIGHT(MCC_Table[[#This Row],[BUCKET]],1)</f>
        <v/>
      </c>
      <c r="AG101" s="8">
        <f>VLOOKUP(MCC_Table[[#This Row],[START UNIT]],UnitMap[],2,FALSE)</f>
        <v/>
      </c>
      <c r="AH101" s="8">
        <f t="array" ref="AH10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01" s="8">
        <f>IF(ISNUMBER(MCC_Table[[#This Row],[SIZE]]), MCC_Table[[#This Row],[SIZE]]/6, 0)</f>
        <v/>
      </c>
      <c r="AJ101" s="8">
        <f>MCC_Table[[#This Row],[START INDEX]]+MCC_Table[[#This Row],[UNITS USED]]-1</f>
        <v/>
      </c>
      <c r="AK101" s="14" t="n"/>
      <c r="AL101" s="14" t="n"/>
      <c r="AM101" s="14" t="n"/>
      <c r="AN101" s="14" t="n"/>
      <c r="AO101" s="14" t="n"/>
      <c r="AP101" s="14" t="n"/>
      <c r="AQ101" s="14" t="n"/>
      <c r="AR101" s="14" t="n"/>
      <c r="AS101" s="14" t="n"/>
      <c r="AT101" s="14" t="n"/>
      <c r="AU101" s="14" t="n"/>
      <c r="AV101" s="14" t="n"/>
      <c r="AW101" s="14" t="n"/>
      <c r="AX101" s="14" t="n"/>
      <c r="AY101" s="14" t="n"/>
      <c r="AZ101" s="14" t="n"/>
      <c r="BA101" s="14" t="n"/>
      <c r="BB101" s="14" t="n"/>
      <c r="BC101" s="14" t="n"/>
      <c r="BD101" s="14" t="n"/>
      <c r="BE101" s="14" t="n"/>
    </row>
    <row r="102">
      <c r="A102" s="39" t="inlineStr">
        <is>
          <t>RL7-6MCC02</t>
        </is>
      </c>
      <c r="B102" s="8" t="inlineStr">
        <is>
          <t>18C</t>
        </is>
      </c>
      <c r="C102" s="24" t="inlineStr">
        <is>
          <t>RL7-CNV-106.M3</t>
        </is>
      </c>
      <c r="D102" s="89" t="inlineStr">
        <is>
          <t>INCLINE PIVOT AUGER 2 SLIDE TRACK</t>
        </is>
      </c>
      <c r="E102" s="29" t="inlineStr">
        <is>
          <t>VFD_PF755</t>
        </is>
      </c>
      <c r="F102" s="232" t="n">
        <v>0.75</v>
      </c>
      <c r="G102" s="8" t="n">
        <v>1</v>
      </c>
      <c r="H102" s="8" t="n">
        <v>2.1</v>
      </c>
      <c r="I102" s="8" t="n"/>
      <c r="J102" s="83">
        <f>IF(ISNUMBER(MCC_Table[[#This Row],[SIZE]]), MCC_Table[[#This Row],[SIZE]]/12, 0)</f>
        <v/>
      </c>
      <c r="K102" s="230" t="n">
        <v>15</v>
      </c>
      <c r="L102" s="8" t="n">
        <v>125</v>
      </c>
      <c r="M102" s="82" t="n">
        <v>3</v>
      </c>
      <c r="N102" s="82" t="inlineStr">
        <is>
          <t>3/C #12 VFD CABLE</t>
        </is>
      </c>
      <c r="O102" s="236" t="n"/>
      <c r="P102" s="88" t="n"/>
      <c r="Q102" s="79" t="n"/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  <c r="AA102" s="79" t="n"/>
      <c r="AB102" s="225" t="inlineStr">
        <is>
          <t>Oneline_Motor</t>
        </is>
      </c>
      <c r="AC102" s="225" t="inlineStr">
        <is>
          <t>Motor_VFD-w-Fuse</t>
        </is>
      </c>
      <c r="AD102" s="224" t="inlineStr">
        <is>
          <t>Motor w/ Disc</t>
        </is>
      </c>
      <c r="AE102" s="8">
        <f>_xlfn.NUMBERVALUE(LEFT(MCC_Table[[#This Row],[BUCKET]],LEN(MCC_Table[[#This Row],[BUCKET]])-1))</f>
        <v/>
      </c>
      <c r="AF102" s="8">
        <f>RIGHT(MCC_Table[[#This Row],[BUCKET]],1)</f>
        <v/>
      </c>
      <c r="AG102" s="8">
        <f>VLOOKUP(MCC_Table[[#This Row],[START UNIT]],UnitMap[],2,FALSE)</f>
        <v/>
      </c>
      <c r="AH102" s="8">
        <f t="array" ref="AH10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02" s="8">
        <f>IF(ISNUMBER(MCC_Table[[#This Row],[SIZE]]), MCC_Table[[#This Row],[SIZE]]/6, 0)</f>
        <v/>
      </c>
      <c r="AJ102" s="8">
        <f>MCC_Table[[#This Row],[START INDEX]]+MCC_Table[[#This Row],[UNITS USED]]-1</f>
        <v/>
      </c>
      <c r="AK102" s="14" t="n"/>
      <c r="AL102" s="14" t="n"/>
      <c r="AM102" s="14" t="n"/>
      <c r="AN102" s="14" t="n"/>
      <c r="AO102" s="14" t="n"/>
      <c r="AP102" s="14" t="n"/>
      <c r="AQ102" s="14" t="n"/>
      <c r="AR102" s="14" t="n"/>
      <c r="AS102" s="14" t="n"/>
      <c r="AT102" s="14" t="n"/>
      <c r="AU102" s="14" t="n"/>
      <c r="AV102" s="14" t="n"/>
      <c r="AW102" s="14" t="n"/>
      <c r="AX102" s="14" t="n"/>
      <c r="AY102" s="14" t="n"/>
      <c r="AZ102" s="14" t="n"/>
      <c r="BA102" s="14" t="n"/>
      <c r="BB102" s="14" t="n"/>
      <c r="BC102" s="14" t="n"/>
      <c r="BD102" s="14" t="n"/>
      <c r="BE102" s="14" t="n"/>
    </row>
    <row r="103">
      <c r="A103" s="39" t="inlineStr">
        <is>
          <t>RL7-6MCC02</t>
        </is>
      </c>
      <c r="B103" s="8" t="inlineStr">
        <is>
          <t>18G</t>
        </is>
      </c>
      <c r="C103" s="24" t="inlineStr">
        <is>
          <t>RL7-CNV-106.M1</t>
        </is>
      </c>
      <c r="D103" s="89" t="inlineStr">
        <is>
          <t>INCLINE PIVOT AUGER 2</t>
        </is>
      </c>
      <c r="E103" s="29" t="inlineStr">
        <is>
          <t>VFD_PF755</t>
        </is>
      </c>
      <c r="F103" s="231" t="n">
        <v>10</v>
      </c>
      <c r="G103" s="8" t="n">
        <v>10</v>
      </c>
      <c r="H103" s="8" t="n">
        <v>14</v>
      </c>
      <c r="I103" s="8" t="n"/>
      <c r="J103" s="83">
        <f>IF(ISNUMBER(MCC_Table[[#This Row],[SIZE]]), MCC_Table[[#This Row],[SIZE]]/12, 0)</f>
        <v/>
      </c>
      <c r="K103" s="230" t="n">
        <v>30</v>
      </c>
      <c r="L103" s="8" t="n">
        <v>125</v>
      </c>
      <c r="M103" s="82" t="n">
        <v>25</v>
      </c>
      <c r="N103" s="82" t="inlineStr">
        <is>
          <t>3/C #12 VFD CABLE</t>
        </is>
      </c>
      <c r="O103" s="236" t="n"/>
      <c r="P103" s="85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  <c r="Z103" s="79" t="n"/>
      <c r="AA103" s="79" t="n"/>
      <c r="AB103" s="225" t="inlineStr">
        <is>
          <t>Oneline_Motor</t>
        </is>
      </c>
      <c r="AC103" s="225" t="inlineStr">
        <is>
          <t>Motor_VFD-w-Fuse</t>
        </is>
      </c>
      <c r="AD103" s="224" t="inlineStr">
        <is>
          <t>Motor w/ Disc</t>
        </is>
      </c>
      <c r="AE103" s="8">
        <f>_xlfn.NUMBERVALUE(LEFT(MCC_Table[[#This Row],[BUCKET]],LEN(MCC_Table[[#This Row],[BUCKET]])-1))</f>
        <v/>
      </c>
      <c r="AF103" s="8">
        <f>RIGHT(MCC_Table[[#This Row],[BUCKET]],1)</f>
        <v/>
      </c>
      <c r="AG103" s="8">
        <f>VLOOKUP(MCC_Table[[#This Row],[START UNIT]],UnitMap[],2,FALSE)</f>
        <v/>
      </c>
      <c r="AH103" s="8">
        <f t="array" ref="AH10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03" s="8">
        <f>IF(ISNUMBER(MCC_Table[[#This Row],[SIZE]]), MCC_Table[[#This Row],[SIZE]]/6, 0)</f>
        <v/>
      </c>
      <c r="AJ103" s="8">
        <f>MCC_Table[[#This Row],[START INDEX]]+MCC_Table[[#This Row],[UNITS USED]]-1</f>
        <v/>
      </c>
      <c r="AK103" s="14" t="n"/>
      <c r="AL103" s="14" t="n"/>
      <c r="AM103" s="14" t="n"/>
      <c r="AN103" s="14" t="n"/>
      <c r="AO103" s="14" t="n"/>
      <c r="AP103" s="14" t="n"/>
      <c r="AQ103" s="14" t="n"/>
      <c r="AR103" s="14" t="n"/>
      <c r="AS103" s="14" t="n"/>
      <c r="AT103" s="14" t="n"/>
      <c r="AU103" s="14" t="n"/>
      <c r="AV103" s="14" t="n"/>
      <c r="AW103" s="14" t="n"/>
      <c r="AX103" s="14" t="n"/>
      <c r="AY103" s="14" t="n"/>
      <c r="AZ103" s="14" t="n"/>
      <c r="BA103" s="14" t="n"/>
      <c r="BB103" s="14" t="n"/>
      <c r="BC103" s="14" t="n"/>
      <c r="BD103" s="14" t="n"/>
      <c r="BE103" s="14" t="n"/>
    </row>
    <row r="104">
      <c r="A104" s="39" t="inlineStr">
        <is>
          <t>RL7-6MCC02</t>
        </is>
      </c>
      <c r="B104" s="29" t="inlineStr">
        <is>
          <t>18M</t>
        </is>
      </c>
      <c r="C104" s="24" t="inlineStr">
        <is>
          <t>SPACE</t>
        </is>
      </c>
      <c r="D104" s="62" t="inlineStr">
        <is>
          <t>6" SPACE</t>
        </is>
      </c>
      <c r="E104" s="24" t="inlineStr">
        <is>
          <t>SPACE</t>
        </is>
      </c>
      <c r="F104" s="230" t="n"/>
      <c r="G104" s="8" t="n"/>
      <c r="H104" s="8" t="n">
        <v>14</v>
      </c>
      <c r="I104" s="8" t="n"/>
      <c r="J104" s="80">
        <f>IF(ISNUMBER(MCC_Table[[#This Row],[SIZE]]), MCC_Table[[#This Row],[SIZE]]/12, 0)</f>
        <v/>
      </c>
      <c r="K104" s="230" t="n"/>
      <c r="L104" s="8" t="n"/>
      <c r="M104" s="82" t="n"/>
      <c r="N104" s="82" t="n"/>
      <c r="O104" s="236" t="n"/>
      <c r="P104" s="85" t="n"/>
      <c r="Q104" s="79" t="n"/>
      <c r="R104" s="79" t="n"/>
      <c r="S104" s="79" t="n"/>
      <c r="T104" s="79" t="n"/>
      <c r="U104" s="79" t="n"/>
      <c r="V104" s="79" t="n"/>
      <c r="W104" s="79" t="n"/>
      <c r="X104" s="79" t="n"/>
      <c r="Y104" s="79" t="n"/>
      <c r="Z104" s="79" t="n"/>
      <c r="AA104" s="79" t="n"/>
      <c r="AB104" s="225" t="inlineStr">
        <is>
          <t>Oneline_Feeder_Panel</t>
        </is>
      </c>
      <c r="AC104" s="225" t="inlineStr">
        <is>
          <t>Feeder_Space</t>
        </is>
      </c>
      <c r="AD104" s="225" t="n"/>
      <c r="AE104" s="29">
        <f>_xlfn.NUMBERVALUE(LEFT(MCC_Table[[#This Row],[BUCKET]],LEN(MCC_Table[[#This Row],[BUCKET]])-1))</f>
        <v/>
      </c>
      <c r="AF104" s="29">
        <f>RIGHT(MCC_Table[[#This Row],[BUCKET]],1)</f>
        <v/>
      </c>
      <c r="AG104" s="29">
        <f>VLOOKUP(MCC_Table[[#This Row],[START UNIT]],UnitMap[],2,FALSE)</f>
        <v/>
      </c>
      <c r="AH104" s="29">
        <f t="array" ref="AH10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04" s="29">
        <f>IF(ISNUMBER(MCC_Table[[#This Row],[SIZE]]), MCC_Table[[#This Row],[SIZE]]/6, 0)</f>
        <v/>
      </c>
      <c r="AJ104" s="29">
        <f>MCC_Table[[#This Row],[START INDEX]]+MCC_Table[[#This Row],[UNITS USED]]-1</f>
        <v/>
      </c>
      <c r="AK104" s="14" t="n"/>
      <c r="AL104" s="14" t="n"/>
      <c r="AM104" s="14" t="n"/>
      <c r="AN104" s="14" t="n"/>
      <c r="AO104" s="14" t="n"/>
      <c r="AP104" s="14" t="n"/>
      <c r="AQ104" s="14" t="n"/>
      <c r="AR104" s="14" t="n"/>
      <c r="AS104" s="14" t="n"/>
      <c r="AT104" s="14" t="n"/>
      <c r="AU104" s="14" t="n"/>
      <c r="AV104" s="14" t="n"/>
      <c r="AW104" s="14" t="n"/>
      <c r="AX104" s="14" t="n"/>
      <c r="AY104" s="14" t="n"/>
      <c r="AZ104" s="14" t="n"/>
      <c r="BA104" s="14" t="n"/>
      <c r="BB104" s="14" t="n"/>
      <c r="BC104" s="14" t="n"/>
      <c r="BD104" s="14" t="n"/>
      <c r="BE104" s="14" t="n"/>
    </row>
    <row r="105">
      <c r="A105" s="39" t="inlineStr">
        <is>
          <t>RL7-6MCC02</t>
        </is>
      </c>
      <c r="B105" s="29" t="inlineStr">
        <is>
          <t>19A</t>
        </is>
      </c>
      <c r="C105" s="24" t="inlineStr">
        <is>
          <t>RL7-MCC2-19A.PS1</t>
        </is>
      </c>
      <c r="D105" s="62" t="inlineStr">
        <is>
          <t>ETHERNET SWITCH POWER SUPPLY</t>
        </is>
      </c>
      <c r="E105" s="24" t="inlineStr">
        <is>
          <t>ENET_PS</t>
        </is>
      </c>
      <c r="F105" s="230" t="n"/>
      <c r="G105" s="8" t="n"/>
      <c r="H105" s="8" t="n">
        <v>14</v>
      </c>
      <c r="I105" s="8" t="n"/>
      <c r="J105" s="80">
        <f>IF(ISNUMBER(MCC_Table[[#This Row],[SIZE]]), MCC_Table[[#This Row],[SIZE]]/12, 0)</f>
        <v/>
      </c>
      <c r="K105" s="230" t="n"/>
      <c r="L105" s="9" t="n"/>
      <c r="M105" s="82" t="n"/>
      <c r="N105" s="233" t="n"/>
      <c r="O105" s="236" t="n"/>
      <c r="P105" s="105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79" t="n"/>
      <c r="AA105" s="79" t="n"/>
      <c r="AB105" s="225" t="inlineStr">
        <is>
          <t>Oneline_Ensw_Power_Supply</t>
        </is>
      </c>
      <c r="AC105" s="225" t="inlineStr">
        <is>
          <t>PS_2Ckt-External-Power</t>
        </is>
      </c>
      <c r="AD105" s="225" t="n"/>
      <c r="AE105" s="29">
        <f>_xlfn.NUMBERVALUE(LEFT(MCC_Table[[#This Row],[BUCKET]],LEN(MCC_Table[[#This Row],[BUCKET]])-1))</f>
        <v/>
      </c>
      <c r="AF105" s="29">
        <f>RIGHT(MCC_Table[[#This Row],[BUCKET]],1)</f>
        <v/>
      </c>
      <c r="AG105" s="29">
        <f>VLOOKUP(MCC_Table[[#This Row],[START UNIT]],UnitMap[],2,FALSE)</f>
        <v/>
      </c>
      <c r="AH105" s="29">
        <f t="array" ref="AH10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05" s="29">
        <f>IF(ISNUMBER(MCC_Table[[#This Row],[SIZE]]), MCC_Table[[#This Row],[SIZE]]/6, 0)</f>
        <v/>
      </c>
      <c r="AJ105" s="29">
        <f>MCC_Table[[#This Row],[START INDEX]]+MCC_Table[[#This Row],[UNITS USED]]-1</f>
        <v/>
      </c>
      <c r="AK105" s="14" t="n"/>
      <c r="AL105" s="14" t="n"/>
      <c r="AM105" s="14" t="n"/>
      <c r="AN105" s="14" t="n"/>
      <c r="AO105" s="14" t="n"/>
      <c r="AP105" s="14" t="n"/>
      <c r="AQ105" s="14" t="n"/>
      <c r="AR105" s="14" t="n"/>
      <c r="AS105" s="14" t="n"/>
      <c r="AT105" s="14" t="n"/>
      <c r="AU105" s="14" t="n"/>
      <c r="AV105" s="14" t="n"/>
      <c r="AW105" s="14" t="n"/>
      <c r="AX105" s="14" t="n"/>
      <c r="AY105" s="14" t="n"/>
      <c r="AZ105" s="14" t="n"/>
      <c r="BA105" s="14" t="n"/>
      <c r="BB105" s="14" t="n"/>
      <c r="BC105" s="14" t="n"/>
      <c r="BD105" s="14" t="n"/>
      <c r="BE105" s="14" t="n"/>
    </row>
    <row r="106">
      <c r="A106" s="39" t="inlineStr">
        <is>
          <t>RL7-6MCC02</t>
        </is>
      </c>
      <c r="B106" s="8" t="inlineStr">
        <is>
          <t>19C</t>
        </is>
      </c>
      <c r="C106" s="24" t="inlineStr">
        <is>
          <t>SPARE</t>
        </is>
      </c>
      <c r="D106" s="28" t="inlineStr">
        <is>
          <t>VFD - 10HP</t>
        </is>
      </c>
      <c r="E106" s="29" t="inlineStr">
        <is>
          <t>VFD_PF755</t>
        </is>
      </c>
      <c r="F106" s="8" t="n"/>
      <c r="G106" s="10" t="n">
        <v>10</v>
      </c>
      <c r="H106" s="81" t="n">
        <v>14</v>
      </c>
      <c r="I106" s="10" t="n"/>
      <c r="J106" s="235">
        <f>IF(ISNUMBER(MCC_Table[[#This Row],[SIZE]]), MCC_Table[[#This Row],[SIZE]]/12, 0)</f>
        <v/>
      </c>
      <c r="K106" s="81" t="n">
        <v>30</v>
      </c>
      <c r="L106" s="8" t="n">
        <v>125</v>
      </c>
      <c r="M106" s="76" t="n">
        <v>25</v>
      </c>
      <c r="N106" s="82" t="n"/>
      <c r="O106" s="236" t="n"/>
      <c r="P106" s="106" t="n"/>
      <c r="Q106" s="79" t="n"/>
      <c r="R106" s="79" t="n"/>
      <c r="S106" s="79" t="n"/>
      <c r="T106" s="79" t="n"/>
      <c r="U106" s="79" t="n"/>
      <c r="V106" s="79" t="n"/>
      <c r="W106" s="79" t="n"/>
      <c r="X106" s="79" t="n"/>
      <c r="Y106" s="79" t="n"/>
      <c r="Z106" s="79" t="n"/>
      <c r="AA106" s="79" t="n"/>
      <c r="AB106" s="225" t="inlineStr">
        <is>
          <t>Oneline_Motor</t>
        </is>
      </c>
      <c r="AC106" s="225" t="inlineStr">
        <is>
          <t>Motor_VFD-w-Fuse</t>
        </is>
      </c>
      <c r="AD106" s="224" t="inlineStr">
        <is>
          <t>Motor w/ Disc</t>
        </is>
      </c>
      <c r="AE106" s="8">
        <f>_xlfn.NUMBERVALUE(LEFT(MCC_Table[[#This Row],[BUCKET]],LEN(MCC_Table[[#This Row],[BUCKET]])-1))</f>
        <v/>
      </c>
      <c r="AF106" s="8">
        <f>RIGHT(MCC_Table[[#This Row],[BUCKET]],1)</f>
        <v/>
      </c>
      <c r="AG106" s="8">
        <f>VLOOKUP(MCC_Table[[#This Row],[START UNIT]],UnitMap[],2,FALSE)</f>
        <v/>
      </c>
      <c r="AH106" s="8">
        <f t="array" ref="AH10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06" s="8">
        <f>IF(ISNUMBER(MCC_Table[[#This Row],[SIZE]]), MCC_Table[[#This Row],[SIZE]]/6, 0)</f>
        <v/>
      </c>
      <c r="AJ106" s="8">
        <f>MCC_Table[[#This Row],[START INDEX]]+MCC_Table[[#This Row],[UNITS USED]]-1</f>
        <v/>
      </c>
      <c r="AK106" s="14" t="n"/>
      <c r="AL106" s="14" t="n"/>
      <c r="AM106" s="14" t="n"/>
      <c r="AN106" s="14" t="n"/>
      <c r="AO106" s="14" t="n"/>
      <c r="AP106" s="14" t="n"/>
      <c r="AQ106" s="14" t="n"/>
      <c r="AR106" s="14" t="n"/>
      <c r="AS106" s="14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  <c r="BB106" s="14" t="n"/>
      <c r="BC106" s="14" t="n"/>
      <c r="BD106" s="14" t="n"/>
      <c r="BE106" s="14" t="n"/>
    </row>
    <row r="107" ht="15.75" customHeight="1" thickBot="1">
      <c r="A107" s="108" t="inlineStr">
        <is>
          <t>RL7-6MCC02</t>
        </is>
      </c>
      <c r="B107" s="94" t="inlineStr">
        <is>
          <t>19H</t>
        </is>
      </c>
      <c r="C107" s="92" t="inlineStr">
        <is>
          <t>SPARE</t>
        </is>
      </c>
      <c r="D107" s="93" t="inlineStr">
        <is>
          <t>VFD - 10HP</t>
        </is>
      </c>
      <c r="E107" s="94" t="inlineStr">
        <is>
          <t>VFD_PF755</t>
        </is>
      </c>
      <c r="F107" s="91" t="n"/>
      <c r="G107" s="91" t="n">
        <v>10</v>
      </c>
      <c r="H107" s="96" t="n">
        <v>14</v>
      </c>
      <c r="I107" s="91" t="n"/>
      <c r="J107" s="109">
        <f>IF(ISNUMBER(MCC_Table[[#This Row],[SIZE]]), MCC_Table[[#This Row],[SIZE]]/12, 0)</f>
        <v/>
      </c>
      <c r="K107" s="96" t="n">
        <v>30</v>
      </c>
      <c r="L107" s="91" t="n">
        <v>125</v>
      </c>
      <c r="M107" s="97" t="n">
        <v>25</v>
      </c>
      <c r="N107" s="97" t="n"/>
      <c r="O107" s="237" t="n"/>
      <c r="P107" s="228" t="n"/>
      <c r="Q107" s="229" t="n"/>
      <c r="R107" s="229" t="n"/>
      <c r="S107" s="229" t="n"/>
      <c r="T107" s="229" t="n"/>
      <c r="U107" s="229" t="n"/>
      <c r="V107" s="229" t="n"/>
      <c r="W107" s="229" t="n"/>
      <c r="X107" s="229" t="n"/>
      <c r="Y107" s="229" t="n"/>
      <c r="Z107" s="229" t="n"/>
      <c r="AA107" s="229" t="n"/>
      <c r="AB107" s="117" t="inlineStr">
        <is>
          <t>Oneline_Motor</t>
        </is>
      </c>
      <c r="AC107" s="117" t="inlineStr">
        <is>
          <t>Motor_VFD-w-Fuse</t>
        </is>
      </c>
      <c r="AD107" s="117" t="inlineStr">
        <is>
          <t>Motor w/ Disc</t>
        </is>
      </c>
      <c r="AE107" s="94">
        <f>_xlfn.NUMBERVALUE(LEFT(MCC_Table[[#This Row],[BUCKET]],LEN(MCC_Table[[#This Row],[BUCKET]])-1))</f>
        <v/>
      </c>
      <c r="AF107" s="94">
        <f>RIGHT(MCC_Table[[#This Row],[BUCKET]],1)</f>
        <v/>
      </c>
      <c r="AG107" s="94">
        <f>VLOOKUP(MCC_Table[[#This Row],[START UNIT]],UnitMap[],2,FALSE)</f>
        <v/>
      </c>
      <c r="AH107" s="94">
        <f t="array" ref="AH10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07" s="94">
        <f>IF(ISNUMBER(MCC_Table[[#This Row],[SIZE]]), MCC_Table[[#This Row],[SIZE]]/6, 0)</f>
        <v/>
      </c>
      <c r="AJ107" s="94">
        <f>MCC_Table[[#This Row],[START INDEX]]+MCC_Table[[#This Row],[UNITS USED]]-1</f>
        <v/>
      </c>
      <c r="AK107" s="14" t="n"/>
      <c r="AL107" s="14" t="n"/>
      <c r="AM107" s="14" t="n"/>
      <c r="AN107" s="14" t="n"/>
      <c r="AO107" s="14" t="n"/>
      <c r="AP107" s="14" t="n"/>
      <c r="AQ107" s="14" t="n"/>
      <c r="AR107" s="14" t="n"/>
      <c r="AS107" s="14" t="n"/>
      <c r="AT107" s="14" t="n"/>
      <c r="AU107" s="14" t="n"/>
      <c r="AV107" s="14" t="n"/>
      <c r="AW107" s="14" t="n"/>
      <c r="AX107" s="14" t="n"/>
      <c r="AY107" s="14" t="n"/>
      <c r="AZ107" s="14" t="n"/>
      <c r="BA107" s="14" t="n"/>
      <c r="BB107" s="14" t="n"/>
      <c r="BC107" s="14" t="n"/>
      <c r="BD107" s="14" t="n"/>
      <c r="BE107" s="14" t="n"/>
    </row>
    <row r="108" ht="15.75" customHeight="1" thickTop="1">
      <c r="A108" s="37" t="inlineStr">
        <is>
          <t>RL7-6MCC03</t>
        </is>
      </c>
      <c r="B108" s="98" t="inlineStr">
        <is>
          <t>01A</t>
        </is>
      </c>
      <c r="C108" s="99" t="inlineStr">
        <is>
          <t>MAIN</t>
        </is>
      </c>
      <c r="D108" s="100" t="inlineStr">
        <is>
          <t>INCOMING MCB</t>
        </is>
      </c>
      <c r="E108" s="99" t="inlineStr">
        <is>
          <t>MAIN</t>
        </is>
      </c>
      <c r="F108" s="10" t="n"/>
      <c r="G108" s="10" t="n"/>
      <c r="H108" s="76" t="n"/>
      <c r="I108" s="10" t="n"/>
      <c r="J108" s="101">
        <f>IF(ISNUMBER(MCC_Table[[#This Row],[SIZE]]), MCC_Table[[#This Row],[SIZE]]/12, 0)</f>
        <v/>
      </c>
      <c r="K108" s="81" t="n">
        <v>1200</v>
      </c>
      <c r="L108" s="10" t="n">
        <v>1200</v>
      </c>
      <c r="M108" s="76" t="n"/>
      <c r="N108" s="76" t="n"/>
      <c r="O108" s="239" t="n"/>
      <c r="P108" s="227" t="n"/>
      <c r="Q108" s="86" t="n"/>
      <c r="R108" s="86" t="n"/>
      <c r="S108" s="86" t="n"/>
      <c r="T108" s="86" t="n"/>
      <c r="U108" s="86" t="n"/>
      <c r="V108" s="86" t="n"/>
      <c r="W108" s="86" t="n"/>
      <c r="X108" s="86" t="n"/>
      <c r="Y108" s="86" t="n"/>
      <c r="Z108" s="86" t="n"/>
      <c r="AA108" s="86" t="n"/>
      <c r="AB108" s="224" t="inlineStr">
        <is>
          <t>Oneline_MCC</t>
        </is>
      </c>
      <c r="AC108" s="224" t="inlineStr">
        <is>
          <t>MCC_MB-Bus3</t>
        </is>
      </c>
      <c r="AD108" s="224" t="inlineStr">
        <is>
          <t>Power-Meter</t>
        </is>
      </c>
      <c r="AE108" s="98">
        <f>_xlfn.NUMBERVALUE(LEFT(MCC_Table[[#This Row],[BUCKET]],LEN(MCC_Table[[#This Row],[BUCKET]])-1))</f>
        <v/>
      </c>
      <c r="AF108" s="98">
        <f>RIGHT(MCC_Table[[#This Row],[BUCKET]],1)</f>
        <v/>
      </c>
      <c r="AG108" s="98">
        <f>VLOOKUP(MCC_Table[[#This Row],[START UNIT]],UnitMap[],2,FALSE)</f>
        <v/>
      </c>
      <c r="AH108" s="98">
        <f t="array" ref="AH10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08" s="98">
        <f>IF(ISNUMBER(MCC_Table[[#This Row],[SIZE]]), MCC_Table[[#This Row],[SIZE]]/6, 0)</f>
        <v/>
      </c>
      <c r="AJ108" s="98">
        <f>MCC_Table[[#This Row],[START INDEX]]+MCC_Table[[#This Row],[UNITS USED]]-1</f>
        <v/>
      </c>
      <c r="AK108" s="14" t="n"/>
      <c r="AL108" s="14" t="n"/>
      <c r="AM108" s="14" t="n"/>
      <c r="AN108" s="14" t="n"/>
      <c r="AO108" s="14" t="n"/>
      <c r="AP108" s="14" t="n"/>
      <c r="AQ108" s="14" t="n"/>
      <c r="AR108" s="14" t="n"/>
      <c r="AS108" s="14" t="n"/>
      <c r="AT108" s="14" t="n"/>
      <c r="AU108" s="14" t="n"/>
      <c r="AV108" s="14" t="n"/>
      <c r="AW108" s="14" t="n"/>
      <c r="AX108" s="14" t="n"/>
      <c r="AY108" s="14" t="n"/>
      <c r="AZ108" s="14" t="n"/>
      <c r="BA108" s="14" t="n"/>
      <c r="BB108" s="14" t="n"/>
      <c r="BC108" s="14" t="n"/>
      <c r="BD108" s="14" t="n"/>
      <c r="BE108" s="14" t="n"/>
    </row>
    <row r="109">
      <c r="A109" s="39" t="inlineStr">
        <is>
          <t>RL7-6MCC03</t>
        </is>
      </c>
      <c r="B109" s="98" t="inlineStr">
        <is>
          <t>01H</t>
        </is>
      </c>
      <c r="C109" s="99" t="inlineStr">
        <is>
          <t>RL7-MCC3-PM</t>
        </is>
      </c>
      <c r="D109" s="100" t="inlineStr">
        <is>
          <t>POWERMONITOR 5000 W/ ETHERNET</t>
        </is>
      </c>
      <c r="E109" s="99" t="inlineStr">
        <is>
          <t>PM</t>
        </is>
      </c>
      <c r="F109" s="10" t="n"/>
      <c r="G109" s="10" t="n"/>
      <c r="H109" s="81" t="n"/>
      <c r="I109" s="10" t="n"/>
      <c r="J109" s="101">
        <f>IF(ISNUMBER(MCC_Table[[#This Row],[SIZE]]), MCC_Table[[#This Row],[SIZE]]/12, 0)</f>
        <v/>
      </c>
      <c r="K109" s="81" t="n"/>
      <c r="L109" s="8" t="n"/>
      <c r="M109" s="76" t="n">
        <v>0.75</v>
      </c>
      <c r="N109" s="76" t="n"/>
      <c r="O109" s="239" t="n"/>
      <c r="P109" s="102" t="n"/>
      <c r="Q109" s="86" t="n"/>
      <c r="R109" s="86" t="n"/>
      <c r="S109" s="86" t="n"/>
      <c r="T109" s="86" t="n"/>
      <c r="U109" s="86" t="n"/>
      <c r="V109" s="86" t="n"/>
      <c r="W109" s="86" t="n"/>
      <c r="X109" s="86" t="n"/>
      <c r="Y109" s="86" t="n"/>
      <c r="Z109" s="86" t="n"/>
      <c r="AA109" s="86" t="n"/>
      <c r="AB109" s="224" t="inlineStr">
        <is>
          <t>Oneline_MCC</t>
        </is>
      </c>
      <c r="AC109" s="224" t="inlineStr">
        <is>
          <t>MCC_MB-Bus3</t>
        </is>
      </c>
      <c r="AD109" s="224" t="inlineStr">
        <is>
          <t>Power-Meter</t>
        </is>
      </c>
      <c r="AE109" s="98">
        <f>_xlfn.NUMBERVALUE(LEFT(MCC_Table[[#This Row],[BUCKET]],LEN(MCC_Table[[#This Row],[BUCKET]])-1))</f>
        <v/>
      </c>
      <c r="AF109" s="98">
        <f>RIGHT(MCC_Table[[#This Row],[BUCKET]],1)</f>
        <v/>
      </c>
      <c r="AG109" s="98">
        <f>VLOOKUP(MCC_Table[[#This Row],[START UNIT]],UnitMap[],2,FALSE)</f>
        <v/>
      </c>
      <c r="AH109" s="98">
        <f t="array" ref="AH10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09" s="98">
        <f>IF(ISNUMBER(MCC_Table[[#This Row],[SIZE]]), MCC_Table[[#This Row],[SIZE]]/6, 0)</f>
        <v/>
      </c>
      <c r="AJ109" s="98">
        <f>MCC_Table[[#This Row],[START INDEX]]+MCC_Table[[#This Row],[UNITS USED]]-1</f>
        <v/>
      </c>
      <c r="AK109" s="14" t="n"/>
      <c r="AL109" s="14" t="n"/>
      <c r="AM109" s="14" t="n"/>
      <c r="AN109" s="14" t="n"/>
      <c r="AO109" s="14" t="n"/>
      <c r="AP109" s="14" t="n"/>
      <c r="AQ109" s="14" t="n"/>
      <c r="AR109" s="14" t="n"/>
      <c r="AS109" s="14" t="n"/>
      <c r="AT109" s="14" t="n"/>
      <c r="AU109" s="14" t="n"/>
      <c r="AV109" s="14" t="n"/>
      <c r="AW109" s="14" t="n"/>
      <c r="AX109" s="14" t="n"/>
      <c r="AY109" s="14" t="n"/>
      <c r="AZ109" s="14" t="n"/>
      <c r="BA109" s="14" t="n"/>
      <c r="BB109" s="14" t="n"/>
      <c r="BC109" s="14" t="n"/>
      <c r="BD109" s="14" t="n"/>
      <c r="BE109" s="14" t="n"/>
    </row>
    <row r="110">
      <c r="A110" s="39" t="inlineStr">
        <is>
          <t>RL7-6MCC03</t>
        </is>
      </c>
      <c r="B110" s="29" t="inlineStr">
        <is>
          <t>01L</t>
        </is>
      </c>
      <c r="C110" s="24" t="inlineStr">
        <is>
          <t>SPACE</t>
        </is>
      </c>
      <c r="D110" s="62" t="inlineStr">
        <is>
          <t>12" SPACE</t>
        </is>
      </c>
      <c r="E110" s="24" t="inlineStr">
        <is>
          <t>SPACE</t>
        </is>
      </c>
      <c r="F110" s="8" t="n"/>
      <c r="G110" s="8" t="n"/>
      <c r="H110" s="82" t="n"/>
      <c r="I110" s="8" t="n"/>
      <c r="J110" s="80">
        <f>IF(ISNUMBER(MCC_Table[[#This Row],[SIZE]]), MCC_Table[[#This Row],[SIZE]]/12, 0)</f>
        <v/>
      </c>
      <c r="K110" s="87" t="n"/>
      <c r="L110" s="8" t="n"/>
      <c r="M110" s="82" t="n"/>
      <c r="N110" s="82" t="n"/>
      <c r="O110" s="236" t="n"/>
      <c r="P110" s="78" t="n"/>
      <c r="Q110" s="79" t="n"/>
      <c r="R110" s="79" t="n"/>
      <c r="S110" s="79" t="n"/>
      <c r="T110" s="79" t="n"/>
      <c r="U110" s="79" t="n"/>
      <c r="V110" s="79" t="n"/>
      <c r="W110" s="79" t="n"/>
      <c r="X110" s="79" t="n"/>
      <c r="Y110" s="79" t="n"/>
      <c r="Z110" s="79" t="n"/>
      <c r="AA110" s="79" t="n"/>
      <c r="AB110" s="225" t="inlineStr">
        <is>
          <t>Oneline_Feeder_Panel</t>
        </is>
      </c>
      <c r="AC110" s="225" t="inlineStr">
        <is>
          <t>Feeder_Space</t>
        </is>
      </c>
      <c r="AD110" s="225" t="n"/>
      <c r="AE110" s="29">
        <f>_xlfn.NUMBERVALUE(LEFT(MCC_Table[[#This Row],[BUCKET]],LEN(MCC_Table[[#This Row],[BUCKET]])-1))</f>
        <v/>
      </c>
      <c r="AF110" s="29">
        <f>RIGHT(MCC_Table[[#This Row],[BUCKET]],1)</f>
        <v/>
      </c>
      <c r="AG110" s="29">
        <f>VLOOKUP(MCC_Table[[#This Row],[START UNIT]],UnitMap[],2,FALSE)</f>
        <v/>
      </c>
      <c r="AH110" s="29">
        <f t="array" ref="AH11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10" s="29">
        <f>IF(ISNUMBER(MCC_Table[[#This Row],[SIZE]]), MCC_Table[[#This Row],[SIZE]]/6, 0)</f>
        <v/>
      </c>
      <c r="AJ110" s="29">
        <f>MCC_Table[[#This Row],[START INDEX]]+MCC_Table[[#This Row],[UNITS USED]]-1</f>
        <v/>
      </c>
      <c r="AK110" s="14" t="n"/>
      <c r="AL110" s="14" t="n"/>
      <c r="AM110" s="14" t="n"/>
      <c r="AN110" s="14" t="n"/>
      <c r="AO110" s="14" t="n"/>
      <c r="AP110" s="14" t="n"/>
      <c r="AQ110" s="14" t="n"/>
      <c r="AR110" s="14" t="n"/>
      <c r="AS110" s="14" t="n"/>
      <c r="AT110" s="14" t="n"/>
      <c r="AU110" s="14" t="n"/>
      <c r="AV110" s="14" t="n"/>
      <c r="AW110" s="14" t="n"/>
      <c r="AX110" s="14" t="n"/>
      <c r="AY110" s="14" t="n"/>
      <c r="AZ110" s="14" t="n"/>
      <c r="BA110" s="14" t="n"/>
      <c r="BB110" s="14" t="n"/>
      <c r="BC110" s="14" t="n"/>
      <c r="BD110" s="14" t="n"/>
      <c r="BE110" s="14" t="n"/>
    </row>
    <row r="111">
      <c r="A111" s="39" t="inlineStr">
        <is>
          <t>RL7-6MCC03</t>
        </is>
      </c>
      <c r="B111" s="29" t="inlineStr">
        <is>
          <t>02A</t>
        </is>
      </c>
      <c r="C111" s="24" t="inlineStr">
        <is>
          <t>RL7-MCC3-2A.SW1</t>
        </is>
      </c>
      <c r="D111" s="62" t="inlineStr">
        <is>
          <t>ETHERNET SWITCH (20-PORT)</t>
        </is>
      </c>
      <c r="E111" s="24" t="inlineStr">
        <is>
          <t>ENET_20</t>
        </is>
      </c>
      <c r="F111" s="8" t="n"/>
      <c r="G111" s="8" t="n"/>
      <c r="H111" s="82" t="n"/>
      <c r="I111" s="8" t="n"/>
      <c r="J111" s="80">
        <f>IF(ISNUMBER(MCC_Table[[#This Row],[SIZE]]), MCC_Table[[#This Row],[SIZE]]/12, 0)</f>
        <v/>
      </c>
      <c r="K111" s="87" t="n"/>
      <c r="L111" s="8" t="n"/>
      <c r="M111" s="82" t="n"/>
      <c r="N111" s="82" t="n"/>
      <c r="O111" s="236" t="n"/>
      <c r="P111" s="78" t="n"/>
      <c r="Q111" s="79" t="n"/>
      <c r="R111" s="79" t="n"/>
      <c r="S111" s="79" t="n"/>
      <c r="T111" s="79" t="n"/>
      <c r="U111" s="79" t="n"/>
      <c r="V111" s="79" t="n"/>
      <c r="W111" s="79" t="n"/>
      <c r="X111" s="79" t="n"/>
      <c r="Y111" s="79" t="n"/>
      <c r="Z111" s="79" t="n"/>
      <c r="AA111" s="79" t="n"/>
      <c r="AB111" s="225" t="inlineStr">
        <is>
          <t>Oneline_Ensw</t>
        </is>
      </c>
      <c r="AC111" s="225" t="inlineStr">
        <is>
          <t>Switch_20-Port</t>
        </is>
      </c>
      <c r="AD111" s="225" t="n"/>
      <c r="AE111" s="29">
        <f>_xlfn.NUMBERVALUE(LEFT(MCC_Table[[#This Row],[BUCKET]],LEN(MCC_Table[[#This Row],[BUCKET]])-1))</f>
        <v/>
      </c>
      <c r="AF111" s="29">
        <f>RIGHT(MCC_Table[[#This Row],[BUCKET]],1)</f>
        <v/>
      </c>
      <c r="AG111" s="29">
        <f>VLOOKUP(MCC_Table[[#This Row],[START UNIT]],UnitMap[],2,FALSE)</f>
        <v/>
      </c>
      <c r="AH111" s="29">
        <f t="array" ref="AH11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11" s="29">
        <f>IF(ISNUMBER(MCC_Table[[#This Row],[SIZE]]), MCC_Table[[#This Row],[SIZE]]/6, 0)</f>
        <v/>
      </c>
      <c r="AJ111" s="29">
        <f>MCC_Table[[#This Row],[START INDEX]]+MCC_Table[[#This Row],[UNITS USED]]-1</f>
        <v/>
      </c>
      <c r="AK111" s="14" t="n"/>
      <c r="AL111" s="14" t="n"/>
      <c r="AM111" s="14" t="n"/>
      <c r="AN111" s="14" t="n"/>
      <c r="AO111" s="14" t="n"/>
      <c r="AP111" s="14" t="n"/>
      <c r="AQ111" s="14" t="n"/>
      <c r="AR111" s="14" t="n"/>
      <c r="AS111" s="14" t="n"/>
      <c r="AT111" s="14" t="n"/>
      <c r="AU111" s="14" t="n"/>
      <c r="AV111" s="14" t="n"/>
      <c r="AW111" s="14" t="n"/>
      <c r="AX111" s="14" t="n"/>
      <c r="AY111" s="14" t="n"/>
      <c r="AZ111" s="14" t="n"/>
      <c r="BA111" s="14" t="n"/>
      <c r="BB111" s="14" t="n"/>
      <c r="BC111" s="14" t="n"/>
      <c r="BD111" s="14" t="n"/>
      <c r="BE111" s="14" t="n"/>
    </row>
    <row r="112">
      <c r="A112" s="39" t="inlineStr">
        <is>
          <t>RL7-6MCC03</t>
        </is>
      </c>
      <c r="B112" s="29" t="inlineStr">
        <is>
          <t>02C</t>
        </is>
      </c>
      <c r="C112" s="24" t="inlineStr">
        <is>
          <t>RL7-MCC3-2C.PS1</t>
        </is>
      </c>
      <c r="D112" s="62" t="inlineStr">
        <is>
          <t>ETHERNET SWITCH POWER SUPPLY</t>
        </is>
      </c>
      <c r="E112" s="24" t="inlineStr">
        <is>
          <t>ENET_PS</t>
        </is>
      </c>
      <c r="F112" s="8" t="n"/>
      <c r="G112" s="8" t="n"/>
      <c r="H112" s="82" t="n"/>
      <c r="I112" s="8" t="n"/>
      <c r="J112" s="80">
        <f>IF(ISNUMBER(MCC_Table[[#This Row],[SIZE]]), MCC_Table[[#This Row],[SIZE]]/12, 0)</f>
        <v/>
      </c>
      <c r="K112" s="87" t="n"/>
      <c r="L112" s="8" t="n"/>
      <c r="M112" s="82" t="n"/>
      <c r="N112" s="82" t="n"/>
      <c r="O112" s="236" t="n"/>
      <c r="P112" s="78" t="n"/>
      <c r="Q112" s="79" t="n"/>
      <c r="R112" s="79" t="n"/>
      <c r="S112" s="79" t="n"/>
      <c r="T112" s="79" t="n"/>
      <c r="U112" s="79" t="n"/>
      <c r="V112" s="79" t="n"/>
      <c r="W112" s="79" t="n"/>
      <c r="X112" s="79" t="n"/>
      <c r="Y112" s="79" t="n"/>
      <c r="Z112" s="79" t="n"/>
      <c r="AA112" s="79" t="n"/>
      <c r="AB112" s="225" t="inlineStr">
        <is>
          <t>Oneline_Ensw_Power_Supply</t>
        </is>
      </c>
      <c r="AC112" s="225" t="inlineStr">
        <is>
          <t>PS_2Ckt-External-Power</t>
        </is>
      </c>
      <c r="AD112" s="225" t="n"/>
      <c r="AE112" s="29">
        <f>_xlfn.NUMBERVALUE(LEFT(MCC_Table[[#This Row],[BUCKET]],LEN(MCC_Table[[#This Row],[BUCKET]])-1))</f>
        <v/>
      </c>
      <c r="AF112" s="29">
        <f>RIGHT(MCC_Table[[#This Row],[BUCKET]],1)</f>
        <v/>
      </c>
      <c r="AG112" s="29">
        <f>VLOOKUP(MCC_Table[[#This Row],[START UNIT]],UnitMap[],2,FALSE)</f>
        <v/>
      </c>
      <c r="AH112" s="29">
        <f t="array" ref="AH11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12" s="29">
        <f>IF(ISNUMBER(MCC_Table[[#This Row],[SIZE]]), MCC_Table[[#This Row],[SIZE]]/6, 0)</f>
        <v/>
      </c>
      <c r="AJ112" s="29">
        <f>MCC_Table[[#This Row],[START INDEX]]+MCC_Table[[#This Row],[UNITS USED]]-1</f>
        <v/>
      </c>
      <c r="AK112" s="14" t="n"/>
      <c r="AL112" s="14" t="n"/>
      <c r="AM112" s="14" t="n"/>
      <c r="AN112" s="14" t="n"/>
      <c r="AO112" s="14" t="n"/>
      <c r="AP112" s="14" t="n"/>
      <c r="AQ112" s="14" t="n"/>
      <c r="AR112" s="14" t="n"/>
      <c r="AS112" s="14" t="n"/>
      <c r="AT112" s="14" t="n"/>
      <c r="AU112" s="14" t="n"/>
      <c r="AV112" s="14" t="n"/>
      <c r="AW112" s="14" t="n"/>
      <c r="AX112" s="14" t="n"/>
      <c r="AY112" s="14" t="n"/>
      <c r="AZ112" s="14" t="n"/>
      <c r="BA112" s="14" t="n"/>
      <c r="BB112" s="14" t="n"/>
      <c r="BC112" s="14" t="n"/>
      <c r="BD112" s="14" t="n"/>
      <c r="BE112" s="14" t="n"/>
    </row>
    <row r="113">
      <c r="A113" s="39" t="inlineStr">
        <is>
          <t>RL7-6MCC03</t>
        </is>
      </c>
      <c r="B113" s="29" t="inlineStr">
        <is>
          <t>02E</t>
        </is>
      </c>
      <c r="C113" s="24" t="inlineStr">
        <is>
          <t>SPARE</t>
        </is>
      </c>
      <c r="D113" s="62" t="inlineStr">
        <is>
          <t>VFD - 1HP</t>
        </is>
      </c>
      <c r="E113" s="24" t="inlineStr">
        <is>
          <t>SPARE</t>
        </is>
      </c>
      <c r="F113" s="8" t="n"/>
      <c r="G113" s="8" t="n">
        <v>1</v>
      </c>
      <c r="H113" s="82" t="n">
        <v>2.1</v>
      </c>
      <c r="I113" s="8" t="n"/>
      <c r="J113" s="80">
        <f>IF(ISNUMBER(MCC_Table[[#This Row],[SIZE]]), MCC_Table[[#This Row],[SIZE]]/12, 0)</f>
        <v/>
      </c>
      <c r="K113" s="87" t="n"/>
      <c r="L113" s="8" t="n"/>
      <c r="M113" s="82" t="n"/>
      <c r="N113" s="82" t="n"/>
      <c r="O113" s="236" t="n"/>
      <c r="P113" s="78" t="n"/>
      <c r="Q113" s="79" t="n"/>
      <c r="R113" s="79" t="n"/>
      <c r="S113" s="79" t="n"/>
      <c r="T113" s="79" t="n"/>
      <c r="U113" s="79" t="n"/>
      <c r="V113" s="79" t="n"/>
      <c r="W113" s="79" t="n"/>
      <c r="X113" s="79" t="n"/>
      <c r="Y113" s="79" t="n"/>
      <c r="Z113" s="79" t="n"/>
      <c r="AA113" s="79" t="n"/>
      <c r="AB113" s="225" t="inlineStr">
        <is>
          <t>Oneline_Ensw</t>
        </is>
      </c>
      <c r="AC113" s="225" t="inlineStr">
        <is>
          <t>Switch_20-Port</t>
        </is>
      </c>
      <c r="AD113" s="225" t="n"/>
      <c r="AE113" s="29">
        <f>_xlfn.NUMBERVALUE(LEFT(MCC_Table[[#This Row],[BUCKET]],LEN(MCC_Table[[#This Row],[BUCKET]])-1))</f>
        <v/>
      </c>
      <c r="AF113" s="29">
        <f>RIGHT(MCC_Table[[#This Row],[BUCKET]],1)</f>
        <v/>
      </c>
      <c r="AG113" s="29">
        <f>VLOOKUP(MCC_Table[[#This Row],[START UNIT]],UnitMap[],2,FALSE)</f>
        <v/>
      </c>
      <c r="AH113" s="29">
        <f t="array" ref="AH11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13" s="29">
        <f>IF(ISNUMBER(MCC_Table[[#This Row],[SIZE]]), MCC_Table[[#This Row],[SIZE]]/6, 0)</f>
        <v/>
      </c>
      <c r="AJ113" s="29">
        <f>MCC_Table[[#This Row],[START INDEX]]+MCC_Table[[#This Row],[UNITS USED]]-1</f>
        <v/>
      </c>
      <c r="AK113" s="14" t="n"/>
      <c r="AL113" s="14" t="n"/>
      <c r="AM113" s="14" t="n"/>
      <c r="AN113" s="14" t="n"/>
      <c r="AO113" s="14" t="n"/>
      <c r="AP113" s="14" t="n"/>
      <c r="AQ113" s="14" t="n"/>
      <c r="AR113" s="14" t="n"/>
      <c r="AS113" s="14" t="n"/>
      <c r="AT113" s="14" t="n"/>
      <c r="AU113" s="14" t="n"/>
      <c r="AV113" s="14" t="n"/>
      <c r="AW113" s="14" t="n"/>
      <c r="AX113" s="14" t="n"/>
      <c r="AY113" s="14" t="n"/>
      <c r="AZ113" s="14" t="n"/>
      <c r="BA113" s="14" t="n"/>
      <c r="BB113" s="14" t="n"/>
      <c r="BC113" s="14" t="n"/>
      <c r="BD113" s="14" t="n"/>
      <c r="BE113" s="14" t="n"/>
    </row>
    <row r="114">
      <c r="A114" s="39" t="inlineStr">
        <is>
          <t>RL7-6MCC03</t>
        </is>
      </c>
      <c r="B114" s="8" t="inlineStr">
        <is>
          <t>02J</t>
        </is>
      </c>
      <c r="C114" s="24" t="inlineStr">
        <is>
          <t>SPARE</t>
        </is>
      </c>
      <c r="D114" s="62" t="inlineStr">
        <is>
          <t>VFD - 5HP</t>
        </is>
      </c>
      <c r="E114" s="29" t="inlineStr">
        <is>
          <t>SPARE</t>
        </is>
      </c>
      <c r="F114" s="8" t="n"/>
      <c r="G114" s="8" t="n">
        <v>5</v>
      </c>
      <c r="H114" s="82" t="n">
        <v>8</v>
      </c>
      <c r="I114" s="8" t="n"/>
      <c r="J114" s="83">
        <f>IF(ISNUMBER(MCC_Table[[#This Row],[SIZE]]), MCC_Table[[#This Row],[SIZE]]/12, 0)</f>
        <v/>
      </c>
      <c r="K114" s="87" t="n">
        <v>20</v>
      </c>
      <c r="L114" s="8" t="n">
        <v>125</v>
      </c>
      <c r="M114" s="82" t="n">
        <v>12</v>
      </c>
      <c r="N114" s="82" t="inlineStr">
        <is>
          <t>3/C #12 VFD CABLE</t>
        </is>
      </c>
      <c r="O114" s="236" t="n"/>
      <c r="P114" s="85" t="n"/>
      <c r="Q114" s="79" t="n"/>
      <c r="R114" s="79" t="n"/>
      <c r="S114" s="79" t="n"/>
      <c r="T114" s="79" t="n"/>
      <c r="U114" s="79" t="n"/>
      <c r="V114" s="79" t="n"/>
      <c r="W114" s="79" t="n"/>
      <c r="X114" s="79" t="n"/>
      <c r="Y114" s="79" t="n"/>
      <c r="Z114" s="79" t="n"/>
      <c r="AA114" s="79" t="n"/>
      <c r="AB114" s="225" t="inlineStr">
        <is>
          <t>Oneline_Ensw</t>
        </is>
      </c>
      <c r="AC114" s="225" t="inlineStr">
        <is>
          <t>Switch_20-Port</t>
        </is>
      </c>
      <c r="AD114" s="225" t="n"/>
      <c r="AE114" s="8">
        <f>_xlfn.NUMBERVALUE(LEFT(MCC_Table[[#This Row],[BUCKET]],LEN(MCC_Table[[#This Row],[BUCKET]])-1))</f>
        <v/>
      </c>
      <c r="AF114" s="8">
        <f>RIGHT(MCC_Table[[#This Row],[BUCKET]],1)</f>
        <v/>
      </c>
      <c r="AG114" s="8">
        <f>VLOOKUP(MCC_Table[[#This Row],[START UNIT]],UnitMap[],2,FALSE)</f>
        <v/>
      </c>
      <c r="AH114" s="8">
        <f t="array" ref="AH11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14" s="8">
        <f>IF(ISNUMBER(MCC_Table[[#This Row],[SIZE]]), MCC_Table[[#This Row],[SIZE]]/6, 0)</f>
        <v/>
      </c>
      <c r="AJ114" s="8">
        <f>MCC_Table[[#This Row],[START INDEX]]+MCC_Table[[#This Row],[UNITS USED]]-1</f>
        <v/>
      </c>
      <c r="AK114" s="14" t="n"/>
      <c r="AL114" s="14" t="n"/>
      <c r="AM114" s="14" t="n"/>
      <c r="AN114" s="14" t="n"/>
      <c r="AO114" s="14" t="n"/>
      <c r="AP114" s="14" t="n"/>
      <c r="AQ114" s="14" t="n"/>
      <c r="AR114" s="14" t="n"/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</row>
    <row r="115">
      <c r="A115" s="39" t="inlineStr">
        <is>
          <t>RL7-6MCC03</t>
        </is>
      </c>
      <c r="B115" s="8" t="inlineStr">
        <is>
          <t>03A</t>
        </is>
      </c>
      <c r="C115" s="24" t="inlineStr">
        <is>
          <t>RL7-CNV-201.M1</t>
        </is>
      </c>
      <c r="D115" s="28" t="inlineStr">
        <is>
          <t>ROLL FILLER DISCHARGE CONVEYOR</t>
        </is>
      </c>
      <c r="E115" s="29" t="inlineStr">
        <is>
          <t>VFD_PF755</t>
        </is>
      </c>
      <c r="F115" s="8" t="n">
        <v>0.5</v>
      </c>
      <c r="G115" s="8" t="n">
        <v>1</v>
      </c>
      <c r="H115" s="82" t="n">
        <v>2.1</v>
      </c>
      <c r="I115" s="8" t="n"/>
      <c r="J115" s="83">
        <f>IF(ISNUMBER(MCC_Table[[#This Row],[SIZE]]), MCC_Table[[#This Row],[SIZE]]/12, 0)</f>
        <v/>
      </c>
      <c r="K115" s="87" t="n">
        <v>15</v>
      </c>
      <c r="L115" s="8" t="n">
        <v>125</v>
      </c>
      <c r="M115" s="82" t="n">
        <v>3</v>
      </c>
      <c r="N115" s="82" t="inlineStr">
        <is>
          <t>3/C #12 VFD CABLE</t>
        </is>
      </c>
      <c r="O115" s="236" t="inlineStr">
        <is>
          <t>NEEDS MELTRIC</t>
        </is>
      </c>
      <c r="P115" s="85" t="n"/>
      <c r="Q115" s="79" t="n"/>
      <c r="R115" s="79" t="n"/>
      <c r="S115" s="79" t="n"/>
      <c r="T115" s="79" t="n"/>
      <c r="U115" s="79" t="n"/>
      <c r="V115" s="79" t="n"/>
      <c r="W115" s="79" t="n"/>
      <c r="X115" s="79" t="n"/>
      <c r="Y115" s="79" t="n"/>
      <c r="Z115" s="79" t="n"/>
      <c r="AA115" s="79" t="n"/>
      <c r="AB115" s="225" t="inlineStr">
        <is>
          <t>Oneline_Motor</t>
        </is>
      </c>
      <c r="AC115" s="225" t="inlineStr">
        <is>
          <t>Motor_VFD-w-Fuse</t>
        </is>
      </c>
      <c r="AD115" s="225" t="inlineStr">
        <is>
          <t>Motor w/ Disc</t>
        </is>
      </c>
      <c r="AE115" s="8">
        <f>_xlfn.NUMBERVALUE(LEFT(MCC_Table[[#This Row],[BUCKET]],LEN(MCC_Table[[#This Row],[BUCKET]])-1))</f>
        <v/>
      </c>
      <c r="AF115" s="8">
        <f>RIGHT(MCC_Table[[#This Row],[BUCKET]],1)</f>
        <v/>
      </c>
      <c r="AG115" s="8">
        <f>VLOOKUP(MCC_Table[[#This Row],[START UNIT]],UnitMap[],2,FALSE)</f>
        <v/>
      </c>
      <c r="AH115" s="8">
        <f t="array" ref="AH11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15" s="8">
        <f>IF(ISNUMBER(MCC_Table[[#This Row],[SIZE]]), MCC_Table[[#This Row],[SIZE]]/6, 0)</f>
        <v/>
      </c>
      <c r="AJ115" s="8">
        <f>MCC_Table[[#This Row],[START INDEX]]+MCC_Table[[#This Row],[UNITS USED]]-1</f>
        <v/>
      </c>
      <c r="AK115" s="14" t="n"/>
      <c r="AL115" s="14" t="n"/>
      <c r="AM115" s="14" t="n"/>
      <c r="AN115" s="14" t="n"/>
      <c r="AO115" s="14" t="n"/>
      <c r="AP115" s="14" t="n"/>
      <c r="AQ115" s="14" t="n"/>
      <c r="AR115" s="14" t="n"/>
      <c r="AS115" s="14" t="n"/>
      <c r="AT115" s="14" t="n"/>
      <c r="AU115" s="14" t="n"/>
      <c r="AV115" s="14" t="n"/>
      <c r="AW115" s="14" t="n"/>
      <c r="AX115" s="14" t="n"/>
      <c r="AY115" s="14" t="n"/>
      <c r="AZ115" s="14" t="n"/>
      <c r="BA115" s="14" t="n"/>
      <c r="BB115" s="14" t="n"/>
      <c r="BC115" s="14" t="n"/>
      <c r="BD115" s="14" t="n"/>
      <c r="BE115" s="14" t="n"/>
    </row>
    <row r="116">
      <c r="A116" s="39" t="inlineStr">
        <is>
          <t>RL7-6MCC03</t>
        </is>
      </c>
      <c r="B116" s="8" t="inlineStr">
        <is>
          <t>03E</t>
        </is>
      </c>
      <c r="C116" s="24" t="inlineStr">
        <is>
          <t>RL7-CNV-203.M1</t>
        </is>
      </c>
      <c r="D116" s="28" t="inlineStr">
        <is>
          <t>SERPENTINE INFEED CONVEYOR 2</t>
        </is>
      </c>
      <c r="E116" s="29" t="inlineStr">
        <is>
          <t>VFD_PF755</t>
        </is>
      </c>
      <c r="F116" s="8" t="n">
        <v>0.5</v>
      </c>
      <c r="G116" s="8" t="n">
        <v>1</v>
      </c>
      <c r="H116" s="82" t="n">
        <v>2.1</v>
      </c>
      <c r="I116" s="8" t="n"/>
      <c r="J116" s="83">
        <f>IF(ISNUMBER(MCC_Table[[#This Row],[SIZE]]), MCC_Table[[#This Row],[SIZE]]/12, 0)</f>
        <v/>
      </c>
      <c r="K116" s="87" t="n">
        <v>15</v>
      </c>
      <c r="L116" s="8" t="n">
        <v>125</v>
      </c>
      <c r="M116" s="82" t="n">
        <v>3</v>
      </c>
      <c r="N116" s="82" t="inlineStr">
        <is>
          <t>3/C #12 VFD CABLE</t>
        </is>
      </c>
      <c r="O116" s="236" t="n"/>
      <c r="P116" s="85" t="n"/>
      <c r="Q116" s="79" t="n"/>
      <c r="R116" s="79" t="n"/>
      <c r="S116" s="79" t="n"/>
      <c r="T116" s="79" t="n"/>
      <c r="U116" s="79" t="n"/>
      <c r="V116" s="79" t="n"/>
      <c r="W116" s="79" t="n"/>
      <c r="X116" s="79" t="n"/>
      <c r="Y116" s="79" t="n"/>
      <c r="Z116" s="79" t="n"/>
      <c r="AA116" s="79" t="n"/>
      <c r="AB116" s="225" t="inlineStr">
        <is>
          <t>Oneline_Motor</t>
        </is>
      </c>
      <c r="AC116" s="225" t="inlineStr">
        <is>
          <t>Motor_VFD-w-Fuse</t>
        </is>
      </c>
      <c r="AD116" s="224" t="inlineStr">
        <is>
          <t>Motor w/ Disc</t>
        </is>
      </c>
      <c r="AE116" s="8">
        <f>_xlfn.NUMBERVALUE(LEFT(MCC_Table[[#This Row],[BUCKET]],LEN(MCC_Table[[#This Row],[BUCKET]])-1))</f>
        <v/>
      </c>
      <c r="AF116" s="8">
        <f>RIGHT(MCC_Table[[#This Row],[BUCKET]],1)</f>
        <v/>
      </c>
      <c r="AG116" s="8">
        <f>VLOOKUP(MCC_Table[[#This Row],[START UNIT]],UnitMap[],2,FALSE)</f>
        <v/>
      </c>
      <c r="AH116" s="8">
        <f t="array" ref="AH11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16" s="8">
        <f>IF(ISNUMBER(MCC_Table[[#This Row],[SIZE]]), MCC_Table[[#This Row],[SIZE]]/6, 0)</f>
        <v/>
      </c>
      <c r="AJ116" s="8">
        <f>MCC_Table[[#This Row],[START INDEX]]+MCC_Table[[#This Row],[UNITS USED]]-1</f>
        <v/>
      </c>
      <c r="AK116" s="14" t="n"/>
      <c r="AL116" s="14" t="n"/>
      <c r="AM116" s="14" t="n"/>
      <c r="AN116" s="14" t="n"/>
      <c r="AO116" s="14" t="n"/>
      <c r="AP116" s="14" t="n"/>
      <c r="AQ116" s="14" t="n"/>
      <c r="AR116" s="14" t="n"/>
      <c r="AS116" s="14" t="n"/>
      <c r="AT116" s="14" t="n"/>
      <c r="AU116" s="14" t="n"/>
      <c r="AV116" s="14" t="n"/>
      <c r="AW116" s="14" t="n"/>
      <c r="AX116" s="14" t="n"/>
      <c r="AY116" s="14" t="n"/>
      <c r="AZ116" s="14" t="n"/>
      <c r="BA116" s="14" t="n"/>
      <c r="BB116" s="14" t="n"/>
      <c r="BC116" s="14" t="n"/>
      <c r="BD116" s="14" t="n"/>
      <c r="BE116" s="14" t="n"/>
    </row>
    <row r="117">
      <c r="A117" s="39" t="inlineStr">
        <is>
          <t>RL7-6MCC03</t>
        </is>
      </c>
      <c r="B117" s="8" t="inlineStr">
        <is>
          <t>03J</t>
        </is>
      </c>
      <c r="C117" s="24" t="inlineStr">
        <is>
          <t>RL7-CNV-204.M1</t>
        </is>
      </c>
      <c r="D117" s="28" t="inlineStr">
        <is>
          <t>SERPENTINE INFEED CONVEYOR 3</t>
        </is>
      </c>
      <c r="E117" s="29" t="inlineStr">
        <is>
          <t>VFD_PF755</t>
        </is>
      </c>
      <c r="F117" s="8" t="n">
        <v>0.5</v>
      </c>
      <c r="G117" s="8" t="n">
        <v>1</v>
      </c>
      <c r="H117" s="82" t="n">
        <v>2.1</v>
      </c>
      <c r="I117" s="8" t="n"/>
      <c r="J117" s="83">
        <f>IF(ISNUMBER(MCC_Table[[#This Row],[SIZE]]), MCC_Table[[#This Row],[SIZE]]/12, 0)</f>
        <v/>
      </c>
      <c r="K117" s="87" t="n">
        <v>15</v>
      </c>
      <c r="L117" s="8" t="n">
        <v>125</v>
      </c>
      <c r="M117" s="82" t="n">
        <v>3</v>
      </c>
      <c r="N117" s="82" t="inlineStr">
        <is>
          <t>3/C #12 VFD CABLE</t>
        </is>
      </c>
      <c r="O117" s="236" t="n"/>
      <c r="P117" s="85" t="n"/>
      <c r="Q117" s="79" t="n"/>
      <c r="R117" s="79" t="n"/>
      <c r="S117" s="79" t="n"/>
      <c r="T117" s="79" t="n"/>
      <c r="U117" s="79" t="n"/>
      <c r="V117" s="79" t="n"/>
      <c r="W117" s="79" t="n"/>
      <c r="X117" s="79" t="n"/>
      <c r="Y117" s="79" t="n"/>
      <c r="Z117" s="79" t="n"/>
      <c r="AA117" s="79" t="n"/>
      <c r="AB117" s="225" t="inlineStr">
        <is>
          <t>Oneline_Motor</t>
        </is>
      </c>
      <c r="AC117" s="225" t="inlineStr">
        <is>
          <t>Motor_VFD-w-Fuse</t>
        </is>
      </c>
      <c r="AD117" s="224" t="inlineStr">
        <is>
          <t>Motor w/ Disc</t>
        </is>
      </c>
      <c r="AE117" s="8">
        <f>_xlfn.NUMBERVALUE(LEFT(MCC_Table[[#This Row],[BUCKET]],LEN(MCC_Table[[#This Row],[BUCKET]])-1))</f>
        <v/>
      </c>
      <c r="AF117" s="8">
        <f>RIGHT(MCC_Table[[#This Row],[BUCKET]],1)</f>
        <v/>
      </c>
      <c r="AG117" s="8">
        <f>VLOOKUP(MCC_Table[[#This Row],[START UNIT]],UnitMap[],2,FALSE)</f>
        <v/>
      </c>
      <c r="AH117" s="8">
        <f t="array" ref="AH11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17" s="8">
        <f>IF(ISNUMBER(MCC_Table[[#This Row],[SIZE]]), MCC_Table[[#This Row],[SIZE]]/6, 0)</f>
        <v/>
      </c>
      <c r="AJ117" s="8">
        <f>MCC_Table[[#This Row],[START INDEX]]+MCC_Table[[#This Row],[UNITS USED]]-1</f>
        <v/>
      </c>
      <c r="AK117" s="14" t="n"/>
      <c r="AL117" s="14" t="n"/>
      <c r="AM117" s="14" t="n"/>
      <c r="AN117" s="14" t="n"/>
      <c r="AO117" s="14" t="n"/>
      <c r="AP117" s="14" t="n"/>
      <c r="AQ117" s="14" t="n"/>
      <c r="AR117" s="14" t="n"/>
      <c r="AS117" s="14" t="n"/>
      <c r="AT117" s="14" t="n"/>
      <c r="AU117" s="14" t="n"/>
      <c r="AV117" s="14" t="n"/>
      <c r="AW117" s="14" t="n"/>
      <c r="AX117" s="14" t="n"/>
      <c r="AY117" s="14" t="n"/>
      <c r="AZ117" s="14" t="n"/>
      <c r="BA117" s="14" t="n"/>
      <c r="BB117" s="14" t="n"/>
      <c r="BC117" s="14" t="n"/>
      <c r="BD117" s="14" t="n"/>
      <c r="BE117" s="14" t="n"/>
    </row>
    <row r="118">
      <c r="A118" s="39" t="inlineStr">
        <is>
          <t>RL7-6MCC03</t>
        </is>
      </c>
      <c r="B118" s="8" t="inlineStr">
        <is>
          <t>04A</t>
        </is>
      </c>
      <c r="C118" s="24" t="inlineStr">
        <is>
          <t>RL7-AGC-201.M1</t>
        </is>
      </c>
      <c r="D118" s="28" t="inlineStr">
        <is>
          <t>DISCHARGE AUGER CART - LEVELING RIBBON</t>
        </is>
      </c>
      <c r="E118" s="29" t="inlineStr">
        <is>
          <t>VFD_PF755</t>
        </is>
      </c>
      <c r="F118" s="29" t="n">
        <v>5</v>
      </c>
      <c r="G118" s="8" t="n">
        <v>5</v>
      </c>
      <c r="H118" s="82" t="n">
        <v>8</v>
      </c>
      <c r="I118" s="8" t="n"/>
      <c r="J118" s="83">
        <f>IF(ISNUMBER(MCC_Table[[#This Row],[SIZE]]), MCC_Table[[#This Row],[SIZE]]/12, 0)</f>
        <v/>
      </c>
      <c r="K118" s="87" t="n">
        <v>20</v>
      </c>
      <c r="L118" s="8" t="n">
        <v>125</v>
      </c>
      <c r="M118" s="82" t="n">
        <v>12</v>
      </c>
      <c r="N118" s="82" t="inlineStr">
        <is>
          <t>3/C #12 VFD CABLE</t>
        </is>
      </c>
      <c r="O118" s="236" t="n"/>
      <c r="P118" s="85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  <c r="Z118" s="79" t="n"/>
      <c r="AA118" s="79" t="n"/>
      <c r="AB118" s="225" t="inlineStr">
        <is>
          <t>Oneline_Motor</t>
        </is>
      </c>
      <c r="AC118" s="225" t="inlineStr">
        <is>
          <t>Motor_VFD-w-Fuse</t>
        </is>
      </c>
      <c r="AD118" s="224" t="inlineStr">
        <is>
          <t>Motor w/ Disc</t>
        </is>
      </c>
      <c r="AE118" s="8">
        <f>_xlfn.NUMBERVALUE(LEFT(MCC_Table[[#This Row],[BUCKET]],LEN(MCC_Table[[#This Row],[BUCKET]])-1))</f>
        <v/>
      </c>
      <c r="AF118" s="8">
        <f>RIGHT(MCC_Table[[#This Row],[BUCKET]],1)</f>
        <v/>
      </c>
      <c r="AG118" s="8">
        <f>VLOOKUP(MCC_Table[[#This Row],[START UNIT]],UnitMap[],2,FALSE)</f>
        <v/>
      </c>
      <c r="AH118" s="8">
        <f t="array" ref="AH11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18" s="8">
        <f>IF(ISNUMBER(MCC_Table[[#This Row],[SIZE]]), MCC_Table[[#This Row],[SIZE]]/6, 0)</f>
        <v/>
      </c>
      <c r="AJ118" s="8">
        <f>MCC_Table[[#This Row],[START INDEX]]+MCC_Table[[#This Row],[UNITS USED]]-1</f>
        <v/>
      </c>
      <c r="AK118" s="14" t="n"/>
      <c r="AL118" s="14" t="n"/>
      <c r="AM118" s="14" t="n"/>
      <c r="AN118" s="14" t="n"/>
      <c r="AO118" s="14" t="n"/>
      <c r="AP118" s="14" t="n"/>
      <c r="AQ118" s="14" t="n"/>
      <c r="AR118" s="14" t="n"/>
      <c r="AS118" s="14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  <c r="BB118" s="14" t="n"/>
      <c r="BC118" s="14" t="n"/>
      <c r="BD118" s="14" t="n"/>
      <c r="BE118" s="14" t="n"/>
    </row>
    <row r="119">
      <c r="A119" s="39" t="inlineStr">
        <is>
          <t>RL7-6MCC03</t>
        </is>
      </c>
      <c r="B119" s="29" t="inlineStr">
        <is>
          <t>04E</t>
        </is>
      </c>
      <c r="C119" s="24" t="inlineStr">
        <is>
          <t>SPACE</t>
        </is>
      </c>
      <c r="D119" s="62" t="inlineStr">
        <is>
          <t>6" SPACE</t>
        </is>
      </c>
      <c r="E119" s="24" t="inlineStr">
        <is>
          <t>SPACE</t>
        </is>
      </c>
      <c r="F119" s="8" t="n"/>
      <c r="G119" s="8" t="n"/>
      <c r="H119" s="82" t="n"/>
      <c r="I119" s="8" t="n"/>
      <c r="J119" s="83">
        <f>IF(ISNUMBER(MCC_Table[[#This Row],[SIZE]]), MCC_Table[[#This Row],[SIZE]]/12, 0)</f>
        <v/>
      </c>
      <c r="K119" s="87" t="n"/>
      <c r="L119" s="8" t="n"/>
      <c r="M119" s="82" t="n"/>
      <c r="N119" s="82" t="n"/>
      <c r="O119" s="236" t="n"/>
      <c r="P119" s="85" t="n"/>
      <c r="Q119" s="79" t="n"/>
      <c r="R119" s="79" t="n"/>
      <c r="S119" s="79" t="n"/>
      <c r="T119" s="79" t="n"/>
      <c r="U119" s="79" t="n"/>
      <c r="V119" s="79" t="n"/>
      <c r="W119" s="79" t="n"/>
      <c r="X119" s="79" t="n"/>
      <c r="Y119" s="79" t="n"/>
      <c r="Z119" s="79" t="n"/>
      <c r="AA119" s="79" t="n"/>
      <c r="AB119" s="225" t="inlineStr">
        <is>
          <t>Oneline_Feeder_Panel</t>
        </is>
      </c>
      <c r="AC119" s="225" t="inlineStr">
        <is>
          <t>Feeder_Space</t>
        </is>
      </c>
      <c r="AD119" s="225" t="n"/>
      <c r="AE119" s="8">
        <f>_xlfn.NUMBERVALUE(LEFT(MCC_Table[[#This Row],[BUCKET]],LEN(MCC_Table[[#This Row],[BUCKET]])-1))</f>
        <v/>
      </c>
      <c r="AF119" s="8">
        <f>RIGHT(MCC_Table[[#This Row],[BUCKET]],1)</f>
        <v/>
      </c>
      <c r="AG119" s="8">
        <f>VLOOKUP(MCC_Table[[#This Row],[START UNIT]],UnitMap[],2,FALSE)</f>
        <v/>
      </c>
      <c r="AH119" s="8">
        <f t="array" ref="AH11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19" s="8">
        <f>IF(ISNUMBER(MCC_Table[[#This Row],[SIZE]]), MCC_Table[[#This Row],[SIZE]]/6, 0)</f>
        <v/>
      </c>
      <c r="AJ119" s="8">
        <f>MCC_Table[[#This Row],[START INDEX]]+MCC_Table[[#This Row],[UNITS USED]]-1</f>
        <v/>
      </c>
      <c r="AK119" s="14" t="n"/>
      <c r="AL119" s="14" t="n"/>
      <c r="AM119" s="14" t="n"/>
      <c r="AN119" s="14" t="n"/>
      <c r="AO119" s="14" t="n"/>
      <c r="AP119" s="14" t="n"/>
      <c r="AQ119" s="14" t="n"/>
      <c r="AR119" s="14" t="n"/>
      <c r="AS119" s="14" t="n"/>
      <c r="AT119" s="14" t="n"/>
      <c r="AU119" s="14" t="n"/>
      <c r="AV119" s="14" t="n"/>
      <c r="AW119" s="14" t="n"/>
      <c r="AX119" s="14" t="n"/>
      <c r="AY119" s="14" t="n"/>
      <c r="AZ119" s="14" t="n"/>
      <c r="BA119" s="14" t="n"/>
      <c r="BB119" s="14" t="n"/>
      <c r="BC119" s="14" t="n"/>
      <c r="BD119" s="14" t="n"/>
      <c r="BE119" s="14" t="n"/>
    </row>
    <row r="120">
      <c r="A120" s="39" t="inlineStr">
        <is>
          <t>RL7-6MCC03</t>
        </is>
      </c>
      <c r="B120" s="8" t="inlineStr">
        <is>
          <t>04F</t>
        </is>
      </c>
      <c r="C120" s="24" t="inlineStr">
        <is>
          <t>RL7-SKD-201.M1</t>
        </is>
      </c>
      <c r="D120" s="28" t="inlineStr">
        <is>
          <t>CLEAN ASSIST FOAM PUMP</t>
        </is>
      </c>
      <c r="E120" s="29" t="inlineStr">
        <is>
          <t>VFD_PF755</t>
        </is>
      </c>
      <c r="F120" s="8" t="n">
        <v>10</v>
      </c>
      <c r="G120" s="8" t="n">
        <v>10</v>
      </c>
      <c r="H120" s="82" t="n">
        <v>14</v>
      </c>
      <c r="I120" s="8" t="n"/>
      <c r="J120" s="83">
        <f>IF(ISNUMBER(MCC_Table[[#This Row],[SIZE]]), MCC_Table[[#This Row],[SIZE]]/12, 0)</f>
        <v/>
      </c>
      <c r="K120" s="87" t="n">
        <v>30</v>
      </c>
      <c r="L120" s="8" t="n">
        <v>125</v>
      </c>
      <c r="M120" s="82" t="n">
        <v>25</v>
      </c>
      <c r="N120" s="82" t="n"/>
      <c r="O120" s="236" t="n"/>
      <c r="P120" s="85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  <c r="Z120" s="79" t="n"/>
      <c r="AA120" s="79" t="n"/>
      <c r="AB120" s="225" t="inlineStr">
        <is>
          <t>Oneline_Motor</t>
        </is>
      </c>
      <c r="AC120" s="225" t="inlineStr">
        <is>
          <t>Motor_VFD-w-Fuse</t>
        </is>
      </c>
      <c r="AD120" s="224" t="inlineStr">
        <is>
          <t>Motor w/ Disc</t>
        </is>
      </c>
      <c r="AE120" s="8">
        <f>_xlfn.NUMBERVALUE(LEFT(MCC_Table[[#This Row],[BUCKET]],LEN(MCC_Table[[#This Row],[BUCKET]])-1))</f>
        <v/>
      </c>
      <c r="AF120" s="8">
        <f>RIGHT(MCC_Table[[#This Row],[BUCKET]],1)</f>
        <v/>
      </c>
      <c r="AG120" s="8">
        <f>VLOOKUP(MCC_Table[[#This Row],[START UNIT]],UnitMap[],2,FALSE)</f>
        <v/>
      </c>
      <c r="AH120" s="8">
        <f t="array" ref="AH12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20" s="8">
        <f>IF(ISNUMBER(MCC_Table[[#This Row],[SIZE]]), MCC_Table[[#This Row],[SIZE]]/6, 0)</f>
        <v/>
      </c>
      <c r="AJ120" s="8">
        <f>MCC_Table[[#This Row],[START INDEX]]+MCC_Table[[#This Row],[UNITS USED]]-1</f>
        <v/>
      </c>
      <c r="AK120" s="14" t="n"/>
      <c r="AL120" s="14" t="n"/>
      <c r="AM120" s="14" t="n"/>
      <c r="AN120" s="14" t="n"/>
      <c r="AO120" s="14" t="n"/>
      <c r="AP120" s="14" t="n"/>
      <c r="AQ120" s="14" t="n"/>
      <c r="AR120" s="14" t="n"/>
      <c r="AS120" s="14" t="n"/>
      <c r="AT120" s="14" t="n"/>
      <c r="AU120" s="14" t="n"/>
      <c r="AV120" s="14" t="n"/>
      <c r="AW120" s="14" t="n"/>
      <c r="AX120" s="14" t="n"/>
      <c r="AY120" s="14" t="n"/>
      <c r="AZ120" s="14" t="n"/>
      <c r="BA120" s="14" t="n"/>
      <c r="BB120" s="14" t="n"/>
      <c r="BC120" s="14" t="n"/>
      <c r="BD120" s="14" t="n"/>
      <c r="BE120" s="14" t="n"/>
    </row>
    <row r="121">
      <c r="A121" s="39" t="inlineStr">
        <is>
          <t>RL7-6MCC03</t>
        </is>
      </c>
      <c r="B121" s="29" t="inlineStr">
        <is>
          <t>04L</t>
        </is>
      </c>
      <c r="C121" s="24" t="inlineStr">
        <is>
          <t>SPACE</t>
        </is>
      </c>
      <c r="D121" s="62" t="inlineStr">
        <is>
          <t>12" SPACE</t>
        </is>
      </c>
      <c r="E121" s="24" t="inlineStr">
        <is>
          <t>SPACE</t>
        </is>
      </c>
      <c r="F121" s="8" t="n"/>
      <c r="G121" s="8" t="n"/>
      <c r="H121" s="82" t="n"/>
      <c r="I121" s="8" t="n"/>
      <c r="J121" s="83">
        <f>IF(ISNUMBER(MCC_Table[[#This Row],[SIZE]]), MCC_Table[[#This Row],[SIZE]]/12, 0)</f>
        <v/>
      </c>
      <c r="K121" s="87" t="n"/>
      <c r="L121" s="8" t="n"/>
      <c r="M121" s="82" t="n"/>
      <c r="N121" s="82" t="n"/>
      <c r="O121" s="236" t="n"/>
      <c r="P121" s="85" t="n"/>
      <c r="Q121" s="79" t="n"/>
      <c r="R121" s="79" t="n"/>
      <c r="S121" s="79" t="n"/>
      <c r="T121" s="79" t="n"/>
      <c r="U121" s="79" t="n"/>
      <c r="V121" s="79" t="n"/>
      <c r="W121" s="79" t="n"/>
      <c r="X121" s="79" t="n"/>
      <c r="Y121" s="79" t="n"/>
      <c r="Z121" s="79" t="n"/>
      <c r="AA121" s="79" t="n"/>
      <c r="AB121" s="225" t="inlineStr">
        <is>
          <t>Oneline_Feeder_Panel</t>
        </is>
      </c>
      <c r="AC121" s="225" t="inlineStr">
        <is>
          <t>Feeder_Space</t>
        </is>
      </c>
      <c r="AD121" s="225" t="n"/>
      <c r="AE121" s="8">
        <f>_xlfn.NUMBERVALUE(LEFT(MCC_Table[[#This Row],[BUCKET]],LEN(MCC_Table[[#This Row],[BUCKET]])-1))</f>
        <v/>
      </c>
      <c r="AF121" s="8">
        <f>RIGHT(MCC_Table[[#This Row],[BUCKET]],1)</f>
        <v/>
      </c>
      <c r="AG121" s="8">
        <f>VLOOKUP(MCC_Table[[#This Row],[START UNIT]],UnitMap[],2,FALSE)</f>
        <v/>
      </c>
      <c r="AH121" s="8">
        <f t="array" ref="AH12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21" s="8">
        <f>IF(ISNUMBER(MCC_Table[[#This Row],[SIZE]]), MCC_Table[[#This Row],[SIZE]]/6, 0)</f>
        <v/>
      </c>
      <c r="AJ121" s="8">
        <f>MCC_Table[[#This Row],[START INDEX]]+MCC_Table[[#This Row],[UNITS USED]]-1</f>
        <v/>
      </c>
      <c r="AK121" s="14" t="n"/>
      <c r="AL121" s="14" t="n"/>
      <c r="AM121" s="14" t="n"/>
      <c r="AN121" s="14" t="n"/>
      <c r="AO121" s="14" t="n"/>
      <c r="AP121" s="14" t="n"/>
      <c r="AQ121" s="14" t="n"/>
      <c r="AR121" s="14" t="n"/>
      <c r="AS121" s="14" t="n"/>
      <c r="AT121" s="14" t="n"/>
      <c r="AU121" s="14" t="n"/>
      <c r="AV121" s="14" t="n"/>
      <c r="AW121" s="14" t="n"/>
      <c r="AX121" s="14" t="n"/>
      <c r="AY121" s="14" t="n"/>
      <c r="AZ121" s="14" t="n"/>
      <c r="BA121" s="14" t="n"/>
      <c r="BB121" s="14" t="n"/>
      <c r="BC121" s="14" t="n"/>
      <c r="BD121" s="14" t="n"/>
      <c r="BE121" s="14" t="n"/>
    </row>
    <row r="122">
      <c r="A122" s="39" t="inlineStr">
        <is>
          <t>RL7-6MCC03</t>
        </is>
      </c>
      <c r="B122" s="29" t="inlineStr">
        <is>
          <t>05A</t>
        </is>
      </c>
      <c r="C122" s="24" t="inlineStr">
        <is>
          <t>SPACE</t>
        </is>
      </c>
      <c r="D122" s="62" t="inlineStr">
        <is>
          <t>12" SPACE</t>
        </is>
      </c>
      <c r="E122" s="24" t="inlineStr">
        <is>
          <t>SPACE</t>
        </is>
      </c>
      <c r="F122" s="8" t="n"/>
      <c r="G122" s="8" t="n"/>
      <c r="H122" s="82" t="n"/>
      <c r="I122" s="8" t="n"/>
      <c r="J122" s="83">
        <f>IF(ISNUMBER(MCC_Table[[#This Row],[SIZE]]), MCC_Table[[#This Row],[SIZE]]/12, 0)</f>
        <v/>
      </c>
      <c r="K122" s="87" t="n"/>
      <c r="L122" s="8" t="n"/>
      <c r="M122" s="82" t="n"/>
      <c r="N122" s="82" t="n"/>
      <c r="O122" s="236" t="n"/>
      <c r="P122" s="85" t="n"/>
      <c r="Q122" s="79" t="n"/>
      <c r="R122" s="79" t="n"/>
      <c r="S122" s="79" t="n"/>
      <c r="T122" s="79" t="n"/>
      <c r="U122" s="79" t="n"/>
      <c r="V122" s="79" t="n"/>
      <c r="W122" s="79" t="n"/>
      <c r="X122" s="79" t="n"/>
      <c r="Y122" s="79" t="n"/>
      <c r="Z122" s="79" t="n"/>
      <c r="AA122" s="79" t="n"/>
      <c r="AB122" s="225" t="inlineStr">
        <is>
          <t>Oneline_Feeder_Panel</t>
        </is>
      </c>
      <c r="AC122" s="225" t="inlineStr">
        <is>
          <t>Feeder_Space</t>
        </is>
      </c>
      <c r="AD122" s="225" t="n"/>
      <c r="AE122" s="8">
        <f>_xlfn.NUMBERVALUE(LEFT(MCC_Table[[#This Row],[BUCKET]],LEN(MCC_Table[[#This Row],[BUCKET]])-1))</f>
        <v/>
      </c>
      <c r="AF122" s="8">
        <f>RIGHT(MCC_Table[[#This Row],[BUCKET]],1)</f>
        <v/>
      </c>
      <c r="AG122" s="8">
        <f>VLOOKUP(MCC_Table[[#This Row],[START UNIT]],UnitMap[],2,FALSE)</f>
        <v/>
      </c>
      <c r="AH122" s="8">
        <f t="array" ref="AH12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22" s="8">
        <f>IF(ISNUMBER(MCC_Table[[#This Row],[SIZE]]), MCC_Table[[#This Row],[SIZE]]/6, 0)</f>
        <v/>
      </c>
      <c r="AJ122" s="8">
        <f>MCC_Table[[#This Row],[START INDEX]]+MCC_Table[[#This Row],[UNITS USED]]-1</f>
        <v/>
      </c>
      <c r="AK122" s="14" t="n"/>
      <c r="AL122" s="14" t="n"/>
      <c r="AM122" s="14" t="n"/>
      <c r="AN122" s="14" t="n"/>
      <c r="AO122" s="14" t="n"/>
      <c r="AP122" s="14" t="n"/>
      <c r="AQ122" s="14" t="n"/>
      <c r="AR122" s="14" t="n"/>
      <c r="AS122" s="14" t="n"/>
      <c r="AT122" s="14" t="n"/>
      <c r="AU122" s="14" t="n"/>
      <c r="AV122" s="14" t="n"/>
      <c r="AW122" s="14" t="n"/>
      <c r="AX122" s="14" t="n"/>
      <c r="AY122" s="14" t="n"/>
      <c r="AZ122" s="14" t="n"/>
      <c r="BA122" s="14" t="n"/>
      <c r="BB122" s="14" t="n"/>
      <c r="BC122" s="14" t="n"/>
      <c r="BD122" s="14" t="n"/>
      <c r="BE122" s="14" t="n"/>
    </row>
    <row r="123">
      <c r="A123" s="39" t="inlineStr">
        <is>
          <t>RL7-6MCC03</t>
        </is>
      </c>
      <c r="B123" s="8" t="inlineStr">
        <is>
          <t>05C</t>
        </is>
      </c>
      <c r="C123" s="24" t="inlineStr">
        <is>
          <t>RL7-PMP-201.M1</t>
        </is>
      </c>
      <c r="D123" s="28" t="inlineStr">
        <is>
          <t>DISCHARGE AUGER CART PUMP</t>
        </is>
      </c>
      <c r="E123" s="29" t="inlineStr">
        <is>
          <t>VFD_PF755</t>
        </is>
      </c>
      <c r="F123" s="29" t="n">
        <v>7.5</v>
      </c>
      <c r="G123" s="8" t="n">
        <v>10</v>
      </c>
      <c r="H123" s="82" t="n">
        <v>14</v>
      </c>
      <c r="I123" s="8" t="n"/>
      <c r="J123" s="83">
        <f>IF(ISNUMBER(MCC_Table[[#This Row],[SIZE]]), MCC_Table[[#This Row],[SIZE]]/12, 0)</f>
        <v/>
      </c>
      <c r="K123" s="87" t="n">
        <v>30</v>
      </c>
      <c r="L123" s="8" t="n">
        <v>125</v>
      </c>
      <c r="M123" s="82" t="n">
        <v>25</v>
      </c>
      <c r="N123" s="82" t="inlineStr">
        <is>
          <t>3/C #12 VFD CABLE</t>
        </is>
      </c>
      <c r="O123" s="236" t="n"/>
      <c r="P123" s="85" t="n"/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  <c r="Z123" s="79" t="n"/>
      <c r="AA123" s="79" t="n"/>
      <c r="AB123" s="225" t="inlineStr">
        <is>
          <t>Oneline_Motor</t>
        </is>
      </c>
      <c r="AC123" s="225" t="inlineStr">
        <is>
          <t>Motor_VFD-w-Fuse</t>
        </is>
      </c>
      <c r="AD123" s="224" t="inlineStr">
        <is>
          <t>Motor w/ Disc</t>
        </is>
      </c>
      <c r="AE123" s="8">
        <f>_xlfn.NUMBERVALUE(LEFT(MCC_Table[[#This Row],[BUCKET]],LEN(MCC_Table[[#This Row],[BUCKET]])-1))</f>
        <v/>
      </c>
      <c r="AF123" s="8">
        <f>RIGHT(MCC_Table[[#This Row],[BUCKET]],1)</f>
        <v/>
      </c>
      <c r="AG123" s="8">
        <f>VLOOKUP(MCC_Table[[#This Row],[START UNIT]],UnitMap[],2,FALSE)</f>
        <v/>
      </c>
      <c r="AH123" s="8">
        <f t="array" ref="AH12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23" s="8">
        <f>IF(ISNUMBER(MCC_Table[[#This Row],[SIZE]]), MCC_Table[[#This Row],[SIZE]]/6, 0)</f>
        <v/>
      </c>
      <c r="AJ123" s="8">
        <f>MCC_Table[[#This Row],[START INDEX]]+MCC_Table[[#This Row],[UNITS USED]]-1</f>
        <v/>
      </c>
      <c r="AK123" s="14" t="n"/>
      <c r="AL123" s="14" t="n"/>
      <c r="AM123" s="14" t="n"/>
      <c r="AN123" s="14" t="n"/>
      <c r="AO123" s="14" t="n"/>
      <c r="AP123" s="14" t="n"/>
      <c r="AQ123" s="14" t="n"/>
      <c r="AR123" s="14" t="n"/>
      <c r="AS123" s="14" t="n"/>
      <c r="AT123" s="14" t="n"/>
      <c r="AU123" s="14" t="n"/>
      <c r="AV123" s="14" t="n"/>
      <c r="AW123" s="14" t="n"/>
      <c r="AX123" s="14" t="n"/>
      <c r="AY123" s="14" t="n"/>
      <c r="AZ123" s="14" t="n"/>
      <c r="BA123" s="14" t="n"/>
      <c r="BB123" s="14" t="n"/>
      <c r="BC123" s="14" t="n"/>
      <c r="BD123" s="14" t="n"/>
      <c r="BE123" s="14" t="n"/>
    </row>
    <row r="124">
      <c r="A124" s="39" t="inlineStr">
        <is>
          <t>RL7-6MCC03</t>
        </is>
      </c>
      <c r="B124" s="8" t="inlineStr">
        <is>
          <t>05H</t>
        </is>
      </c>
      <c r="C124" s="24" t="inlineStr">
        <is>
          <t>RL7-AGC-201.M2</t>
        </is>
      </c>
      <c r="D124" s="28" t="inlineStr">
        <is>
          <t>DISCHARGE AUGER CART AUGER</t>
        </is>
      </c>
      <c r="E124" s="29" t="inlineStr">
        <is>
          <t>VFD_PF755</t>
        </is>
      </c>
      <c r="F124" s="29" t="n">
        <v>7.5</v>
      </c>
      <c r="G124" s="8" t="n">
        <v>10</v>
      </c>
      <c r="H124" s="82" t="n">
        <v>14</v>
      </c>
      <c r="I124" s="8" t="n"/>
      <c r="J124" s="83">
        <f>IF(ISNUMBER(MCC_Table[[#This Row],[SIZE]]), MCC_Table[[#This Row],[SIZE]]/12, 0)</f>
        <v/>
      </c>
      <c r="K124" s="87" t="n">
        <v>30</v>
      </c>
      <c r="L124" s="8" t="n">
        <v>125</v>
      </c>
      <c r="M124" s="82" t="n">
        <v>25</v>
      </c>
      <c r="N124" s="82" t="inlineStr">
        <is>
          <t>3/C #12 VFD CABLE</t>
        </is>
      </c>
      <c r="O124" s="236" t="n"/>
      <c r="P124" s="85" t="n"/>
      <c r="Q124" s="79" t="n"/>
      <c r="R124" s="79" t="n"/>
      <c r="S124" s="79" t="n"/>
      <c r="T124" s="79" t="n"/>
      <c r="U124" s="79" t="n"/>
      <c r="V124" s="79" t="n"/>
      <c r="W124" s="79" t="n"/>
      <c r="X124" s="79" t="n"/>
      <c r="Y124" s="79" t="n"/>
      <c r="Z124" s="79" t="n"/>
      <c r="AA124" s="79" t="n"/>
      <c r="AB124" s="225" t="inlineStr">
        <is>
          <t>Oneline_Motor</t>
        </is>
      </c>
      <c r="AC124" s="225" t="inlineStr">
        <is>
          <t>Motor_VFD-w-Fuse</t>
        </is>
      </c>
      <c r="AD124" s="224" t="inlineStr">
        <is>
          <t>Motor w/ Disc</t>
        </is>
      </c>
      <c r="AE124" s="8">
        <f>_xlfn.NUMBERVALUE(LEFT(MCC_Table[[#This Row],[BUCKET]],LEN(MCC_Table[[#This Row],[BUCKET]])-1))</f>
        <v/>
      </c>
      <c r="AF124" s="8">
        <f>RIGHT(MCC_Table[[#This Row],[BUCKET]],1)</f>
        <v/>
      </c>
      <c r="AG124" s="8">
        <f>VLOOKUP(MCC_Table[[#This Row],[START UNIT]],UnitMap[],2,FALSE)</f>
        <v/>
      </c>
      <c r="AH124" s="8">
        <f t="array" ref="AH12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24" s="8">
        <f>IF(ISNUMBER(MCC_Table[[#This Row],[SIZE]]), MCC_Table[[#This Row],[SIZE]]/6, 0)</f>
        <v/>
      </c>
      <c r="AJ124" s="8">
        <f>MCC_Table[[#This Row],[START INDEX]]+MCC_Table[[#This Row],[UNITS USED]]-1</f>
        <v/>
      </c>
      <c r="AK124" s="14" t="n"/>
      <c r="AL124" s="14" t="n"/>
      <c r="AM124" s="14" t="n"/>
      <c r="AN124" s="14" t="n"/>
      <c r="AO124" s="14" t="n"/>
      <c r="AP124" s="14" t="n"/>
      <c r="AQ124" s="14" t="n"/>
      <c r="AR124" s="14" t="n"/>
      <c r="AS124" s="14" t="n"/>
      <c r="AT124" s="14" t="n"/>
      <c r="AU124" s="14" t="n"/>
      <c r="AV124" s="14" t="n"/>
      <c r="AW124" s="14" t="n"/>
      <c r="AX124" s="14" t="n"/>
      <c r="AY124" s="14" t="n"/>
      <c r="AZ124" s="14" t="n"/>
      <c r="BA124" s="14" t="n"/>
      <c r="BB124" s="14" t="n"/>
      <c r="BC124" s="14" t="n"/>
      <c r="BD124" s="14" t="n"/>
      <c r="BE124" s="14" t="n"/>
    </row>
    <row r="125">
      <c r="A125" s="39" t="inlineStr">
        <is>
          <t>RL7-6MCC03</t>
        </is>
      </c>
      <c r="B125" s="8" t="inlineStr">
        <is>
          <t>06A</t>
        </is>
      </c>
      <c r="C125" s="24" t="inlineStr">
        <is>
          <t>RL7-CNV-205.M1</t>
        </is>
      </c>
      <c r="D125" s="28" t="inlineStr">
        <is>
          <t>SERPENTINE DISCHARGE CONVEYOR 1</t>
        </is>
      </c>
      <c r="E125" s="29" t="inlineStr">
        <is>
          <t>VFD_PF755</t>
        </is>
      </c>
      <c r="F125" s="8" t="n">
        <v>0.5</v>
      </c>
      <c r="G125" s="8" t="n">
        <v>1</v>
      </c>
      <c r="H125" s="82" t="n">
        <v>2.1</v>
      </c>
      <c r="I125" s="8" t="n"/>
      <c r="J125" s="83">
        <f>IF(ISNUMBER(MCC_Table[[#This Row],[SIZE]]), MCC_Table[[#This Row],[SIZE]]/12, 0)</f>
        <v/>
      </c>
      <c r="K125" s="87" t="n">
        <v>15</v>
      </c>
      <c r="L125" s="8" t="n">
        <v>125</v>
      </c>
      <c r="M125" s="82" t="n">
        <v>3</v>
      </c>
      <c r="N125" s="82" t="inlineStr">
        <is>
          <t>3/C #12 VFD CABLE</t>
        </is>
      </c>
      <c r="O125" s="236" t="n"/>
      <c r="P125" s="85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  <c r="Z125" s="79" t="n"/>
      <c r="AA125" s="79" t="n"/>
      <c r="AB125" s="225" t="inlineStr">
        <is>
          <t>Oneline_Motor</t>
        </is>
      </c>
      <c r="AC125" s="225" t="inlineStr">
        <is>
          <t>Motor_VFD-w-Fuse</t>
        </is>
      </c>
      <c r="AD125" s="224" t="inlineStr">
        <is>
          <t>Motor w/ Disc</t>
        </is>
      </c>
      <c r="AE125" s="8">
        <f>_xlfn.NUMBERVALUE(LEFT(MCC_Table[[#This Row],[BUCKET]],LEN(MCC_Table[[#This Row],[BUCKET]])-1))</f>
        <v/>
      </c>
      <c r="AF125" s="8">
        <f>RIGHT(MCC_Table[[#This Row],[BUCKET]],1)</f>
        <v/>
      </c>
      <c r="AG125" s="8">
        <f>VLOOKUP(MCC_Table[[#This Row],[START UNIT]],UnitMap[],2,FALSE)</f>
        <v/>
      </c>
      <c r="AH125" s="8">
        <f t="array" ref="AH12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25" s="8">
        <f>IF(ISNUMBER(MCC_Table[[#This Row],[SIZE]]), MCC_Table[[#This Row],[SIZE]]/6, 0)</f>
        <v/>
      </c>
      <c r="AJ125" s="8">
        <f>MCC_Table[[#This Row],[START INDEX]]+MCC_Table[[#This Row],[UNITS USED]]-1</f>
        <v/>
      </c>
      <c r="AK125" s="14" t="n"/>
      <c r="AL125" s="14" t="n"/>
      <c r="AM125" s="14" t="n"/>
      <c r="AN125" s="14" t="n"/>
      <c r="AO125" s="14" t="n"/>
      <c r="AP125" s="14" t="n"/>
      <c r="AQ125" s="14" t="n"/>
      <c r="AR125" s="14" t="n"/>
      <c r="AS125" s="14" t="n"/>
      <c r="AT125" s="14" t="n"/>
      <c r="AU125" s="14" t="n"/>
      <c r="AV125" s="14" t="n"/>
      <c r="AW125" s="14" t="n"/>
      <c r="AX125" s="14" t="n"/>
      <c r="AY125" s="14" t="n"/>
      <c r="AZ125" s="14" t="n"/>
      <c r="BA125" s="14" t="n"/>
      <c r="BB125" s="14" t="n"/>
      <c r="BC125" s="14" t="n"/>
      <c r="BD125" s="14" t="n"/>
      <c r="BE125" s="14" t="n"/>
    </row>
    <row r="126">
      <c r="A126" s="39" t="inlineStr">
        <is>
          <t>RL7-6MCC03</t>
        </is>
      </c>
      <c r="B126" s="8" t="inlineStr">
        <is>
          <t>06E</t>
        </is>
      </c>
      <c r="C126" s="24" t="inlineStr">
        <is>
          <t>RL7-CNV-202.M1</t>
        </is>
      </c>
      <c r="D126" s="28" t="inlineStr">
        <is>
          <t>SERPENTINE INFEED CONVEYOR 1</t>
        </is>
      </c>
      <c r="E126" s="29" t="inlineStr">
        <is>
          <t>VFD_PF755</t>
        </is>
      </c>
      <c r="F126" s="8" t="n">
        <v>0.5</v>
      </c>
      <c r="G126" s="8" t="n">
        <v>1</v>
      </c>
      <c r="H126" s="82" t="n">
        <v>2.1</v>
      </c>
      <c r="I126" s="8" t="n"/>
      <c r="J126" s="83">
        <f>IF(ISNUMBER(MCC_Table[[#This Row],[SIZE]]), MCC_Table[[#This Row],[SIZE]]/12, 0)</f>
        <v/>
      </c>
      <c r="K126" s="87" t="n">
        <v>15</v>
      </c>
      <c r="L126" s="8" t="n">
        <v>125</v>
      </c>
      <c r="M126" s="82" t="n">
        <v>3</v>
      </c>
      <c r="N126" s="82" t="inlineStr">
        <is>
          <t>3/C #12 VFD CABLE</t>
        </is>
      </c>
      <c r="O126" s="236" t="n"/>
      <c r="P126" s="85" t="n"/>
      <c r="Q126" s="79" t="n"/>
      <c r="R126" s="79" t="n"/>
      <c r="S126" s="79" t="n"/>
      <c r="T126" s="79" t="n"/>
      <c r="U126" s="79" t="n"/>
      <c r="V126" s="79" t="n"/>
      <c r="W126" s="79" t="n"/>
      <c r="X126" s="79" t="n"/>
      <c r="Y126" s="79" t="n"/>
      <c r="Z126" s="79" t="n"/>
      <c r="AA126" s="79" t="n"/>
      <c r="AB126" s="225" t="inlineStr">
        <is>
          <t>Oneline_Motor</t>
        </is>
      </c>
      <c r="AC126" s="225" t="inlineStr">
        <is>
          <t>Motor_VFD-w-Fuse</t>
        </is>
      </c>
      <c r="AD126" s="224" t="inlineStr">
        <is>
          <t>Motor w/ Disc</t>
        </is>
      </c>
      <c r="AE126" s="8">
        <f>_xlfn.NUMBERVALUE(LEFT(MCC_Table[[#This Row],[BUCKET]],LEN(MCC_Table[[#This Row],[BUCKET]])-1))</f>
        <v/>
      </c>
      <c r="AF126" s="8">
        <f>RIGHT(MCC_Table[[#This Row],[BUCKET]],1)</f>
        <v/>
      </c>
      <c r="AG126" s="8">
        <f>VLOOKUP(MCC_Table[[#This Row],[START UNIT]],UnitMap[],2,FALSE)</f>
        <v/>
      </c>
      <c r="AH126" s="8">
        <f t="array" ref="AH12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26" s="8">
        <f>IF(ISNUMBER(MCC_Table[[#This Row],[SIZE]]), MCC_Table[[#This Row],[SIZE]]/6, 0)</f>
        <v/>
      </c>
      <c r="AJ126" s="8">
        <f>MCC_Table[[#This Row],[START INDEX]]+MCC_Table[[#This Row],[UNITS USED]]-1</f>
        <v/>
      </c>
      <c r="AK126" s="14" t="n"/>
      <c r="AL126" s="14" t="n"/>
      <c r="AM126" s="14" t="n"/>
      <c r="AN126" s="14" t="n"/>
      <c r="AO126" s="14" t="n"/>
      <c r="AP126" s="14" t="n"/>
      <c r="AQ126" s="14" t="n"/>
      <c r="AR126" s="14" t="n"/>
      <c r="AS126" s="14" t="n"/>
      <c r="AT126" s="14" t="n"/>
      <c r="AU126" s="14" t="n"/>
      <c r="AV126" s="14" t="n"/>
      <c r="AW126" s="14" t="n"/>
      <c r="AX126" s="14" t="n"/>
      <c r="AY126" s="14" t="n"/>
      <c r="AZ126" s="14" t="n"/>
      <c r="BA126" s="14" t="n"/>
      <c r="BB126" s="14" t="n"/>
      <c r="BC126" s="14" t="n"/>
      <c r="BD126" s="14" t="n"/>
      <c r="BE126" s="14" t="n"/>
    </row>
    <row r="127">
      <c r="A127" s="39" t="inlineStr">
        <is>
          <t>RL7-6MCC03</t>
        </is>
      </c>
      <c r="B127" s="8" t="inlineStr">
        <is>
          <t>06J</t>
        </is>
      </c>
      <c r="C127" s="24" t="inlineStr">
        <is>
          <t>RL7-CNV-403.M1</t>
        </is>
      </c>
      <c r="D127" s="28" t="inlineStr">
        <is>
          <t>METERING CONVEYOR 2</t>
        </is>
      </c>
      <c r="E127" s="29" t="inlineStr">
        <is>
          <t>VFD_PF755</t>
        </is>
      </c>
      <c r="F127" s="8" t="n">
        <v>0.5</v>
      </c>
      <c r="G127" s="8" t="n">
        <v>1</v>
      </c>
      <c r="H127" s="82" t="n">
        <v>2.1</v>
      </c>
      <c r="I127" s="8" t="n"/>
      <c r="J127" s="83">
        <f>IF(ISNUMBER(MCC_Table[[#This Row],[SIZE]]), MCC_Table[[#This Row],[SIZE]]/12, 0)</f>
        <v/>
      </c>
      <c r="K127" s="87" t="n">
        <v>15</v>
      </c>
      <c r="L127" s="8" t="n">
        <v>125</v>
      </c>
      <c r="M127" s="82" t="n">
        <v>3</v>
      </c>
      <c r="N127" s="82" t="inlineStr">
        <is>
          <t>3/C #12 VFD CABLE</t>
        </is>
      </c>
      <c r="O127" s="236" t="n"/>
      <c r="P127" s="85" t="n"/>
      <c r="Q127" s="79" t="n"/>
      <c r="R127" s="79" t="n"/>
      <c r="S127" s="79" t="n"/>
      <c r="T127" s="79" t="n"/>
      <c r="U127" s="79" t="n"/>
      <c r="V127" s="79" t="n"/>
      <c r="W127" s="79" t="n"/>
      <c r="X127" s="79" t="n"/>
      <c r="Y127" s="79" t="n"/>
      <c r="Z127" s="79" t="n"/>
      <c r="AA127" s="79" t="n"/>
      <c r="AB127" s="225" t="inlineStr">
        <is>
          <t>Oneline_Motor</t>
        </is>
      </c>
      <c r="AC127" s="225" t="inlineStr">
        <is>
          <t>Motor_VFD-w-Fuse</t>
        </is>
      </c>
      <c r="AD127" s="224" t="inlineStr">
        <is>
          <t>Motor w/ Disc</t>
        </is>
      </c>
      <c r="AE127" s="8">
        <f>_xlfn.NUMBERVALUE(LEFT(MCC_Table[[#This Row],[BUCKET]],LEN(MCC_Table[[#This Row],[BUCKET]])-1))</f>
        <v/>
      </c>
      <c r="AF127" s="8">
        <f>RIGHT(MCC_Table[[#This Row],[BUCKET]],1)</f>
        <v/>
      </c>
      <c r="AG127" s="8">
        <f>VLOOKUP(MCC_Table[[#This Row],[START UNIT]],UnitMap[],2,FALSE)</f>
        <v/>
      </c>
      <c r="AH127" s="8">
        <f t="array" ref="AH12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27" s="8">
        <f>IF(ISNUMBER(MCC_Table[[#This Row],[SIZE]]), MCC_Table[[#This Row],[SIZE]]/6, 0)</f>
        <v/>
      </c>
      <c r="AJ127" s="8">
        <f>MCC_Table[[#This Row],[START INDEX]]+MCC_Table[[#This Row],[UNITS USED]]-1</f>
        <v/>
      </c>
      <c r="AK127" s="14" t="n"/>
      <c r="AL127" s="14" t="n"/>
      <c r="AM127" s="14" t="n"/>
      <c r="AN127" s="14" t="n"/>
      <c r="AO127" s="14" t="n"/>
      <c r="AP127" s="14" t="n"/>
      <c r="AQ127" s="14" t="n"/>
      <c r="AR127" s="14" t="n"/>
      <c r="AS127" s="14" t="n"/>
      <c r="AT127" s="14" t="n"/>
      <c r="AU127" s="14" t="n"/>
      <c r="AV127" s="14" t="n"/>
      <c r="AW127" s="14" t="n"/>
      <c r="AX127" s="14" t="n"/>
      <c r="AY127" s="14" t="n"/>
      <c r="AZ127" s="14" t="n"/>
      <c r="BA127" s="14" t="n"/>
      <c r="BB127" s="14" t="n"/>
      <c r="BC127" s="14" t="n"/>
      <c r="BD127" s="14" t="n"/>
      <c r="BE127" s="14" t="n"/>
    </row>
    <row r="128">
      <c r="A128" s="39" t="inlineStr">
        <is>
          <t>RL7-6MCC03</t>
        </is>
      </c>
      <c r="B128" s="8" t="inlineStr">
        <is>
          <t>07A</t>
        </is>
      </c>
      <c r="C128" s="24" t="inlineStr">
        <is>
          <t>RL7-CHR-201.M1</t>
        </is>
      </c>
      <c r="D128" s="28" t="inlineStr">
        <is>
          <t>SERPENTINE MAIN DRIVE</t>
        </is>
      </c>
      <c r="E128" s="29" t="inlineStr">
        <is>
          <t>VFD_PF755</t>
        </is>
      </c>
      <c r="F128" s="8" t="n">
        <v>7.5</v>
      </c>
      <c r="G128" s="8" t="n">
        <v>10</v>
      </c>
      <c r="H128" s="82" t="n">
        <v>14</v>
      </c>
      <c r="I128" s="8" t="n"/>
      <c r="J128" s="83">
        <f>IF(ISNUMBER(MCC_Table[[#This Row],[SIZE]]), MCC_Table[[#This Row],[SIZE]]/12, 0)</f>
        <v/>
      </c>
      <c r="K128" s="87" t="n">
        <v>30</v>
      </c>
      <c r="L128" s="8" t="n">
        <v>125</v>
      </c>
      <c r="M128" s="82" t="n">
        <v>25</v>
      </c>
      <c r="N128" s="82" t="inlineStr">
        <is>
          <t>3/C #12 VFD CABLE</t>
        </is>
      </c>
      <c r="O128" s="236" t="n"/>
      <c r="P128" s="85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  <c r="Z128" s="79" t="n"/>
      <c r="AA128" s="79" t="n"/>
      <c r="AB128" s="225" t="inlineStr">
        <is>
          <t>Oneline_Motor</t>
        </is>
      </c>
      <c r="AC128" s="225" t="inlineStr">
        <is>
          <t>Motor_VFD-w-Fuse</t>
        </is>
      </c>
      <c r="AD128" s="224" t="inlineStr">
        <is>
          <t>Motor w/ Disc</t>
        </is>
      </c>
      <c r="AE128" s="8">
        <f>_xlfn.NUMBERVALUE(LEFT(MCC_Table[[#This Row],[BUCKET]],LEN(MCC_Table[[#This Row],[BUCKET]])-1))</f>
        <v/>
      </c>
      <c r="AF128" s="8">
        <f>RIGHT(MCC_Table[[#This Row],[BUCKET]],1)</f>
        <v/>
      </c>
      <c r="AG128" s="8">
        <f>VLOOKUP(MCC_Table[[#This Row],[START UNIT]],UnitMap[],2,FALSE)</f>
        <v/>
      </c>
      <c r="AH128" s="8">
        <f t="array" ref="AH12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28" s="8">
        <f>IF(ISNUMBER(MCC_Table[[#This Row],[SIZE]]), MCC_Table[[#This Row],[SIZE]]/6, 0)</f>
        <v/>
      </c>
      <c r="AJ128" s="8">
        <f>MCC_Table[[#This Row],[START INDEX]]+MCC_Table[[#This Row],[UNITS USED]]-1</f>
        <v/>
      </c>
      <c r="AK128" s="14" t="n"/>
      <c r="AL128" s="14" t="n"/>
      <c r="AM128" s="14" t="n"/>
      <c r="AN128" s="14" t="n"/>
      <c r="AO128" s="14" t="n"/>
      <c r="AP128" s="14" t="n"/>
      <c r="AQ128" s="14" t="n"/>
      <c r="AR128" s="14" t="n"/>
      <c r="AS128" s="14" t="n"/>
      <c r="AT128" s="14" t="n"/>
      <c r="AU128" s="14" t="n"/>
      <c r="AV128" s="14" t="n"/>
      <c r="AW128" s="14" t="n"/>
      <c r="AX128" s="14" t="n"/>
      <c r="AY128" s="14" t="n"/>
      <c r="AZ128" s="14" t="n"/>
      <c r="BA128" s="14" t="n"/>
      <c r="BB128" s="14" t="n"/>
      <c r="BC128" s="14" t="n"/>
      <c r="BD128" s="14" t="n"/>
      <c r="BE128" s="14" t="n"/>
    </row>
    <row r="129">
      <c r="A129" s="39" t="inlineStr">
        <is>
          <t>RL7-6MCC03</t>
        </is>
      </c>
      <c r="B129" s="29" t="inlineStr">
        <is>
          <t>07F</t>
        </is>
      </c>
      <c r="C129" s="24" t="inlineStr">
        <is>
          <t>SPACE</t>
        </is>
      </c>
      <c r="D129" s="62" t="inlineStr">
        <is>
          <t>6" SPACE</t>
        </is>
      </c>
      <c r="E129" s="24" t="inlineStr">
        <is>
          <t>SPACE</t>
        </is>
      </c>
      <c r="F129" s="8" t="n"/>
      <c r="G129" s="8" t="n"/>
      <c r="H129" s="82" t="n"/>
      <c r="I129" s="8" t="n"/>
      <c r="J129" s="83">
        <f>IF(ISNUMBER(MCC_Table[[#This Row],[SIZE]]), MCC_Table[[#This Row],[SIZE]]/12, 0)</f>
        <v/>
      </c>
      <c r="K129" s="87" t="n"/>
      <c r="L129" s="8" t="n"/>
      <c r="M129" s="82" t="n"/>
      <c r="N129" s="82" t="n"/>
      <c r="O129" s="236" t="n"/>
      <c r="P129" s="85" t="n"/>
      <c r="Q129" s="79" t="n"/>
      <c r="R129" s="79" t="n"/>
      <c r="S129" s="79" t="n"/>
      <c r="T129" s="79" t="n"/>
      <c r="U129" s="79" t="n"/>
      <c r="V129" s="79" t="n"/>
      <c r="W129" s="79" t="n"/>
      <c r="X129" s="79" t="n"/>
      <c r="Y129" s="79" t="n"/>
      <c r="Z129" s="79" t="n"/>
      <c r="AA129" s="79" t="n"/>
      <c r="AB129" s="225" t="inlineStr">
        <is>
          <t>Oneline_Feeder_Panel</t>
        </is>
      </c>
      <c r="AC129" s="225" t="inlineStr">
        <is>
          <t>Feeder_Space</t>
        </is>
      </c>
      <c r="AD129" s="225" t="n"/>
      <c r="AE129" s="8">
        <f>_xlfn.NUMBERVALUE(LEFT(MCC_Table[[#This Row],[BUCKET]],LEN(MCC_Table[[#This Row],[BUCKET]])-1))</f>
        <v/>
      </c>
      <c r="AF129" s="8">
        <f>RIGHT(MCC_Table[[#This Row],[BUCKET]],1)</f>
        <v/>
      </c>
      <c r="AG129" s="8">
        <f>VLOOKUP(MCC_Table[[#This Row],[START UNIT]],UnitMap[],2,FALSE)</f>
        <v/>
      </c>
      <c r="AH129" s="8">
        <f t="array" ref="AH12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29" s="8">
        <f>IF(ISNUMBER(MCC_Table[[#This Row],[SIZE]]), MCC_Table[[#This Row],[SIZE]]/6, 0)</f>
        <v/>
      </c>
      <c r="AJ129" s="8">
        <f>MCC_Table[[#This Row],[START INDEX]]+MCC_Table[[#This Row],[UNITS USED]]-1</f>
        <v/>
      </c>
      <c r="AK129" s="14" t="n"/>
      <c r="AL129" s="14" t="n"/>
      <c r="AM129" s="14" t="n"/>
      <c r="AN129" s="14" t="n"/>
      <c r="AO129" s="14" t="n"/>
      <c r="AP129" s="14" t="n"/>
      <c r="AQ129" s="14" t="n"/>
      <c r="AR129" s="14" t="n"/>
      <c r="AS129" s="14" t="n"/>
      <c r="AT129" s="14" t="n"/>
      <c r="AU129" s="14" t="n"/>
      <c r="AV129" s="14" t="n"/>
      <c r="AW129" s="14" t="n"/>
      <c r="AX129" s="14" t="n"/>
      <c r="AY129" s="14" t="n"/>
      <c r="AZ129" s="14" t="n"/>
      <c r="BA129" s="14" t="n"/>
      <c r="BB129" s="14" t="n"/>
      <c r="BC129" s="14" t="n"/>
      <c r="BD129" s="14" t="n"/>
      <c r="BE129" s="14" t="n"/>
    </row>
    <row r="130">
      <c r="A130" s="39" t="inlineStr">
        <is>
          <t>RL7-6MCC03</t>
        </is>
      </c>
      <c r="B130" s="8" t="inlineStr">
        <is>
          <t>07G</t>
        </is>
      </c>
      <c r="C130" s="24" t="inlineStr">
        <is>
          <t>SPARE</t>
        </is>
      </c>
      <c r="D130" s="28" t="inlineStr">
        <is>
          <t>VFD - 20HP</t>
        </is>
      </c>
      <c r="E130" s="29" t="inlineStr">
        <is>
          <t>VFD_PF755</t>
        </is>
      </c>
      <c r="F130" s="29" t="n"/>
      <c r="G130" s="8" t="n">
        <v>20</v>
      </c>
      <c r="H130" s="87" t="n">
        <v>27</v>
      </c>
      <c r="I130" s="8" t="n"/>
      <c r="J130" s="83">
        <f>IF(ISNUMBER(MCC_Table[[#This Row],[SIZE]]), MCC_Table[[#This Row],[SIZE]]/12, 0)</f>
        <v/>
      </c>
      <c r="K130" s="87" t="n">
        <v>60</v>
      </c>
      <c r="L130" s="8" t="n">
        <v>125</v>
      </c>
      <c r="M130" s="82" t="n">
        <v>45</v>
      </c>
      <c r="N130" s="82" t="n"/>
      <c r="O130" s="236" t="n"/>
      <c r="P130" s="85" t="n"/>
      <c r="Q130" s="79" t="n"/>
      <c r="R130" s="79" t="n"/>
      <c r="S130" s="79" t="n"/>
      <c r="T130" s="79" t="n"/>
      <c r="U130" s="79" t="n"/>
      <c r="V130" s="79" t="n"/>
      <c r="W130" s="79" t="n"/>
      <c r="X130" s="79" t="n"/>
      <c r="Y130" s="79" t="n"/>
      <c r="Z130" s="79" t="n"/>
      <c r="AA130" s="79" t="n"/>
      <c r="AB130" s="225" t="inlineStr">
        <is>
          <t>Oneline_Motor</t>
        </is>
      </c>
      <c r="AC130" s="225" t="inlineStr">
        <is>
          <t>Motor_VFD-w-Fuse</t>
        </is>
      </c>
      <c r="AD130" s="224" t="inlineStr">
        <is>
          <t>Motor w/ Disc</t>
        </is>
      </c>
      <c r="AE130" s="8">
        <f>_xlfn.NUMBERVALUE(LEFT(MCC_Table[[#This Row],[BUCKET]],LEN(MCC_Table[[#This Row],[BUCKET]])-1))</f>
        <v/>
      </c>
      <c r="AF130" s="8">
        <f>RIGHT(MCC_Table[[#This Row],[BUCKET]],1)</f>
        <v/>
      </c>
      <c r="AG130" s="8">
        <f>VLOOKUP(MCC_Table[[#This Row],[START UNIT]],UnitMap[],2,FALSE)</f>
        <v/>
      </c>
      <c r="AH130" s="8">
        <f t="array" ref="AH13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30" s="8">
        <f>IF(ISNUMBER(MCC_Table[[#This Row],[SIZE]]), MCC_Table[[#This Row],[SIZE]]/6, 0)</f>
        <v/>
      </c>
      <c r="AJ130" s="8">
        <f>MCC_Table[[#This Row],[START INDEX]]+MCC_Table[[#This Row],[UNITS USED]]-1</f>
        <v/>
      </c>
      <c r="AK130" s="14" t="n"/>
      <c r="AL130" s="14" t="n"/>
      <c r="AM130" s="14" t="n"/>
      <c r="AN130" s="14" t="n"/>
      <c r="AO130" s="14" t="n"/>
      <c r="AP130" s="14" t="n"/>
      <c r="AQ130" s="14" t="n"/>
      <c r="AR130" s="14" t="n"/>
      <c r="AS130" s="14" t="n"/>
      <c r="AT130" s="14" t="n"/>
      <c r="AU130" s="14" t="n"/>
      <c r="AV130" s="14" t="n"/>
      <c r="AW130" s="14" t="n"/>
      <c r="AX130" s="14" t="n"/>
      <c r="AY130" s="14" t="n"/>
      <c r="AZ130" s="14" t="n"/>
      <c r="BA130" s="14" t="n"/>
      <c r="BB130" s="14" t="n"/>
      <c r="BC130" s="14" t="n"/>
      <c r="BD130" s="14" t="n"/>
      <c r="BE130" s="14" t="n"/>
    </row>
    <row r="131">
      <c r="A131" s="39" t="inlineStr">
        <is>
          <t>RL7-6MCC03</t>
        </is>
      </c>
      <c r="B131" s="8" t="inlineStr">
        <is>
          <t>08A</t>
        </is>
      </c>
      <c r="C131" s="24" t="inlineStr">
        <is>
          <t>RL7-PMP-203.M1</t>
        </is>
      </c>
      <c r="D131" s="28" t="inlineStr">
        <is>
          <t>SERPENTINE HEX 1 PUMP</t>
        </is>
      </c>
      <c r="E131" s="29" t="inlineStr">
        <is>
          <t>VFD_PF755</t>
        </is>
      </c>
      <c r="F131" s="8" t="n">
        <v>60</v>
      </c>
      <c r="G131" s="8" t="n">
        <v>60</v>
      </c>
      <c r="H131" s="82" t="n">
        <v>77</v>
      </c>
      <c r="I131" s="8" t="n"/>
      <c r="J131" s="83">
        <f>IF(ISNUMBER(MCC_Table[[#This Row],[SIZE]]), MCC_Table[[#This Row],[SIZE]]/12, 0)</f>
        <v/>
      </c>
      <c r="K131" s="87" t="n">
        <v>200</v>
      </c>
      <c r="L131" s="8" t="n">
        <v>250</v>
      </c>
      <c r="M131" s="82" t="n">
        <v>125</v>
      </c>
      <c r="N131" s="82" t="inlineStr">
        <is>
          <t>3/C #2 VFD CABLE</t>
        </is>
      </c>
      <c r="O131" s="236" t="n"/>
      <c r="P131" s="85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79" t="n"/>
      <c r="AA131" s="79" t="n"/>
      <c r="AB131" s="225" t="inlineStr">
        <is>
          <t>Oneline_Motor</t>
        </is>
      </c>
      <c r="AC131" s="225" t="inlineStr">
        <is>
          <t>Motor_VFD-w-Fuse</t>
        </is>
      </c>
      <c r="AD131" s="224" t="inlineStr">
        <is>
          <t>Motor w/ Disc</t>
        </is>
      </c>
      <c r="AE131" s="8">
        <f>_xlfn.NUMBERVALUE(LEFT(MCC_Table[[#This Row],[BUCKET]],LEN(MCC_Table[[#This Row],[BUCKET]])-1))</f>
        <v/>
      </c>
      <c r="AF131" s="8">
        <f>RIGHT(MCC_Table[[#This Row],[BUCKET]],1)</f>
        <v/>
      </c>
      <c r="AG131" s="8">
        <f>VLOOKUP(MCC_Table[[#This Row],[START UNIT]],UnitMap[],2,FALSE)</f>
        <v/>
      </c>
      <c r="AH131" s="8">
        <f t="array" ref="AH13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31" s="8">
        <f>IF(ISNUMBER(MCC_Table[[#This Row],[SIZE]]), MCC_Table[[#This Row],[SIZE]]/6, 0)</f>
        <v/>
      </c>
      <c r="AJ131" s="8">
        <f>MCC_Table[[#This Row],[START INDEX]]+MCC_Table[[#This Row],[UNITS USED]]-1</f>
        <v/>
      </c>
      <c r="AK131" s="14" t="n"/>
      <c r="AL131" s="14" t="n"/>
      <c r="AM131" s="14" t="n"/>
      <c r="AN131" s="14" t="n"/>
      <c r="AO131" s="14" t="n"/>
      <c r="AP131" s="14" t="n"/>
      <c r="AQ131" s="14" t="n"/>
      <c r="AR131" s="14" t="n"/>
      <c r="AS131" s="14" t="n"/>
      <c r="AT131" s="14" t="n"/>
      <c r="AU131" s="14" t="n"/>
      <c r="AV131" s="14" t="n"/>
      <c r="AW131" s="14" t="n"/>
      <c r="AX131" s="14" t="n"/>
      <c r="AY131" s="14" t="n"/>
      <c r="AZ131" s="14" t="n"/>
      <c r="BA131" s="14" t="n"/>
      <c r="BB131" s="14" t="n"/>
      <c r="BC131" s="14" t="n"/>
      <c r="BD131" s="14" t="n"/>
      <c r="BE131" s="14" t="n"/>
    </row>
    <row r="132">
      <c r="A132" s="39" t="inlineStr">
        <is>
          <t>RL7-6MCC03</t>
        </is>
      </c>
      <c r="B132" s="8" t="inlineStr">
        <is>
          <t>09A</t>
        </is>
      </c>
      <c r="C132" s="24" t="inlineStr">
        <is>
          <t>RL7-PMP-204.M1</t>
        </is>
      </c>
      <c r="D132" s="28" t="inlineStr">
        <is>
          <t>SERPENTINE RECIRC 1 PUMP</t>
        </is>
      </c>
      <c r="E132" s="29" t="inlineStr">
        <is>
          <t>VFD_PF755</t>
        </is>
      </c>
      <c r="F132" s="8" t="n">
        <v>60</v>
      </c>
      <c r="G132" s="8" t="n">
        <v>60</v>
      </c>
      <c r="H132" s="82" t="n">
        <v>77</v>
      </c>
      <c r="I132" s="8" t="n"/>
      <c r="J132" s="83">
        <f>IF(ISNUMBER(MCC_Table[[#This Row],[SIZE]]), MCC_Table[[#This Row],[SIZE]]/12, 0)</f>
        <v/>
      </c>
      <c r="K132" s="87" t="n">
        <v>200</v>
      </c>
      <c r="L132" s="8" t="n">
        <v>250</v>
      </c>
      <c r="M132" s="82" t="n">
        <v>125</v>
      </c>
      <c r="N132" s="82" t="inlineStr">
        <is>
          <t>3/C #2 VFD CABLE</t>
        </is>
      </c>
      <c r="O132" s="236" t="n"/>
      <c r="P132" s="85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  <c r="Z132" s="79" t="n"/>
      <c r="AA132" s="79" t="n"/>
      <c r="AB132" s="225" t="inlineStr">
        <is>
          <t>Oneline_Motor</t>
        </is>
      </c>
      <c r="AC132" s="225" t="inlineStr">
        <is>
          <t>Motor_VFD-w-Fuse</t>
        </is>
      </c>
      <c r="AD132" s="224" t="inlineStr">
        <is>
          <t>Motor w/ Disc</t>
        </is>
      </c>
      <c r="AE132" s="8">
        <f>_xlfn.NUMBERVALUE(LEFT(MCC_Table[[#This Row],[BUCKET]],LEN(MCC_Table[[#This Row],[BUCKET]])-1))</f>
        <v/>
      </c>
      <c r="AF132" s="8">
        <f>RIGHT(MCC_Table[[#This Row],[BUCKET]],1)</f>
        <v/>
      </c>
      <c r="AG132" s="8">
        <f>VLOOKUP(MCC_Table[[#This Row],[START UNIT]],UnitMap[],2,FALSE)</f>
        <v/>
      </c>
      <c r="AH132" s="8">
        <f t="array" ref="AH13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32" s="8">
        <f>IF(ISNUMBER(MCC_Table[[#This Row],[SIZE]]), MCC_Table[[#This Row],[SIZE]]/6, 0)</f>
        <v/>
      </c>
      <c r="AJ132" s="8">
        <f>MCC_Table[[#This Row],[START INDEX]]+MCC_Table[[#This Row],[UNITS USED]]-1</f>
        <v/>
      </c>
      <c r="AK132" s="14" t="n"/>
      <c r="AL132" s="14" t="n"/>
      <c r="AM132" s="14" t="n"/>
      <c r="AN132" s="14" t="n"/>
      <c r="AO132" s="14" t="n"/>
      <c r="AP132" s="14" t="n"/>
      <c r="AQ132" s="14" t="n"/>
      <c r="AR132" s="14" t="n"/>
      <c r="AS132" s="14" t="n"/>
      <c r="AT132" s="14" t="n"/>
      <c r="AU132" s="14" t="n"/>
      <c r="AV132" s="14" t="n"/>
      <c r="AW132" s="14" t="n"/>
      <c r="AX132" s="14" t="n"/>
      <c r="AY132" s="14" t="n"/>
      <c r="AZ132" s="14" t="n"/>
      <c r="BA132" s="14" t="n"/>
      <c r="BB132" s="14" t="n"/>
      <c r="BC132" s="14" t="n"/>
      <c r="BD132" s="14" t="n"/>
      <c r="BE132" s="14" t="n"/>
    </row>
    <row r="133">
      <c r="A133" s="39" t="inlineStr">
        <is>
          <t>RL7-6MCC03</t>
        </is>
      </c>
      <c r="B133" s="8" t="inlineStr">
        <is>
          <t>10A</t>
        </is>
      </c>
      <c r="C133" s="24" t="inlineStr">
        <is>
          <t>RL7-PMP-205.M1</t>
        </is>
      </c>
      <c r="D133" s="28" t="inlineStr">
        <is>
          <t>SERPENTINE HEX 2 PUMP</t>
        </is>
      </c>
      <c r="E133" s="29" t="inlineStr">
        <is>
          <t>VFD_PF755</t>
        </is>
      </c>
      <c r="F133" s="8" t="n">
        <v>60</v>
      </c>
      <c r="G133" s="8" t="n">
        <v>60</v>
      </c>
      <c r="H133" s="82" t="n">
        <v>77</v>
      </c>
      <c r="I133" s="8" t="n"/>
      <c r="J133" s="83">
        <f>IF(ISNUMBER(MCC_Table[[#This Row],[SIZE]]), MCC_Table[[#This Row],[SIZE]]/12, 0)</f>
        <v/>
      </c>
      <c r="K133" s="87" t="n">
        <v>200</v>
      </c>
      <c r="L133" s="8" t="n">
        <v>250</v>
      </c>
      <c r="M133" s="82" t="n">
        <v>125</v>
      </c>
      <c r="N133" s="82" t="inlineStr">
        <is>
          <t>3/C #2 VFD CABLE</t>
        </is>
      </c>
      <c r="O133" s="236" t="n"/>
      <c r="P133" s="85" t="n"/>
      <c r="Q133" s="79" t="n"/>
      <c r="R133" s="79" t="n"/>
      <c r="S133" s="79" t="n"/>
      <c r="T133" s="79" t="n"/>
      <c r="U133" s="79" t="n"/>
      <c r="V133" s="79" t="n"/>
      <c r="W133" s="79" t="n"/>
      <c r="X133" s="79" t="n"/>
      <c r="Y133" s="79" t="n"/>
      <c r="Z133" s="79" t="n"/>
      <c r="AA133" s="79" t="n"/>
      <c r="AB133" s="225" t="inlineStr">
        <is>
          <t>Oneline_Motor</t>
        </is>
      </c>
      <c r="AC133" s="225" t="inlineStr">
        <is>
          <t>Motor_VFD-w-Fuse</t>
        </is>
      </c>
      <c r="AD133" s="224" t="inlineStr">
        <is>
          <t>Motor w/ Disc</t>
        </is>
      </c>
      <c r="AE133" s="8">
        <f>_xlfn.NUMBERVALUE(LEFT(MCC_Table[[#This Row],[BUCKET]],LEN(MCC_Table[[#This Row],[BUCKET]])-1))</f>
        <v/>
      </c>
      <c r="AF133" s="8">
        <f>RIGHT(MCC_Table[[#This Row],[BUCKET]],1)</f>
        <v/>
      </c>
      <c r="AG133" s="8">
        <f>VLOOKUP(MCC_Table[[#This Row],[START UNIT]],UnitMap[],2,FALSE)</f>
        <v/>
      </c>
      <c r="AH133" s="8">
        <f t="array" ref="AH13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33" s="8">
        <f>IF(ISNUMBER(MCC_Table[[#This Row],[SIZE]]), MCC_Table[[#This Row],[SIZE]]/6, 0)</f>
        <v/>
      </c>
      <c r="AJ133" s="8">
        <f>MCC_Table[[#This Row],[START INDEX]]+MCC_Table[[#This Row],[UNITS USED]]-1</f>
        <v/>
      </c>
      <c r="AK133" s="14" t="n"/>
      <c r="AL133" s="14" t="n"/>
      <c r="AM133" s="14" t="n"/>
      <c r="AN133" s="14" t="n"/>
      <c r="AO133" s="14" t="n"/>
      <c r="AP133" s="14" t="n"/>
      <c r="AQ133" s="14" t="n"/>
      <c r="AR133" s="14" t="n"/>
      <c r="AS133" s="14" t="n"/>
      <c r="AT133" s="14" t="n"/>
      <c r="AU133" s="14" t="n"/>
      <c r="AV133" s="14" t="n"/>
      <c r="AW133" s="14" t="n"/>
      <c r="AX133" s="14" t="n"/>
      <c r="AY133" s="14" t="n"/>
      <c r="AZ133" s="14" t="n"/>
      <c r="BA133" s="14" t="n"/>
      <c r="BB133" s="14" t="n"/>
      <c r="BC133" s="14" t="n"/>
      <c r="BD133" s="14" t="n"/>
      <c r="BE133" s="14" t="n"/>
    </row>
    <row r="134">
      <c r="A134" s="39" t="inlineStr">
        <is>
          <t>RL7-6MCC03</t>
        </is>
      </c>
      <c r="B134" s="8" t="inlineStr">
        <is>
          <t>11A</t>
        </is>
      </c>
      <c r="C134" s="24" t="inlineStr">
        <is>
          <t>RL7-PMP-206.M1</t>
        </is>
      </c>
      <c r="D134" s="28" t="inlineStr">
        <is>
          <t>SERPENTINE RECIRC 2 PUMP</t>
        </is>
      </c>
      <c r="E134" s="29" t="inlineStr">
        <is>
          <t>VFD_PF755</t>
        </is>
      </c>
      <c r="F134" s="8" t="n">
        <v>60</v>
      </c>
      <c r="G134" s="8" t="n">
        <v>60</v>
      </c>
      <c r="H134" s="82" t="n">
        <v>77</v>
      </c>
      <c r="I134" s="8" t="n"/>
      <c r="J134" s="83">
        <f>IF(ISNUMBER(MCC_Table[[#This Row],[SIZE]]), MCC_Table[[#This Row],[SIZE]]/12, 0)</f>
        <v/>
      </c>
      <c r="K134" s="87" t="n">
        <v>200</v>
      </c>
      <c r="L134" s="8" t="n">
        <v>250</v>
      </c>
      <c r="M134" s="82" t="n">
        <v>125</v>
      </c>
      <c r="N134" s="82" t="inlineStr">
        <is>
          <t>3/C #2 VFD CABLE</t>
        </is>
      </c>
      <c r="O134" s="236" t="n"/>
      <c r="P134" s="85" t="n"/>
      <c r="Q134" s="79" t="n"/>
      <c r="R134" s="79" t="n"/>
      <c r="S134" s="79" t="n"/>
      <c r="T134" s="79" t="n"/>
      <c r="U134" s="79" t="n"/>
      <c r="V134" s="79" t="n"/>
      <c r="W134" s="79" t="n"/>
      <c r="X134" s="79" t="n"/>
      <c r="Y134" s="79" t="n"/>
      <c r="Z134" s="79" t="n"/>
      <c r="AA134" s="79" t="n"/>
      <c r="AB134" s="225" t="inlineStr">
        <is>
          <t>Oneline_Motor</t>
        </is>
      </c>
      <c r="AC134" s="225" t="inlineStr">
        <is>
          <t>Motor_VFD-w-Fuse</t>
        </is>
      </c>
      <c r="AD134" s="224" t="inlineStr">
        <is>
          <t>Motor w/ Disc</t>
        </is>
      </c>
      <c r="AE134" s="8">
        <f>_xlfn.NUMBERVALUE(LEFT(MCC_Table[[#This Row],[BUCKET]],LEN(MCC_Table[[#This Row],[BUCKET]])-1))</f>
        <v/>
      </c>
      <c r="AF134" s="8">
        <f>RIGHT(MCC_Table[[#This Row],[BUCKET]],1)</f>
        <v/>
      </c>
      <c r="AG134" s="8">
        <f>VLOOKUP(MCC_Table[[#This Row],[START UNIT]],UnitMap[],2,FALSE)</f>
        <v/>
      </c>
      <c r="AH134" s="8">
        <f t="array" ref="AH13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34" s="8">
        <f>IF(ISNUMBER(MCC_Table[[#This Row],[SIZE]]), MCC_Table[[#This Row],[SIZE]]/6, 0)</f>
        <v/>
      </c>
      <c r="AJ134" s="8">
        <f>MCC_Table[[#This Row],[START INDEX]]+MCC_Table[[#This Row],[UNITS USED]]-1</f>
        <v/>
      </c>
      <c r="AK134" s="14" t="n"/>
      <c r="AL134" s="14" t="n"/>
      <c r="AM134" s="14" t="n"/>
      <c r="AN134" s="14" t="n"/>
      <c r="AO134" s="14" t="n"/>
      <c r="AP134" s="14" t="n"/>
      <c r="AQ134" s="14" t="n"/>
      <c r="AR134" s="14" t="n"/>
      <c r="AS134" s="14" t="n"/>
      <c r="AT134" s="14" t="n"/>
      <c r="AU134" s="14" t="n"/>
      <c r="AV134" s="14" t="n"/>
      <c r="AW134" s="14" t="n"/>
      <c r="AX134" s="14" t="n"/>
      <c r="AY134" s="14" t="n"/>
      <c r="AZ134" s="14" t="n"/>
      <c r="BA134" s="14" t="n"/>
      <c r="BB134" s="14" t="n"/>
      <c r="BC134" s="14" t="n"/>
      <c r="BD134" s="14" t="n"/>
      <c r="BE134" s="14" t="n"/>
    </row>
    <row r="135">
      <c r="A135" s="39" t="inlineStr">
        <is>
          <t>RL7-6MCC03</t>
        </is>
      </c>
      <c r="B135" s="8" t="inlineStr">
        <is>
          <t>12A</t>
        </is>
      </c>
      <c r="C135" s="24" t="inlineStr">
        <is>
          <t>RL7-PMP-207.M1</t>
        </is>
      </c>
      <c r="D135" s="28" t="inlineStr">
        <is>
          <t>SERPENTINE HEX 3 PUMP</t>
        </is>
      </c>
      <c r="E135" s="29" t="inlineStr">
        <is>
          <t>VFD_PF755</t>
        </is>
      </c>
      <c r="F135" s="8" t="n">
        <v>60</v>
      </c>
      <c r="G135" s="8" t="n">
        <v>60</v>
      </c>
      <c r="H135" s="82" t="n">
        <v>77</v>
      </c>
      <c r="I135" s="8" t="n"/>
      <c r="J135" s="83">
        <f>IF(ISNUMBER(MCC_Table[[#This Row],[SIZE]]), MCC_Table[[#This Row],[SIZE]]/12, 0)</f>
        <v/>
      </c>
      <c r="K135" s="87" t="n">
        <v>200</v>
      </c>
      <c r="L135" s="8" t="n">
        <v>250</v>
      </c>
      <c r="M135" s="82" t="n">
        <v>125</v>
      </c>
      <c r="N135" s="82" t="inlineStr">
        <is>
          <t>3/C #2 VFD CABLE</t>
        </is>
      </c>
      <c r="O135" s="236" t="n"/>
      <c r="P135" s="85" t="n"/>
      <c r="Q135" s="79" t="n"/>
      <c r="R135" s="79" t="n"/>
      <c r="S135" s="79" t="n"/>
      <c r="T135" s="79" t="n"/>
      <c r="U135" s="79" t="n"/>
      <c r="V135" s="79" t="n"/>
      <c r="W135" s="79" t="n"/>
      <c r="X135" s="79" t="n"/>
      <c r="Y135" s="79" t="n"/>
      <c r="Z135" s="79" t="n"/>
      <c r="AA135" s="79" t="n"/>
      <c r="AB135" s="225" t="inlineStr">
        <is>
          <t>Oneline_Motor</t>
        </is>
      </c>
      <c r="AC135" s="225" t="inlineStr">
        <is>
          <t>Motor_VFD-w-Fuse</t>
        </is>
      </c>
      <c r="AD135" s="224" t="inlineStr">
        <is>
          <t>Motor w/ Disc</t>
        </is>
      </c>
      <c r="AE135" s="8">
        <f>_xlfn.NUMBERVALUE(LEFT(MCC_Table[[#This Row],[BUCKET]],LEN(MCC_Table[[#This Row],[BUCKET]])-1))</f>
        <v/>
      </c>
      <c r="AF135" s="8">
        <f>RIGHT(MCC_Table[[#This Row],[BUCKET]],1)</f>
        <v/>
      </c>
      <c r="AG135" s="8">
        <f>VLOOKUP(MCC_Table[[#This Row],[START UNIT]],UnitMap[],2,FALSE)</f>
        <v/>
      </c>
      <c r="AH135" s="8">
        <f t="array" ref="AH13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35" s="8">
        <f>IF(ISNUMBER(MCC_Table[[#This Row],[SIZE]]), MCC_Table[[#This Row],[SIZE]]/6, 0)</f>
        <v/>
      </c>
      <c r="AJ135" s="8">
        <f>MCC_Table[[#This Row],[START INDEX]]+MCC_Table[[#This Row],[UNITS USED]]-1</f>
        <v/>
      </c>
      <c r="AK135" s="14" t="n"/>
      <c r="AL135" s="14" t="n"/>
      <c r="AM135" s="14" t="n"/>
      <c r="AN135" s="14" t="n"/>
      <c r="AO135" s="14" t="n"/>
      <c r="AP135" s="14" t="n"/>
      <c r="AQ135" s="14" t="n"/>
      <c r="AR135" s="14" t="n"/>
      <c r="AS135" s="14" t="n"/>
      <c r="AT135" s="14" t="n"/>
      <c r="AU135" s="14" t="n"/>
      <c r="AV135" s="14" t="n"/>
      <c r="AW135" s="14" t="n"/>
      <c r="AX135" s="14" t="n"/>
      <c r="AY135" s="14" t="n"/>
      <c r="AZ135" s="14" t="n"/>
      <c r="BA135" s="14" t="n"/>
      <c r="BB135" s="14" t="n"/>
      <c r="BC135" s="14" t="n"/>
      <c r="BD135" s="14" t="n"/>
      <c r="BE135" s="14" t="n"/>
    </row>
    <row r="136">
      <c r="A136" s="39" t="inlineStr">
        <is>
          <t>RL7-6MCC03</t>
        </is>
      </c>
      <c r="B136" s="8" t="inlineStr">
        <is>
          <t>13A</t>
        </is>
      </c>
      <c r="C136" s="24" t="inlineStr">
        <is>
          <t>SPACE</t>
        </is>
      </c>
      <c r="D136" s="28" t="inlineStr">
        <is>
          <t>12" SPACE</t>
        </is>
      </c>
      <c r="E136" s="29" t="inlineStr">
        <is>
          <t>SPACE</t>
        </is>
      </c>
      <c r="F136" s="8" t="n"/>
      <c r="G136" s="8" t="n"/>
      <c r="H136" s="87" t="n"/>
      <c r="I136" s="8" t="n"/>
      <c r="J136" s="83">
        <f>IF(ISNUMBER(MCC_Table[[#This Row],[SIZE]]), MCC_Table[[#This Row],[SIZE]]/12, 0)</f>
        <v/>
      </c>
      <c r="K136" s="87" t="n">
        <v>60</v>
      </c>
      <c r="L136" s="8" t="n">
        <v>125</v>
      </c>
      <c r="M136" s="82" t="n">
        <v>45</v>
      </c>
      <c r="N136" s="82" t="n"/>
      <c r="O136" s="236" t="n"/>
      <c r="P136" s="85" t="n"/>
      <c r="Q136" s="79" t="n"/>
      <c r="R136" s="79" t="n"/>
      <c r="S136" s="79" t="n"/>
      <c r="T136" s="79" t="n"/>
      <c r="U136" s="79" t="n"/>
      <c r="V136" s="79" t="n"/>
      <c r="W136" s="79" t="n"/>
      <c r="X136" s="79" t="n"/>
      <c r="Y136" s="79" t="n"/>
      <c r="Z136" s="79" t="n"/>
      <c r="AA136" s="79" t="n"/>
      <c r="AB136" s="225" t="inlineStr">
        <is>
          <t>Oneline_Feeder_Panel</t>
        </is>
      </c>
      <c r="AC136" s="225" t="inlineStr">
        <is>
          <t>Feeder_Space</t>
        </is>
      </c>
      <c r="AD136" s="225" t="n"/>
      <c r="AE136" s="8">
        <f>_xlfn.NUMBERVALUE(LEFT(MCC_Table[[#This Row],[BUCKET]],LEN(MCC_Table[[#This Row],[BUCKET]])-1))</f>
        <v/>
      </c>
      <c r="AF136" s="8">
        <f>RIGHT(MCC_Table[[#This Row],[BUCKET]],1)</f>
        <v/>
      </c>
      <c r="AG136" s="8">
        <f>VLOOKUP(MCC_Table[[#This Row],[START UNIT]],UnitMap[],2,FALSE)</f>
        <v/>
      </c>
      <c r="AH136" s="8">
        <f t="array" ref="AH13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36" s="8">
        <f>IF(ISNUMBER(MCC_Table[[#This Row],[SIZE]]), MCC_Table[[#This Row],[SIZE]]/6, 0)</f>
        <v/>
      </c>
      <c r="AJ136" s="8">
        <f>MCC_Table[[#This Row],[START INDEX]]+MCC_Table[[#This Row],[UNITS USED]]-1</f>
        <v/>
      </c>
      <c r="AK136" s="14" t="n"/>
      <c r="AL136" s="14" t="n"/>
      <c r="AM136" s="14" t="n"/>
      <c r="AN136" s="14" t="n"/>
      <c r="AO136" s="14" t="n"/>
      <c r="AP136" s="14" t="n"/>
      <c r="AQ136" s="14" t="n"/>
      <c r="AR136" s="14" t="n"/>
      <c r="AS136" s="14" t="n"/>
      <c r="AT136" s="14" t="n"/>
      <c r="AU136" s="14" t="n"/>
      <c r="AV136" s="14" t="n"/>
      <c r="AW136" s="14" t="n"/>
      <c r="AX136" s="14" t="n"/>
      <c r="AY136" s="14" t="n"/>
      <c r="AZ136" s="14" t="n"/>
      <c r="BA136" s="14" t="n"/>
      <c r="BB136" s="14" t="n"/>
      <c r="BC136" s="14" t="n"/>
      <c r="BD136" s="14" t="n"/>
      <c r="BE136" s="14" t="n"/>
    </row>
    <row r="137">
      <c r="A137" s="39" t="inlineStr">
        <is>
          <t>RL7-6MCC03</t>
        </is>
      </c>
      <c r="B137" s="8" t="inlineStr">
        <is>
          <t>13C</t>
        </is>
      </c>
      <c r="C137" s="24" t="inlineStr">
        <is>
          <t>SPACE</t>
        </is>
      </c>
      <c r="D137" s="28" t="inlineStr">
        <is>
          <t>12" SPACE</t>
        </is>
      </c>
      <c r="E137" s="29" t="inlineStr">
        <is>
          <t>SPACE</t>
        </is>
      </c>
      <c r="F137" s="8" t="n"/>
      <c r="G137" s="8" t="n"/>
      <c r="H137" s="87" t="n"/>
      <c r="I137" s="8" t="n"/>
      <c r="J137" s="83">
        <f>IF(ISNUMBER(MCC_Table[[#This Row],[SIZE]]), MCC_Table[[#This Row],[SIZE]]/12, 0)</f>
        <v/>
      </c>
      <c r="K137" s="87" t="n">
        <v>60</v>
      </c>
      <c r="L137" s="8" t="n">
        <v>125</v>
      </c>
      <c r="M137" s="82" t="n">
        <v>45</v>
      </c>
      <c r="N137" s="82" t="n"/>
      <c r="O137" s="236" t="n"/>
      <c r="P137" s="85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  <c r="Z137" s="79" t="n"/>
      <c r="AA137" s="79" t="n"/>
      <c r="AB137" s="225" t="inlineStr">
        <is>
          <t>Oneline_Feeder_Panel</t>
        </is>
      </c>
      <c r="AC137" s="225" t="inlineStr">
        <is>
          <t>Feeder_Space</t>
        </is>
      </c>
      <c r="AD137" s="225" t="n"/>
      <c r="AE137" s="8">
        <f>_xlfn.NUMBERVALUE(LEFT(MCC_Table[[#This Row],[BUCKET]],LEN(MCC_Table[[#This Row],[BUCKET]])-1))</f>
        <v/>
      </c>
      <c r="AF137" s="8">
        <f>RIGHT(MCC_Table[[#This Row],[BUCKET]],1)</f>
        <v/>
      </c>
      <c r="AG137" s="8">
        <f>VLOOKUP(MCC_Table[[#This Row],[START UNIT]],UnitMap[],2,FALSE)</f>
        <v/>
      </c>
      <c r="AH137" s="8">
        <f t="array" ref="AH13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37" s="8">
        <f>IF(ISNUMBER(MCC_Table[[#This Row],[SIZE]]), MCC_Table[[#This Row],[SIZE]]/6, 0)</f>
        <v/>
      </c>
      <c r="AJ137" s="8">
        <f>MCC_Table[[#This Row],[START INDEX]]+MCC_Table[[#This Row],[UNITS USED]]-1</f>
        <v/>
      </c>
      <c r="AK137" s="14" t="n"/>
      <c r="AL137" s="14" t="n"/>
      <c r="AM137" s="14" t="n"/>
      <c r="AN137" s="14" t="n"/>
      <c r="AO137" s="14" t="n"/>
      <c r="AP137" s="14" t="n"/>
      <c r="AQ137" s="14" t="n"/>
      <c r="AR137" s="14" t="n"/>
      <c r="AS137" s="14" t="n"/>
      <c r="AT137" s="14" t="n"/>
      <c r="AU137" s="14" t="n"/>
      <c r="AV137" s="14" t="n"/>
      <c r="AW137" s="14" t="n"/>
      <c r="AX137" s="14" t="n"/>
      <c r="AY137" s="14" t="n"/>
      <c r="AZ137" s="14" t="n"/>
      <c r="BA137" s="14" t="n"/>
      <c r="BB137" s="14" t="n"/>
      <c r="BC137" s="14" t="n"/>
      <c r="BD137" s="14" t="n"/>
      <c r="BE137" s="14" t="n"/>
    </row>
    <row r="138">
      <c r="A138" s="39" t="inlineStr">
        <is>
          <t>RL7-6MCC03</t>
        </is>
      </c>
      <c r="B138" s="8" t="inlineStr">
        <is>
          <t>13E</t>
        </is>
      </c>
      <c r="C138" s="8" t="inlineStr">
        <is>
          <t>RL7-FTR-205.M1</t>
        </is>
      </c>
      <c r="D138" s="103" t="inlineStr">
        <is>
          <t xml:space="preserve">SERPENTINE ZONE 2A FILTER </t>
        </is>
      </c>
      <c r="E138" s="29" t="inlineStr">
        <is>
          <t>VFD_PF755</t>
        </is>
      </c>
      <c r="F138" s="8" t="n">
        <v>1</v>
      </c>
      <c r="G138" s="8" t="n">
        <v>2</v>
      </c>
      <c r="H138" s="82" t="n">
        <v>3.4</v>
      </c>
      <c r="I138" s="8" t="n"/>
      <c r="J138" s="83">
        <f>IF(ISNUMBER(MCC_Table[[#This Row],[SIZE]]), MCC_Table[[#This Row],[SIZE]]/12, 0)</f>
        <v/>
      </c>
      <c r="K138" s="87" t="n">
        <v>15</v>
      </c>
      <c r="L138" s="8" t="n">
        <v>125</v>
      </c>
      <c r="M138" s="82" t="n">
        <v>6</v>
      </c>
      <c r="N138" s="82" t="inlineStr">
        <is>
          <t>3/C #12 VFD CABLE</t>
        </is>
      </c>
      <c r="O138" s="236" t="n"/>
      <c r="P138" s="85" t="n"/>
      <c r="Q138" s="79" t="n"/>
      <c r="R138" s="79" t="n"/>
      <c r="S138" s="79" t="n"/>
      <c r="T138" s="79" t="n"/>
      <c r="U138" s="79" t="n"/>
      <c r="V138" s="79" t="n"/>
      <c r="W138" s="79" t="n"/>
      <c r="X138" s="79" t="n"/>
      <c r="Y138" s="79" t="n"/>
      <c r="Z138" s="79" t="n"/>
      <c r="AA138" s="79" t="n"/>
      <c r="AB138" s="225" t="inlineStr">
        <is>
          <t>Oneline_Motor</t>
        </is>
      </c>
      <c r="AC138" s="225" t="inlineStr">
        <is>
          <t>Motor_VFD-w-Fuse</t>
        </is>
      </c>
      <c r="AD138" s="224" t="inlineStr">
        <is>
          <t>Motor w/ Disc</t>
        </is>
      </c>
      <c r="AE138" s="8">
        <f>_xlfn.NUMBERVALUE(LEFT(MCC_Table[[#This Row],[BUCKET]],LEN(MCC_Table[[#This Row],[BUCKET]])-1))</f>
        <v/>
      </c>
      <c r="AF138" s="8">
        <f>RIGHT(MCC_Table[[#This Row],[BUCKET]],1)</f>
        <v/>
      </c>
      <c r="AG138" s="8">
        <f>VLOOKUP(MCC_Table[[#This Row],[START UNIT]],UnitMap[],2,FALSE)</f>
        <v/>
      </c>
      <c r="AH138" s="8">
        <f t="array" ref="AH13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38" s="8">
        <f>IF(ISNUMBER(MCC_Table[[#This Row],[SIZE]]), MCC_Table[[#This Row],[SIZE]]/6, 0)</f>
        <v/>
      </c>
      <c r="AJ138" s="8">
        <f>MCC_Table[[#This Row],[START INDEX]]+MCC_Table[[#This Row],[UNITS USED]]-1</f>
        <v/>
      </c>
      <c r="AK138" s="14" t="n"/>
      <c r="AL138" s="14" t="n"/>
      <c r="AM138" s="14" t="n"/>
      <c r="AN138" s="14" t="n"/>
      <c r="AO138" s="14" t="n"/>
      <c r="AP138" s="14" t="n"/>
      <c r="AQ138" s="14" t="n"/>
      <c r="AR138" s="14" t="n"/>
      <c r="AS138" s="14" t="n"/>
      <c r="AT138" s="14" t="n"/>
      <c r="AU138" s="14" t="n"/>
      <c r="AV138" s="14" t="n"/>
      <c r="AW138" s="14" t="n"/>
      <c r="AX138" s="14" t="n"/>
      <c r="AY138" s="14" t="n"/>
      <c r="AZ138" s="14" t="n"/>
      <c r="BA138" s="14" t="n"/>
      <c r="BB138" s="14" t="n"/>
      <c r="BC138" s="14" t="n"/>
      <c r="BD138" s="14" t="n"/>
      <c r="BE138" s="14" t="n"/>
    </row>
    <row r="139">
      <c r="A139" s="39" t="inlineStr">
        <is>
          <t>RL7-6MCC03</t>
        </is>
      </c>
      <c r="B139" s="8" t="inlineStr">
        <is>
          <t>13J</t>
        </is>
      </c>
      <c r="C139" s="8" t="inlineStr">
        <is>
          <t>RL7-FTR-207.M1</t>
        </is>
      </c>
      <c r="D139" s="103" t="inlineStr">
        <is>
          <t>SERPENTINE ZONE 2B FILTER</t>
        </is>
      </c>
      <c r="E139" s="29" t="inlineStr">
        <is>
          <t>VFD_PF755</t>
        </is>
      </c>
      <c r="F139" s="8" t="n">
        <v>1</v>
      </c>
      <c r="G139" s="8" t="n">
        <v>2</v>
      </c>
      <c r="H139" s="82" t="n">
        <v>3.4</v>
      </c>
      <c r="I139" s="8" t="n"/>
      <c r="J139" s="83">
        <f>IF(ISNUMBER(MCC_Table[[#This Row],[SIZE]]), MCC_Table[[#This Row],[SIZE]]/12, 0)</f>
        <v/>
      </c>
      <c r="K139" s="87" t="n">
        <v>15</v>
      </c>
      <c r="L139" s="8" t="n">
        <v>125</v>
      </c>
      <c r="M139" s="82" t="n">
        <v>6</v>
      </c>
      <c r="N139" s="82" t="inlineStr">
        <is>
          <t>3/C #12 VFD CABLE</t>
        </is>
      </c>
      <c r="O139" s="236" t="n"/>
      <c r="P139" s="85" t="n"/>
      <c r="Q139" s="79" t="n"/>
      <c r="R139" s="79" t="n"/>
      <c r="S139" s="79" t="n"/>
      <c r="T139" s="79" t="n"/>
      <c r="U139" s="79" t="n"/>
      <c r="V139" s="79" t="n"/>
      <c r="W139" s="79" t="n"/>
      <c r="X139" s="79" t="n"/>
      <c r="Y139" s="79" t="n"/>
      <c r="Z139" s="79" t="n"/>
      <c r="AA139" s="79" t="n"/>
      <c r="AB139" s="225" t="inlineStr">
        <is>
          <t>Oneline_Motor</t>
        </is>
      </c>
      <c r="AC139" s="225" t="inlineStr">
        <is>
          <t>Motor_VFD-w-Fuse</t>
        </is>
      </c>
      <c r="AD139" s="224" t="inlineStr">
        <is>
          <t>Motor w/ Disc</t>
        </is>
      </c>
      <c r="AE139" s="8">
        <f>_xlfn.NUMBERVALUE(LEFT(MCC_Table[[#This Row],[BUCKET]],LEN(MCC_Table[[#This Row],[BUCKET]])-1))</f>
        <v/>
      </c>
      <c r="AF139" s="8">
        <f>RIGHT(MCC_Table[[#This Row],[BUCKET]],1)</f>
        <v/>
      </c>
      <c r="AG139" s="8">
        <f>VLOOKUP(MCC_Table[[#This Row],[START UNIT]],UnitMap[],2,FALSE)</f>
        <v/>
      </c>
      <c r="AH139" s="8">
        <f t="array" ref="AH13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39" s="8">
        <f>IF(ISNUMBER(MCC_Table[[#This Row],[SIZE]]), MCC_Table[[#This Row],[SIZE]]/6, 0)</f>
        <v/>
      </c>
      <c r="AJ139" s="8">
        <f>MCC_Table[[#This Row],[START INDEX]]+MCC_Table[[#This Row],[UNITS USED]]-1</f>
        <v/>
      </c>
      <c r="AK139" s="14" t="n"/>
      <c r="AL139" s="14" t="n"/>
      <c r="AM139" s="14" t="n"/>
      <c r="AN139" s="14" t="n"/>
      <c r="AO139" s="14" t="n"/>
      <c r="AP139" s="14" t="n"/>
      <c r="AQ139" s="14" t="n"/>
      <c r="AR139" s="14" t="n"/>
      <c r="AS139" s="14" t="n"/>
      <c r="AT139" s="14" t="n"/>
      <c r="AU139" s="14" t="n"/>
      <c r="AV139" s="14" t="n"/>
      <c r="AW139" s="14" t="n"/>
      <c r="AX139" s="14" t="n"/>
      <c r="AY139" s="14" t="n"/>
      <c r="AZ139" s="14" t="n"/>
      <c r="BA139" s="14" t="n"/>
      <c r="BB139" s="14" t="n"/>
      <c r="BC139" s="14" t="n"/>
      <c r="BD139" s="14" t="n"/>
      <c r="BE139" s="14" t="n"/>
    </row>
    <row r="140">
      <c r="A140" s="39" t="inlineStr">
        <is>
          <t>RL7-6MCC03</t>
        </is>
      </c>
      <c r="B140" s="29" t="inlineStr">
        <is>
          <t>14A</t>
        </is>
      </c>
      <c r="C140" s="24" t="inlineStr">
        <is>
          <t>SPARE</t>
        </is>
      </c>
      <c r="D140" s="62" t="inlineStr">
        <is>
          <t>VFD - 1HP</t>
        </is>
      </c>
      <c r="E140" s="24" t="inlineStr">
        <is>
          <t>SPARE</t>
        </is>
      </c>
      <c r="F140" s="8" t="n"/>
      <c r="G140" s="8" t="n">
        <v>1</v>
      </c>
      <c r="H140" s="82" t="n">
        <v>2.1</v>
      </c>
      <c r="I140" s="8" t="n"/>
      <c r="J140" s="80">
        <f>IF(ISNUMBER(MCC_Table[[#This Row],[SIZE]]), MCC_Table[[#This Row],[SIZE]]/12, 0)</f>
        <v/>
      </c>
      <c r="K140" s="87" t="n"/>
      <c r="L140" s="8" t="n"/>
      <c r="M140" s="82" t="n"/>
      <c r="N140" s="82" t="n"/>
      <c r="O140" s="236" t="n"/>
      <c r="P140" s="78" t="n"/>
      <c r="Q140" s="79" t="n"/>
      <c r="R140" s="79" t="n"/>
      <c r="S140" s="79" t="n"/>
      <c r="T140" s="79" t="n"/>
      <c r="U140" s="79" t="n"/>
      <c r="V140" s="79" t="n"/>
      <c r="W140" s="79" t="n"/>
      <c r="X140" s="79" t="n"/>
      <c r="Y140" s="79" t="n"/>
      <c r="Z140" s="79" t="n"/>
      <c r="AA140" s="79" t="n"/>
      <c r="AB140" s="225" t="inlineStr">
        <is>
          <t>Oneline_Ensw</t>
        </is>
      </c>
      <c r="AC140" s="225" t="inlineStr">
        <is>
          <t>Switch_20-Port</t>
        </is>
      </c>
      <c r="AD140" s="225" t="n"/>
      <c r="AE140" s="29">
        <f>_xlfn.NUMBERVALUE(LEFT(MCC_Table[[#This Row],[BUCKET]],LEN(MCC_Table[[#This Row],[BUCKET]])-1))</f>
        <v/>
      </c>
      <c r="AF140" s="29">
        <f>RIGHT(MCC_Table[[#This Row],[BUCKET]],1)</f>
        <v/>
      </c>
      <c r="AG140" s="29">
        <f>VLOOKUP(MCC_Table[[#This Row],[START UNIT]],UnitMap[],2,FALSE)</f>
        <v/>
      </c>
      <c r="AH140" s="29">
        <f t="array" ref="AH14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40" s="29">
        <f>IF(ISNUMBER(MCC_Table[[#This Row],[SIZE]]), MCC_Table[[#This Row],[SIZE]]/6, 0)</f>
        <v/>
      </c>
      <c r="AJ140" s="29">
        <f>MCC_Table[[#This Row],[START INDEX]]+MCC_Table[[#This Row],[UNITS USED]]-1</f>
        <v/>
      </c>
      <c r="AK140" s="14" t="n"/>
      <c r="AL140" s="14" t="n"/>
      <c r="AM140" s="14" t="n"/>
      <c r="AN140" s="14" t="n"/>
      <c r="AO140" s="14" t="n"/>
      <c r="AP140" s="14" t="n"/>
      <c r="AQ140" s="14" t="n"/>
      <c r="AR140" s="14" t="n"/>
      <c r="AS140" s="14" t="n"/>
      <c r="AT140" s="14" t="n"/>
      <c r="AU140" s="14" t="n"/>
      <c r="AV140" s="14" t="n"/>
      <c r="AW140" s="14" t="n"/>
      <c r="AX140" s="14" t="n"/>
      <c r="AY140" s="14" t="n"/>
      <c r="AZ140" s="14" t="n"/>
      <c r="BA140" s="14" t="n"/>
      <c r="BB140" s="14" t="n"/>
      <c r="BC140" s="14" t="n"/>
      <c r="BD140" s="14" t="n"/>
      <c r="BE140" s="14" t="n"/>
    </row>
    <row r="141">
      <c r="A141" s="39" t="inlineStr">
        <is>
          <t>RL7-6MCC03</t>
        </is>
      </c>
      <c r="B141" s="29" t="inlineStr">
        <is>
          <t>14E</t>
        </is>
      </c>
      <c r="C141" s="24" t="inlineStr">
        <is>
          <t>SPARE</t>
        </is>
      </c>
      <c r="D141" s="62" t="inlineStr">
        <is>
          <t>VFD - 1HP</t>
        </is>
      </c>
      <c r="E141" s="24" t="inlineStr">
        <is>
          <t>SPARE</t>
        </is>
      </c>
      <c r="F141" s="8" t="n"/>
      <c r="G141" s="8" t="n">
        <v>1</v>
      </c>
      <c r="H141" s="82" t="n">
        <v>2.1</v>
      </c>
      <c r="I141" s="8" t="n"/>
      <c r="J141" s="80">
        <f>IF(ISNUMBER(MCC_Table[[#This Row],[SIZE]]), MCC_Table[[#This Row],[SIZE]]/12, 0)</f>
        <v/>
      </c>
      <c r="K141" s="87" t="n"/>
      <c r="L141" s="8" t="n"/>
      <c r="M141" s="82" t="n"/>
      <c r="N141" s="82" t="n"/>
      <c r="O141" s="236" t="n"/>
      <c r="P141" s="78" t="n"/>
      <c r="Q141" s="79" t="n"/>
      <c r="R141" s="79" t="n"/>
      <c r="S141" s="79" t="n"/>
      <c r="T141" s="79" t="n"/>
      <c r="U141" s="79" t="n"/>
      <c r="V141" s="79" t="n"/>
      <c r="W141" s="79" t="n"/>
      <c r="X141" s="79" t="n"/>
      <c r="Y141" s="79" t="n"/>
      <c r="Z141" s="79" t="n"/>
      <c r="AA141" s="79" t="n"/>
      <c r="AB141" s="225" t="inlineStr">
        <is>
          <t>Oneline_Ensw</t>
        </is>
      </c>
      <c r="AC141" s="225" t="inlineStr">
        <is>
          <t>Switch_20-Port</t>
        </is>
      </c>
      <c r="AD141" s="225" t="n"/>
      <c r="AE141" s="29">
        <f>_xlfn.NUMBERVALUE(LEFT(MCC_Table[[#This Row],[BUCKET]],LEN(MCC_Table[[#This Row],[BUCKET]])-1))</f>
        <v/>
      </c>
      <c r="AF141" s="29">
        <f>RIGHT(MCC_Table[[#This Row],[BUCKET]],1)</f>
        <v/>
      </c>
      <c r="AG141" s="29">
        <f>VLOOKUP(MCC_Table[[#This Row],[START UNIT]],UnitMap[],2,FALSE)</f>
        <v/>
      </c>
      <c r="AH141" s="29">
        <f t="array" ref="AH14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41" s="29">
        <f>IF(ISNUMBER(MCC_Table[[#This Row],[SIZE]]), MCC_Table[[#This Row],[SIZE]]/6, 0)</f>
        <v/>
      </c>
      <c r="AJ141" s="29">
        <f>MCC_Table[[#This Row],[START INDEX]]+MCC_Table[[#This Row],[UNITS USED]]-1</f>
        <v/>
      </c>
      <c r="AK141" s="14" t="n"/>
      <c r="AL141" s="14" t="n"/>
      <c r="AM141" s="14" t="n"/>
      <c r="AN141" s="14" t="n"/>
      <c r="AO141" s="14" t="n"/>
      <c r="AP141" s="14" t="n"/>
      <c r="AQ141" s="14" t="n"/>
      <c r="AR141" s="14" t="n"/>
      <c r="AS141" s="14" t="n"/>
      <c r="AT141" s="14" t="n"/>
      <c r="AU141" s="14" t="n"/>
      <c r="AV141" s="14" t="n"/>
      <c r="AW141" s="14" t="n"/>
      <c r="AX141" s="14" t="n"/>
      <c r="AY141" s="14" t="n"/>
      <c r="AZ141" s="14" t="n"/>
      <c r="BA141" s="14" t="n"/>
      <c r="BB141" s="14" t="n"/>
      <c r="BC141" s="14" t="n"/>
      <c r="BD141" s="14" t="n"/>
      <c r="BE141" s="14" t="n"/>
    </row>
    <row r="142">
      <c r="A142" s="39" t="inlineStr">
        <is>
          <t>RL7-6MCC03</t>
        </is>
      </c>
      <c r="B142" s="29" t="inlineStr">
        <is>
          <t>14J</t>
        </is>
      </c>
      <c r="C142" s="24" t="inlineStr">
        <is>
          <t>SPARE</t>
        </is>
      </c>
      <c r="D142" s="62" t="inlineStr">
        <is>
          <t>VFD - 1HP</t>
        </is>
      </c>
      <c r="E142" s="24" t="inlineStr">
        <is>
          <t>SPARE</t>
        </is>
      </c>
      <c r="F142" s="8" t="n"/>
      <c r="G142" s="8" t="n">
        <v>1</v>
      </c>
      <c r="H142" s="82" t="n">
        <v>2.1</v>
      </c>
      <c r="I142" s="8" t="n"/>
      <c r="J142" s="80">
        <f>IF(ISNUMBER(MCC_Table[[#This Row],[SIZE]]), MCC_Table[[#This Row],[SIZE]]/12, 0)</f>
        <v/>
      </c>
      <c r="K142" s="87" t="n"/>
      <c r="L142" s="8" t="n"/>
      <c r="M142" s="82" t="n"/>
      <c r="N142" s="82" t="n"/>
      <c r="O142" s="236" t="n"/>
      <c r="P142" s="78" t="n"/>
      <c r="Q142" s="79" t="n"/>
      <c r="R142" s="79" t="n"/>
      <c r="S142" s="79" t="n"/>
      <c r="T142" s="79" t="n"/>
      <c r="U142" s="79" t="n"/>
      <c r="V142" s="79" t="n"/>
      <c r="W142" s="79" t="n"/>
      <c r="X142" s="79" t="n"/>
      <c r="Y142" s="79" t="n"/>
      <c r="Z142" s="79" t="n"/>
      <c r="AA142" s="79" t="n"/>
      <c r="AB142" s="225" t="inlineStr">
        <is>
          <t>Oneline_Ensw</t>
        </is>
      </c>
      <c r="AC142" s="225" t="inlineStr">
        <is>
          <t>Switch_20-Port</t>
        </is>
      </c>
      <c r="AD142" s="225" t="n"/>
      <c r="AE142" s="29">
        <f>_xlfn.NUMBERVALUE(LEFT(MCC_Table[[#This Row],[BUCKET]],LEN(MCC_Table[[#This Row],[BUCKET]])-1))</f>
        <v/>
      </c>
      <c r="AF142" s="29">
        <f>RIGHT(MCC_Table[[#This Row],[BUCKET]],1)</f>
        <v/>
      </c>
      <c r="AG142" s="29">
        <f>VLOOKUP(MCC_Table[[#This Row],[START UNIT]],UnitMap[],2,FALSE)</f>
        <v/>
      </c>
      <c r="AH142" s="29">
        <f t="array" ref="AH14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42" s="29">
        <f>IF(ISNUMBER(MCC_Table[[#This Row],[SIZE]]), MCC_Table[[#This Row],[SIZE]]/6, 0)</f>
        <v/>
      </c>
      <c r="AJ142" s="29">
        <f>MCC_Table[[#This Row],[START INDEX]]+MCC_Table[[#This Row],[UNITS USED]]-1</f>
        <v/>
      </c>
      <c r="AK142" s="14" t="n"/>
      <c r="AL142" s="14" t="n"/>
      <c r="AM142" s="14" t="n"/>
      <c r="AN142" s="14" t="n"/>
      <c r="AO142" s="14" t="n"/>
      <c r="AP142" s="14" t="n"/>
      <c r="AQ142" s="14" t="n"/>
      <c r="AR142" s="14" t="n"/>
      <c r="AS142" s="14" t="n"/>
      <c r="AT142" s="14" t="n"/>
      <c r="AU142" s="14" t="n"/>
      <c r="AV142" s="14" t="n"/>
      <c r="AW142" s="14" t="n"/>
      <c r="AX142" s="14" t="n"/>
      <c r="AY142" s="14" t="n"/>
      <c r="AZ142" s="14" t="n"/>
      <c r="BA142" s="14" t="n"/>
      <c r="BB142" s="14" t="n"/>
      <c r="BC142" s="14" t="n"/>
      <c r="BD142" s="14" t="n"/>
      <c r="BE142" s="14" t="n"/>
    </row>
    <row r="143">
      <c r="A143" s="39" t="inlineStr">
        <is>
          <t>RL7-6MCC03</t>
        </is>
      </c>
      <c r="B143" s="8" t="inlineStr">
        <is>
          <t>15A</t>
        </is>
      </c>
      <c r="C143" s="24" t="inlineStr">
        <is>
          <t>RL7-CNV-402.M1</t>
        </is>
      </c>
      <c r="D143" s="28" t="inlineStr">
        <is>
          <t>METERING CONVEYOR 1</t>
        </is>
      </c>
      <c r="E143" s="29" t="inlineStr">
        <is>
          <t>VFD_PF755</t>
        </is>
      </c>
      <c r="F143" s="8" t="n">
        <v>0.5</v>
      </c>
      <c r="G143" s="8" t="n">
        <v>1</v>
      </c>
      <c r="H143" s="82" t="n">
        <v>2.1</v>
      </c>
      <c r="I143" s="8" t="n"/>
      <c r="J143" s="83">
        <f>IF(ISNUMBER(MCC_Table[[#This Row],[SIZE]]), MCC_Table[[#This Row],[SIZE]]/12, 0)</f>
        <v/>
      </c>
      <c r="K143" s="87" t="n">
        <v>15</v>
      </c>
      <c r="L143" s="8" t="n">
        <v>125</v>
      </c>
      <c r="M143" s="82" t="n">
        <v>3</v>
      </c>
      <c r="N143" s="82" t="inlineStr">
        <is>
          <t>3/C #12 VFD CABLE</t>
        </is>
      </c>
      <c r="O143" s="236" t="n"/>
      <c r="P143" s="85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  <c r="Z143" s="79" t="n"/>
      <c r="AA143" s="79" t="n"/>
      <c r="AB143" s="225" t="inlineStr">
        <is>
          <t>Oneline_Motor</t>
        </is>
      </c>
      <c r="AC143" s="225" t="inlineStr">
        <is>
          <t>Motor_VFD-w-Fuse</t>
        </is>
      </c>
      <c r="AD143" s="224" t="inlineStr">
        <is>
          <t>Motor w/ Disc</t>
        </is>
      </c>
      <c r="AE143" s="8">
        <f>_xlfn.NUMBERVALUE(LEFT(MCC_Table[[#This Row],[BUCKET]],LEN(MCC_Table[[#This Row],[BUCKET]])-1))</f>
        <v/>
      </c>
      <c r="AF143" s="8">
        <f>RIGHT(MCC_Table[[#This Row],[BUCKET]],1)</f>
        <v/>
      </c>
      <c r="AG143" s="8">
        <f>VLOOKUP(MCC_Table[[#This Row],[START UNIT]],UnitMap[],2,FALSE)</f>
        <v/>
      </c>
      <c r="AH143" s="8">
        <f t="array" ref="AH14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43" s="8">
        <f>IF(ISNUMBER(MCC_Table[[#This Row],[SIZE]]), MCC_Table[[#This Row],[SIZE]]/6, 0)</f>
        <v/>
      </c>
      <c r="AJ143" s="8">
        <f>MCC_Table[[#This Row],[START INDEX]]+MCC_Table[[#This Row],[UNITS USED]]-1</f>
        <v/>
      </c>
      <c r="AK143" s="14" t="n"/>
      <c r="AL143" s="14" t="n"/>
      <c r="AM143" s="14" t="n"/>
      <c r="AN143" s="14" t="n"/>
      <c r="AO143" s="14" t="n"/>
      <c r="AP143" s="14" t="n"/>
      <c r="AQ143" s="14" t="n"/>
      <c r="AR143" s="14" t="n"/>
      <c r="AS143" s="14" t="n"/>
      <c r="AT143" s="14" t="n"/>
      <c r="AU143" s="14" t="n"/>
      <c r="AV143" s="14" t="n"/>
      <c r="AW143" s="14" t="n"/>
      <c r="AX143" s="14" t="n"/>
      <c r="AY143" s="14" t="n"/>
      <c r="AZ143" s="14" t="n"/>
      <c r="BA143" s="14" t="n"/>
      <c r="BB143" s="14" t="n"/>
      <c r="BC143" s="14" t="n"/>
      <c r="BD143" s="14" t="n"/>
      <c r="BE143" s="14" t="n"/>
    </row>
    <row r="144">
      <c r="A144" s="39" t="inlineStr">
        <is>
          <t>RL7-6MCC03</t>
        </is>
      </c>
      <c r="B144" s="8" t="inlineStr">
        <is>
          <t>15E</t>
        </is>
      </c>
      <c r="C144" s="24" t="inlineStr">
        <is>
          <t>RL7-CNV-401.M1</t>
        </is>
      </c>
      <c r="D144" s="28" t="inlineStr">
        <is>
          <t>INSPECTION CONVEYOR</t>
        </is>
      </c>
      <c r="E144" s="29" t="inlineStr">
        <is>
          <t>VFD_PF755</t>
        </is>
      </c>
      <c r="F144" s="8" t="n">
        <v>0.5</v>
      </c>
      <c r="G144" s="8" t="n">
        <v>1</v>
      </c>
      <c r="H144" s="82" t="n">
        <v>2.1</v>
      </c>
      <c r="I144" s="8" t="n"/>
      <c r="J144" s="83">
        <f>IF(ISNUMBER(MCC_Table[[#This Row],[SIZE]]), MCC_Table[[#This Row],[SIZE]]/12, 0)</f>
        <v/>
      </c>
      <c r="K144" s="87" t="n">
        <v>15</v>
      </c>
      <c r="L144" s="8" t="n">
        <v>125</v>
      </c>
      <c r="M144" s="82" t="n">
        <v>3</v>
      </c>
      <c r="N144" s="82" t="inlineStr">
        <is>
          <t>3/C #12 VFD CABLE</t>
        </is>
      </c>
      <c r="O144" s="236" t="n"/>
      <c r="P144" s="85" t="n"/>
      <c r="Q144" s="79" t="n"/>
      <c r="R144" s="79" t="n"/>
      <c r="S144" s="79" t="n"/>
      <c r="T144" s="79" t="n"/>
      <c r="U144" s="79" t="n"/>
      <c r="V144" s="79" t="n"/>
      <c r="W144" s="79" t="n"/>
      <c r="X144" s="79" t="n"/>
      <c r="Y144" s="79" t="n"/>
      <c r="Z144" s="79" t="n"/>
      <c r="AA144" s="79" t="n"/>
      <c r="AB144" s="225" t="inlineStr">
        <is>
          <t>Oneline_Motor</t>
        </is>
      </c>
      <c r="AC144" s="225" t="inlineStr">
        <is>
          <t>Motor_VFD-w-Fuse</t>
        </is>
      </c>
      <c r="AD144" s="224" t="inlineStr">
        <is>
          <t>Motor w/ Disc</t>
        </is>
      </c>
      <c r="AE144" s="8">
        <f>_xlfn.NUMBERVALUE(LEFT(MCC_Table[[#This Row],[BUCKET]],LEN(MCC_Table[[#This Row],[BUCKET]])-1))</f>
        <v/>
      </c>
      <c r="AF144" s="8">
        <f>RIGHT(MCC_Table[[#This Row],[BUCKET]],1)</f>
        <v/>
      </c>
      <c r="AG144" s="8">
        <f>VLOOKUP(MCC_Table[[#This Row],[START UNIT]],UnitMap[],2,FALSE)</f>
        <v/>
      </c>
      <c r="AH144" s="8">
        <f t="array" ref="AH14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44" s="8">
        <f>IF(ISNUMBER(MCC_Table[[#This Row],[SIZE]]), MCC_Table[[#This Row],[SIZE]]/6, 0)</f>
        <v/>
      </c>
      <c r="AJ144" s="8">
        <f>MCC_Table[[#This Row],[START INDEX]]+MCC_Table[[#This Row],[UNITS USED]]-1</f>
        <v/>
      </c>
      <c r="AK144" s="14" t="n"/>
      <c r="AL144" s="14" t="n"/>
      <c r="AM144" s="14" t="n"/>
      <c r="AN144" s="14" t="n"/>
      <c r="AO144" s="14" t="n"/>
      <c r="AP144" s="14" t="n"/>
      <c r="AQ144" s="14" t="n"/>
      <c r="AR144" s="14" t="n"/>
      <c r="AS144" s="14" t="n"/>
      <c r="AT144" s="14" t="n"/>
      <c r="AU144" s="14" t="n"/>
      <c r="AV144" s="14" t="n"/>
      <c r="AW144" s="14" t="n"/>
      <c r="AX144" s="14" t="n"/>
      <c r="AY144" s="14" t="n"/>
      <c r="AZ144" s="14" t="n"/>
      <c r="BA144" s="14" t="n"/>
      <c r="BB144" s="14" t="n"/>
      <c r="BC144" s="14" t="n"/>
      <c r="BD144" s="14" t="n"/>
      <c r="BE144" s="14" t="n"/>
    </row>
    <row r="145">
      <c r="A145" s="39" t="inlineStr">
        <is>
          <t>RL7-6MCC03</t>
        </is>
      </c>
      <c r="B145" s="8" t="inlineStr">
        <is>
          <t>15J</t>
        </is>
      </c>
      <c r="C145" s="24" t="inlineStr">
        <is>
          <t>RL7-CNV-206.M1</t>
        </is>
      </c>
      <c r="D145" s="28" t="inlineStr">
        <is>
          <t>SERPENTINE DISCHARGE CONVEYOR 2</t>
        </is>
      </c>
      <c r="E145" s="29" t="inlineStr">
        <is>
          <t>VFD_PF755</t>
        </is>
      </c>
      <c r="F145" s="8" t="n">
        <v>0.5</v>
      </c>
      <c r="G145" s="8" t="n">
        <v>1</v>
      </c>
      <c r="H145" s="82" t="n">
        <v>2.1</v>
      </c>
      <c r="I145" s="8" t="n"/>
      <c r="J145" s="83">
        <f>IF(ISNUMBER(MCC_Table[[#This Row],[SIZE]]), MCC_Table[[#This Row],[SIZE]]/12, 0)</f>
        <v/>
      </c>
      <c r="K145" s="87" t="n">
        <v>15</v>
      </c>
      <c r="L145" s="8" t="n">
        <v>125</v>
      </c>
      <c r="M145" s="82" t="n">
        <v>3</v>
      </c>
      <c r="N145" s="82" t="inlineStr">
        <is>
          <t>3/C #12 VFD CABLE</t>
        </is>
      </c>
      <c r="O145" s="236" t="n"/>
      <c r="P145" s="85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  <c r="Z145" s="79" t="n"/>
      <c r="AA145" s="79" t="n"/>
      <c r="AB145" s="225" t="inlineStr">
        <is>
          <t>Oneline_Motor</t>
        </is>
      </c>
      <c r="AC145" s="225" t="inlineStr">
        <is>
          <t>Motor_VFD-w-Fuse</t>
        </is>
      </c>
      <c r="AD145" s="224" t="inlineStr">
        <is>
          <t>Motor w/ Disc</t>
        </is>
      </c>
      <c r="AE145" s="8">
        <f>_xlfn.NUMBERVALUE(LEFT(MCC_Table[[#This Row],[BUCKET]],LEN(MCC_Table[[#This Row],[BUCKET]])-1))</f>
        <v/>
      </c>
      <c r="AF145" s="8">
        <f>RIGHT(MCC_Table[[#This Row],[BUCKET]],1)</f>
        <v/>
      </c>
      <c r="AG145" s="8">
        <f>VLOOKUP(MCC_Table[[#This Row],[START UNIT]],UnitMap[],2,FALSE)</f>
        <v/>
      </c>
      <c r="AH145" s="8">
        <f t="array" ref="AH14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45" s="8">
        <f>IF(ISNUMBER(MCC_Table[[#This Row],[SIZE]]), MCC_Table[[#This Row],[SIZE]]/6, 0)</f>
        <v/>
      </c>
      <c r="AJ145" s="8">
        <f>MCC_Table[[#This Row],[START INDEX]]+MCC_Table[[#This Row],[UNITS USED]]-1</f>
        <v/>
      </c>
      <c r="AK145" s="14" t="n"/>
      <c r="AL145" s="14" t="n"/>
      <c r="AM145" s="14" t="n"/>
      <c r="AN145" s="14" t="n"/>
      <c r="AO145" s="14" t="n"/>
      <c r="AP145" s="14" t="n"/>
      <c r="AQ145" s="14" t="n"/>
      <c r="AR145" s="14" t="n"/>
      <c r="AS145" s="14" t="n"/>
      <c r="AT145" s="14" t="n"/>
      <c r="AU145" s="14" t="n"/>
      <c r="AV145" s="14" t="n"/>
      <c r="AW145" s="14" t="n"/>
      <c r="AX145" s="14" t="n"/>
      <c r="AY145" s="14" t="n"/>
      <c r="AZ145" s="14" t="n"/>
      <c r="BA145" s="14" t="n"/>
      <c r="BB145" s="14" t="n"/>
      <c r="BC145" s="14" t="n"/>
      <c r="BD145" s="14" t="n"/>
      <c r="BE145" s="14" t="n"/>
    </row>
    <row r="146">
      <c r="A146" s="39" t="inlineStr">
        <is>
          <t>RL7-6MCC03</t>
        </is>
      </c>
      <c r="B146" s="29" t="inlineStr">
        <is>
          <t>16A</t>
        </is>
      </c>
      <c r="C146" s="24" t="inlineStr">
        <is>
          <t>RL7-MCC3-16A.SW1</t>
        </is>
      </c>
      <c r="D146" s="62" t="inlineStr">
        <is>
          <t>ETHERNET SWITCH (20-PORT)</t>
        </is>
      </c>
      <c r="E146" s="24" t="inlineStr">
        <is>
          <t>ENET_20</t>
        </is>
      </c>
      <c r="F146" s="8" t="n"/>
      <c r="G146" s="8" t="n"/>
      <c r="H146" s="82" t="n"/>
      <c r="I146" s="8" t="n"/>
      <c r="J146" s="80">
        <f>IF(ISNUMBER(MCC_Table[[#This Row],[SIZE]]), MCC_Table[[#This Row],[SIZE]]/12, 0)</f>
        <v/>
      </c>
      <c r="K146" s="87" t="n"/>
      <c r="L146" s="8" t="n"/>
      <c r="M146" s="82" t="n"/>
      <c r="N146" s="82" t="n"/>
      <c r="O146" s="236" t="n"/>
      <c r="P146" s="78" t="n"/>
      <c r="Q146" s="79" t="n"/>
      <c r="R146" s="79" t="n"/>
      <c r="S146" s="79" t="n"/>
      <c r="T146" s="79" t="n"/>
      <c r="U146" s="79" t="n"/>
      <c r="V146" s="79" t="n"/>
      <c r="W146" s="79" t="n"/>
      <c r="X146" s="79" t="n"/>
      <c r="Y146" s="79" t="n"/>
      <c r="Z146" s="79" t="n"/>
      <c r="AA146" s="79" t="n"/>
      <c r="AB146" s="225" t="inlineStr">
        <is>
          <t>Oneline_Ensw</t>
        </is>
      </c>
      <c r="AC146" s="225" t="inlineStr">
        <is>
          <t>Switch_20-Port</t>
        </is>
      </c>
      <c r="AD146" s="225" t="n"/>
      <c r="AE146" s="29">
        <f>_xlfn.NUMBERVALUE(LEFT(MCC_Table[[#This Row],[BUCKET]],LEN(MCC_Table[[#This Row],[BUCKET]])-1))</f>
        <v/>
      </c>
      <c r="AF146" s="29">
        <f>RIGHT(MCC_Table[[#This Row],[BUCKET]],1)</f>
        <v/>
      </c>
      <c r="AG146" s="29">
        <f>VLOOKUP(MCC_Table[[#This Row],[START UNIT]],UnitMap[],2,FALSE)</f>
        <v/>
      </c>
      <c r="AH146" s="29">
        <f t="array" ref="AH14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46" s="29">
        <f>IF(ISNUMBER(MCC_Table[[#This Row],[SIZE]]), MCC_Table[[#This Row],[SIZE]]/6, 0)</f>
        <v/>
      </c>
      <c r="AJ146" s="29">
        <f>MCC_Table[[#This Row],[START INDEX]]+MCC_Table[[#This Row],[UNITS USED]]-1</f>
        <v/>
      </c>
      <c r="AK146" s="14" t="n"/>
      <c r="AL146" s="14" t="n"/>
      <c r="AM146" s="14" t="n"/>
      <c r="AN146" s="14" t="n"/>
      <c r="AO146" s="14" t="n"/>
      <c r="AP146" s="14" t="n"/>
      <c r="AQ146" s="14" t="n"/>
      <c r="AR146" s="14" t="n"/>
      <c r="AS146" s="14" t="n"/>
      <c r="AT146" s="14" t="n"/>
      <c r="AU146" s="14" t="n"/>
      <c r="AV146" s="14" t="n"/>
      <c r="AW146" s="14" t="n"/>
      <c r="AX146" s="14" t="n"/>
      <c r="AY146" s="14" t="n"/>
      <c r="AZ146" s="14" t="n"/>
      <c r="BA146" s="14" t="n"/>
      <c r="BB146" s="14" t="n"/>
      <c r="BC146" s="14" t="n"/>
      <c r="BD146" s="14" t="n"/>
      <c r="BE146" s="14" t="n"/>
    </row>
    <row r="147">
      <c r="A147" s="39" t="inlineStr">
        <is>
          <t>RL7-6MCC03</t>
        </is>
      </c>
      <c r="B147" s="8" t="inlineStr">
        <is>
          <t>16C</t>
        </is>
      </c>
      <c r="C147" s="24" t="inlineStr">
        <is>
          <t>RL7-CNV-404.M1</t>
        </is>
      </c>
      <c r="D147" s="28" t="inlineStr">
        <is>
          <t>CASE PACKER INFEED CONVEYOR</t>
        </is>
      </c>
      <c r="E147" s="29" t="inlineStr">
        <is>
          <t>VFD_PF755</t>
        </is>
      </c>
      <c r="F147" s="8" t="n">
        <v>1</v>
      </c>
      <c r="G147" s="8" t="n">
        <v>2</v>
      </c>
      <c r="H147" s="82" t="n">
        <v>3.4</v>
      </c>
      <c r="I147" s="8" t="n"/>
      <c r="J147" s="83">
        <f>IF(ISNUMBER(MCC_Table[[#This Row],[SIZE]]), MCC_Table[[#This Row],[SIZE]]/12, 0)</f>
        <v/>
      </c>
      <c r="K147" s="87" t="n">
        <v>15</v>
      </c>
      <c r="L147" s="8" t="n">
        <v>125</v>
      </c>
      <c r="M147" s="82" t="n">
        <v>3</v>
      </c>
      <c r="N147" s="82" t="inlineStr">
        <is>
          <t>3/C #12 VFD CABLE</t>
        </is>
      </c>
      <c r="O147" s="236" t="n"/>
      <c r="P147" s="85" t="n"/>
      <c r="Q147" s="79" t="n"/>
      <c r="R147" s="79" t="n"/>
      <c r="S147" s="79" t="n"/>
      <c r="T147" s="79" t="n"/>
      <c r="U147" s="79" t="n"/>
      <c r="V147" s="79" t="n"/>
      <c r="W147" s="79" t="n"/>
      <c r="X147" s="79" t="n"/>
      <c r="Y147" s="79" t="n"/>
      <c r="Z147" s="79" t="n"/>
      <c r="AA147" s="79" t="n"/>
      <c r="AB147" s="225" t="inlineStr">
        <is>
          <t>Oneline_Motor</t>
        </is>
      </c>
      <c r="AC147" s="225" t="inlineStr">
        <is>
          <t>Motor_VFD-w-Fuse</t>
        </is>
      </c>
      <c r="AD147" s="224" t="inlineStr">
        <is>
          <t>Motor w/ Disc</t>
        </is>
      </c>
      <c r="AE147" s="8">
        <f>_xlfn.NUMBERVALUE(LEFT(MCC_Table[[#This Row],[BUCKET]],LEN(MCC_Table[[#This Row],[BUCKET]])-1))</f>
        <v/>
      </c>
      <c r="AF147" s="8">
        <f>RIGHT(MCC_Table[[#This Row],[BUCKET]],1)</f>
        <v/>
      </c>
      <c r="AG147" s="8">
        <f>VLOOKUP(MCC_Table[[#This Row],[START UNIT]],UnitMap[],2,FALSE)</f>
        <v/>
      </c>
      <c r="AH147" s="8">
        <f t="array" ref="AH14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47" s="8">
        <f>IF(ISNUMBER(MCC_Table[[#This Row],[SIZE]]), MCC_Table[[#This Row],[SIZE]]/6, 0)</f>
        <v/>
      </c>
      <c r="AJ147" s="8">
        <f>MCC_Table[[#This Row],[START INDEX]]+MCC_Table[[#This Row],[UNITS USED]]-1</f>
        <v/>
      </c>
      <c r="AK147" s="14" t="n"/>
      <c r="AL147" s="14" t="n"/>
      <c r="AM147" s="14" t="n"/>
      <c r="AN147" s="14" t="n"/>
      <c r="AO147" s="14" t="n"/>
      <c r="AP147" s="14" t="n"/>
      <c r="AQ147" s="14" t="n"/>
      <c r="AR147" s="14" t="n"/>
      <c r="AS147" s="14" t="n"/>
      <c r="AT147" s="14" t="n"/>
      <c r="AU147" s="14" t="n"/>
      <c r="AV147" s="14" t="n"/>
      <c r="AW147" s="14" t="n"/>
      <c r="AX147" s="14" t="n"/>
      <c r="AY147" s="14" t="n"/>
      <c r="AZ147" s="14" t="n"/>
      <c r="BA147" s="14" t="n"/>
      <c r="BB147" s="14" t="n"/>
      <c r="BC147" s="14" t="n"/>
      <c r="BD147" s="14" t="n"/>
      <c r="BE147" s="14" t="n"/>
    </row>
    <row r="148" ht="15.75" customHeight="1" thickBot="1">
      <c r="A148" s="90" t="inlineStr">
        <is>
          <t>RL7-6MCC03</t>
        </is>
      </c>
      <c r="B148" s="91" t="inlineStr">
        <is>
          <t>16G</t>
        </is>
      </c>
      <c r="C148" s="92" t="inlineStr">
        <is>
          <t>RL7-FAN-201.M1</t>
        </is>
      </c>
      <c r="D148" s="93" t="inlineStr">
        <is>
          <t>AIR KNIFE BLOWER</t>
        </is>
      </c>
      <c r="E148" s="94" t="inlineStr">
        <is>
          <t>VFD_PF755</t>
        </is>
      </c>
      <c r="F148" s="91" t="n">
        <v>15</v>
      </c>
      <c r="G148" s="91" t="n">
        <v>15</v>
      </c>
      <c r="H148" s="97" t="n">
        <v>22</v>
      </c>
      <c r="I148" s="91" t="n"/>
      <c r="J148" s="95">
        <f>IF(ISNUMBER(MCC_Table[[#This Row],[SIZE]]), MCC_Table[[#This Row],[SIZE]]/12, 0)</f>
        <v/>
      </c>
      <c r="K148" s="96" t="n">
        <v>60</v>
      </c>
      <c r="L148" s="91" t="n">
        <v>125</v>
      </c>
      <c r="M148" s="97" t="n">
        <v>40</v>
      </c>
      <c r="N148" s="97" t="inlineStr">
        <is>
          <t>3/C #10 VFD CABLE</t>
        </is>
      </c>
      <c r="O148" s="237" t="n"/>
      <c r="P148" s="228" t="n"/>
      <c r="Q148" s="229" t="n"/>
      <c r="R148" s="229" t="n"/>
      <c r="S148" s="229" t="n"/>
      <c r="T148" s="229" t="n"/>
      <c r="U148" s="229" t="n"/>
      <c r="V148" s="229" t="n"/>
      <c r="W148" s="229" t="n"/>
      <c r="X148" s="229" t="n"/>
      <c r="Y148" s="229" t="n"/>
      <c r="Z148" s="229" t="n"/>
      <c r="AA148" s="229" t="n"/>
      <c r="AB148" s="117" t="inlineStr">
        <is>
          <t>Oneline_Motor</t>
        </is>
      </c>
      <c r="AC148" s="117" t="inlineStr">
        <is>
          <t>Motor_VFD-w-Fuse</t>
        </is>
      </c>
      <c r="AD148" s="117" t="inlineStr">
        <is>
          <t>Motor w/ Disc</t>
        </is>
      </c>
      <c r="AE148" s="91">
        <f>_xlfn.NUMBERVALUE(LEFT(MCC_Table[[#This Row],[BUCKET]],LEN(MCC_Table[[#This Row],[BUCKET]])-1))</f>
        <v/>
      </c>
      <c r="AF148" s="91">
        <f>RIGHT(MCC_Table[[#This Row],[BUCKET]],1)</f>
        <v/>
      </c>
      <c r="AG148" s="91">
        <f>VLOOKUP(MCC_Table[[#This Row],[START UNIT]],UnitMap[],2,FALSE)</f>
        <v/>
      </c>
      <c r="AH148" s="91">
        <f t="array" ref="AH14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48" s="91">
        <f>IF(ISNUMBER(MCC_Table[[#This Row],[SIZE]]), MCC_Table[[#This Row],[SIZE]]/6, 0)</f>
        <v/>
      </c>
      <c r="AJ148" s="91">
        <f>MCC_Table[[#This Row],[START INDEX]]+MCC_Table[[#This Row],[UNITS USED]]-1</f>
        <v/>
      </c>
      <c r="AK148" s="14" t="n"/>
      <c r="AL148" s="14" t="n"/>
      <c r="AM148" s="14" t="n"/>
      <c r="AN148" s="14" t="n"/>
      <c r="AO148" s="14" t="n"/>
      <c r="AP148" s="14" t="n"/>
      <c r="AQ148" s="14" t="n"/>
      <c r="AR148" s="14" t="n"/>
      <c r="AS148" s="14" t="n"/>
      <c r="AT148" s="14" t="n"/>
      <c r="AU148" s="14" t="n"/>
      <c r="AV148" s="14" t="n"/>
      <c r="AW148" s="14" t="n"/>
      <c r="AX148" s="14" t="n"/>
      <c r="AY148" s="14" t="n"/>
      <c r="AZ148" s="14" t="n"/>
      <c r="BA148" s="14" t="n"/>
      <c r="BB148" s="14" t="n"/>
      <c r="BC148" s="14" t="n"/>
      <c r="BD148" s="14" t="n"/>
      <c r="BE148" s="14" t="n"/>
    </row>
    <row r="149" hidden="1" ht="15.75" customHeight="1" thickTop="1">
      <c r="A149" s="37" t="inlineStr">
        <is>
          <t>RM6-6MCC01</t>
        </is>
      </c>
      <c r="B149" s="98" t="inlineStr">
        <is>
          <t>01A</t>
        </is>
      </c>
      <c r="C149" s="99" t="inlineStr">
        <is>
          <t>MAIN</t>
        </is>
      </c>
      <c r="D149" s="100" t="inlineStr">
        <is>
          <t>INCOMING MCB</t>
        </is>
      </c>
      <c r="E149" s="99" t="inlineStr">
        <is>
          <t>MAIN</t>
        </is>
      </c>
      <c r="F149" s="10" t="n"/>
      <c r="G149" s="10" t="n"/>
      <c r="H149" s="76" t="n"/>
      <c r="I149" s="10" t="n"/>
      <c r="J149" s="101">
        <f>IF(ISNUMBER(MCC_Table[[#This Row],[SIZE]]), MCC_Table[[#This Row],[SIZE]]/12, 0)</f>
        <v/>
      </c>
      <c r="K149" s="76" t="n">
        <v>1000</v>
      </c>
      <c r="L149" s="76" t="n">
        <v>1200</v>
      </c>
      <c r="M149" s="76" t="inlineStr">
        <is>
          <t>N/A</t>
        </is>
      </c>
      <c r="N149" s="76" t="n"/>
      <c r="O149" s="84" t="n"/>
      <c r="P149" s="227" t="n"/>
      <c r="Q149" s="86" t="n"/>
      <c r="R149" s="86" t="n"/>
      <c r="S149" s="86" t="n"/>
      <c r="T149" s="86" t="n"/>
      <c r="U149" s="86" t="n"/>
      <c r="V149" s="86" t="n"/>
      <c r="W149" s="86" t="n"/>
      <c r="X149" s="86" t="n"/>
      <c r="Y149" s="86" t="n"/>
      <c r="Z149" s="86" t="n"/>
      <c r="AA149" s="86" t="n"/>
      <c r="AB149" s="224" t="n"/>
      <c r="AC149" s="224" t="n"/>
      <c r="AD149" s="224" t="n"/>
      <c r="AE149" s="98">
        <f>_xlfn.NUMBERVALUE(LEFT(MCC_Table[[#This Row],[BUCKET]],LEN(MCC_Table[[#This Row],[BUCKET]])-1))</f>
        <v/>
      </c>
      <c r="AF149" s="98">
        <f>RIGHT(MCC_Table[[#This Row],[BUCKET]],1)</f>
        <v/>
      </c>
      <c r="AG149" s="98">
        <f>VLOOKUP(MCC_Table[[#This Row],[START UNIT]],UnitMap[],2,FALSE)</f>
        <v/>
      </c>
      <c r="AH149" s="98">
        <f t="array" ref="AH14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49" s="98">
        <f>IF(ISNUMBER(MCC_Table[[#This Row],[SIZE]]), MCC_Table[[#This Row],[SIZE]]/6, 0)</f>
        <v/>
      </c>
      <c r="AJ149" s="98">
        <f>MCC_Table[[#This Row],[START INDEX]]+MCC_Table[[#This Row],[UNITS USED]]-1</f>
        <v/>
      </c>
      <c r="AK149" s="14" t="n"/>
      <c r="AL149" s="14" t="n"/>
      <c r="AM149" s="14" t="n"/>
      <c r="AN149" s="14" t="n"/>
      <c r="AO149" s="14" t="n"/>
      <c r="AP149" s="14" t="n"/>
      <c r="AQ149" s="14" t="n"/>
      <c r="AR149" s="14" t="n"/>
      <c r="AS149" s="14" t="n"/>
      <c r="AT149" s="14" t="n"/>
      <c r="AU149" s="14" t="n"/>
      <c r="AV149" s="14" t="n"/>
      <c r="AW149" s="14" t="n"/>
      <c r="AX149" s="14" t="n"/>
      <c r="AY149" s="14" t="n"/>
      <c r="AZ149" s="14" t="n"/>
      <c r="BA149" s="14" t="n"/>
      <c r="BB149" s="14" t="n"/>
      <c r="BC149" s="14" t="n"/>
      <c r="BD149" s="14" t="n"/>
      <c r="BE149" s="14" t="n"/>
    </row>
    <row r="150" hidden="1" ht="15.75" customHeight="1" thickTop="1">
      <c r="A150" s="39" t="inlineStr">
        <is>
          <t>RM6-6MCC01</t>
        </is>
      </c>
      <c r="B150" s="98" t="inlineStr">
        <is>
          <t>01H</t>
        </is>
      </c>
      <c r="C150" s="99" t="inlineStr">
        <is>
          <t>RM6-MCC1-PM</t>
        </is>
      </c>
      <c r="D150" s="100" t="inlineStr">
        <is>
          <t>POWERMONITOR 5000 W/ ETHERNET</t>
        </is>
      </c>
      <c r="E150" s="99" t="inlineStr">
        <is>
          <t>PM</t>
        </is>
      </c>
      <c r="F150" s="10" t="n"/>
      <c r="G150" s="10" t="n"/>
      <c r="H150" s="81" t="n"/>
      <c r="I150" s="10" t="n"/>
      <c r="J150" s="101">
        <f>IF(ISNUMBER(MCC_Table[[#This Row],[SIZE]]), MCC_Table[[#This Row],[SIZE]]/12, 0)</f>
        <v/>
      </c>
      <c r="K150" s="81" t="inlineStr">
        <is>
          <t>N/A</t>
        </is>
      </c>
      <c r="L150" s="82" t="inlineStr">
        <is>
          <t>N/A</t>
        </is>
      </c>
      <c r="M150" s="81" t="n">
        <v>0.75</v>
      </c>
      <c r="N150" s="81" t="n"/>
      <c r="O150" s="84" t="n"/>
      <c r="P150" s="102" t="n"/>
      <c r="Q150" s="86" t="n"/>
      <c r="R150" s="86" t="n"/>
      <c r="S150" s="86" t="n"/>
      <c r="T150" s="86" t="n"/>
      <c r="U150" s="86" t="n"/>
      <c r="V150" s="86" t="n"/>
      <c r="W150" s="86" t="n"/>
      <c r="X150" s="86" t="n"/>
      <c r="Y150" s="86" t="n"/>
      <c r="Z150" s="86" t="n"/>
      <c r="AA150" s="86" t="n"/>
      <c r="AB150" s="224" t="n"/>
      <c r="AC150" s="224" t="n"/>
      <c r="AD150" s="224" t="n"/>
      <c r="AE150" s="98">
        <f>_xlfn.NUMBERVALUE(LEFT(MCC_Table[[#This Row],[BUCKET]],LEN(MCC_Table[[#This Row],[BUCKET]])-1))</f>
        <v/>
      </c>
      <c r="AF150" s="98">
        <f>RIGHT(MCC_Table[[#This Row],[BUCKET]],1)</f>
        <v/>
      </c>
      <c r="AG150" s="98">
        <f>VLOOKUP(MCC_Table[[#This Row],[START UNIT]],UnitMap[],2,FALSE)</f>
        <v/>
      </c>
      <c r="AH150" s="98">
        <f t="array" ref="AH15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50" s="98">
        <f>IF(ISNUMBER(MCC_Table[[#This Row],[SIZE]]), MCC_Table[[#This Row],[SIZE]]/6, 0)</f>
        <v/>
      </c>
      <c r="AJ150" s="98">
        <f>MCC_Table[[#This Row],[START INDEX]]+MCC_Table[[#This Row],[UNITS USED]]-1</f>
        <v/>
      </c>
      <c r="AK150" s="14" t="n"/>
      <c r="AL150" s="14" t="n"/>
      <c r="AM150" s="14" t="n"/>
      <c r="AN150" s="14" t="n"/>
      <c r="AO150" s="14" t="n"/>
      <c r="AP150" s="14" t="n"/>
      <c r="AQ150" s="14" t="n"/>
      <c r="AR150" s="14" t="n"/>
      <c r="AS150" s="14" t="n"/>
      <c r="AT150" s="14" t="n"/>
      <c r="AU150" s="14" t="n"/>
      <c r="AV150" s="14" t="n"/>
      <c r="AW150" s="14" t="n"/>
      <c r="AX150" s="14" t="n"/>
      <c r="AY150" s="14" t="n"/>
      <c r="AZ150" s="14" t="n"/>
      <c r="BA150" s="14" t="n"/>
      <c r="BB150" s="14" t="n"/>
      <c r="BC150" s="14" t="n"/>
      <c r="BD150" s="14" t="n"/>
      <c r="BE150" s="14" t="n"/>
    </row>
    <row r="151" hidden="1" ht="15.75" customHeight="1" thickTop="1">
      <c r="A151" s="39" t="inlineStr">
        <is>
          <t>RM6-6MCC01</t>
        </is>
      </c>
      <c r="B151" s="29" t="inlineStr">
        <is>
          <t>01L</t>
        </is>
      </c>
      <c r="C151" s="24" t="inlineStr">
        <is>
          <t>SPACE</t>
        </is>
      </c>
      <c r="D151" s="62" t="inlineStr">
        <is>
          <t>12" SPACE</t>
        </is>
      </c>
      <c r="E151" s="24" t="inlineStr">
        <is>
          <t>SPACE</t>
        </is>
      </c>
      <c r="F151" s="8" t="n"/>
      <c r="G151" s="8" t="n"/>
      <c r="H151" s="82" t="n"/>
      <c r="I151" s="8" t="n"/>
      <c r="J151" s="80">
        <f>IF(ISNUMBER(MCC_Table[[#This Row],[SIZE]]), MCC_Table[[#This Row],[SIZE]]/12, 0)</f>
        <v/>
      </c>
      <c r="K151" s="82" t="n"/>
      <c r="L151" s="82" t="n"/>
      <c r="M151" s="82" t="n"/>
      <c r="N151" s="82" t="n"/>
      <c r="O151" s="77" t="n"/>
      <c r="P151" s="78" t="n"/>
      <c r="Q151" s="79" t="n"/>
      <c r="R151" s="79" t="n"/>
      <c r="S151" s="79" t="n"/>
      <c r="T151" s="79" t="n"/>
      <c r="U151" s="79" t="n"/>
      <c r="V151" s="79" t="n"/>
      <c r="W151" s="79" t="n"/>
      <c r="X151" s="79" t="n"/>
      <c r="Y151" s="79" t="n"/>
      <c r="Z151" s="79" t="n"/>
      <c r="AA151" s="79" t="n"/>
      <c r="AB151" s="225" t="n"/>
      <c r="AC151" s="225" t="n"/>
      <c r="AD151" s="225" t="n"/>
      <c r="AE151" s="29">
        <f>_xlfn.NUMBERVALUE(LEFT(MCC_Table[[#This Row],[BUCKET]],LEN(MCC_Table[[#This Row],[BUCKET]])-1))</f>
        <v/>
      </c>
      <c r="AF151" s="29">
        <f>RIGHT(MCC_Table[[#This Row],[BUCKET]],1)</f>
        <v/>
      </c>
      <c r="AG151" s="29">
        <f>VLOOKUP(MCC_Table[[#This Row],[START UNIT]],UnitMap[],2,FALSE)</f>
        <v/>
      </c>
      <c r="AH151" s="29">
        <f t="array" ref="AH15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51" s="29">
        <f>IF(ISNUMBER(MCC_Table[[#This Row],[SIZE]]), MCC_Table[[#This Row],[SIZE]]/6, 0)</f>
        <v/>
      </c>
      <c r="AJ151" s="29">
        <f>MCC_Table[[#This Row],[START INDEX]]+MCC_Table[[#This Row],[UNITS USED]]-1</f>
        <v/>
      </c>
      <c r="AK151" s="14" t="n"/>
      <c r="AL151" s="14" t="n"/>
      <c r="AM151" s="14" t="n"/>
      <c r="AN151" s="14" t="n"/>
      <c r="AO151" s="14" t="n"/>
      <c r="AP151" s="14" t="n"/>
      <c r="AQ151" s="14" t="n"/>
      <c r="AR151" s="14" t="n"/>
      <c r="AS151" s="14" t="n"/>
      <c r="AT151" s="14" t="n"/>
      <c r="AU151" s="14" t="n"/>
      <c r="AV151" s="14" t="n"/>
      <c r="AW151" s="14" t="n"/>
      <c r="AX151" s="14" t="n"/>
      <c r="AY151" s="14" t="n"/>
      <c r="AZ151" s="14" t="n"/>
      <c r="BA151" s="14" t="n"/>
      <c r="BB151" s="14" t="n"/>
      <c r="BC151" s="14" t="n"/>
      <c r="BD151" s="14" t="n"/>
      <c r="BE151" s="14" t="n"/>
    </row>
    <row r="152" hidden="1" ht="15.75" customHeight="1" thickTop="1">
      <c r="A152" s="39" t="inlineStr">
        <is>
          <t>RM6-6MCC01</t>
        </is>
      </c>
      <c r="B152" s="29" t="inlineStr">
        <is>
          <t>02A</t>
        </is>
      </c>
      <c r="C152" s="24" t="inlineStr">
        <is>
          <t>RM6-CNV-101.M1</t>
        </is>
      </c>
      <c r="D152" s="28" t="inlineStr">
        <is>
          <t>INCLINE AUGER CONVEYOR</t>
        </is>
      </c>
      <c r="E152" s="29" t="inlineStr">
        <is>
          <t>VFD</t>
        </is>
      </c>
      <c r="F152" s="8" t="n">
        <v>30</v>
      </c>
      <c r="G152" s="8" t="n">
        <v>30</v>
      </c>
      <c r="H152" s="82" t="n"/>
      <c r="I152" s="8" t="n"/>
      <c r="J152" s="80">
        <f>IF(ISNUMBER(MCC_Table[[#This Row],[SIZE]]), MCC_Table[[#This Row],[SIZE]]/12, 0)</f>
        <v/>
      </c>
      <c r="K152" s="82" t="n">
        <v>100</v>
      </c>
      <c r="L152" s="82" t="n">
        <v>125</v>
      </c>
      <c r="M152" s="82" t="n">
        <v>70</v>
      </c>
      <c r="N152" s="82" t="inlineStr">
        <is>
          <t>3/C #8 VFD CABLE</t>
        </is>
      </c>
      <c r="O152" s="77" t="n"/>
      <c r="P152" s="110" t="n"/>
      <c r="Q152" s="79" t="n"/>
      <c r="R152" s="79" t="n"/>
      <c r="S152" s="79" t="n"/>
      <c r="T152" s="79" t="n"/>
      <c r="U152" s="79" t="n"/>
      <c r="V152" s="79" t="n"/>
      <c r="W152" s="79" t="n"/>
      <c r="X152" s="79" t="n"/>
      <c r="Y152" s="79" t="n"/>
      <c r="Z152" s="79" t="n"/>
      <c r="AA152" s="79" t="n"/>
      <c r="AB152" s="225" t="n"/>
      <c r="AC152" s="225" t="n"/>
      <c r="AD152" s="225" t="n"/>
      <c r="AE152" s="29">
        <f>_xlfn.NUMBERVALUE(LEFT(MCC_Table[[#This Row],[BUCKET]],LEN(MCC_Table[[#This Row],[BUCKET]])-1))</f>
        <v/>
      </c>
      <c r="AF152" s="29">
        <f>RIGHT(MCC_Table[[#This Row],[BUCKET]],1)</f>
        <v/>
      </c>
      <c r="AG152" s="29">
        <f>VLOOKUP(MCC_Table[[#This Row],[START UNIT]],UnitMap[],2,FALSE)</f>
        <v/>
      </c>
      <c r="AH152" s="29">
        <f t="array" ref="AH15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52" s="29">
        <f>IF(ISNUMBER(MCC_Table[[#This Row],[SIZE]]), MCC_Table[[#This Row],[SIZE]]/6, 0)</f>
        <v/>
      </c>
      <c r="AJ152" s="29">
        <f>MCC_Table[[#This Row],[START INDEX]]+MCC_Table[[#This Row],[UNITS USED]]-1</f>
        <v/>
      </c>
      <c r="AK152" s="14" t="n"/>
      <c r="AL152" s="14" t="n"/>
      <c r="AM152" s="14" t="n"/>
      <c r="AN152" s="14" t="n"/>
      <c r="AO152" s="14" t="n"/>
      <c r="AP152" s="14" t="n"/>
      <c r="AQ152" s="14" t="n"/>
      <c r="AR152" s="14" t="n"/>
      <c r="AS152" s="14" t="n"/>
      <c r="AT152" s="14" t="n"/>
      <c r="AU152" s="14" t="n"/>
      <c r="AV152" s="14" t="n"/>
      <c r="AW152" s="14" t="n"/>
      <c r="AX152" s="14" t="n"/>
      <c r="AY152" s="14" t="n"/>
      <c r="AZ152" s="14" t="n"/>
      <c r="BA152" s="14" t="n"/>
      <c r="BB152" s="14" t="n"/>
      <c r="BC152" s="14" t="n"/>
      <c r="BD152" s="14" t="n"/>
      <c r="BE152" s="14" t="n"/>
    </row>
    <row r="153" hidden="1" ht="15.75" customHeight="1" thickTop="1">
      <c r="A153" s="39" t="inlineStr">
        <is>
          <t>RM6-6MCC01</t>
        </is>
      </c>
      <c r="B153" s="29" t="inlineStr">
        <is>
          <t>02H</t>
        </is>
      </c>
      <c r="C153" s="24" t="inlineStr">
        <is>
          <t>RM6-MCC1-02H.PS1</t>
        </is>
      </c>
      <c r="D153" s="62" t="inlineStr">
        <is>
          <t>ETHERNET SWITCH POWER SUPPLY</t>
        </is>
      </c>
      <c r="E153" s="24" t="inlineStr">
        <is>
          <t>ENET_PS</t>
        </is>
      </c>
      <c r="F153" s="8" t="n"/>
      <c r="G153" s="8" t="n"/>
      <c r="H153" s="82" t="n"/>
      <c r="I153" s="8" t="n"/>
      <c r="J153" s="80">
        <f>IF(ISNUMBER(MCC_Table[[#This Row],[SIZE]]), MCC_Table[[#This Row],[SIZE]]/12, 0)</f>
        <v/>
      </c>
      <c r="K153" s="82" t="n">
        <v>15</v>
      </c>
      <c r="L153" s="82" t="n">
        <v>125</v>
      </c>
      <c r="M153" s="82" t="n"/>
      <c r="N153" s="82" t="n"/>
      <c r="O153" s="77" t="n"/>
      <c r="P153" s="78" t="n"/>
      <c r="Q153" s="79" t="n"/>
      <c r="R153" s="79" t="n"/>
      <c r="S153" s="79" t="n"/>
      <c r="T153" s="79" t="n"/>
      <c r="U153" s="79" t="n"/>
      <c r="V153" s="79" t="n"/>
      <c r="W153" s="79" t="n"/>
      <c r="X153" s="79" t="n"/>
      <c r="Y153" s="79" t="n"/>
      <c r="Z153" s="79" t="n"/>
      <c r="AA153" s="79" t="n"/>
      <c r="AB153" s="225" t="n"/>
      <c r="AC153" s="225" t="n"/>
      <c r="AD153" s="225" t="n"/>
      <c r="AE153" s="29">
        <f>_xlfn.NUMBERVALUE(LEFT(MCC_Table[[#This Row],[BUCKET]],LEN(MCC_Table[[#This Row],[BUCKET]])-1))</f>
        <v/>
      </c>
      <c r="AF153" s="29">
        <f>RIGHT(MCC_Table[[#This Row],[BUCKET]],1)</f>
        <v/>
      </c>
      <c r="AG153" s="29">
        <f>VLOOKUP(MCC_Table[[#This Row],[START UNIT]],UnitMap[],2,FALSE)</f>
        <v/>
      </c>
      <c r="AH153" s="29">
        <f t="array" ref="AH15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53" s="29">
        <f>IF(ISNUMBER(MCC_Table[[#This Row],[SIZE]]), MCC_Table[[#This Row],[SIZE]]/6, 0)</f>
        <v/>
      </c>
      <c r="AJ153" s="29">
        <f>MCC_Table[[#This Row],[START INDEX]]+MCC_Table[[#This Row],[UNITS USED]]-1</f>
        <v/>
      </c>
      <c r="AK153" s="14" t="n"/>
      <c r="AL153" s="14" t="n"/>
      <c r="AM153" s="14" t="n"/>
      <c r="AN153" s="14" t="n"/>
      <c r="AO153" s="14" t="n"/>
      <c r="AP153" s="14" t="n"/>
      <c r="AQ153" s="14" t="n"/>
      <c r="AR153" s="14" t="n"/>
      <c r="AS153" s="14" t="n"/>
      <c r="AT153" s="14" t="n"/>
      <c r="AU153" s="14" t="n"/>
      <c r="AV153" s="14" t="n"/>
      <c r="AW153" s="14" t="n"/>
      <c r="AX153" s="14" t="n"/>
      <c r="AY153" s="14" t="n"/>
      <c r="AZ153" s="14" t="n"/>
      <c r="BA153" s="14" t="n"/>
      <c r="BB153" s="14" t="n"/>
      <c r="BC153" s="14" t="n"/>
      <c r="BD153" s="14" t="n"/>
      <c r="BE153" s="14" t="n"/>
    </row>
    <row r="154" hidden="1" ht="15.75" customHeight="1" thickTop="1">
      <c r="A154" s="39" t="inlineStr">
        <is>
          <t>RM6-6MCC01</t>
        </is>
      </c>
      <c r="B154" s="29" t="inlineStr">
        <is>
          <t>02L</t>
        </is>
      </c>
      <c r="C154" s="24" t="inlineStr">
        <is>
          <t>RM6-MCC1-02L.SW1</t>
        </is>
      </c>
      <c r="D154" s="62" t="inlineStr">
        <is>
          <t>ETHERNET SWITCH (20-PORT)</t>
        </is>
      </c>
      <c r="E154" s="24" t="inlineStr">
        <is>
          <t>ENET_20</t>
        </is>
      </c>
      <c r="F154" s="8" t="n"/>
      <c r="G154" s="8" t="n"/>
      <c r="H154" s="82" t="n"/>
      <c r="I154" s="8" t="n"/>
      <c r="J154" s="80">
        <f>IF(ISNUMBER(MCC_Table[[#This Row],[SIZE]]), MCC_Table[[#This Row],[SIZE]]/12, 0)</f>
        <v/>
      </c>
      <c r="K154" s="82" t="n"/>
      <c r="L154" s="82" t="n"/>
      <c r="M154" s="82" t="n"/>
      <c r="N154" s="82" t="n"/>
      <c r="O154" s="77" t="n"/>
      <c r="P154" s="78" t="n"/>
      <c r="Q154" s="79" t="n"/>
      <c r="R154" s="79" t="n"/>
      <c r="S154" s="79" t="n"/>
      <c r="T154" s="79" t="n"/>
      <c r="U154" s="79" t="n"/>
      <c r="V154" s="79" t="n"/>
      <c r="W154" s="79" t="n"/>
      <c r="X154" s="79" t="n"/>
      <c r="Y154" s="79" t="n"/>
      <c r="Z154" s="79" t="n"/>
      <c r="AA154" s="79" t="n"/>
      <c r="AB154" s="225" t="n"/>
      <c r="AC154" s="225" t="n"/>
      <c r="AD154" s="225" t="n"/>
      <c r="AE154" s="29">
        <f>_xlfn.NUMBERVALUE(LEFT(MCC_Table[[#This Row],[BUCKET]],LEN(MCC_Table[[#This Row],[BUCKET]])-1))</f>
        <v/>
      </c>
      <c r="AF154" s="29">
        <f>RIGHT(MCC_Table[[#This Row],[BUCKET]],1)</f>
        <v/>
      </c>
      <c r="AG154" s="29">
        <f>VLOOKUP(MCC_Table[[#This Row],[START UNIT]],UnitMap[],2,FALSE)</f>
        <v/>
      </c>
      <c r="AH154" s="29">
        <f t="array" ref="AH15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54" s="29">
        <f>IF(ISNUMBER(MCC_Table[[#This Row],[SIZE]]), MCC_Table[[#This Row],[SIZE]]/6, 0)</f>
        <v/>
      </c>
      <c r="AJ154" s="29">
        <f>MCC_Table[[#This Row],[START INDEX]]+MCC_Table[[#This Row],[UNITS USED]]-1</f>
        <v/>
      </c>
      <c r="AK154" s="14" t="n"/>
      <c r="AL154" s="14" t="n"/>
      <c r="AM154" s="14" t="n"/>
      <c r="AN154" s="14" t="n"/>
      <c r="AO154" s="14" t="n"/>
      <c r="AP154" s="14" t="n"/>
      <c r="AQ154" s="14" t="n"/>
      <c r="AR154" s="14" t="n"/>
      <c r="AS154" s="14" t="n"/>
      <c r="AT154" s="14" t="n"/>
      <c r="AU154" s="14" t="n"/>
      <c r="AV154" s="14" t="n"/>
      <c r="AW154" s="14" t="n"/>
      <c r="AX154" s="14" t="n"/>
      <c r="AY154" s="14" t="n"/>
      <c r="AZ154" s="14" t="n"/>
      <c r="BA154" s="14" t="n"/>
      <c r="BB154" s="14" t="n"/>
      <c r="BC154" s="14" t="n"/>
      <c r="BD154" s="14" t="n"/>
      <c r="BE154" s="14" t="n"/>
    </row>
    <row r="155" hidden="1" ht="15.75" customHeight="1" thickTop="1">
      <c r="A155" s="37" t="inlineStr">
        <is>
          <t>RM6-6MCC01</t>
        </is>
      </c>
      <c r="B155" s="29" t="inlineStr">
        <is>
          <t>03A</t>
        </is>
      </c>
      <c r="C155" s="24" t="inlineStr">
        <is>
          <t>RM6-GRR-105.M1</t>
        </is>
      </c>
      <c r="D155" s="62" t="inlineStr">
        <is>
          <t>STEAM COOKER 1 DE-CLUMPER</t>
        </is>
      </c>
      <c r="E155" s="24" t="inlineStr">
        <is>
          <t>VFD</t>
        </is>
      </c>
      <c r="F155" s="8" t="n">
        <v>2</v>
      </c>
      <c r="G155" s="8" t="n">
        <v>2</v>
      </c>
      <c r="H155" s="82" t="n"/>
      <c r="I155" s="8" t="n"/>
      <c r="J155" s="80">
        <f>IF(ISNUMBER(MCC_Table[[#This Row],[SIZE]]), MCC_Table[[#This Row],[SIZE]]/12, 0)</f>
        <v/>
      </c>
      <c r="K155" s="82" t="n">
        <v>15</v>
      </c>
      <c r="L155" s="82" t="n">
        <v>125</v>
      </c>
      <c r="M155" s="82" t="n">
        <v>10</v>
      </c>
      <c r="N155" s="82" t="inlineStr">
        <is>
          <t>3/C #12 VFD CABLE</t>
        </is>
      </c>
      <c r="O155" s="77" t="n"/>
      <c r="P155" s="78" t="n"/>
      <c r="Q155" s="79" t="n"/>
      <c r="R155" s="79" t="n"/>
      <c r="S155" s="79" t="n"/>
      <c r="T155" s="79" t="n"/>
      <c r="U155" s="79" t="n"/>
      <c r="V155" s="79" t="n"/>
      <c r="W155" s="79" t="n"/>
      <c r="X155" s="79" t="n"/>
      <c r="Y155" s="79" t="n"/>
      <c r="Z155" s="79" t="n"/>
      <c r="AA155" s="79" t="n"/>
      <c r="AB155" s="225" t="n"/>
      <c r="AC155" s="225" t="n"/>
      <c r="AD155" s="225" t="n"/>
      <c r="AE155" s="29">
        <f>_xlfn.NUMBERVALUE(LEFT(MCC_Table[[#This Row],[BUCKET]],LEN(MCC_Table[[#This Row],[BUCKET]])-1))</f>
        <v/>
      </c>
      <c r="AF155" s="29">
        <f>RIGHT(MCC_Table[[#This Row],[BUCKET]],1)</f>
        <v/>
      </c>
      <c r="AG155" s="29">
        <f>VLOOKUP(MCC_Table[[#This Row],[START UNIT]],UnitMap[],2,FALSE)</f>
        <v/>
      </c>
      <c r="AH155" s="29">
        <f t="array" ref="AH15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55" s="29">
        <f>IF(ISNUMBER(MCC_Table[[#This Row],[SIZE]]), MCC_Table[[#This Row],[SIZE]]/6, 0)</f>
        <v/>
      </c>
      <c r="AJ155" s="29">
        <f>MCC_Table[[#This Row],[START INDEX]]+MCC_Table[[#This Row],[UNITS USED]]-1</f>
        <v/>
      </c>
      <c r="AK155" s="14" t="n"/>
      <c r="AL155" s="14" t="n"/>
      <c r="AM155" s="14" t="n"/>
      <c r="AN155" s="14" t="n"/>
      <c r="AO155" s="14" t="n"/>
      <c r="AP155" s="14" t="n"/>
      <c r="AQ155" s="14" t="n"/>
      <c r="AR155" s="14" t="n"/>
      <c r="AS155" s="14" t="n"/>
      <c r="AT155" s="14" t="n"/>
      <c r="AU155" s="14" t="n"/>
      <c r="AV155" s="14" t="n"/>
      <c r="AW155" s="14" t="n"/>
      <c r="AX155" s="14" t="n"/>
      <c r="AY155" s="14" t="n"/>
      <c r="AZ155" s="14" t="n"/>
      <c r="BA155" s="14" t="n"/>
      <c r="BB155" s="14" t="n"/>
      <c r="BC155" s="14" t="n"/>
      <c r="BD155" s="14" t="n"/>
      <c r="BE155" s="14" t="n"/>
    </row>
    <row r="156" hidden="1" ht="15.75" customHeight="1" thickTop="1">
      <c r="A156" s="39" t="inlineStr">
        <is>
          <t>RM6-6MCC01</t>
        </is>
      </c>
      <c r="B156" s="29" t="inlineStr">
        <is>
          <t>03E</t>
        </is>
      </c>
      <c r="C156" s="111" t="inlineStr">
        <is>
          <t>RM6-BIN-101C.M2</t>
        </is>
      </c>
      <c r="D156" s="28" t="inlineStr">
        <is>
          <t>SURGE BIN 3 AUGER</t>
        </is>
      </c>
      <c r="E156" s="112" t="inlineStr">
        <is>
          <t>VFD</t>
        </is>
      </c>
      <c r="F156" s="8" t="n">
        <v>15</v>
      </c>
      <c r="G156" s="8" t="n">
        <v>15</v>
      </c>
      <c r="H156" s="82" t="n"/>
      <c r="I156" s="8" t="n"/>
      <c r="J156" s="80">
        <f>IF(ISNUMBER(MCC_Table[[#This Row],[SIZE]]), MCC_Table[[#This Row],[SIZE]]/12, 0)</f>
        <v/>
      </c>
      <c r="K156" s="82" t="n">
        <v>60</v>
      </c>
      <c r="L156" s="82" t="n">
        <v>125</v>
      </c>
      <c r="M156" s="82" t="n">
        <v>40</v>
      </c>
      <c r="N156" s="82" t="inlineStr">
        <is>
          <t>3/C #10 VFD CABLE</t>
        </is>
      </c>
      <c r="O156" s="77" t="n"/>
      <c r="P156" s="110" t="n"/>
      <c r="Q156" s="79" t="n"/>
      <c r="R156" s="79" t="n"/>
      <c r="S156" s="79" t="n"/>
      <c r="T156" s="79" t="n"/>
      <c r="U156" s="79" t="n"/>
      <c r="V156" s="79" t="n"/>
      <c r="W156" s="79" t="n"/>
      <c r="X156" s="79" t="n"/>
      <c r="Y156" s="79" t="n"/>
      <c r="Z156" s="79" t="n"/>
      <c r="AA156" s="79" t="n"/>
      <c r="AB156" s="225" t="n"/>
      <c r="AC156" s="225" t="n"/>
      <c r="AD156" s="225" t="n"/>
      <c r="AE156" s="29">
        <f>_xlfn.NUMBERVALUE(LEFT(MCC_Table[[#This Row],[BUCKET]],LEN(MCC_Table[[#This Row],[BUCKET]])-1))</f>
        <v/>
      </c>
      <c r="AF156" s="29">
        <f>RIGHT(MCC_Table[[#This Row],[BUCKET]],1)</f>
        <v/>
      </c>
      <c r="AG156" s="29">
        <f>VLOOKUP(MCC_Table[[#This Row],[START UNIT]],UnitMap[],2,FALSE)</f>
        <v/>
      </c>
      <c r="AH156" s="29">
        <f t="array" ref="AH15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56" s="29">
        <f>IF(ISNUMBER(MCC_Table[[#This Row],[SIZE]]), MCC_Table[[#This Row],[SIZE]]/6, 0)</f>
        <v/>
      </c>
      <c r="AJ156" s="29">
        <f>MCC_Table[[#This Row],[START INDEX]]+MCC_Table[[#This Row],[UNITS USED]]-1</f>
        <v/>
      </c>
      <c r="AK156" s="14" t="n"/>
      <c r="AL156" s="14" t="n"/>
      <c r="AM156" s="14" t="n"/>
      <c r="AN156" s="14" t="n"/>
      <c r="AO156" s="14" t="n"/>
      <c r="AP156" s="14" t="n"/>
      <c r="AQ156" s="14" t="n"/>
      <c r="AR156" s="14" t="n"/>
      <c r="AS156" s="14" t="n"/>
      <c r="AT156" s="14" t="n"/>
      <c r="AU156" s="14" t="n"/>
      <c r="AV156" s="14" t="n"/>
      <c r="AW156" s="14" t="n"/>
      <c r="AX156" s="14" t="n"/>
      <c r="AY156" s="14" t="n"/>
      <c r="AZ156" s="14" t="n"/>
      <c r="BA156" s="14" t="n"/>
      <c r="BB156" s="14" t="n"/>
      <c r="BC156" s="14" t="n"/>
      <c r="BD156" s="14" t="n"/>
      <c r="BE156" s="14" t="n"/>
    </row>
    <row r="157" hidden="1" ht="15.75" customHeight="1" thickTop="1">
      <c r="A157" s="39" t="inlineStr">
        <is>
          <t>RM6-6MCC01</t>
        </is>
      </c>
      <c r="B157" s="29" t="inlineStr">
        <is>
          <t>03L</t>
        </is>
      </c>
      <c r="C157" s="111" t="inlineStr">
        <is>
          <t>SPACE</t>
        </is>
      </c>
      <c r="D157" s="62" t="inlineStr">
        <is>
          <t>12" SPACE</t>
        </is>
      </c>
      <c r="E157" s="112" t="inlineStr">
        <is>
          <t>SPACE</t>
        </is>
      </c>
      <c r="F157" s="8" t="n"/>
      <c r="G157" s="8" t="n"/>
      <c r="H157" s="82" t="n"/>
      <c r="I157" s="8" t="n"/>
      <c r="J157" s="80">
        <f>IF(ISNUMBER(MCC_Table[[#This Row],[SIZE]]), MCC_Table[[#This Row],[SIZE]]/12, 0)</f>
        <v/>
      </c>
      <c r="K157" s="82" t="n"/>
      <c r="L157" s="82" t="n"/>
      <c r="M157" s="82" t="n"/>
      <c r="N157" s="82" t="n"/>
      <c r="O157" s="77" t="n"/>
      <c r="P157" s="110" t="n"/>
      <c r="Q157" s="79" t="n"/>
      <c r="R157" s="79" t="n"/>
      <c r="S157" s="79" t="n"/>
      <c r="T157" s="79" t="n"/>
      <c r="U157" s="79" t="n"/>
      <c r="V157" s="79" t="n"/>
      <c r="W157" s="79" t="n"/>
      <c r="X157" s="79" t="n"/>
      <c r="Y157" s="79" t="n"/>
      <c r="Z157" s="79" t="n"/>
      <c r="AA157" s="79" t="n"/>
      <c r="AB157" s="225" t="n"/>
      <c r="AC157" s="225" t="n"/>
      <c r="AD157" s="225" t="n"/>
      <c r="AE157" s="29">
        <f>_xlfn.NUMBERVALUE(LEFT(MCC_Table[[#This Row],[BUCKET]],LEN(MCC_Table[[#This Row],[BUCKET]])-1))</f>
        <v/>
      </c>
      <c r="AF157" s="29">
        <f>RIGHT(MCC_Table[[#This Row],[BUCKET]],1)</f>
        <v/>
      </c>
      <c r="AG157" s="29">
        <f>VLOOKUP(MCC_Table[[#This Row],[START UNIT]],UnitMap[],2,FALSE)</f>
        <v/>
      </c>
      <c r="AH157" s="29">
        <f t="array" ref="AH15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57" s="29">
        <f>IF(ISNUMBER(MCC_Table[[#This Row],[SIZE]]), MCC_Table[[#This Row],[SIZE]]/6, 0)</f>
        <v/>
      </c>
      <c r="AJ157" s="29">
        <f>MCC_Table[[#This Row],[START INDEX]]+MCC_Table[[#This Row],[UNITS USED]]-1</f>
        <v/>
      </c>
      <c r="AK157" s="14" t="n"/>
      <c r="AL157" s="14" t="n"/>
      <c r="AM157" s="14" t="n"/>
      <c r="AN157" s="14" t="n"/>
      <c r="AO157" s="14" t="n"/>
      <c r="AP157" s="14" t="n"/>
      <c r="AQ157" s="14" t="n"/>
      <c r="AR157" s="14" t="n"/>
      <c r="AS157" s="14" t="n"/>
      <c r="AT157" s="14" t="n"/>
      <c r="AU157" s="14" t="n"/>
      <c r="AV157" s="14" t="n"/>
      <c r="AW157" s="14" t="n"/>
      <c r="AX157" s="14" t="n"/>
      <c r="AY157" s="14" t="n"/>
      <c r="AZ157" s="14" t="n"/>
      <c r="BA157" s="14" t="n"/>
      <c r="BB157" s="14" t="n"/>
      <c r="BC157" s="14" t="n"/>
      <c r="BD157" s="14" t="n"/>
      <c r="BE157" s="14" t="n"/>
    </row>
    <row r="158" hidden="1" ht="15.75" customHeight="1" thickTop="1">
      <c r="A158" s="39" t="inlineStr">
        <is>
          <t>RM6-6MCC01</t>
        </is>
      </c>
      <c r="B158" s="29" t="inlineStr">
        <is>
          <t>04A</t>
        </is>
      </c>
      <c r="C158" s="111" t="inlineStr">
        <is>
          <t>RM6-CKR-101.M1</t>
        </is>
      </c>
      <c r="D158" s="28" t="inlineStr">
        <is>
          <t>STEAM COOKER 1 STEAM BELT 1</t>
        </is>
      </c>
      <c r="E158" s="112" t="inlineStr">
        <is>
          <t>VFD</t>
        </is>
      </c>
      <c r="F158" s="8" t="n">
        <v>2</v>
      </c>
      <c r="G158" s="8" t="n">
        <v>2</v>
      </c>
      <c r="H158" s="82" t="n"/>
      <c r="I158" s="8" t="n"/>
      <c r="J158" s="80">
        <f>IF(ISNUMBER(MCC_Table[[#This Row],[SIZE]]), MCC_Table[[#This Row],[SIZE]]/12, 0)</f>
        <v/>
      </c>
      <c r="K158" s="82" t="n">
        <v>15</v>
      </c>
      <c r="L158" s="82" t="n">
        <v>125</v>
      </c>
      <c r="M158" s="82" t="n">
        <v>10</v>
      </c>
      <c r="N158" s="82" t="inlineStr">
        <is>
          <t>3/C #12 VFD CABLE</t>
        </is>
      </c>
      <c r="O158" s="77" t="n"/>
      <c r="P158" s="110" t="n"/>
      <c r="Q158" s="79" t="n"/>
      <c r="R158" s="79" t="n"/>
      <c r="S158" s="79" t="n"/>
      <c r="T158" s="79" t="n"/>
      <c r="U158" s="79" t="n"/>
      <c r="V158" s="79" t="n"/>
      <c r="W158" s="79" t="n"/>
      <c r="X158" s="79" t="n"/>
      <c r="Y158" s="79" t="n"/>
      <c r="Z158" s="79" t="n"/>
      <c r="AA158" s="79" t="n"/>
      <c r="AB158" s="225" t="n"/>
      <c r="AC158" s="225" t="n"/>
      <c r="AD158" s="225" t="n"/>
      <c r="AE158" s="29">
        <f>_xlfn.NUMBERVALUE(LEFT(MCC_Table[[#This Row],[BUCKET]],LEN(MCC_Table[[#This Row],[BUCKET]])-1))</f>
        <v/>
      </c>
      <c r="AF158" s="29">
        <f>RIGHT(MCC_Table[[#This Row],[BUCKET]],1)</f>
        <v/>
      </c>
      <c r="AG158" s="29">
        <f>VLOOKUP(MCC_Table[[#This Row],[START UNIT]],UnitMap[],2,FALSE)</f>
        <v/>
      </c>
      <c r="AH158" s="29">
        <f t="array" ref="AH15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58" s="29">
        <f>IF(ISNUMBER(MCC_Table[[#This Row],[SIZE]]), MCC_Table[[#This Row],[SIZE]]/6, 0)</f>
        <v/>
      </c>
      <c r="AJ158" s="29">
        <f>MCC_Table[[#This Row],[START INDEX]]+MCC_Table[[#This Row],[UNITS USED]]-1</f>
        <v/>
      </c>
      <c r="AK158" s="14" t="n"/>
      <c r="AL158" s="14" t="n"/>
      <c r="AM158" s="14" t="n"/>
      <c r="AN158" s="14" t="n"/>
      <c r="AO158" s="14" t="n"/>
      <c r="AP158" s="14" t="n"/>
      <c r="AQ158" s="14" t="n"/>
      <c r="AR158" s="14" t="n"/>
      <c r="AS158" s="14" t="n"/>
      <c r="AT158" s="14" t="n"/>
      <c r="AU158" s="14" t="n"/>
      <c r="AV158" s="14" t="n"/>
      <c r="AW158" s="14" t="n"/>
      <c r="AX158" s="14" t="n"/>
      <c r="AY158" s="14" t="n"/>
      <c r="AZ158" s="14" t="n"/>
      <c r="BA158" s="14" t="n"/>
      <c r="BB158" s="14" t="n"/>
      <c r="BC158" s="14" t="n"/>
      <c r="BD158" s="14" t="n"/>
      <c r="BE158" s="14" t="n"/>
    </row>
    <row r="159" hidden="1" ht="30.75" customHeight="1" thickTop="1">
      <c r="A159" s="39" t="inlineStr">
        <is>
          <t>RM6-6MCC01</t>
        </is>
      </c>
      <c r="B159" s="29" t="inlineStr">
        <is>
          <t>04E</t>
        </is>
      </c>
      <c r="C159" s="111" t="inlineStr">
        <is>
          <t>RM6-WWL-101.M1 RM6-SHR-101.M1</t>
        </is>
      </c>
      <c r="D159" s="28" t="inlineStr">
        <is>
          <t>STEAM COOKER 1 WATERWHEEL/SPREADER MOTOR 1</t>
        </is>
      </c>
      <c r="E159" s="112" t="inlineStr">
        <is>
          <t>VFD</t>
        </is>
      </c>
      <c r="F159" s="8" t="n">
        <v>2</v>
      </c>
      <c r="G159" s="8" t="n">
        <v>2</v>
      </c>
      <c r="H159" s="82" t="n"/>
      <c r="I159" s="8" t="n"/>
      <c r="J159" s="80">
        <f>IF(ISNUMBER(MCC_Table[[#This Row],[SIZE]]), MCC_Table[[#This Row],[SIZE]]/12, 0)</f>
        <v/>
      </c>
      <c r="K159" s="82" t="n">
        <v>15</v>
      </c>
      <c r="L159" s="82" t="n">
        <v>125</v>
      </c>
      <c r="M159" s="82" t="n">
        <v>10</v>
      </c>
      <c r="N159" s="82" t="inlineStr">
        <is>
          <t>3/C #12 VFD CABLE</t>
        </is>
      </c>
      <c r="O159" s="77" t="n"/>
      <c r="P159" s="110" t="n"/>
      <c r="Q159" s="79" t="n"/>
      <c r="R159" s="79" t="n"/>
      <c r="S159" s="79" t="n"/>
      <c r="T159" s="79" t="n"/>
      <c r="U159" s="79" t="n"/>
      <c r="V159" s="79" t="n"/>
      <c r="W159" s="79" t="n"/>
      <c r="X159" s="79" t="n"/>
      <c r="Y159" s="79" t="n"/>
      <c r="Z159" s="79" t="n"/>
      <c r="AA159" s="79" t="n"/>
      <c r="AB159" s="225" t="n"/>
      <c r="AC159" s="225" t="n"/>
      <c r="AD159" s="225" t="n"/>
      <c r="AE159" s="29">
        <f>_xlfn.NUMBERVALUE(LEFT(MCC_Table[[#This Row],[BUCKET]],LEN(MCC_Table[[#This Row],[BUCKET]])-1))</f>
        <v/>
      </c>
      <c r="AF159" s="29">
        <f>RIGHT(MCC_Table[[#This Row],[BUCKET]],1)</f>
        <v/>
      </c>
      <c r="AG159" s="29">
        <f>VLOOKUP(MCC_Table[[#This Row],[START UNIT]],UnitMap[],2,FALSE)</f>
        <v/>
      </c>
      <c r="AH159" s="29">
        <f t="array" ref="AH15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59" s="29">
        <f>IF(ISNUMBER(MCC_Table[[#This Row],[SIZE]]), MCC_Table[[#This Row],[SIZE]]/6, 0)</f>
        <v/>
      </c>
      <c r="AJ159" s="29">
        <f>MCC_Table[[#This Row],[START INDEX]]+MCC_Table[[#This Row],[UNITS USED]]-1</f>
        <v/>
      </c>
      <c r="AK159" s="14" t="n"/>
      <c r="AL159" s="14" t="n"/>
      <c r="AM159" s="14" t="n"/>
      <c r="AN159" s="14" t="n"/>
      <c r="AO159" s="14" t="n"/>
      <c r="AP159" s="14" t="n"/>
      <c r="AQ159" s="14" t="n"/>
      <c r="AR159" s="14" t="n"/>
      <c r="AS159" s="14" t="n"/>
      <c r="AT159" s="14" t="n"/>
      <c r="AU159" s="14" t="n"/>
      <c r="AV159" s="14" t="n"/>
      <c r="AW159" s="14" t="n"/>
      <c r="AX159" s="14" t="n"/>
      <c r="AY159" s="14" t="n"/>
      <c r="AZ159" s="14" t="n"/>
      <c r="BA159" s="14" t="n"/>
      <c r="BB159" s="14" t="n"/>
      <c r="BC159" s="14" t="n"/>
      <c r="BD159" s="14" t="n"/>
      <c r="BE159" s="14" t="n"/>
    </row>
    <row r="160" hidden="1" ht="15.75" customHeight="1" thickTop="1">
      <c r="A160" s="39" t="inlineStr">
        <is>
          <t>RM6-6MCC01</t>
        </is>
      </c>
      <c r="B160" s="29" t="inlineStr">
        <is>
          <t>04J</t>
        </is>
      </c>
      <c r="C160" s="111" t="inlineStr">
        <is>
          <t>RM6-CKR-101.M2</t>
        </is>
      </c>
      <c r="D160" s="28" t="inlineStr">
        <is>
          <t>STEAM COOKER 1 STEAM BELT 2</t>
        </is>
      </c>
      <c r="E160" s="112" t="inlineStr">
        <is>
          <t>VFD</t>
        </is>
      </c>
      <c r="F160" s="8" t="n">
        <v>2</v>
      </c>
      <c r="G160" s="8" t="n">
        <v>2</v>
      </c>
      <c r="H160" s="82" t="n"/>
      <c r="I160" s="8" t="n"/>
      <c r="J160" s="80">
        <f>IF(ISNUMBER(MCC_Table[[#This Row],[SIZE]]), MCC_Table[[#This Row],[SIZE]]/12, 0)</f>
        <v/>
      </c>
      <c r="K160" s="82" t="n">
        <v>15</v>
      </c>
      <c r="L160" s="82" t="n">
        <v>125</v>
      </c>
      <c r="M160" s="82" t="n">
        <v>10</v>
      </c>
      <c r="N160" s="82" t="inlineStr">
        <is>
          <t>3/C #12 VFD CABLE</t>
        </is>
      </c>
      <c r="O160" s="77" t="n"/>
      <c r="P160" s="110" t="n"/>
      <c r="Q160" s="79" t="n"/>
      <c r="R160" s="79" t="n"/>
      <c r="S160" s="79" t="n"/>
      <c r="T160" s="79" t="n"/>
      <c r="U160" s="79" t="n"/>
      <c r="V160" s="79" t="n"/>
      <c r="W160" s="79" t="n"/>
      <c r="X160" s="79" t="n"/>
      <c r="Y160" s="79" t="n"/>
      <c r="Z160" s="79" t="n"/>
      <c r="AA160" s="79" t="n"/>
      <c r="AB160" s="225" t="n"/>
      <c r="AC160" s="225" t="n"/>
      <c r="AD160" s="225" t="n"/>
      <c r="AE160" s="29">
        <f>_xlfn.NUMBERVALUE(LEFT(MCC_Table[[#This Row],[BUCKET]],LEN(MCC_Table[[#This Row],[BUCKET]])-1))</f>
        <v/>
      </c>
      <c r="AF160" s="29">
        <f>RIGHT(MCC_Table[[#This Row],[BUCKET]],1)</f>
        <v/>
      </c>
      <c r="AG160" s="29">
        <f>VLOOKUP(MCC_Table[[#This Row],[START UNIT]],UnitMap[],2,FALSE)</f>
        <v/>
      </c>
      <c r="AH160" s="29">
        <f t="array" ref="AH16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60" s="29">
        <f>IF(ISNUMBER(MCC_Table[[#This Row],[SIZE]]), MCC_Table[[#This Row],[SIZE]]/6, 0)</f>
        <v/>
      </c>
      <c r="AJ160" s="29">
        <f>MCC_Table[[#This Row],[START INDEX]]+MCC_Table[[#This Row],[UNITS USED]]-1</f>
        <v/>
      </c>
      <c r="AK160" s="14" t="n"/>
      <c r="AL160" s="14" t="n"/>
      <c r="AM160" s="14" t="n"/>
      <c r="AN160" s="14" t="n"/>
      <c r="AO160" s="14" t="n"/>
      <c r="AP160" s="14" t="n"/>
      <c r="AQ160" s="14" t="n"/>
      <c r="AR160" s="14" t="n"/>
      <c r="AS160" s="14" t="n"/>
      <c r="AT160" s="14" t="n"/>
      <c r="AU160" s="14" t="n"/>
      <c r="AV160" s="14" t="n"/>
      <c r="AW160" s="14" t="n"/>
      <c r="AX160" s="14" t="n"/>
      <c r="AY160" s="14" t="n"/>
      <c r="AZ160" s="14" t="n"/>
      <c r="BA160" s="14" t="n"/>
      <c r="BB160" s="14" t="n"/>
      <c r="BC160" s="14" t="n"/>
      <c r="BD160" s="14" t="n"/>
      <c r="BE160" s="14" t="n"/>
    </row>
    <row r="161" hidden="1" ht="15.75" customHeight="1" thickTop="1">
      <c r="A161" s="37" t="inlineStr">
        <is>
          <t>RM6-6MCC01</t>
        </is>
      </c>
      <c r="B161" s="29" t="inlineStr">
        <is>
          <t>05A</t>
        </is>
      </c>
      <c r="C161" s="111" t="inlineStr">
        <is>
          <t>RM6-FAN-101.M1</t>
        </is>
      </c>
      <c r="D161" s="28" t="inlineStr">
        <is>
          <t>STEAM COOKER 1 EXHAUST FAN 1</t>
        </is>
      </c>
      <c r="E161" s="112" t="inlineStr">
        <is>
          <t>VFD</t>
        </is>
      </c>
      <c r="F161" s="8" t="n">
        <v>5</v>
      </c>
      <c r="G161" s="8" t="n">
        <v>5</v>
      </c>
      <c r="H161" s="82" t="n"/>
      <c r="I161" s="8" t="n"/>
      <c r="J161" s="80">
        <f>IF(ISNUMBER(MCC_Table[[#This Row],[SIZE]]), MCC_Table[[#This Row],[SIZE]]/12, 0)</f>
        <v/>
      </c>
      <c r="K161" s="82" t="n">
        <v>20</v>
      </c>
      <c r="L161" s="82" t="n">
        <v>125</v>
      </c>
      <c r="M161" s="82" t="n">
        <v>40</v>
      </c>
      <c r="N161" s="82" t="inlineStr">
        <is>
          <t>3/C #12 VFD CABLE</t>
        </is>
      </c>
      <c r="O161" s="77" t="n"/>
      <c r="P161" s="110" t="n"/>
      <c r="Q161" s="79" t="n"/>
      <c r="R161" s="79" t="n"/>
      <c r="S161" s="79" t="n"/>
      <c r="T161" s="79" t="n"/>
      <c r="U161" s="79" t="n"/>
      <c r="V161" s="79" t="n"/>
      <c r="W161" s="79" t="n"/>
      <c r="X161" s="79" t="n"/>
      <c r="Y161" s="79" t="n"/>
      <c r="Z161" s="79" t="n"/>
      <c r="AA161" s="79" t="n"/>
      <c r="AB161" s="225" t="n"/>
      <c r="AC161" s="225" t="n"/>
      <c r="AD161" s="225" t="n"/>
      <c r="AE161" s="29">
        <f>_xlfn.NUMBERVALUE(LEFT(MCC_Table[[#This Row],[BUCKET]],LEN(MCC_Table[[#This Row],[BUCKET]])-1))</f>
        <v/>
      </c>
      <c r="AF161" s="29">
        <f>RIGHT(MCC_Table[[#This Row],[BUCKET]],1)</f>
        <v/>
      </c>
      <c r="AG161" s="29">
        <f>VLOOKUP(MCC_Table[[#This Row],[START UNIT]],UnitMap[],2,FALSE)</f>
        <v/>
      </c>
      <c r="AH161" s="29">
        <f t="array" ref="AH16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61" s="29">
        <f>IF(ISNUMBER(MCC_Table[[#This Row],[SIZE]]), MCC_Table[[#This Row],[SIZE]]/6, 0)</f>
        <v/>
      </c>
      <c r="AJ161" s="29">
        <f>MCC_Table[[#This Row],[START INDEX]]+MCC_Table[[#This Row],[UNITS USED]]-1</f>
        <v/>
      </c>
      <c r="AK161" s="14" t="n"/>
      <c r="AL161" s="14" t="n"/>
      <c r="AM161" s="14" t="n"/>
      <c r="AN161" s="14" t="n"/>
      <c r="AO161" s="14" t="n"/>
      <c r="AP161" s="14" t="n"/>
      <c r="AQ161" s="14" t="n"/>
      <c r="AR161" s="14" t="n"/>
      <c r="AS161" s="14" t="n"/>
      <c r="AT161" s="14" t="n"/>
      <c r="AU161" s="14" t="n"/>
      <c r="AV161" s="14" t="n"/>
      <c r="AW161" s="14" t="n"/>
      <c r="AX161" s="14" t="n"/>
      <c r="AY161" s="14" t="n"/>
      <c r="AZ161" s="14" t="n"/>
      <c r="BA161" s="14" t="n"/>
      <c r="BB161" s="14" t="n"/>
      <c r="BC161" s="14" t="n"/>
      <c r="BD161" s="14" t="n"/>
      <c r="BE161" s="14" t="n"/>
    </row>
    <row r="162" hidden="1" ht="15.75" customHeight="1" thickTop="1">
      <c r="A162" s="39" t="inlineStr">
        <is>
          <t>RM6-6MCC01</t>
        </is>
      </c>
      <c r="B162" s="29" t="inlineStr">
        <is>
          <t>05E</t>
        </is>
      </c>
      <c r="C162" s="111" t="inlineStr">
        <is>
          <t>RM6-FAN-102.M1</t>
        </is>
      </c>
      <c r="D162" s="28" t="inlineStr">
        <is>
          <t>STEAM COOKER 1 EXHAUST FAN 2</t>
        </is>
      </c>
      <c r="E162" s="112" t="inlineStr">
        <is>
          <t>VFD</t>
        </is>
      </c>
      <c r="F162" s="8" t="n">
        <v>5</v>
      </c>
      <c r="G162" s="8" t="n">
        <v>5</v>
      </c>
      <c r="H162" s="82" t="n"/>
      <c r="I162" s="8" t="n"/>
      <c r="J162" s="80">
        <f>IF(ISNUMBER(MCC_Table[[#This Row],[SIZE]]), MCC_Table[[#This Row],[SIZE]]/12, 0)</f>
        <v/>
      </c>
      <c r="K162" s="82" t="n">
        <v>20</v>
      </c>
      <c r="L162" s="82" t="n">
        <v>125</v>
      </c>
      <c r="M162" s="82" t="n">
        <v>40</v>
      </c>
      <c r="N162" s="82" t="inlineStr">
        <is>
          <t>3/C #12 VFD CABLE</t>
        </is>
      </c>
      <c r="O162" s="77" t="n"/>
      <c r="P162" s="110" t="n"/>
      <c r="Q162" s="79" t="n"/>
      <c r="R162" s="79" t="n"/>
      <c r="S162" s="79" t="n"/>
      <c r="T162" s="79" t="n"/>
      <c r="U162" s="79" t="n"/>
      <c r="V162" s="79" t="n"/>
      <c r="W162" s="79" t="n"/>
      <c r="X162" s="79" t="n"/>
      <c r="Y162" s="79" t="n"/>
      <c r="Z162" s="79" t="n"/>
      <c r="AA162" s="79" t="n"/>
      <c r="AB162" s="225" t="n"/>
      <c r="AC162" s="225" t="n"/>
      <c r="AD162" s="225" t="n"/>
      <c r="AE162" s="29">
        <f>_xlfn.NUMBERVALUE(LEFT(MCC_Table[[#This Row],[BUCKET]],LEN(MCC_Table[[#This Row],[BUCKET]])-1))</f>
        <v/>
      </c>
      <c r="AF162" s="29">
        <f>RIGHT(MCC_Table[[#This Row],[BUCKET]],1)</f>
        <v/>
      </c>
      <c r="AG162" s="29">
        <f>VLOOKUP(MCC_Table[[#This Row],[START UNIT]],UnitMap[],2,FALSE)</f>
        <v/>
      </c>
      <c r="AH162" s="29">
        <f t="array" ref="AH16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62" s="29">
        <f>IF(ISNUMBER(MCC_Table[[#This Row],[SIZE]]), MCC_Table[[#This Row],[SIZE]]/6, 0)</f>
        <v/>
      </c>
      <c r="AJ162" s="29">
        <f>MCC_Table[[#This Row],[START INDEX]]+MCC_Table[[#This Row],[UNITS USED]]-1</f>
        <v/>
      </c>
      <c r="AK162" s="14" t="n"/>
      <c r="AL162" s="14" t="n"/>
      <c r="AM162" s="14" t="n"/>
      <c r="AN162" s="14" t="n"/>
      <c r="AO162" s="14" t="n"/>
      <c r="AP162" s="14" t="n"/>
      <c r="AQ162" s="14" t="n"/>
      <c r="AR162" s="14" t="n"/>
      <c r="AS162" s="14" t="n"/>
      <c r="AT162" s="14" t="n"/>
      <c r="AU162" s="14" t="n"/>
      <c r="AV162" s="14" t="n"/>
      <c r="AW162" s="14" t="n"/>
      <c r="AX162" s="14" t="n"/>
      <c r="AY162" s="14" t="n"/>
      <c r="AZ162" s="14" t="n"/>
      <c r="BA162" s="14" t="n"/>
      <c r="BB162" s="14" t="n"/>
      <c r="BC162" s="14" t="n"/>
      <c r="BD162" s="14" t="n"/>
      <c r="BE162" s="14" t="n"/>
    </row>
    <row r="163" hidden="1" ht="15.75" customHeight="1" thickTop="1">
      <c r="A163" s="39" t="inlineStr">
        <is>
          <t>RM6-6MCC01</t>
        </is>
      </c>
      <c r="B163" s="29" t="inlineStr">
        <is>
          <t>05J</t>
        </is>
      </c>
      <c r="C163" s="111" t="inlineStr">
        <is>
          <t>RM6-FAN-103.M1</t>
        </is>
      </c>
      <c r="D163" s="28" t="inlineStr">
        <is>
          <t>STEAM COOKER 1 EXHAUST FAN 3</t>
        </is>
      </c>
      <c r="E163" s="112" t="inlineStr">
        <is>
          <t>VFD</t>
        </is>
      </c>
      <c r="F163" s="8" t="n">
        <v>5</v>
      </c>
      <c r="G163" s="8" t="n">
        <v>5</v>
      </c>
      <c r="H163" s="82" t="n"/>
      <c r="I163" s="8" t="n"/>
      <c r="J163" s="80">
        <f>IF(ISNUMBER(MCC_Table[[#This Row],[SIZE]]), MCC_Table[[#This Row],[SIZE]]/12, 0)</f>
        <v/>
      </c>
      <c r="K163" s="82" t="n">
        <v>20</v>
      </c>
      <c r="L163" s="82" t="n">
        <v>125</v>
      </c>
      <c r="M163" s="82" t="n">
        <v>40</v>
      </c>
      <c r="N163" s="82" t="inlineStr">
        <is>
          <t>3/C #12 VFD CABLE</t>
        </is>
      </c>
      <c r="O163" s="77" t="n"/>
      <c r="P163" s="110" t="n"/>
      <c r="Q163" s="79" t="n"/>
      <c r="R163" s="79" t="n"/>
      <c r="S163" s="79" t="n"/>
      <c r="T163" s="79" t="n"/>
      <c r="U163" s="79" t="n"/>
      <c r="V163" s="79" t="n"/>
      <c r="W163" s="79" t="n"/>
      <c r="X163" s="79" t="n"/>
      <c r="Y163" s="79" t="n"/>
      <c r="Z163" s="79" t="n"/>
      <c r="AA163" s="79" t="n"/>
      <c r="AB163" s="225" t="n"/>
      <c r="AC163" s="225" t="n"/>
      <c r="AD163" s="225" t="n"/>
      <c r="AE163" s="29">
        <f>_xlfn.NUMBERVALUE(LEFT(MCC_Table[[#This Row],[BUCKET]],LEN(MCC_Table[[#This Row],[BUCKET]])-1))</f>
        <v/>
      </c>
      <c r="AF163" s="29">
        <f>RIGHT(MCC_Table[[#This Row],[BUCKET]],1)</f>
        <v/>
      </c>
      <c r="AG163" s="29">
        <f>VLOOKUP(MCC_Table[[#This Row],[START UNIT]],UnitMap[],2,FALSE)</f>
        <v/>
      </c>
      <c r="AH163" s="29">
        <f t="array" ref="AH16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63" s="29">
        <f>IF(ISNUMBER(MCC_Table[[#This Row],[SIZE]]), MCC_Table[[#This Row],[SIZE]]/6, 0)</f>
        <v/>
      </c>
      <c r="AJ163" s="29">
        <f>MCC_Table[[#This Row],[START INDEX]]+MCC_Table[[#This Row],[UNITS USED]]-1</f>
        <v/>
      </c>
      <c r="AK163" s="14" t="n"/>
      <c r="AL163" s="14" t="n"/>
      <c r="AM163" s="14" t="n"/>
      <c r="AN163" s="14" t="n"/>
      <c r="AO163" s="14" t="n"/>
      <c r="AP163" s="14" t="n"/>
      <c r="AQ163" s="14" t="n"/>
      <c r="AR163" s="14" t="n"/>
      <c r="AS163" s="14" t="n"/>
      <c r="AT163" s="14" t="n"/>
      <c r="AU163" s="14" t="n"/>
      <c r="AV163" s="14" t="n"/>
      <c r="AW163" s="14" t="n"/>
      <c r="AX163" s="14" t="n"/>
      <c r="AY163" s="14" t="n"/>
      <c r="AZ163" s="14" t="n"/>
      <c r="BA163" s="14" t="n"/>
      <c r="BB163" s="14" t="n"/>
      <c r="BC163" s="14" t="n"/>
      <c r="BD163" s="14" t="n"/>
      <c r="BE163" s="14" t="n"/>
    </row>
    <row r="164" hidden="1" ht="15.75" customHeight="1" thickTop="1">
      <c r="A164" s="39" t="inlineStr">
        <is>
          <t>RM6-6MCC01</t>
        </is>
      </c>
      <c r="B164" s="29" t="inlineStr">
        <is>
          <t>06A</t>
        </is>
      </c>
      <c r="C164" s="111" t="inlineStr">
        <is>
          <t>RM6-BIN-101B.M2</t>
        </is>
      </c>
      <c r="D164" s="28" t="inlineStr">
        <is>
          <t>SURGE BIN 2 AUGER</t>
        </is>
      </c>
      <c r="E164" s="112" t="inlineStr">
        <is>
          <t>VFD</t>
        </is>
      </c>
      <c r="F164" s="8" t="n">
        <v>15</v>
      </c>
      <c r="G164" s="8" t="n">
        <v>15</v>
      </c>
      <c r="H164" s="82" t="n"/>
      <c r="I164" s="8" t="n"/>
      <c r="J164" s="80">
        <f>IF(ISNUMBER(MCC_Table[[#This Row],[SIZE]]), MCC_Table[[#This Row],[SIZE]]/12, 0)</f>
        <v/>
      </c>
      <c r="K164" s="82" t="n">
        <v>60</v>
      </c>
      <c r="L164" s="82" t="n">
        <v>125</v>
      </c>
      <c r="M164" s="82" t="n">
        <v>40</v>
      </c>
      <c r="N164" s="82" t="inlineStr">
        <is>
          <t>3/C #10 VFD CABLE</t>
        </is>
      </c>
      <c r="O164" s="77" t="n"/>
      <c r="P164" s="110" t="n"/>
      <c r="Q164" s="79" t="n"/>
      <c r="R164" s="79" t="n"/>
      <c r="S164" s="79" t="n"/>
      <c r="T164" s="79" t="n"/>
      <c r="U164" s="79" t="n"/>
      <c r="V164" s="79" t="n"/>
      <c r="W164" s="79" t="n"/>
      <c r="X164" s="79" t="n"/>
      <c r="Y164" s="79" t="n"/>
      <c r="Z164" s="79" t="n"/>
      <c r="AA164" s="79" t="n"/>
      <c r="AB164" s="225" t="n"/>
      <c r="AC164" s="225" t="n"/>
      <c r="AD164" s="225" t="n"/>
      <c r="AE164" s="29">
        <f>_xlfn.NUMBERVALUE(LEFT(MCC_Table[[#This Row],[BUCKET]],LEN(MCC_Table[[#This Row],[BUCKET]])-1))</f>
        <v/>
      </c>
      <c r="AF164" s="29">
        <f>RIGHT(MCC_Table[[#This Row],[BUCKET]],1)</f>
        <v/>
      </c>
      <c r="AG164" s="29">
        <f>VLOOKUP(MCC_Table[[#This Row],[START UNIT]],UnitMap[],2,FALSE)</f>
        <v/>
      </c>
      <c r="AH164" s="29">
        <f t="array" ref="AH16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64" s="29">
        <f>IF(ISNUMBER(MCC_Table[[#This Row],[SIZE]]), MCC_Table[[#This Row],[SIZE]]/6, 0)</f>
        <v/>
      </c>
      <c r="AJ164" s="29">
        <f>MCC_Table[[#This Row],[START INDEX]]+MCC_Table[[#This Row],[UNITS USED]]-1</f>
        <v/>
      </c>
      <c r="AK164" s="14" t="n"/>
      <c r="AL164" s="14" t="n"/>
      <c r="AM164" s="14" t="n"/>
      <c r="AN164" s="14" t="n"/>
      <c r="AO164" s="14" t="n"/>
      <c r="AP164" s="14" t="n"/>
      <c r="AQ164" s="14" t="n"/>
      <c r="AR164" s="14" t="n"/>
      <c r="AS164" s="14" t="n"/>
      <c r="AT164" s="14" t="n"/>
      <c r="AU164" s="14" t="n"/>
      <c r="AV164" s="14" t="n"/>
      <c r="AW164" s="14" t="n"/>
      <c r="AX164" s="14" t="n"/>
      <c r="AY164" s="14" t="n"/>
      <c r="AZ164" s="14" t="n"/>
      <c r="BA164" s="14" t="n"/>
      <c r="BB164" s="14" t="n"/>
      <c r="BC164" s="14" t="n"/>
      <c r="BD164" s="14" t="n"/>
      <c r="BE164" s="14" t="n"/>
    </row>
    <row r="165" hidden="1" ht="15.75" customHeight="1" thickTop="1">
      <c r="A165" s="39" t="inlineStr">
        <is>
          <t>RM6-6MCC01</t>
        </is>
      </c>
      <c r="B165" s="29" t="inlineStr">
        <is>
          <t>06C</t>
        </is>
      </c>
      <c r="C165" s="111" t="inlineStr">
        <is>
          <t>RM6-CNV-112.M1</t>
        </is>
      </c>
      <c r="D165" s="28" t="inlineStr">
        <is>
          <t>STEAM COOKER 1 DISCHARGE CONVEYOR</t>
        </is>
      </c>
      <c r="E165" s="112" t="inlineStr">
        <is>
          <t>VFD</t>
        </is>
      </c>
      <c r="F165" s="8" t="n">
        <v>2</v>
      </c>
      <c r="G165" s="8" t="n">
        <v>2</v>
      </c>
      <c r="H165" s="82" t="n"/>
      <c r="I165" s="8" t="n"/>
      <c r="J165" s="80">
        <f>IF(ISNUMBER(MCC_Table[[#This Row],[SIZE]]), MCC_Table[[#This Row],[SIZE]]/12, 0)</f>
        <v/>
      </c>
      <c r="K165" s="82" t="n">
        <v>15</v>
      </c>
      <c r="L165" s="82" t="n">
        <v>125</v>
      </c>
      <c r="M165" s="82" t="n">
        <v>10</v>
      </c>
      <c r="N165" s="82" t="inlineStr">
        <is>
          <t>3/C #12 VFD CABLE</t>
        </is>
      </c>
      <c r="O165" s="77" t="n"/>
      <c r="P165" s="110" t="n"/>
      <c r="Q165" s="79" t="n"/>
      <c r="R165" s="79" t="n"/>
      <c r="S165" s="79" t="n"/>
      <c r="T165" s="79" t="n"/>
      <c r="U165" s="79" t="n"/>
      <c r="V165" s="79" t="n"/>
      <c r="W165" s="79" t="n"/>
      <c r="X165" s="79" t="n"/>
      <c r="Y165" s="79" t="n"/>
      <c r="Z165" s="79" t="n"/>
      <c r="AA165" s="79" t="n"/>
      <c r="AB165" s="225" t="n"/>
      <c r="AC165" s="225" t="n"/>
      <c r="AD165" s="225" t="n"/>
      <c r="AE165" s="29">
        <f>_xlfn.NUMBERVALUE(LEFT(MCC_Table[[#This Row],[BUCKET]],LEN(MCC_Table[[#This Row],[BUCKET]])-1))</f>
        <v/>
      </c>
      <c r="AF165" s="29">
        <f>RIGHT(MCC_Table[[#This Row],[BUCKET]],1)</f>
        <v/>
      </c>
      <c r="AG165" s="29">
        <f>VLOOKUP(MCC_Table[[#This Row],[START UNIT]],UnitMap[],2,FALSE)</f>
        <v/>
      </c>
      <c r="AH165" s="29">
        <f t="array" ref="AH16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65" s="29">
        <f>IF(ISNUMBER(MCC_Table[[#This Row],[SIZE]]), MCC_Table[[#This Row],[SIZE]]/6, 0)</f>
        <v/>
      </c>
      <c r="AJ165" s="29">
        <f>MCC_Table[[#This Row],[START INDEX]]+MCC_Table[[#This Row],[UNITS USED]]-1</f>
        <v/>
      </c>
      <c r="AK165" s="14" t="n"/>
      <c r="AL165" s="14" t="n"/>
      <c r="AM165" s="14" t="n"/>
      <c r="AN165" s="14" t="n"/>
      <c r="AO165" s="14" t="n"/>
      <c r="AP165" s="14" t="n"/>
      <c r="AQ165" s="14" t="n"/>
      <c r="AR165" s="14" t="n"/>
      <c r="AS165" s="14" t="n"/>
      <c r="AT165" s="14" t="n"/>
      <c r="AU165" s="14" t="n"/>
      <c r="AV165" s="14" t="n"/>
      <c r="AW165" s="14" t="n"/>
      <c r="AX165" s="14" t="n"/>
      <c r="AY165" s="14" t="n"/>
      <c r="AZ165" s="14" t="n"/>
      <c r="BA165" s="14" t="n"/>
      <c r="BB165" s="14" t="n"/>
      <c r="BC165" s="14" t="n"/>
      <c r="BD165" s="14" t="n"/>
      <c r="BE165" s="14" t="n"/>
    </row>
    <row r="166" hidden="1" ht="15.75" customHeight="1" thickTop="1">
      <c r="A166" s="39" t="inlineStr">
        <is>
          <t>RM6-6MCC01</t>
        </is>
      </c>
      <c r="B166" s="29" t="inlineStr">
        <is>
          <t>06L</t>
        </is>
      </c>
      <c r="C166" s="24" t="inlineStr">
        <is>
          <t>RM6-MCC1-06L.SW1</t>
        </is>
      </c>
      <c r="D166" s="62" t="inlineStr">
        <is>
          <t>ETHERNET SWITCH (20-PORT)</t>
        </is>
      </c>
      <c r="E166" s="24" t="inlineStr">
        <is>
          <t>ENET_20</t>
        </is>
      </c>
      <c r="F166" s="8" t="n"/>
      <c r="G166" s="8" t="n"/>
      <c r="H166" s="82" t="n"/>
      <c r="I166" s="8" t="n"/>
      <c r="J166" s="80">
        <f>IF(ISNUMBER(MCC_Table[[#This Row],[SIZE]]), MCC_Table[[#This Row],[SIZE]]/12, 0)</f>
        <v/>
      </c>
      <c r="K166" s="82" t="n"/>
      <c r="L166" s="82" t="n"/>
      <c r="M166" s="82" t="n"/>
      <c r="N166" s="82" t="n"/>
      <c r="O166" s="77" t="n"/>
      <c r="P166" s="110" t="n"/>
      <c r="Q166" s="79" t="n"/>
      <c r="R166" s="79" t="n"/>
      <c r="S166" s="79" t="n"/>
      <c r="T166" s="79" t="n"/>
      <c r="U166" s="79" t="n"/>
      <c r="V166" s="79" t="n"/>
      <c r="W166" s="79" t="n"/>
      <c r="X166" s="79" t="n"/>
      <c r="Y166" s="79" t="n"/>
      <c r="Z166" s="79" t="n"/>
      <c r="AA166" s="79" t="n"/>
      <c r="AB166" s="225" t="n"/>
      <c r="AC166" s="225" t="n"/>
      <c r="AD166" s="225" t="n"/>
      <c r="AE166" s="29">
        <f>_xlfn.NUMBERVALUE(LEFT(MCC_Table[[#This Row],[BUCKET]],LEN(MCC_Table[[#This Row],[BUCKET]])-1))</f>
        <v/>
      </c>
      <c r="AF166" s="29">
        <f>RIGHT(MCC_Table[[#This Row],[BUCKET]],1)</f>
        <v/>
      </c>
      <c r="AG166" s="29">
        <f>VLOOKUP(MCC_Table[[#This Row],[START UNIT]],UnitMap[],2,FALSE)</f>
        <v/>
      </c>
      <c r="AH166" s="29">
        <f t="array" ref="AH16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66" s="29">
        <f>IF(ISNUMBER(MCC_Table[[#This Row],[SIZE]]), MCC_Table[[#This Row],[SIZE]]/6, 0)</f>
        <v/>
      </c>
      <c r="AJ166" s="29">
        <f>MCC_Table[[#This Row],[START INDEX]]+MCC_Table[[#This Row],[UNITS USED]]-1</f>
        <v/>
      </c>
      <c r="AK166" s="14" t="n"/>
      <c r="AL166" s="14" t="n"/>
      <c r="AM166" s="14" t="n"/>
      <c r="AN166" s="14" t="n"/>
      <c r="AO166" s="14" t="n"/>
      <c r="AP166" s="14" t="n"/>
      <c r="AQ166" s="14" t="n"/>
      <c r="AR166" s="14" t="n"/>
      <c r="AS166" s="14" t="n"/>
      <c r="AT166" s="14" t="n"/>
      <c r="AU166" s="14" t="n"/>
      <c r="AV166" s="14" t="n"/>
      <c r="AW166" s="14" t="n"/>
      <c r="AX166" s="14" t="n"/>
      <c r="AY166" s="14" t="n"/>
      <c r="AZ166" s="14" t="n"/>
      <c r="BA166" s="14" t="n"/>
      <c r="BB166" s="14" t="n"/>
      <c r="BC166" s="14" t="n"/>
      <c r="BD166" s="14" t="n"/>
      <c r="BE166" s="14" t="n"/>
    </row>
    <row r="167" hidden="1" ht="15.75" customHeight="1" thickTop="1">
      <c r="A167" s="37" t="inlineStr">
        <is>
          <t>RM6-6MCC01</t>
        </is>
      </c>
      <c r="B167" s="29" t="inlineStr">
        <is>
          <t>07A</t>
        </is>
      </c>
      <c r="C167" s="111" t="inlineStr">
        <is>
          <t>RM6-GRR-106.M1</t>
        </is>
      </c>
      <c r="D167" s="28" t="inlineStr">
        <is>
          <t>STEAM COOKER 2 DE-CLUMPER</t>
        </is>
      </c>
      <c r="E167" s="112" t="inlineStr">
        <is>
          <t>VFD</t>
        </is>
      </c>
      <c r="F167" s="8" t="n">
        <v>2</v>
      </c>
      <c r="G167" s="8" t="n">
        <v>2</v>
      </c>
      <c r="H167" s="82" t="n"/>
      <c r="I167" s="8" t="n"/>
      <c r="J167" s="80">
        <f>IF(ISNUMBER(MCC_Table[[#This Row],[SIZE]]), MCC_Table[[#This Row],[SIZE]]/12, 0)</f>
        <v/>
      </c>
      <c r="K167" s="82" t="n">
        <v>15</v>
      </c>
      <c r="L167" s="82" t="n">
        <v>125</v>
      </c>
      <c r="M167" s="82" t="n">
        <v>10</v>
      </c>
      <c r="N167" s="82" t="inlineStr">
        <is>
          <t>3/C #12 VFD CABLE</t>
        </is>
      </c>
      <c r="O167" s="77" t="n"/>
      <c r="P167" s="110" t="n"/>
      <c r="Q167" s="79" t="n"/>
      <c r="R167" s="79" t="n"/>
      <c r="S167" s="79" t="n"/>
      <c r="T167" s="79" t="n"/>
      <c r="U167" s="79" t="n"/>
      <c r="V167" s="79" t="n"/>
      <c r="W167" s="79" t="n"/>
      <c r="X167" s="79" t="n"/>
      <c r="Y167" s="79" t="n"/>
      <c r="Z167" s="79" t="n"/>
      <c r="AA167" s="79" t="n"/>
      <c r="AB167" s="225" t="n"/>
      <c r="AC167" s="225" t="n"/>
      <c r="AD167" s="225" t="n"/>
      <c r="AE167" s="29">
        <f>_xlfn.NUMBERVALUE(LEFT(MCC_Table[[#This Row],[BUCKET]],LEN(MCC_Table[[#This Row],[BUCKET]])-1))</f>
        <v/>
      </c>
      <c r="AF167" s="29">
        <f>RIGHT(MCC_Table[[#This Row],[BUCKET]],1)</f>
        <v/>
      </c>
      <c r="AG167" s="29">
        <f>VLOOKUP(MCC_Table[[#This Row],[START UNIT]],UnitMap[],2,FALSE)</f>
        <v/>
      </c>
      <c r="AH167" s="29">
        <f t="array" ref="AH16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67" s="29">
        <f>IF(ISNUMBER(MCC_Table[[#This Row],[SIZE]]), MCC_Table[[#This Row],[SIZE]]/6, 0)</f>
        <v/>
      </c>
      <c r="AJ167" s="29">
        <f>MCC_Table[[#This Row],[START INDEX]]+MCC_Table[[#This Row],[UNITS USED]]-1</f>
        <v/>
      </c>
      <c r="AK167" s="14" t="n"/>
      <c r="AL167" s="14" t="n"/>
      <c r="AM167" s="14" t="n"/>
      <c r="AN167" s="14" t="n"/>
      <c r="AO167" s="14" t="n"/>
      <c r="AP167" s="14" t="n"/>
      <c r="AQ167" s="14" t="n"/>
      <c r="AR167" s="14" t="n"/>
      <c r="AS167" s="14" t="n"/>
      <c r="AT167" s="14" t="n"/>
      <c r="AU167" s="14" t="n"/>
      <c r="AV167" s="14" t="n"/>
      <c r="AW167" s="14" t="n"/>
      <c r="AX167" s="14" t="n"/>
      <c r="AY167" s="14" t="n"/>
      <c r="AZ167" s="14" t="n"/>
      <c r="BA167" s="14" t="n"/>
      <c r="BB167" s="14" t="n"/>
      <c r="BC167" s="14" t="n"/>
      <c r="BD167" s="14" t="n"/>
      <c r="BE167" s="14" t="n"/>
    </row>
    <row r="168" hidden="1" ht="15.75" customHeight="1" thickTop="1">
      <c r="A168" s="39" t="inlineStr">
        <is>
          <t>RM6-6MCC01</t>
        </is>
      </c>
      <c r="B168" s="29" t="inlineStr">
        <is>
          <t>07E</t>
        </is>
      </c>
      <c r="C168" s="111" t="inlineStr">
        <is>
          <t>RM6-CKR-102.M1</t>
        </is>
      </c>
      <c r="D168" s="28" t="inlineStr">
        <is>
          <t>STEAM COOKER 2 STEAM BELT 1</t>
        </is>
      </c>
      <c r="E168" s="112" t="inlineStr">
        <is>
          <t>VFD</t>
        </is>
      </c>
      <c r="F168" s="8" t="n">
        <v>2</v>
      </c>
      <c r="G168" s="8" t="n">
        <v>2</v>
      </c>
      <c r="H168" s="82" t="n"/>
      <c r="I168" s="8" t="n"/>
      <c r="J168" s="80">
        <f>IF(ISNUMBER(MCC_Table[[#This Row],[SIZE]]), MCC_Table[[#This Row],[SIZE]]/12, 0)</f>
        <v/>
      </c>
      <c r="K168" s="82" t="n">
        <v>15</v>
      </c>
      <c r="L168" s="82" t="n">
        <v>125</v>
      </c>
      <c r="M168" s="82" t="n">
        <v>10</v>
      </c>
      <c r="N168" s="82" t="inlineStr">
        <is>
          <t>3/C #12 VFD CABLE</t>
        </is>
      </c>
      <c r="O168" s="77" t="n"/>
      <c r="P168" s="110" t="n"/>
      <c r="Q168" s="79" t="n"/>
      <c r="R168" s="79" t="n"/>
      <c r="S168" s="79" t="n"/>
      <c r="T168" s="79" t="n"/>
      <c r="U168" s="79" t="n"/>
      <c r="V168" s="79" t="n"/>
      <c r="W168" s="79" t="n"/>
      <c r="X168" s="79" t="n"/>
      <c r="Y168" s="79" t="n"/>
      <c r="Z168" s="79" t="n"/>
      <c r="AA168" s="79" t="n"/>
      <c r="AB168" s="225" t="n"/>
      <c r="AC168" s="225" t="n"/>
      <c r="AD168" s="225" t="n"/>
      <c r="AE168" s="29">
        <f>_xlfn.NUMBERVALUE(LEFT(MCC_Table[[#This Row],[BUCKET]],LEN(MCC_Table[[#This Row],[BUCKET]])-1))</f>
        <v/>
      </c>
      <c r="AF168" s="29">
        <f>RIGHT(MCC_Table[[#This Row],[BUCKET]],1)</f>
        <v/>
      </c>
      <c r="AG168" s="29">
        <f>VLOOKUP(MCC_Table[[#This Row],[START UNIT]],UnitMap[],2,FALSE)</f>
        <v/>
      </c>
      <c r="AH168" s="29">
        <f t="array" ref="AH16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68" s="29">
        <f>IF(ISNUMBER(MCC_Table[[#This Row],[SIZE]]), MCC_Table[[#This Row],[SIZE]]/6, 0)</f>
        <v/>
      </c>
      <c r="AJ168" s="29">
        <f>MCC_Table[[#This Row],[START INDEX]]+MCC_Table[[#This Row],[UNITS USED]]-1</f>
        <v/>
      </c>
      <c r="AK168" s="14" t="n"/>
      <c r="AL168" s="14" t="n"/>
      <c r="AM168" s="14" t="n"/>
      <c r="AN168" s="14" t="n"/>
      <c r="AO168" s="14" t="n"/>
      <c r="AP168" s="14" t="n"/>
      <c r="AQ168" s="14" t="n"/>
      <c r="AR168" s="14" t="n"/>
      <c r="AS168" s="14" t="n"/>
      <c r="AT168" s="14" t="n"/>
      <c r="AU168" s="14" t="n"/>
      <c r="AV168" s="14" t="n"/>
      <c r="AW168" s="14" t="n"/>
      <c r="AX168" s="14" t="n"/>
      <c r="AY168" s="14" t="n"/>
      <c r="AZ168" s="14" t="n"/>
      <c r="BA168" s="14" t="n"/>
      <c r="BB168" s="14" t="n"/>
      <c r="BC168" s="14" t="n"/>
      <c r="BD168" s="14" t="n"/>
      <c r="BE168" s="14" t="n"/>
    </row>
    <row r="169" hidden="1" ht="30.75" customHeight="1" thickTop="1">
      <c r="A169" s="39" t="inlineStr">
        <is>
          <t>RM6-6MCC01</t>
        </is>
      </c>
      <c r="B169" s="29" t="inlineStr">
        <is>
          <t>07J</t>
        </is>
      </c>
      <c r="C169" s="111" t="inlineStr">
        <is>
          <t>RM6-WWL-102.M1 RM6-SHR-102.M1</t>
        </is>
      </c>
      <c r="D169" s="28" t="inlineStr">
        <is>
          <t>STEAM COOKER 2 WATERWHEEL/SPREADER MOTOR 1</t>
        </is>
      </c>
      <c r="E169" s="112" t="inlineStr">
        <is>
          <t>VFD</t>
        </is>
      </c>
      <c r="F169" s="8" t="n">
        <v>2</v>
      </c>
      <c r="G169" s="8" t="n">
        <v>2</v>
      </c>
      <c r="H169" s="82" t="n"/>
      <c r="I169" s="8" t="n"/>
      <c r="J169" s="80">
        <f>IF(ISNUMBER(MCC_Table[[#This Row],[SIZE]]), MCC_Table[[#This Row],[SIZE]]/12, 0)</f>
        <v/>
      </c>
      <c r="K169" s="82" t="n">
        <v>15</v>
      </c>
      <c r="L169" s="82" t="n">
        <v>125</v>
      </c>
      <c r="M169" s="82" t="n">
        <v>10</v>
      </c>
      <c r="N169" s="82" t="inlineStr">
        <is>
          <t>3/C #12 VFD CABLE</t>
        </is>
      </c>
      <c r="O169" s="77" t="n"/>
      <c r="P169" s="110" t="n"/>
      <c r="Q169" s="79" t="n"/>
      <c r="R169" s="79" t="n"/>
      <c r="S169" s="79" t="n"/>
      <c r="T169" s="79" t="n"/>
      <c r="U169" s="79" t="n"/>
      <c r="V169" s="79" t="n"/>
      <c r="W169" s="79" t="n"/>
      <c r="X169" s="79" t="n"/>
      <c r="Y169" s="79" t="n"/>
      <c r="Z169" s="79" t="n"/>
      <c r="AA169" s="79" t="n"/>
      <c r="AB169" s="225" t="n"/>
      <c r="AC169" s="225" t="n"/>
      <c r="AD169" s="225" t="n"/>
      <c r="AE169" s="29">
        <f>_xlfn.NUMBERVALUE(LEFT(MCC_Table[[#This Row],[BUCKET]],LEN(MCC_Table[[#This Row],[BUCKET]])-1))</f>
        <v/>
      </c>
      <c r="AF169" s="29">
        <f>RIGHT(MCC_Table[[#This Row],[BUCKET]],1)</f>
        <v/>
      </c>
      <c r="AG169" s="29">
        <f>VLOOKUP(MCC_Table[[#This Row],[START UNIT]],UnitMap[],2,FALSE)</f>
        <v/>
      </c>
      <c r="AH169" s="29">
        <f t="array" ref="AH16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69" s="29">
        <f>IF(ISNUMBER(MCC_Table[[#This Row],[SIZE]]), MCC_Table[[#This Row],[SIZE]]/6, 0)</f>
        <v/>
      </c>
      <c r="AJ169" s="29">
        <f>MCC_Table[[#This Row],[START INDEX]]+MCC_Table[[#This Row],[UNITS USED]]-1</f>
        <v/>
      </c>
      <c r="AK169" s="14" t="n"/>
      <c r="AL169" s="14" t="n"/>
      <c r="AM169" s="14" t="n"/>
      <c r="AN169" s="14" t="n"/>
      <c r="AO169" s="14" t="n"/>
      <c r="AP169" s="14" t="n"/>
      <c r="AQ169" s="14" t="n"/>
      <c r="AR169" s="14" t="n"/>
      <c r="AS169" s="14" t="n"/>
      <c r="AT169" s="14" t="n"/>
      <c r="AU169" s="14" t="n"/>
      <c r="AV169" s="14" t="n"/>
      <c r="AW169" s="14" t="n"/>
      <c r="AX169" s="14" t="n"/>
      <c r="AY169" s="14" t="n"/>
      <c r="AZ169" s="14" t="n"/>
      <c r="BA169" s="14" t="n"/>
      <c r="BB169" s="14" t="n"/>
      <c r="BC169" s="14" t="n"/>
      <c r="BD169" s="14" t="n"/>
      <c r="BE169" s="14" t="n"/>
    </row>
    <row r="170" hidden="1" ht="15.75" customHeight="1" thickTop="1">
      <c r="A170" s="39" t="inlineStr">
        <is>
          <t>RM6-6MCC01</t>
        </is>
      </c>
      <c r="B170" s="29" t="inlineStr">
        <is>
          <t>08A</t>
        </is>
      </c>
      <c r="C170" s="111" t="inlineStr">
        <is>
          <t>RM6-AGC-103.M2</t>
        </is>
      </c>
      <c r="D170" s="28" t="inlineStr">
        <is>
          <t>DUAL AUGER CART 1 AUGER 1</t>
        </is>
      </c>
      <c r="E170" s="112" t="inlineStr">
        <is>
          <t>VFD</t>
        </is>
      </c>
      <c r="F170" s="8" t="n">
        <v>5</v>
      </c>
      <c r="G170" s="8" t="n">
        <v>5</v>
      </c>
      <c r="H170" s="82" t="n"/>
      <c r="I170" s="8" t="n"/>
      <c r="J170" s="80">
        <f>IF(ISNUMBER(MCC_Table[[#This Row],[SIZE]]), MCC_Table[[#This Row],[SIZE]]/12, 0)</f>
        <v/>
      </c>
      <c r="K170" s="82" t="n">
        <v>20</v>
      </c>
      <c r="L170" s="82" t="n">
        <v>125</v>
      </c>
      <c r="M170" s="82" t="n">
        <v>20</v>
      </c>
      <c r="N170" s="82" t="inlineStr">
        <is>
          <t>3/C #12 VFD CABLE</t>
        </is>
      </c>
      <c r="O170" s="77" t="n"/>
      <c r="P170" s="110" t="n"/>
      <c r="Q170" s="79" t="n"/>
      <c r="R170" s="79" t="n"/>
      <c r="S170" s="79" t="n"/>
      <c r="T170" s="79" t="n"/>
      <c r="U170" s="79" t="n"/>
      <c r="V170" s="79" t="n"/>
      <c r="W170" s="79" t="n"/>
      <c r="X170" s="79" t="n"/>
      <c r="Y170" s="79" t="n"/>
      <c r="Z170" s="79" t="n"/>
      <c r="AA170" s="79" t="n"/>
      <c r="AB170" s="225" t="n"/>
      <c r="AC170" s="225" t="n"/>
      <c r="AD170" s="225" t="n"/>
      <c r="AE170" s="29">
        <f>_xlfn.NUMBERVALUE(LEFT(MCC_Table[[#This Row],[BUCKET]],LEN(MCC_Table[[#This Row],[BUCKET]])-1))</f>
        <v/>
      </c>
      <c r="AF170" s="29">
        <f>RIGHT(MCC_Table[[#This Row],[BUCKET]],1)</f>
        <v/>
      </c>
      <c r="AG170" s="29">
        <f>VLOOKUP(MCC_Table[[#This Row],[START UNIT]],UnitMap[],2,FALSE)</f>
        <v/>
      </c>
      <c r="AH170" s="29">
        <f t="array" ref="AH17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70" s="29">
        <f>IF(ISNUMBER(MCC_Table[[#This Row],[SIZE]]), MCC_Table[[#This Row],[SIZE]]/6, 0)</f>
        <v/>
      </c>
      <c r="AJ170" s="29">
        <f>MCC_Table[[#This Row],[START INDEX]]+MCC_Table[[#This Row],[UNITS USED]]-1</f>
        <v/>
      </c>
      <c r="AK170" s="14" t="n"/>
      <c r="AL170" s="14" t="n"/>
      <c r="AM170" s="14" t="n"/>
      <c r="AN170" s="14" t="n"/>
      <c r="AO170" s="14" t="n"/>
      <c r="AP170" s="14" t="n"/>
      <c r="AQ170" s="14" t="n"/>
      <c r="AR170" s="14" t="n"/>
      <c r="AS170" s="14" t="n"/>
      <c r="AT170" s="14" t="n"/>
      <c r="AU170" s="14" t="n"/>
      <c r="AV170" s="14" t="n"/>
      <c r="AW170" s="14" t="n"/>
      <c r="AX170" s="14" t="n"/>
      <c r="AY170" s="14" t="n"/>
      <c r="AZ170" s="14" t="n"/>
      <c r="BA170" s="14" t="n"/>
      <c r="BB170" s="14" t="n"/>
      <c r="BC170" s="14" t="n"/>
      <c r="BD170" s="14" t="n"/>
      <c r="BE170" s="14" t="n"/>
    </row>
    <row r="171" hidden="1" ht="15.75" customHeight="1" thickTop="1">
      <c r="A171" s="39" t="inlineStr">
        <is>
          <t>RM6-6MCC01</t>
        </is>
      </c>
      <c r="B171" s="29" t="inlineStr">
        <is>
          <t>08E</t>
        </is>
      </c>
      <c r="C171" s="111" t="inlineStr">
        <is>
          <t>RM6-AGC-103.M3</t>
        </is>
      </c>
      <c r="D171" s="28" t="inlineStr">
        <is>
          <t>DUAL AUGER CART 1 AUGER 2</t>
        </is>
      </c>
      <c r="E171" s="112" t="inlineStr">
        <is>
          <t>VFD</t>
        </is>
      </c>
      <c r="F171" s="8" t="n">
        <v>5</v>
      </c>
      <c r="G171" s="8" t="n">
        <v>5</v>
      </c>
      <c r="H171" s="82" t="n"/>
      <c r="I171" s="8" t="n"/>
      <c r="J171" s="80">
        <f>IF(ISNUMBER(MCC_Table[[#This Row],[SIZE]]), MCC_Table[[#This Row],[SIZE]]/12, 0)</f>
        <v/>
      </c>
      <c r="K171" s="82" t="n">
        <v>20</v>
      </c>
      <c r="L171" s="82" t="n">
        <v>125</v>
      </c>
      <c r="M171" s="82" t="n">
        <v>20</v>
      </c>
      <c r="N171" s="82" t="inlineStr">
        <is>
          <t>3/C #12 VFD CABLE</t>
        </is>
      </c>
      <c r="O171" s="77" t="n"/>
      <c r="P171" s="110" t="n"/>
      <c r="Q171" s="79" t="n"/>
      <c r="R171" s="79" t="n"/>
      <c r="S171" s="79" t="n"/>
      <c r="T171" s="79" t="n"/>
      <c r="U171" s="79" t="n"/>
      <c r="V171" s="79" t="n"/>
      <c r="W171" s="79" t="n"/>
      <c r="X171" s="79" t="n"/>
      <c r="Y171" s="79" t="n"/>
      <c r="Z171" s="79" t="n"/>
      <c r="AA171" s="79" t="n"/>
      <c r="AB171" s="225" t="n"/>
      <c r="AC171" s="225" t="n"/>
      <c r="AD171" s="225" t="n"/>
      <c r="AE171" s="29">
        <f>_xlfn.NUMBERVALUE(LEFT(MCC_Table[[#This Row],[BUCKET]],LEN(MCC_Table[[#This Row],[BUCKET]])-1))</f>
        <v/>
      </c>
      <c r="AF171" s="29">
        <f>RIGHT(MCC_Table[[#This Row],[BUCKET]],1)</f>
        <v/>
      </c>
      <c r="AG171" s="29">
        <f>VLOOKUP(MCC_Table[[#This Row],[START UNIT]],UnitMap[],2,FALSE)</f>
        <v/>
      </c>
      <c r="AH171" s="29">
        <f t="array" ref="AH17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71" s="29">
        <f>IF(ISNUMBER(MCC_Table[[#This Row],[SIZE]]), MCC_Table[[#This Row],[SIZE]]/6, 0)</f>
        <v/>
      </c>
      <c r="AJ171" s="29">
        <f>MCC_Table[[#This Row],[START INDEX]]+MCC_Table[[#This Row],[UNITS USED]]-1</f>
        <v/>
      </c>
      <c r="AK171" s="14" t="n"/>
      <c r="AL171" s="14" t="n"/>
      <c r="AM171" s="14" t="n"/>
      <c r="AN171" s="14" t="n"/>
      <c r="AO171" s="14" t="n"/>
      <c r="AP171" s="14" t="n"/>
      <c r="AQ171" s="14" t="n"/>
      <c r="AR171" s="14" t="n"/>
      <c r="AS171" s="14" t="n"/>
      <c r="AT171" s="14" t="n"/>
      <c r="AU171" s="14" t="n"/>
      <c r="AV171" s="14" t="n"/>
      <c r="AW171" s="14" t="n"/>
      <c r="AX171" s="14" t="n"/>
      <c r="AY171" s="14" t="n"/>
      <c r="AZ171" s="14" t="n"/>
      <c r="BA171" s="14" t="n"/>
      <c r="BB171" s="14" t="n"/>
      <c r="BC171" s="14" t="n"/>
      <c r="BD171" s="14" t="n"/>
      <c r="BE171" s="14" t="n"/>
    </row>
    <row r="172" hidden="1" ht="15.75" customHeight="1" thickTop="1">
      <c r="A172" s="39" t="inlineStr">
        <is>
          <t>RM6-6MCC01</t>
        </is>
      </c>
      <c r="B172" s="29" t="inlineStr">
        <is>
          <t>08J</t>
        </is>
      </c>
      <c r="C172" s="111" t="inlineStr">
        <is>
          <t>RM6-AGC-104.M2</t>
        </is>
      </c>
      <c r="D172" s="28" t="inlineStr">
        <is>
          <t>DUAL AUGER CART 2 AUGER 1</t>
        </is>
      </c>
      <c r="E172" s="112" t="inlineStr">
        <is>
          <t>VFD</t>
        </is>
      </c>
      <c r="F172" s="8" t="n">
        <v>5</v>
      </c>
      <c r="G172" s="8" t="n">
        <v>5</v>
      </c>
      <c r="H172" s="82" t="n"/>
      <c r="I172" s="8" t="n"/>
      <c r="J172" s="80">
        <f>IF(ISNUMBER(MCC_Table[[#This Row],[SIZE]]), MCC_Table[[#This Row],[SIZE]]/12, 0)</f>
        <v/>
      </c>
      <c r="K172" s="82" t="n">
        <v>20</v>
      </c>
      <c r="L172" s="82" t="n">
        <v>125</v>
      </c>
      <c r="M172" s="82" t="n">
        <v>20</v>
      </c>
      <c r="N172" s="82" t="inlineStr">
        <is>
          <t>3/C #12 VFD CABLE</t>
        </is>
      </c>
      <c r="O172" s="77" t="n"/>
      <c r="P172" s="110" t="n"/>
      <c r="Q172" s="79" t="n"/>
      <c r="R172" s="79" t="n"/>
      <c r="S172" s="79" t="n"/>
      <c r="T172" s="79" t="n"/>
      <c r="U172" s="79" t="n"/>
      <c r="V172" s="79" t="n"/>
      <c r="W172" s="79" t="n"/>
      <c r="X172" s="79" t="n"/>
      <c r="Y172" s="79" t="n"/>
      <c r="Z172" s="79" t="n"/>
      <c r="AA172" s="79" t="n"/>
      <c r="AB172" s="225" t="n"/>
      <c r="AC172" s="225" t="n"/>
      <c r="AD172" s="225" t="n"/>
      <c r="AE172" s="29">
        <f>_xlfn.NUMBERVALUE(LEFT(MCC_Table[[#This Row],[BUCKET]],LEN(MCC_Table[[#This Row],[BUCKET]])-1))</f>
        <v/>
      </c>
      <c r="AF172" s="29">
        <f>RIGHT(MCC_Table[[#This Row],[BUCKET]],1)</f>
        <v/>
      </c>
      <c r="AG172" s="29">
        <f>VLOOKUP(MCC_Table[[#This Row],[START UNIT]],UnitMap[],2,FALSE)</f>
        <v/>
      </c>
      <c r="AH172" s="29">
        <f t="array" ref="AH17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72" s="29">
        <f>IF(ISNUMBER(MCC_Table[[#This Row],[SIZE]]), MCC_Table[[#This Row],[SIZE]]/6, 0)</f>
        <v/>
      </c>
      <c r="AJ172" s="29">
        <f>MCC_Table[[#This Row],[START INDEX]]+MCC_Table[[#This Row],[UNITS USED]]-1</f>
        <v/>
      </c>
      <c r="AK172" s="14" t="n"/>
      <c r="AL172" s="14" t="n"/>
      <c r="AM172" s="14" t="n"/>
      <c r="AN172" s="14" t="n"/>
      <c r="AO172" s="14" t="n"/>
      <c r="AP172" s="14" t="n"/>
      <c r="AQ172" s="14" t="n"/>
      <c r="AR172" s="14" t="n"/>
      <c r="AS172" s="14" t="n"/>
      <c r="AT172" s="14" t="n"/>
      <c r="AU172" s="14" t="n"/>
      <c r="AV172" s="14" t="n"/>
      <c r="AW172" s="14" t="n"/>
      <c r="AX172" s="14" t="n"/>
      <c r="AY172" s="14" t="n"/>
      <c r="AZ172" s="14" t="n"/>
      <c r="BA172" s="14" t="n"/>
      <c r="BB172" s="14" t="n"/>
      <c r="BC172" s="14" t="n"/>
      <c r="BD172" s="14" t="n"/>
      <c r="BE172" s="14" t="n"/>
    </row>
    <row r="173" hidden="1" ht="15.75" customHeight="1" thickTop="1">
      <c r="A173" s="37" t="inlineStr">
        <is>
          <t>RM6-6MCC01</t>
        </is>
      </c>
      <c r="B173" s="29" t="inlineStr">
        <is>
          <t>09A</t>
        </is>
      </c>
      <c r="C173" s="111" t="inlineStr">
        <is>
          <t>RM6-CKR-102.M2</t>
        </is>
      </c>
      <c r="D173" s="28" t="inlineStr">
        <is>
          <t>STEAM COOKER 2 STEAM BELT 2</t>
        </is>
      </c>
      <c r="E173" s="112" t="n"/>
      <c r="F173" s="8" t="n"/>
      <c r="G173" s="8" t="n"/>
      <c r="H173" s="82" t="n"/>
      <c r="I173" s="8" t="n"/>
      <c r="J173" s="80">
        <f>IF(ISNUMBER(MCC_Table[[#This Row],[SIZE]]), MCC_Table[[#This Row],[SIZE]]/12, 0)</f>
        <v/>
      </c>
      <c r="K173" s="82" t="n"/>
      <c r="L173" s="82" t="n"/>
      <c r="M173" s="82" t="n"/>
      <c r="N173" s="82" t="n"/>
      <c r="O173" s="77" t="n"/>
      <c r="P173" s="110" t="n"/>
      <c r="Q173" s="79" t="n"/>
      <c r="R173" s="79" t="n"/>
      <c r="S173" s="79" t="n"/>
      <c r="T173" s="79" t="n"/>
      <c r="U173" s="79" t="n"/>
      <c r="V173" s="79" t="n"/>
      <c r="W173" s="79" t="n"/>
      <c r="X173" s="79" t="n"/>
      <c r="Y173" s="79" t="n"/>
      <c r="Z173" s="79" t="n"/>
      <c r="AA173" s="79" t="n"/>
      <c r="AB173" s="225" t="n"/>
      <c r="AC173" s="225" t="n"/>
      <c r="AD173" s="225" t="n"/>
      <c r="AE173" s="29">
        <f>_xlfn.NUMBERVALUE(LEFT(MCC_Table[[#This Row],[BUCKET]],LEN(MCC_Table[[#This Row],[BUCKET]])-1))</f>
        <v/>
      </c>
      <c r="AF173" s="29">
        <f>RIGHT(MCC_Table[[#This Row],[BUCKET]],1)</f>
        <v/>
      </c>
      <c r="AG173" s="29">
        <f>VLOOKUP(MCC_Table[[#This Row],[START UNIT]],UnitMap[],2,FALSE)</f>
        <v/>
      </c>
      <c r="AH173" s="29">
        <f t="array" ref="AH17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73" s="29">
        <f>IF(ISNUMBER(MCC_Table[[#This Row],[SIZE]]), MCC_Table[[#This Row],[SIZE]]/6, 0)</f>
        <v/>
      </c>
      <c r="AJ173" s="29">
        <f>MCC_Table[[#This Row],[START INDEX]]+MCC_Table[[#This Row],[UNITS USED]]-1</f>
        <v/>
      </c>
      <c r="AK173" s="14" t="n"/>
      <c r="AL173" s="14" t="n"/>
      <c r="AM173" s="14" t="n"/>
      <c r="AN173" s="14" t="n"/>
      <c r="AO173" s="14" t="n"/>
      <c r="AP173" s="14" t="n"/>
      <c r="AQ173" s="14" t="n"/>
      <c r="AR173" s="14" t="n"/>
      <c r="AS173" s="14" t="n"/>
      <c r="AT173" s="14" t="n"/>
      <c r="AU173" s="14" t="n"/>
      <c r="AV173" s="14" t="n"/>
      <c r="AW173" s="14" t="n"/>
      <c r="AX173" s="14" t="n"/>
      <c r="AY173" s="14" t="n"/>
      <c r="AZ173" s="14" t="n"/>
      <c r="BA173" s="14" t="n"/>
      <c r="BB173" s="14" t="n"/>
      <c r="BC173" s="14" t="n"/>
      <c r="BD173" s="14" t="n"/>
      <c r="BE173" s="14" t="n"/>
    </row>
    <row r="174" hidden="1" ht="15.75" customHeight="1" thickTop="1">
      <c r="A174" s="39" t="inlineStr">
        <is>
          <t>RM6-6MCC01</t>
        </is>
      </c>
      <c r="B174" s="29" t="inlineStr">
        <is>
          <t>09E</t>
        </is>
      </c>
      <c r="C174" s="111" t="inlineStr">
        <is>
          <t>RM6-CNV-115.M1</t>
        </is>
      </c>
      <c r="D174" s="28" t="inlineStr">
        <is>
          <t>STEAM COOKER 2 DISCHARGE CONVEYOR</t>
        </is>
      </c>
      <c r="E174" s="112" t="inlineStr">
        <is>
          <t>VFD</t>
        </is>
      </c>
      <c r="F174" s="8" t="n">
        <v>2</v>
      </c>
      <c r="G174" s="8" t="n">
        <v>2</v>
      </c>
      <c r="H174" s="82" t="n"/>
      <c r="I174" s="8" t="n"/>
      <c r="J174" s="80">
        <f>IF(ISNUMBER(MCC_Table[[#This Row],[SIZE]]), MCC_Table[[#This Row],[SIZE]]/12, 0)</f>
        <v/>
      </c>
      <c r="K174" s="82" t="n">
        <v>15</v>
      </c>
      <c r="L174" s="82" t="n">
        <v>125</v>
      </c>
      <c r="M174" s="82" t="n">
        <v>10</v>
      </c>
      <c r="N174" s="82" t="inlineStr">
        <is>
          <t>3/C #12 VFD CABLE</t>
        </is>
      </c>
      <c r="O174" s="77" t="n"/>
      <c r="P174" s="110" t="n"/>
      <c r="Q174" s="79" t="n"/>
      <c r="R174" s="79" t="n"/>
      <c r="S174" s="79" t="n"/>
      <c r="T174" s="79" t="n"/>
      <c r="U174" s="79" t="n"/>
      <c r="V174" s="79" t="n"/>
      <c r="W174" s="79" t="n"/>
      <c r="X174" s="79" t="n"/>
      <c r="Y174" s="79" t="n"/>
      <c r="Z174" s="79" t="n"/>
      <c r="AA174" s="79" t="n"/>
      <c r="AB174" s="225" t="n"/>
      <c r="AC174" s="225" t="n"/>
      <c r="AD174" s="225" t="n"/>
      <c r="AE174" s="29">
        <f>_xlfn.NUMBERVALUE(LEFT(MCC_Table[[#This Row],[BUCKET]],LEN(MCC_Table[[#This Row],[BUCKET]])-1))</f>
        <v/>
      </c>
      <c r="AF174" s="29">
        <f>RIGHT(MCC_Table[[#This Row],[BUCKET]],1)</f>
        <v/>
      </c>
      <c r="AG174" s="29">
        <f>VLOOKUP(MCC_Table[[#This Row],[START UNIT]],UnitMap[],2,FALSE)</f>
        <v/>
      </c>
      <c r="AH174" s="29">
        <f t="array" ref="AH17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74" s="29">
        <f>IF(ISNUMBER(MCC_Table[[#This Row],[SIZE]]), MCC_Table[[#This Row],[SIZE]]/6, 0)</f>
        <v/>
      </c>
      <c r="AJ174" s="29">
        <f>MCC_Table[[#This Row],[START INDEX]]+MCC_Table[[#This Row],[UNITS USED]]-1</f>
        <v/>
      </c>
      <c r="AK174" s="14" t="n"/>
      <c r="AL174" s="14" t="n"/>
      <c r="AM174" s="14" t="n"/>
      <c r="AN174" s="14" t="n"/>
      <c r="AO174" s="14" t="n"/>
      <c r="AP174" s="14" t="n"/>
      <c r="AQ174" s="14" t="n"/>
      <c r="AR174" s="14" t="n"/>
      <c r="AS174" s="14" t="n"/>
      <c r="AT174" s="14" t="n"/>
      <c r="AU174" s="14" t="n"/>
      <c r="AV174" s="14" t="n"/>
      <c r="AW174" s="14" t="n"/>
      <c r="AX174" s="14" t="n"/>
      <c r="AY174" s="14" t="n"/>
      <c r="AZ174" s="14" t="n"/>
      <c r="BA174" s="14" t="n"/>
      <c r="BB174" s="14" t="n"/>
      <c r="BC174" s="14" t="n"/>
      <c r="BD174" s="14" t="n"/>
      <c r="BE174" s="14" t="n"/>
    </row>
    <row r="175" hidden="1" ht="15.75" customHeight="1" thickTop="1">
      <c r="A175" s="39" t="inlineStr">
        <is>
          <t>RM6-6MCC01</t>
        </is>
      </c>
      <c r="B175" s="29" t="inlineStr">
        <is>
          <t>09J</t>
        </is>
      </c>
      <c r="C175" s="111" t="inlineStr">
        <is>
          <t>RM6-CNV-107.M1</t>
        </is>
      </c>
      <c r="D175" s="28" t="inlineStr">
        <is>
          <t>INCLINED BELT CONVEYOR</t>
        </is>
      </c>
      <c r="E175" s="112" t="inlineStr">
        <is>
          <t>VFD</t>
        </is>
      </c>
      <c r="F175" s="8" t="n">
        <v>2</v>
      </c>
      <c r="G175" s="8" t="n">
        <v>2</v>
      </c>
      <c r="H175" s="82" t="n"/>
      <c r="I175" s="8" t="n"/>
      <c r="J175" s="80">
        <f>IF(ISNUMBER(MCC_Table[[#This Row],[SIZE]]), MCC_Table[[#This Row],[SIZE]]/12, 0)</f>
        <v/>
      </c>
      <c r="K175" s="82" t="n">
        <v>15</v>
      </c>
      <c r="L175" s="82" t="n">
        <v>125</v>
      </c>
      <c r="M175" s="82" t="n">
        <v>10</v>
      </c>
      <c r="N175" s="82" t="inlineStr">
        <is>
          <t>3/C #12 VFD CABLE</t>
        </is>
      </c>
      <c r="O175" s="77" t="n"/>
      <c r="P175" s="110" t="n"/>
      <c r="Q175" s="79" t="n"/>
      <c r="R175" s="79" t="n"/>
      <c r="S175" s="79" t="n"/>
      <c r="T175" s="79" t="n"/>
      <c r="U175" s="79" t="n"/>
      <c r="V175" s="79" t="n"/>
      <c r="W175" s="79" t="n"/>
      <c r="X175" s="79" t="n"/>
      <c r="Y175" s="79" t="n"/>
      <c r="Z175" s="79" t="n"/>
      <c r="AA175" s="79" t="n"/>
      <c r="AB175" s="225" t="n"/>
      <c r="AC175" s="225" t="n"/>
      <c r="AD175" s="225" t="n"/>
      <c r="AE175" s="29">
        <f>_xlfn.NUMBERVALUE(LEFT(MCC_Table[[#This Row],[BUCKET]],LEN(MCC_Table[[#This Row],[BUCKET]])-1))</f>
        <v/>
      </c>
      <c r="AF175" s="29">
        <f>RIGHT(MCC_Table[[#This Row],[BUCKET]],1)</f>
        <v/>
      </c>
      <c r="AG175" s="29">
        <f>VLOOKUP(MCC_Table[[#This Row],[START UNIT]],UnitMap[],2,FALSE)</f>
        <v/>
      </c>
      <c r="AH175" s="29">
        <f t="array" ref="AH17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75" s="29">
        <f>IF(ISNUMBER(MCC_Table[[#This Row],[SIZE]]), MCC_Table[[#This Row],[SIZE]]/6, 0)</f>
        <v/>
      </c>
      <c r="AJ175" s="29">
        <f>MCC_Table[[#This Row],[START INDEX]]+MCC_Table[[#This Row],[UNITS USED]]-1</f>
        <v/>
      </c>
      <c r="AK175" s="14" t="n"/>
      <c r="AL175" s="14" t="n"/>
      <c r="AM175" s="14" t="n"/>
      <c r="AN175" s="14" t="n"/>
      <c r="AO175" s="14" t="n"/>
      <c r="AP175" s="14" t="n"/>
      <c r="AQ175" s="14" t="n"/>
      <c r="AR175" s="14" t="n"/>
      <c r="AS175" s="14" t="n"/>
      <c r="AT175" s="14" t="n"/>
      <c r="AU175" s="14" t="n"/>
      <c r="AV175" s="14" t="n"/>
      <c r="AW175" s="14" t="n"/>
      <c r="AX175" s="14" t="n"/>
      <c r="AY175" s="14" t="n"/>
      <c r="AZ175" s="14" t="n"/>
      <c r="BA175" s="14" t="n"/>
      <c r="BB175" s="14" t="n"/>
      <c r="BC175" s="14" t="n"/>
      <c r="BD175" s="14" t="n"/>
      <c r="BE175" s="14" t="n"/>
    </row>
    <row r="176" hidden="1" ht="15.75" customHeight="1" thickTop="1">
      <c r="A176" s="39" t="inlineStr">
        <is>
          <t>RM6-6MCC01</t>
        </is>
      </c>
      <c r="B176" s="29" t="inlineStr">
        <is>
          <t>10A</t>
        </is>
      </c>
      <c r="C176" s="111" t="inlineStr">
        <is>
          <t>RM6-AGC.103.M4</t>
        </is>
      </c>
      <c r="D176" s="28" t="inlineStr">
        <is>
          <t>DUAL AUGER CART 1 SLIDING TRACK</t>
        </is>
      </c>
      <c r="E176" s="112" t="inlineStr">
        <is>
          <t>VFD</t>
        </is>
      </c>
      <c r="F176" s="8" t="n">
        <v>2</v>
      </c>
      <c r="G176" s="8" t="n">
        <v>2</v>
      </c>
      <c r="H176" s="82" t="n"/>
      <c r="I176" s="8" t="n"/>
      <c r="J176" s="80">
        <f>IF(ISNUMBER(MCC_Table[[#This Row],[SIZE]]), MCC_Table[[#This Row],[SIZE]]/12, 0)</f>
        <v/>
      </c>
      <c r="K176" s="82" t="n">
        <v>15</v>
      </c>
      <c r="L176" s="82" t="n">
        <v>125</v>
      </c>
      <c r="M176" s="82" t="n">
        <v>10</v>
      </c>
      <c r="N176" s="82" t="inlineStr">
        <is>
          <t>3/C #12 VFD CABLE</t>
        </is>
      </c>
      <c r="O176" s="77" t="n"/>
      <c r="P176" s="110" t="n"/>
      <c r="Q176" s="79" t="n"/>
      <c r="R176" s="79" t="n"/>
      <c r="S176" s="79" t="n"/>
      <c r="T176" s="79" t="n"/>
      <c r="U176" s="79" t="n"/>
      <c r="V176" s="79" t="n"/>
      <c r="W176" s="79" t="n"/>
      <c r="X176" s="79" t="n"/>
      <c r="Y176" s="79" t="n"/>
      <c r="Z176" s="79" t="n"/>
      <c r="AA176" s="79" t="n"/>
      <c r="AB176" s="225" t="n"/>
      <c r="AC176" s="225" t="n"/>
      <c r="AD176" s="225" t="n"/>
      <c r="AE176" s="29">
        <f>_xlfn.NUMBERVALUE(LEFT(MCC_Table[[#This Row],[BUCKET]],LEN(MCC_Table[[#This Row],[BUCKET]])-1))</f>
        <v/>
      </c>
      <c r="AF176" s="29">
        <f>RIGHT(MCC_Table[[#This Row],[BUCKET]],1)</f>
        <v/>
      </c>
      <c r="AG176" s="29">
        <f>VLOOKUP(MCC_Table[[#This Row],[START UNIT]],UnitMap[],2,FALSE)</f>
        <v/>
      </c>
      <c r="AH176" s="29">
        <f t="array" ref="AH17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76" s="29">
        <f>IF(ISNUMBER(MCC_Table[[#This Row],[SIZE]]), MCC_Table[[#This Row],[SIZE]]/6, 0)</f>
        <v/>
      </c>
      <c r="AJ176" s="29">
        <f>MCC_Table[[#This Row],[START INDEX]]+MCC_Table[[#This Row],[UNITS USED]]-1</f>
        <v/>
      </c>
      <c r="AK176" s="14" t="n"/>
      <c r="AL176" s="14" t="n"/>
      <c r="AM176" s="14" t="n"/>
      <c r="AN176" s="14" t="n"/>
      <c r="AO176" s="14" t="n"/>
      <c r="AP176" s="14" t="n"/>
      <c r="AQ176" s="14" t="n"/>
      <c r="AR176" s="14" t="n"/>
      <c r="AS176" s="14" t="n"/>
      <c r="AT176" s="14" t="n"/>
      <c r="AU176" s="14" t="n"/>
      <c r="AV176" s="14" t="n"/>
      <c r="AW176" s="14" t="n"/>
      <c r="AX176" s="14" t="n"/>
      <c r="AY176" s="14" t="n"/>
      <c r="AZ176" s="14" t="n"/>
      <c r="BA176" s="14" t="n"/>
      <c r="BB176" s="14" t="n"/>
      <c r="BC176" s="14" t="n"/>
      <c r="BD176" s="14" t="n"/>
      <c r="BE176" s="14" t="n"/>
    </row>
    <row r="177" hidden="1" ht="15.75" customHeight="1" thickTop="1">
      <c r="A177" s="39" t="inlineStr">
        <is>
          <t>RM6-6MCC01</t>
        </is>
      </c>
      <c r="B177" s="29" t="inlineStr">
        <is>
          <t>10E</t>
        </is>
      </c>
      <c r="C177" s="111" t="inlineStr">
        <is>
          <t>RM6-AGC-104.M4</t>
        </is>
      </c>
      <c r="D177" s="28" t="inlineStr">
        <is>
          <t>DUAL AUGER CART 2 SLIDING TRACK</t>
        </is>
      </c>
      <c r="E177" s="112" t="inlineStr">
        <is>
          <t>VFD</t>
        </is>
      </c>
      <c r="F177" s="8" t="n">
        <v>2</v>
      </c>
      <c r="G177" s="8" t="n">
        <v>2</v>
      </c>
      <c r="H177" s="82" t="n"/>
      <c r="I177" s="8" t="n"/>
      <c r="J177" s="80">
        <f>IF(ISNUMBER(MCC_Table[[#This Row],[SIZE]]), MCC_Table[[#This Row],[SIZE]]/12, 0)</f>
        <v/>
      </c>
      <c r="K177" s="82" t="n">
        <v>15</v>
      </c>
      <c r="L177" s="82" t="n">
        <v>125</v>
      </c>
      <c r="M177" s="82" t="n">
        <v>10</v>
      </c>
      <c r="N177" s="82" t="inlineStr">
        <is>
          <t>3/C #12 VFD CABLE</t>
        </is>
      </c>
      <c r="O177" s="77" t="n"/>
      <c r="P177" s="110" t="n"/>
      <c r="Q177" s="79" t="n"/>
      <c r="R177" s="79" t="n"/>
      <c r="S177" s="79" t="n"/>
      <c r="T177" s="79" t="n"/>
      <c r="U177" s="79" t="n"/>
      <c r="V177" s="79" t="n"/>
      <c r="W177" s="79" t="n"/>
      <c r="X177" s="79" t="n"/>
      <c r="Y177" s="79" t="n"/>
      <c r="Z177" s="79" t="n"/>
      <c r="AA177" s="79" t="n"/>
      <c r="AB177" s="225" t="n"/>
      <c r="AC177" s="225" t="n"/>
      <c r="AD177" s="225" t="n"/>
      <c r="AE177" s="29">
        <f>_xlfn.NUMBERVALUE(LEFT(MCC_Table[[#This Row],[BUCKET]],LEN(MCC_Table[[#This Row],[BUCKET]])-1))</f>
        <v/>
      </c>
      <c r="AF177" s="29">
        <f>RIGHT(MCC_Table[[#This Row],[BUCKET]],1)</f>
        <v/>
      </c>
      <c r="AG177" s="29">
        <f>VLOOKUP(MCC_Table[[#This Row],[START UNIT]],UnitMap[],2,FALSE)</f>
        <v/>
      </c>
      <c r="AH177" s="29">
        <f t="array" ref="AH17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77" s="29">
        <f>IF(ISNUMBER(MCC_Table[[#This Row],[SIZE]]), MCC_Table[[#This Row],[SIZE]]/6, 0)</f>
        <v/>
      </c>
      <c r="AJ177" s="29">
        <f>MCC_Table[[#This Row],[START INDEX]]+MCC_Table[[#This Row],[UNITS USED]]-1</f>
        <v/>
      </c>
      <c r="AK177" s="14" t="n"/>
      <c r="AL177" s="14" t="n"/>
      <c r="AM177" s="14" t="n"/>
      <c r="AN177" s="14" t="n"/>
      <c r="AO177" s="14" t="n"/>
      <c r="AP177" s="14" t="n"/>
      <c r="AQ177" s="14" t="n"/>
      <c r="AR177" s="14" t="n"/>
      <c r="AS177" s="14" t="n"/>
      <c r="AT177" s="14" t="n"/>
      <c r="AU177" s="14" t="n"/>
      <c r="AV177" s="14" t="n"/>
      <c r="AW177" s="14" t="n"/>
      <c r="AX177" s="14" t="n"/>
      <c r="AY177" s="14" t="n"/>
      <c r="AZ177" s="14" t="n"/>
      <c r="BA177" s="14" t="n"/>
      <c r="BB177" s="14" t="n"/>
      <c r="BC177" s="14" t="n"/>
      <c r="BD177" s="14" t="n"/>
      <c r="BE177" s="14" t="n"/>
    </row>
    <row r="178" hidden="1" ht="15.75" customHeight="1" thickTop="1">
      <c r="A178" s="39" t="inlineStr">
        <is>
          <t>RM6-6MCC01</t>
        </is>
      </c>
      <c r="B178" s="29" t="inlineStr">
        <is>
          <t>10J</t>
        </is>
      </c>
      <c r="C178" s="111" t="inlineStr">
        <is>
          <t>RM6-CNV-108.M3</t>
        </is>
      </c>
      <c r="D178" s="28" t="inlineStr">
        <is>
          <t>INCLINE CONVEYOR SLIDE TRACK</t>
        </is>
      </c>
      <c r="E178" s="112" t="inlineStr">
        <is>
          <t>VFD</t>
        </is>
      </c>
      <c r="F178" s="8" t="n">
        <v>2</v>
      </c>
      <c r="G178" s="8" t="n">
        <v>2</v>
      </c>
      <c r="H178" s="82" t="n"/>
      <c r="I178" s="8" t="n"/>
      <c r="J178" s="80">
        <f>IF(ISNUMBER(MCC_Table[[#This Row],[SIZE]]), MCC_Table[[#This Row],[SIZE]]/12, 0)</f>
        <v/>
      </c>
      <c r="K178" s="82" t="n">
        <v>15</v>
      </c>
      <c r="L178" s="82" t="n">
        <v>125</v>
      </c>
      <c r="M178" s="82" t="n">
        <v>10</v>
      </c>
      <c r="N178" s="82" t="inlineStr">
        <is>
          <t>3/C #12 VFD CABLE</t>
        </is>
      </c>
      <c r="O178" s="77" t="n"/>
      <c r="P178" s="110" t="n"/>
      <c r="Q178" s="79" t="n"/>
      <c r="R178" s="79" t="n"/>
      <c r="S178" s="79" t="n"/>
      <c r="T178" s="79" t="n"/>
      <c r="U178" s="79" t="n"/>
      <c r="V178" s="79" t="n"/>
      <c r="W178" s="79" t="n"/>
      <c r="X178" s="79" t="n"/>
      <c r="Y178" s="79" t="n"/>
      <c r="Z178" s="79" t="n"/>
      <c r="AA178" s="79" t="n"/>
      <c r="AB178" s="225" t="n"/>
      <c r="AC178" s="225" t="n"/>
      <c r="AD178" s="225" t="n"/>
      <c r="AE178" s="29">
        <f>_xlfn.NUMBERVALUE(LEFT(MCC_Table[[#This Row],[BUCKET]],LEN(MCC_Table[[#This Row],[BUCKET]])-1))</f>
        <v/>
      </c>
      <c r="AF178" s="29">
        <f>RIGHT(MCC_Table[[#This Row],[BUCKET]],1)</f>
        <v/>
      </c>
      <c r="AG178" s="29">
        <f>VLOOKUP(MCC_Table[[#This Row],[START UNIT]],UnitMap[],2,FALSE)</f>
        <v/>
      </c>
      <c r="AH178" s="29">
        <f t="array" ref="AH17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78" s="29">
        <f>IF(ISNUMBER(MCC_Table[[#This Row],[SIZE]]), MCC_Table[[#This Row],[SIZE]]/6, 0)</f>
        <v/>
      </c>
      <c r="AJ178" s="29">
        <f>MCC_Table[[#This Row],[START INDEX]]+MCC_Table[[#This Row],[UNITS USED]]-1</f>
        <v/>
      </c>
      <c r="AK178" s="14" t="n"/>
      <c r="AL178" s="14" t="n"/>
      <c r="AM178" s="14" t="n"/>
      <c r="AN178" s="14" t="n"/>
      <c r="AO178" s="14" t="n"/>
      <c r="AP178" s="14" t="n"/>
      <c r="AQ178" s="14" t="n"/>
      <c r="AR178" s="14" t="n"/>
      <c r="AS178" s="14" t="n"/>
      <c r="AT178" s="14" t="n"/>
      <c r="AU178" s="14" t="n"/>
      <c r="AV178" s="14" t="n"/>
      <c r="AW178" s="14" t="n"/>
      <c r="AX178" s="14" t="n"/>
      <c r="AY178" s="14" t="n"/>
      <c r="AZ178" s="14" t="n"/>
      <c r="BA178" s="14" t="n"/>
      <c r="BB178" s="14" t="n"/>
      <c r="BC178" s="14" t="n"/>
      <c r="BD178" s="14" t="n"/>
      <c r="BE178" s="14" t="n"/>
    </row>
    <row r="179" hidden="1" ht="15.75" customHeight="1" thickTop="1">
      <c r="A179" s="37" t="inlineStr">
        <is>
          <t>RM6-6MCC01</t>
        </is>
      </c>
      <c r="B179" s="29" t="inlineStr">
        <is>
          <t>11A</t>
        </is>
      </c>
      <c r="C179" s="111" t="inlineStr">
        <is>
          <t>RM6-GRR-102.M1</t>
        </is>
      </c>
      <c r="D179" s="28" t="inlineStr">
        <is>
          <t>GRINDER</t>
        </is>
      </c>
      <c r="E179" s="112" t="inlineStr">
        <is>
          <t>VFD</t>
        </is>
      </c>
      <c r="F179" s="8" t="n">
        <v>150</v>
      </c>
      <c r="G179" s="8" t="n">
        <v>150</v>
      </c>
      <c r="H179" s="82" t="n"/>
      <c r="I179" s="8" t="n"/>
      <c r="J179" s="80">
        <f>IF(ISNUMBER(MCC_Table[[#This Row],[SIZE]]), MCC_Table[[#This Row],[SIZE]]/12, 0)</f>
        <v/>
      </c>
      <c r="K179" s="82" t="n">
        <v>250</v>
      </c>
      <c r="L179" s="82" t="n">
        <v>250</v>
      </c>
      <c r="M179" s="82" t="n">
        <v>300</v>
      </c>
      <c r="N179" s="82" t="inlineStr">
        <is>
          <t>3/C #250 MCM VFD CABLE</t>
        </is>
      </c>
      <c r="O179" s="77" t="n"/>
      <c r="P179" s="110" t="n"/>
      <c r="Q179" s="79" t="n"/>
      <c r="R179" s="79" t="n"/>
      <c r="S179" s="79" t="n"/>
      <c r="T179" s="79" t="n"/>
      <c r="U179" s="79" t="n"/>
      <c r="V179" s="79" t="n"/>
      <c r="W179" s="79" t="n"/>
      <c r="X179" s="79" t="n"/>
      <c r="Y179" s="79" t="n"/>
      <c r="Z179" s="79" t="n"/>
      <c r="AA179" s="79" t="n"/>
      <c r="AB179" s="225" t="n"/>
      <c r="AC179" s="225" t="n"/>
      <c r="AD179" s="225" t="n"/>
      <c r="AE179" s="29">
        <f>_xlfn.NUMBERVALUE(LEFT(MCC_Table[[#This Row],[BUCKET]],LEN(MCC_Table[[#This Row],[BUCKET]])-1))</f>
        <v/>
      </c>
      <c r="AF179" s="29">
        <f>RIGHT(MCC_Table[[#This Row],[BUCKET]],1)</f>
        <v/>
      </c>
      <c r="AG179" s="29">
        <f>VLOOKUP(MCC_Table[[#This Row],[START UNIT]],UnitMap[],2,FALSE)</f>
        <v/>
      </c>
      <c r="AH179" s="29">
        <f t="array" ref="AH17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79" s="29">
        <f>IF(ISNUMBER(MCC_Table[[#This Row],[SIZE]]), MCC_Table[[#This Row],[SIZE]]/6, 0)</f>
        <v/>
      </c>
      <c r="AJ179" s="29">
        <f>MCC_Table[[#This Row],[START INDEX]]+MCC_Table[[#This Row],[UNITS USED]]-1</f>
        <v/>
      </c>
      <c r="AK179" s="14" t="n"/>
      <c r="AL179" s="14" t="n"/>
      <c r="AM179" s="14" t="n"/>
      <c r="AN179" s="14" t="n"/>
      <c r="AO179" s="14" t="n"/>
      <c r="AP179" s="14" t="n"/>
      <c r="AQ179" s="14" t="n"/>
      <c r="AR179" s="14" t="n"/>
      <c r="AS179" s="14" t="n"/>
      <c r="AT179" s="14" t="n"/>
      <c r="AU179" s="14" t="n"/>
      <c r="AV179" s="14" t="n"/>
      <c r="AW179" s="14" t="n"/>
      <c r="AX179" s="14" t="n"/>
      <c r="AY179" s="14" t="n"/>
      <c r="AZ179" s="14" t="n"/>
      <c r="BA179" s="14" t="n"/>
      <c r="BB179" s="14" t="n"/>
      <c r="BC179" s="14" t="n"/>
      <c r="BD179" s="14" t="n"/>
      <c r="BE179" s="14" t="n"/>
    </row>
    <row r="180" hidden="1" ht="15.75" customHeight="1" thickTop="1">
      <c r="A180" s="39" t="inlineStr">
        <is>
          <t>RM6-6MCC01</t>
        </is>
      </c>
      <c r="B180" s="29" t="inlineStr">
        <is>
          <t>12A</t>
        </is>
      </c>
      <c r="C180" s="111" t="inlineStr">
        <is>
          <t>RM6-SLT-201.M2</t>
        </is>
      </c>
      <c r="D180" s="28" t="inlineStr">
        <is>
          <t>SLITTER</t>
        </is>
      </c>
      <c r="E180" s="112" t="inlineStr">
        <is>
          <t>VFD</t>
        </is>
      </c>
      <c r="F180" s="8" t="n">
        <v>3</v>
      </c>
      <c r="G180" s="8" t="n">
        <v>5</v>
      </c>
      <c r="H180" s="82" t="n"/>
      <c r="I180" s="8" t="n"/>
      <c r="J180" s="80">
        <f>IF(ISNUMBER(MCC_Table[[#This Row],[SIZE]]), MCC_Table[[#This Row],[SIZE]]/12, 0)</f>
        <v/>
      </c>
      <c r="K180" s="82" t="n">
        <v>15</v>
      </c>
      <c r="L180" s="82" t="n">
        <v>125</v>
      </c>
      <c r="M180" s="82" t="n">
        <v>15</v>
      </c>
      <c r="N180" s="82" t="inlineStr">
        <is>
          <t>3/C #12 VFD CABLE</t>
        </is>
      </c>
      <c r="O180" s="77" t="n"/>
      <c r="P180" s="110" t="n"/>
      <c r="Q180" s="79" t="n"/>
      <c r="R180" s="79" t="n"/>
      <c r="S180" s="79" t="n"/>
      <c r="T180" s="79" t="n"/>
      <c r="U180" s="79" t="n"/>
      <c r="V180" s="79" t="n"/>
      <c r="W180" s="79" t="n"/>
      <c r="X180" s="79" t="n"/>
      <c r="Y180" s="79" t="n"/>
      <c r="Z180" s="79" t="n"/>
      <c r="AA180" s="79" t="n"/>
      <c r="AB180" s="225" t="n"/>
      <c r="AC180" s="225" t="n"/>
      <c r="AD180" s="225" t="n"/>
      <c r="AE180" s="29">
        <f>_xlfn.NUMBERVALUE(LEFT(MCC_Table[[#This Row],[BUCKET]],LEN(MCC_Table[[#This Row],[BUCKET]])-1))</f>
        <v/>
      </c>
      <c r="AF180" s="29">
        <f>RIGHT(MCC_Table[[#This Row],[BUCKET]],1)</f>
        <v/>
      </c>
      <c r="AG180" s="29">
        <f>VLOOKUP(MCC_Table[[#This Row],[START UNIT]],UnitMap[],2,FALSE)</f>
        <v/>
      </c>
      <c r="AH180" s="29">
        <f t="array" ref="AH18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80" s="29">
        <f>IF(ISNUMBER(MCC_Table[[#This Row],[SIZE]]), MCC_Table[[#This Row],[SIZE]]/6, 0)</f>
        <v/>
      </c>
      <c r="AJ180" s="29">
        <f>MCC_Table[[#This Row],[START INDEX]]+MCC_Table[[#This Row],[UNITS USED]]-1</f>
        <v/>
      </c>
      <c r="AK180" s="14" t="n"/>
      <c r="AL180" s="14" t="n"/>
      <c r="AM180" s="14" t="n"/>
      <c r="AN180" s="14" t="n"/>
      <c r="AO180" s="14" t="n"/>
      <c r="AP180" s="14" t="n"/>
      <c r="AQ180" s="14" t="n"/>
      <c r="AR180" s="14" t="n"/>
      <c r="AS180" s="14" t="n"/>
      <c r="AT180" s="14" t="n"/>
      <c r="AU180" s="14" t="n"/>
      <c r="AV180" s="14" t="n"/>
      <c r="AW180" s="14" t="n"/>
      <c r="AX180" s="14" t="n"/>
      <c r="AY180" s="14" t="n"/>
      <c r="AZ180" s="14" t="n"/>
      <c r="BA180" s="14" t="n"/>
      <c r="BB180" s="14" t="n"/>
      <c r="BC180" s="14" t="n"/>
      <c r="BD180" s="14" t="n"/>
      <c r="BE180" s="14" t="n"/>
    </row>
    <row r="181" hidden="1" ht="15.75" customHeight="1" thickTop="1">
      <c r="A181" s="39" t="inlineStr">
        <is>
          <t>RM6-6MCC01</t>
        </is>
      </c>
      <c r="B181" s="29" t="inlineStr">
        <is>
          <t>12E</t>
        </is>
      </c>
      <c r="C181" s="111" t="inlineStr">
        <is>
          <t>SPACE</t>
        </is>
      </c>
      <c r="D181" s="28" t="inlineStr">
        <is>
          <t>6" SPACE</t>
        </is>
      </c>
      <c r="E181" s="112" t="inlineStr">
        <is>
          <t>SPACE</t>
        </is>
      </c>
      <c r="F181" s="8" t="n"/>
      <c r="G181" s="8" t="n"/>
      <c r="H181" s="82" t="n"/>
      <c r="I181" s="8" t="n"/>
      <c r="J181" s="80">
        <f>IF(ISNUMBER(MCC_Table[[#This Row],[SIZE]]), MCC_Table[[#This Row],[SIZE]]/12, 0)</f>
        <v/>
      </c>
      <c r="K181" s="82" t="n"/>
      <c r="L181" s="82" t="n"/>
      <c r="M181" s="82" t="n"/>
      <c r="N181" s="82" t="n"/>
      <c r="O181" s="77" t="n"/>
      <c r="P181" s="110" t="n"/>
      <c r="Q181" s="79" t="n"/>
      <c r="R181" s="79" t="n"/>
      <c r="S181" s="79" t="n"/>
      <c r="T181" s="79" t="n"/>
      <c r="U181" s="79" t="n"/>
      <c r="V181" s="79" t="n"/>
      <c r="W181" s="79" t="n"/>
      <c r="X181" s="79" t="n"/>
      <c r="Y181" s="79" t="n"/>
      <c r="Z181" s="79" t="n"/>
      <c r="AA181" s="79" t="n"/>
      <c r="AB181" s="225" t="n"/>
      <c r="AC181" s="225" t="n"/>
      <c r="AD181" s="225" t="n"/>
      <c r="AE181" s="29">
        <f>_xlfn.NUMBERVALUE(LEFT(MCC_Table[[#This Row],[BUCKET]],LEN(MCC_Table[[#This Row],[BUCKET]])-1))</f>
        <v/>
      </c>
      <c r="AF181" s="29">
        <f>RIGHT(MCC_Table[[#This Row],[BUCKET]],1)</f>
        <v/>
      </c>
      <c r="AG181" s="29">
        <f>VLOOKUP(MCC_Table[[#This Row],[START UNIT]],UnitMap[],2,FALSE)</f>
        <v/>
      </c>
      <c r="AH181" s="29">
        <f t="array" ref="AH18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81" s="29">
        <f>IF(ISNUMBER(MCC_Table[[#This Row],[SIZE]]), MCC_Table[[#This Row],[SIZE]]/6, 0)</f>
        <v/>
      </c>
      <c r="AJ181" s="29">
        <f>MCC_Table[[#This Row],[START INDEX]]+MCC_Table[[#This Row],[UNITS USED]]-1</f>
        <v/>
      </c>
      <c r="AK181" s="14" t="n"/>
      <c r="AL181" s="14" t="n"/>
      <c r="AM181" s="14" t="n"/>
      <c r="AN181" s="14" t="n"/>
      <c r="AO181" s="14" t="n"/>
      <c r="AP181" s="14" t="n"/>
      <c r="AQ181" s="14" t="n"/>
      <c r="AR181" s="14" t="n"/>
      <c r="AS181" s="14" t="n"/>
      <c r="AT181" s="14" t="n"/>
      <c r="AU181" s="14" t="n"/>
      <c r="AV181" s="14" t="n"/>
      <c r="AW181" s="14" t="n"/>
      <c r="AX181" s="14" t="n"/>
      <c r="AY181" s="14" t="n"/>
      <c r="AZ181" s="14" t="n"/>
      <c r="BA181" s="14" t="n"/>
      <c r="BB181" s="14" t="n"/>
      <c r="BC181" s="14" t="n"/>
      <c r="BD181" s="14" t="n"/>
      <c r="BE181" s="14" t="n"/>
    </row>
    <row r="182" hidden="1" ht="15.75" customHeight="1" thickTop="1">
      <c r="A182" s="39" t="inlineStr">
        <is>
          <t>RM6-6MCC01</t>
        </is>
      </c>
      <c r="B182" s="29" t="inlineStr">
        <is>
          <t>12F</t>
        </is>
      </c>
      <c r="C182" s="111" t="inlineStr">
        <is>
          <t>RM6-MGR-101.M4</t>
        </is>
      </c>
      <c r="D182" s="28" t="inlineStr">
        <is>
          <t>MIXER GRINDER 1 GRINDER</t>
        </is>
      </c>
      <c r="E182" s="112" t="inlineStr">
        <is>
          <t>VFD</t>
        </is>
      </c>
      <c r="F182" s="8" t="n">
        <v>100</v>
      </c>
      <c r="G182" s="8" t="n">
        <v>100</v>
      </c>
      <c r="H182" s="82" t="n"/>
      <c r="I182" s="8" t="n"/>
      <c r="J182" s="80">
        <f>IF(ISNUMBER(MCC_Table[[#This Row],[SIZE]]), MCC_Table[[#This Row],[SIZE]]/12, 0)</f>
        <v/>
      </c>
      <c r="K182" s="82" t="n">
        <v>250</v>
      </c>
      <c r="L182" s="82" t="n">
        <v>250</v>
      </c>
      <c r="M182" s="82" t="n">
        <v>225</v>
      </c>
      <c r="N182" s="82" t="inlineStr">
        <is>
          <t>3/C #2/0 VFD CABLE</t>
        </is>
      </c>
      <c r="O182" s="77" t="n"/>
      <c r="P182" s="110" t="n"/>
      <c r="Q182" s="79" t="n"/>
      <c r="R182" s="79" t="n"/>
      <c r="S182" s="79" t="n"/>
      <c r="T182" s="79" t="n"/>
      <c r="U182" s="79" t="n"/>
      <c r="V182" s="79" t="n"/>
      <c r="W182" s="79" t="n"/>
      <c r="X182" s="79" t="n"/>
      <c r="Y182" s="79" t="n"/>
      <c r="Z182" s="79" t="n"/>
      <c r="AA182" s="79" t="n"/>
      <c r="AB182" s="225" t="n"/>
      <c r="AC182" s="225" t="n"/>
      <c r="AD182" s="225" t="n"/>
      <c r="AE182" s="29">
        <f>_xlfn.NUMBERVALUE(LEFT(MCC_Table[[#This Row],[BUCKET]],LEN(MCC_Table[[#This Row],[BUCKET]])-1))</f>
        <v/>
      </c>
      <c r="AF182" s="29">
        <f>RIGHT(MCC_Table[[#This Row],[BUCKET]],1)</f>
        <v/>
      </c>
      <c r="AG182" s="29">
        <f>VLOOKUP(MCC_Table[[#This Row],[START UNIT]],UnitMap[],2,FALSE)</f>
        <v/>
      </c>
      <c r="AH182" s="29">
        <f t="array" ref="AH18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82" s="29">
        <f>IF(ISNUMBER(MCC_Table[[#This Row],[SIZE]]), MCC_Table[[#This Row],[SIZE]]/6, 0)</f>
        <v/>
      </c>
      <c r="AJ182" s="29">
        <f>MCC_Table[[#This Row],[START INDEX]]+MCC_Table[[#This Row],[UNITS USED]]-1</f>
        <v/>
      </c>
      <c r="AK182" s="14" t="n"/>
      <c r="AL182" s="14" t="n"/>
      <c r="AM182" s="14" t="n"/>
      <c r="AN182" s="14" t="n"/>
      <c r="AO182" s="14" t="n"/>
      <c r="AP182" s="14" t="n"/>
      <c r="AQ182" s="14" t="n"/>
      <c r="AR182" s="14" t="n"/>
      <c r="AS182" s="14" t="n"/>
      <c r="AT182" s="14" t="n"/>
      <c r="AU182" s="14" t="n"/>
      <c r="AV182" s="14" t="n"/>
      <c r="AW182" s="14" t="n"/>
      <c r="AX182" s="14" t="n"/>
      <c r="AY182" s="14" t="n"/>
      <c r="AZ182" s="14" t="n"/>
      <c r="BA182" s="14" t="n"/>
      <c r="BB182" s="14" t="n"/>
      <c r="BC182" s="14" t="n"/>
      <c r="BD182" s="14" t="n"/>
      <c r="BE182" s="14" t="n"/>
    </row>
    <row r="183" hidden="1" ht="15.75" customHeight="1" thickTop="1">
      <c r="A183" s="39" t="inlineStr">
        <is>
          <t>RM6-6MCC01</t>
        </is>
      </c>
      <c r="B183" s="29" t="inlineStr">
        <is>
          <t>13A</t>
        </is>
      </c>
      <c r="C183" s="111" t="inlineStr">
        <is>
          <t>RM6-CRT-201.M1</t>
        </is>
      </c>
      <c r="D183" s="28" t="inlineStr">
        <is>
          <t>VINEGAR SUPPLE CART</t>
        </is>
      </c>
      <c r="E183" s="112" t="inlineStr">
        <is>
          <t>VFD</t>
        </is>
      </c>
      <c r="F183" s="8" t="n">
        <v>2</v>
      </c>
      <c r="G183" s="8" t="n">
        <v>2</v>
      </c>
      <c r="H183" s="82" t="n"/>
      <c r="I183" s="8" t="n"/>
      <c r="J183" s="80">
        <f>IF(ISNUMBER(MCC_Table[[#This Row],[SIZE]]), MCC_Table[[#This Row],[SIZE]]/12, 0)</f>
        <v/>
      </c>
      <c r="K183" s="82" t="n"/>
      <c r="L183" s="82" t="n"/>
      <c r="M183" s="82" t="n"/>
      <c r="N183" s="82" t="inlineStr">
        <is>
          <t>3/C #12 VFD CABLE</t>
        </is>
      </c>
      <c r="O183" s="77" t="n"/>
      <c r="P183" s="110" t="n"/>
      <c r="Q183" s="79" t="n"/>
      <c r="R183" s="79" t="n"/>
      <c r="S183" s="79" t="n"/>
      <c r="T183" s="79" t="n"/>
      <c r="U183" s="79" t="n"/>
      <c r="V183" s="79" t="n"/>
      <c r="W183" s="79" t="n"/>
      <c r="X183" s="79" t="n"/>
      <c r="Y183" s="79" t="n"/>
      <c r="Z183" s="79" t="n"/>
      <c r="AA183" s="79" t="n"/>
      <c r="AB183" s="225" t="n"/>
      <c r="AC183" s="225" t="n"/>
      <c r="AD183" s="225" t="n"/>
      <c r="AE183" s="29">
        <f>_xlfn.NUMBERVALUE(LEFT(MCC_Table[[#This Row],[BUCKET]],LEN(MCC_Table[[#This Row],[BUCKET]])-1))</f>
        <v/>
      </c>
      <c r="AF183" s="29">
        <f>RIGHT(MCC_Table[[#This Row],[BUCKET]],1)</f>
        <v/>
      </c>
      <c r="AG183" s="29">
        <f>VLOOKUP(MCC_Table[[#This Row],[START UNIT]],UnitMap[],2,FALSE)</f>
        <v/>
      </c>
      <c r="AH183" s="29">
        <f t="array" ref="AH18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83" s="29">
        <f>IF(ISNUMBER(MCC_Table[[#This Row],[SIZE]]), MCC_Table[[#This Row],[SIZE]]/6, 0)</f>
        <v/>
      </c>
      <c r="AJ183" s="29">
        <f>MCC_Table[[#This Row],[START INDEX]]+MCC_Table[[#This Row],[UNITS USED]]-1</f>
        <v/>
      </c>
      <c r="AK183" s="14" t="n"/>
      <c r="AL183" s="14" t="n"/>
      <c r="AM183" s="14" t="n"/>
      <c r="AN183" s="14" t="n"/>
      <c r="AO183" s="14" t="n"/>
      <c r="AP183" s="14" t="n"/>
      <c r="AQ183" s="14" t="n"/>
      <c r="AR183" s="14" t="n"/>
      <c r="AS183" s="14" t="n"/>
      <c r="AT183" s="14" t="n"/>
      <c r="AU183" s="14" t="n"/>
      <c r="AV183" s="14" t="n"/>
      <c r="AW183" s="14" t="n"/>
      <c r="AX183" s="14" t="n"/>
      <c r="AY183" s="14" t="n"/>
      <c r="AZ183" s="14" t="n"/>
      <c r="BA183" s="14" t="n"/>
      <c r="BB183" s="14" t="n"/>
      <c r="BC183" s="14" t="n"/>
      <c r="BD183" s="14" t="n"/>
      <c r="BE183" s="14" t="n"/>
    </row>
    <row r="184" hidden="1" ht="15.75" customHeight="1" thickTop="1">
      <c r="A184" s="39" t="inlineStr">
        <is>
          <t>RM6-6MCC01</t>
        </is>
      </c>
      <c r="B184" s="29" t="inlineStr">
        <is>
          <t>13E</t>
        </is>
      </c>
      <c r="C184" s="111" t="inlineStr">
        <is>
          <t>SPACE</t>
        </is>
      </c>
      <c r="D184" s="28" t="inlineStr">
        <is>
          <t>6" SPACE</t>
        </is>
      </c>
      <c r="E184" s="112" t="inlineStr">
        <is>
          <t>SPACE</t>
        </is>
      </c>
      <c r="F184" s="8" t="n"/>
      <c r="G184" s="8" t="n"/>
      <c r="H184" s="82" t="n"/>
      <c r="I184" s="8" t="n"/>
      <c r="J184" s="80">
        <f>IF(ISNUMBER(MCC_Table[[#This Row],[SIZE]]), MCC_Table[[#This Row],[SIZE]]/12, 0)</f>
        <v/>
      </c>
      <c r="K184" s="82" t="n"/>
      <c r="L184" s="82" t="n"/>
      <c r="M184" s="82" t="n"/>
      <c r="N184" s="82" t="n"/>
      <c r="O184" s="77" t="n"/>
      <c r="P184" s="110" t="n"/>
      <c r="Q184" s="79" t="n"/>
      <c r="R184" s="79" t="n"/>
      <c r="S184" s="79" t="n"/>
      <c r="T184" s="79" t="n"/>
      <c r="U184" s="79" t="n"/>
      <c r="V184" s="79" t="n"/>
      <c r="W184" s="79" t="n"/>
      <c r="X184" s="79" t="n"/>
      <c r="Y184" s="79" t="n"/>
      <c r="Z184" s="79" t="n"/>
      <c r="AA184" s="79" t="n"/>
      <c r="AB184" s="225" t="n"/>
      <c r="AC184" s="225" t="n"/>
      <c r="AD184" s="225" t="n"/>
      <c r="AE184" s="29">
        <f>_xlfn.NUMBERVALUE(LEFT(MCC_Table[[#This Row],[BUCKET]],LEN(MCC_Table[[#This Row],[BUCKET]])-1))</f>
        <v/>
      </c>
      <c r="AF184" s="29">
        <f>RIGHT(MCC_Table[[#This Row],[BUCKET]],1)</f>
        <v/>
      </c>
      <c r="AG184" s="29">
        <f>VLOOKUP(MCC_Table[[#This Row],[START UNIT]],UnitMap[],2,FALSE)</f>
        <v/>
      </c>
      <c r="AH184" s="29">
        <f t="array" ref="AH18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84" s="29">
        <f>IF(ISNUMBER(MCC_Table[[#This Row],[SIZE]]), MCC_Table[[#This Row],[SIZE]]/6, 0)</f>
        <v/>
      </c>
      <c r="AJ184" s="29">
        <f>MCC_Table[[#This Row],[START INDEX]]+MCC_Table[[#This Row],[UNITS USED]]-1</f>
        <v/>
      </c>
      <c r="AK184" s="14" t="n"/>
      <c r="AL184" s="14" t="n"/>
      <c r="AM184" s="14" t="n"/>
      <c r="AN184" s="14" t="n"/>
      <c r="AO184" s="14" t="n"/>
      <c r="AP184" s="14" t="n"/>
      <c r="AQ184" s="14" t="n"/>
      <c r="AR184" s="14" t="n"/>
      <c r="AS184" s="14" t="n"/>
      <c r="AT184" s="14" t="n"/>
      <c r="AU184" s="14" t="n"/>
      <c r="AV184" s="14" t="n"/>
      <c r="AW184" s="14" t="n"/>
      <c r="AX184" s="14" t="n"/>
      <c r="AY184" s="14" t="n"/>
      <c r="AZ184" s="14" t="n"/>
      <c r="BA184" s="14" t="n"/>
      <c r="BB184" s="14" t="n"/>
      <c r="BC184" s="14" t="n"/>
      <c r="BD184" s="14" t="n"/>
      <c r="BE184" s="14" t="n"/>
    </row>
    <row r="185" hidden="1" ht="15.75" customHeight="1" thickTop="1">
      <c r="A185" s="39" t="inlineStr">
        <is>
          <t>RM6-6MCC01</t>
        </is>
      </c>
      <c r="B185" s="29" t="inlineStr">
        <is>
          <t>13F</t>
        </is>
      </c>
      <c r="C185" s="111" t="inlineStr">
        <is>
          <t>RM6-MGR-102.M4</t>
        </is>
      </c>
      <c r="D185" s="28" t="inlineStr">
        <is>
          <t>MIXER GRINDER 2 GRINDER</t>
        </is>
      </c>
      <c r="E185" s="112" t="inlineStr">
        <is>
          <t>VFD</t>
        </is>
      </c>
      <c r="F185" s="8" t="n">
        <v>100</v>
      </c>
      <c r="G185" s="8" t="n">
        <v>100</v>
      </c>
      <c r="H185" s="82" t="n"/>
      <c r="I185" s="8" t="n"/>
      <c r="J185" s="80">
        <f>IF(ISNUMBER(MCC_Table[[#This Row],[SIZE]]), MCC_Table[[#This Row],[SIZE]]/12, 0)</f>
        <v/>
      </c>
      <c r="K185" s="82" t="n">
        <v>250</v>
      </c>
      <c r="L185" s="82" t="n">
        <v>250</v>
      </c>
      <c r="M185" s="82" t="n">
        <v>225</v>
      </c>
      <c r="N185" s="82" t="inlineStr">
        <is>
          <t>3/C #2/0 VFD CABLE</t>
        </is>
      </c>
      <c r="O185" s="77" t="n"/>
      <c r="P185" s="110" t="n"/>
      <c r="Q185" s="79" t="n"/>
      <c r="R185" s="79" t="n"/>
      <c r="S185" s="79" t="n"/>
      <c r="T185" s="79" t="n"/>
      <c r="U185" s="79" t="n"/>
      <c r="V185" s="79" t="n"/>
      <c r="W185" s="79" t="n"/>
      <c r="X185" s="79" t="n"/>
      <c r="Y185" s="79" t="n"/>
      <c r="Z185" s="79" t="n"/>
      <c r="AA185" s="79" t="n"/>
      <c r="AB185" s="225" t="n"/>
      <c r="AC185" s="225" t="n"/>
      <c r="AD185" s="225" t="n"/>
      <c r="AE185" s="29">
        <f>_xlfn.NUMBERVALUE(LEFT(MCC_Table[[#This Row],[BUCKET]],LEN(MCC_Table[[#This Row],[BUCKET]])-1))</f>
        <v/>
      </c>
      <c r="AF185" s="29">
        <f>RIGHT(MCC_Table[[#This Row],[BUCKET]],1)</f>
        <v/>
      </c>
      <c r="AG185" s="29">
        <f>VLOOKUP(MCC_Table[[#This Row],[START UNIT]],UnitMap[],2,FALSE)</f>
        <v/>
      </c>
      <c r="AH185" s="29">
        <f t="array" ref="AH18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85" s="29">
        <f>IF(ISNUMBER(MCC_Table[[#This Row],[SIZE]]), MCC_Table[[#This Row],[SIZE]]/6, 0)</f>
        <v/>
      </c>
      <c r="AJ185" s="29">
        <f>MCC_Table[[#This Row],[START INDEX]]+MCC_Table[[#This Row],[UNITS USED]]-1</f>
        <v/>
      </c>
      <c r="AK185" s="14" t="n"/>
      <c r="AL185" s="14" t="n"/>
      <c r="AM185" s="14" t="n"/>
      <c r="AN185" s="14" t="n"/>
      <c r="AO185" s="14" t="n"/>
      <c r="AP185" s="14" t="n"/>
      <c r="AQ185" s="14" t="n"/>
      <c r="AR185" s="14" t="n"/>
      <c r="AS185" s="14" t="n"/>
      <c r="AT185" s="14" t="n"/>
      <c r="AU185" s="14" t="n"/>
      <c r="AV185" s="14" t="n"/>
      <c r="AW185" s="14" t="n"/>
      <c r="AX185" s="14" t="n"/>
      <c r="AY185" s="14" t="n"/>
      <c r="AZ185" s="14" t="n"/>
      <c r="BA185" s="14" t="n"/>
      <c r="BB185" s="14" t="n"/>
      <c r="BC185" s="14" t="n"/>
      <c r="BD185" s="14" t="n"/>
      <c r="BE185" s="14" t="n"/>
    </row>
    <row r="186" hidden="1" ht="15.75" customHeight="1" thickTop="1">
      <c r="A186" s="39" t="inlineStr">
        <is>
          <t>RM6-6MCC01</t>
        </is>
      </c>
      <c r="B186" s="29" t="inlineStr">
        <is>
          <t>14A</t>
        </is>
      </c>
      <c r="C186" s="111" t="inlineStr">
        <is>
          <t>RM6-BIN-101D.M2</t>
        </is>
      </c>
      <c r="D186" s="28" t="inlineStr">
        <is>
          <t>SURGE BIN 4 AUGER</t>
        </is>
      </c>
      <c r="E186" s="112" t="inlineStr">
        <is>
          <t>VFD</t>
        </is>
      </c>
      <c r="F186" s="8" t="n">
        <v>15</v>
      </c>
      <c r="G186" s="8" t="n">
        <v>15</v>
      </c>
      <c r="H186" s="82" t="n"/>
      <c r="I186" s="8" t="n"/>
      <c r="J186" s="80">
        <f>IF(ISNUMBER(MCC_Table[[#This Row],[SIZE]]), MCC_Table[[#This Row],[SIZE]]/12, 0)</f>
        <v/>
      </c>
      <c r="K186" s="82" t="n">
        <v>60</v>
      </c>
      <c r="L186" s="82" t="n">
        <v>125</v>
      </c>
      <c r="M186" s="82" t="n">
        <v>40</v>
      </c>
      <c r="N186" s="82" t="inlineStr">
        <is>
          <t>3/C #10 VFD CABLE</t>
        </is>
      </c>
      <c r="O186" s="77" t="n"/>
      <c r="P186" s="110" t="n"/>
      <c r="Q186" s="79" t="n"/>
      <c r="R186" s="79" t="n"/>
      <c r="S186" s="79" t="n"/>
      <c r="T186" s="79" t="n"/>
      <c r="U186" s="79" t="n"/>
      <c r="V186" s="79" t="n"/>
      <c r="W186" s="79" t="n"/>
      <c r="X186" s="79" t="n"/>
      <c r="Y186" s="79" t="n"/>
      <c r="Z186" s="79" t="n"/>
      <c r="AA186" s="79" t="n"/>
      <c r="AB186" s="225" t="n"/>
      <c r="AC186" s="225" t="n"/>
      <c r="AD186" s="225" t="n"/>
      <c r="AE186" s="29">
        <f>_xlfn.NUMBERVALUE(LEFT(MCC_Table[[#This Row],[BUCKET]],LEN(MCC_Table[[#This Row],[BUCKET]])-1))</f>
        <v/>
      </c>
      <c r="AF186" s="29">
        <f>RIGHT(MCC_Table[[#This Row],[BUCKET]],1)</f>
        <v/>
      </c>
      <c r="AG186" s="29">
        <f>VLOOKUP(MCC_Table[[#This Row],[START UNIT]],UnitMap[],2,FALSE)</f>
        <v/>
      </c>
      <c r="AH186" s="29">
        <f t="array" ref="AH18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86" s="29">
        <f>IF(ISNUMBER(MCC_Table[[#This Row],[SIZE]]), MCC_Table[[#This Row],[SIZE]]/6, 0)</f>
        <v/>
      </c>
      <c r="AJ186" s="29">
        <f>MCC_Table[[#This Row],[START INDEX]]+MCC_Table[[#This Row],[UNITS USED]]-1</f>
        <v/>
      </c>
      <c r="AK186" s="14" t="n"/>
      <c r="AL186" s="14" t="n"/>
      <c r="AM186" s="14" t="n"/>
      <c r="AN186" s="14" t="n"/>
      <c r="AO186" s="14" t="n"/>
      <c r="AP186" s="14" t="n"/>
      <c r="AQ186" s="14" t="n"/>
      <c r="AR186" s="14" t="n"/>
      <c r="AS186" s="14" t="n"/>
      <c r="AT186" s="14" t="n"/>
      <c r="AU186" s="14" t="n"/>
      <c r="AV186" s="14" t="n"/>
      <c r="AW186" s="14" t="n"/>
      <c r="AX186" s="14" t="n"/>
      <c r="AY186" s="14" t="n"/>
      <c r="AZ186" s="14" t="n"/>
      <c r="BA186" s="14" t="n"/>
      <c r="BB186" s="14" t="n"/>
      <c r="BC186" s="14" t="n"/>
      <c r="BD186" s="14" t="n"/>
      <c r="BE186" s="14" t="n"/>
    </row>
    <row r="187" hidden="1" ht="15.75" customHeight="1" thickTop="1">
      <c r="A187" s="39" t="inlineStr">
        <is>
          <t>RM6-6MCC01</t>
        </is>
      </c>
      <c r="B187" s="29" t="inlineStr">
        <is>
          <t>14G</t>
        </is>
      </c>
      <c r="C187" s="111" t="inlineStr">
        <is>
          <t>SPARE</t>
        </is>
      </c>
      <c r="D187" s="28" t="inlineStr">
        <is>
          <t>VFD - 2HP</t>
        </is>
      </c>
      <c r="E187" s="112" t="inlineStr">
        <is>
          <t>VFD</t>
        </is>
      </c>
      <c r="F187" s="8" t="n"/>
      <c r="G187" s="8" t="n"/>
      <c r="H187" s="82" t="n"/>
      <c r="I187" s="8" t="n"/>
      <c r="J187" s="80">
        <f>IF(ISNUMBER(MCC_Table[[#This Row],[SIZE]]), MCC_Table[[#This Row],[SIZE]]/12, 0)</f>
        <v/>
      </c>
      <c r="K187" s="82" t="n">
        <v>15</v>
      </c>
      <c r="L187" s="82" t="n">
        <v>125</v>
      </c>
      <c r="M187" s="82" t="n">
        <v>10</v>
      </c>
      <c r="N187" s="82" t="inlineStr">
        <is>
          <t>3/C #12 VFD CABLE</t>
        </is>
      </c>
      <c r="O187" s="77" t="n"/>
      <c r="P187" s="110" t="n"/>
      <c r="Q187" s="79" t="n"/>
      <c r="R187" s="79" t="n"/>
      <c r="S187" s="79" t="n"/>
      <c r="T187" s="79" t="n"/>
      <c r="U187" s="79" t="n"/>
      <c r="V187" s="79" t="n"/>
      <c r="W187" s="79" t="n"/>
      <c r="X187" s="79" t="n"/>
      <c r="Y187" s="79" t="n"/>
      <c r="Z187" s="79" t="n"/>
      <c r="AA187" s="79" t="n"/>
      <c r="AB187" s="225" t="n"/>
      <c r="AC187" s="225" t="n"/>
      <c r="AD187" s="225" t="n"/>
      <c r="AE187" s="29">
        <f>_xlfn.NUMBERVALUE(LEFT(MCC_Table[[#This Row],[BUCKET]],LEN(MCC_Table[[#This Row],[BUCKET]])-1))</f>
        <v/>
      </c>
      <c r="AF187" s="29">
        <f>RIGHT(MCC_Table[[#This Row],[BUCKET]],1)</f>
        <v/>
      </c>
      <c r="AG187" s="29">
        <f>VLOOKUP(MCC_Table[[#This Row],[START UNIT]],UnitMap[],2,FALSE)</f>
        <v/>
      </c>
      <c r="AH187" s="29">
        <f t="array" ref="AH18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87" s="29">
        <f>IF(ISNUMBER(MCC_Table[[#This Row],[SIZE]]), MCC_Table[[#This Row],[SIZE]]/6, 0)</f>
        <v/>
      </c>
      <c r="AJ187" s="29">
        <f>MCC_Table[[#This Row],[START INDEX]]+MCC_Table[[#This Row],[UNITS USED]]-1</f>
        <v/>
      </c>
      <c r="AK187" s="14" t="n"/>
      <c r="AL187" s="14" t="n"/>
      <c r="AM187" s="14" t="n"/>
      <c r="AN187" s="14" t="n"/>
      <c r="AO187" s="14" t="n"/>
      <c r="AP187" s="14" t="n"/>
      <c r="AQ187" s="14" t="n"/>
      <c r="AR187" s="14" t="n"/>
      <c r="AS187" s="14" t="n"/>
      <c r="AT187" s="14" t="n"/>
      <c r="AU187" s="14" t="n"/>
      <c r="AV187" s="14" t="n"/>
      <c r="AW187" s="14" t="n"/>
      <c r="AX187" s="14" t="n"/>
      <c r="AY187" s="14" t="n"/>
      <c r="AZ187" s="14" t="n"/>
      <c r="BA187" s="14" t="n"/>
      <c r="BB187" s="14" t="n"/>
      <c r="BC187" s="14" t="n"/>
      <c r="BD187" s="14" t="n"/>
      <c r="BE187" s="14" t="n"/>
    </row>
    <row r="188" hidden="1" ht="15.75" customHeight="1" thickTop="1">
      <c r="A188" s="39" t="inlineStr">
        <is>
          <t>RM6-6MCC01</t>
        </is>
      </c>
      <c r="B188" s="29" t="inlineStr">
        <is>
          <t>14L</t>
        </is>
      </c>
      <c r="C188" s="24" t="inlineStr">
        <is>
          <t>RM6-MCC1-14L.SW1</t>
        </is>
      </c>
      <c r="D188" s="62" t="inlineStr">
        <is>
          <t>ETHERNET SWITCH (20-PORT)</t>
        </is>
      </c>
      <c r="E188" s="24" t="inlineStr">
        <is>
          <t>ENET_20</t>
        </is>
      </c>
      <c r="F188" s="8" t="n"/>
      <c r="G188" s="8" t="n"/>
      <c r="H188" s="82" t="n"/>
      <c r="I188" s="8" t="n"/>
      <c r="J188" s="80">
        <f>IF(ISNUMBER(MCC_Table[[#This Row],[SIZE]]), MCC_Table[[#This Row],[SIZE]]/12, 0)</f>
        <v/>
      </c>
      <c r="K188" s="82" t="n"/>
      <c r="L188" s="82" t="n"/>
      <c r="M188" s="82" t="n"/>
      <c r="N188" s="82" t="n"/>
      <c r="O188" s="77" t="n"/>
      <c r="P188" s="110" t="n"/>
      <c r="Q188" s="79" t="n"/>
      <c r="R188" s="79" t="n"/>
      <c r="S188" s="79" t="n"/>
      <c r="T188" s="79" t="n"/>
      <c r="U188" s="79" t="n"/>
      <c r="V188" s="79" t="n"/>
      <c r="W188" s="79" t="n"/>
      <c r="X188" s="79" t="n"/>
      <c r="Y188" s="79" t="n"/>
      <c r="Z188" s="79" t="n"/>
      <c r="AA188" s="79" t="n"/>
      <c r="AB188" s="225" t="n"/>
      <c r="AC188" s="225" t="n"/>
      <c r="AD188" s="225" t="n"/>
      <c r="AE188" s="29">
        <f>_xlfn.NUMBERVALUE(LEFT(MCC_Table[[#This Row],[BUCKET]],LEN(MCC_Table[[#This Row],[BUCKET]])-1))</f>
        <v/>
      </c>
      <c r="AF188" s="29">
        <f>RIGHT(MCC_Table[[#This Row],[BUCKET]],1)</f>
        <v/>
      </c>
      <c r="AG188" s="29">
        <f>VLOOKUP(MCC_Table[[#This Row],[START UNIT]],UnitMap[],2,FALSE)</f>
        <v/>
      </c>
      <c r="AH188" s="29">
        <f t="array" ref="AH18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88" s="29">
        <f>IF(ISNUMBER(MCC_Table[[#This Row],[SIZE]]), MCC_Table[[#This Row],[SIZE]]/6, 0)</f>
        <v/>
      </c>
      <c r="AJ188" s="29">
        <f>MCC_Table[[#This Row],[START INDEX]]+MCC_Table[[#This Row],[UNITS USED]]-1</f>
        <v/>
      </c>
      <c r="AK188" s="14" t="n"/>
      <c r="AL188" s="14" t="n"/>
      <c r="AM188" s="14" t="n"/>
      <c r="AN188" s="14" t="n"/>
      <c r="AO188" s="14" t="n"/>
      <c r="AP188" s="14" t="n"/>
      <c r="AQ188" s="14" t="n"/>
      <c r="AR188" s="14" t="n"/>
      <c r="AS188" s="14" t="n"/>
      <c r="AT188" s="14" t="n"/>
      <c r="AU188" s="14" t="n"/>
      <c r="AV188" s="14" t="n"/>
      <c r="AW188" s="14" t="n"/>
      <c r="AX188" s="14" t="n"/>
      <c r="AY188" s="14" t="n"/>
      <c r="AZ188" s="14" t="n"/>
      <c r="BA188" s="14" t="n"/>
      <c r="BB188" s="14" t="n"/>
      <c r="BC188" s="14" t="n"/>
      <c r="BD188" s="14" t="n"/>
      <c r="BE188" s="14" t="n"/>
    </row>
    <row r="189" hidden="1" ht="15.75" customHeight="1" thickTop="1">
      <c r="A189" s="39" t="inlineStr">
        <is>
          <t>RM6-6MCC01</t>
        </is>
      </c>
      <c r="B189" s="29" t="inlineStr">
        <is>
          <t>15A</t>
        </is>
      </c>
      <c r="C189" s="111" t="inlineStr">
        <is>
          <t>RM6-BIN-101A.M2</t>
        </is>
      </c>
      <c r="D189" s="28" t="inlineStr">
        <is>
          <t>SURGE BIN 1 AUGER</t>
        </is>
      </c>
      <c r="E189" s="112" t="inlineStr">
        <is>
          <t>VFD</t>
        </is>
      </c>
      <c r="F189" s="8" t="n">
        <v>15</v>
      </c>
      <c r="G189" s="8" t="n">
        <v>15</v>
      </c>
      <c r="H189" s="82" t="n"/>
      <c r="I189" s="8" t="n"/>
      <c r="J189" s="80">
        <f>IF(ISNUMBER(MCC_Table[[#This Row],[SIZE]]), MCC_Table[[#This Row],[SIZE]]/12, 0)</f>
        <v/>
      </c>
      <c r="K189" s="82" t="n">
        <v>60</v>
      </c>
      <c r="L189" s="82" t="n">
        <v>125</v>
      </c>
      <c r="M189" s="82" t="n">
        <v>40</v>
      </c>
      <c r="N189" s="82" t="inlineStr">
        <is>
          <t>3/C #10 VFD CABLE</t>
        </is>
      </c>
      <c r="O189" s="77" t="n"/>
      <c r="P189" s="110" t="n"/>
      <c r="Q189" s="79" t="n"/>
      <c r="R189" s="79" t="n"/>
      <c r="S189" s="79" t="n"/>
      <c r="T189" s="79" t="n"/>
      <c r="U189" s="79" t="n"/>
      <c r="V189" s="79" t="n"/>
      <c r="W189" s="79" t="n"/>
      <c r="X189" s="79" t="n"/>
      <c r="Y189" s="79" t="n"/>
      <c r="Z189" s="79" t="n"/>
      <c r="AA189" s="79" t="n"/>
      <c r="AB189" s="225" t="n"/>
      <c r="AC189" s="225" t="n"/>
      <c r="AD189" s="225" t="n"/>
      <c r="AE189" s="29">
        <f>_xlfn.NUMBERVALUE(LEFT(MCC_Table[[#This Row],[BUCKET]],LEN(MCC_Table[[#This Row],[BUCKET]])-1))</f>
        <v/>
      </c>
      <c r="AF189" s="29">
        <f>RIGHT(MCC_Table[[#This Row],[BUCKET]],1)</f>
        <v/>
      </c>
      <c r="AG189" s="29">
        <f>VLOOKUP(MCC_Table[[#This Row],[START UNIT]],UnitMap[],2,FALSE)</f>
        <v/>
      </c>
      <c r="AH189" s="29">
        <f t="array" ref="AH18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89" s="29">
        <f>IF(ISNUMBER(MCC_Table[[#This Row],[SIZE]]), MCC_Table[[#This Row],[SIZE]]/6, 0)</f>
        <v/>
      </c>
      <c r="AJ189" s="29">
        <f>MCC_Table[[#This Row],[START INDEX]]+MCC_Table[[#This Row],[UNITS USED]]-1</f>
        <v/>
      </c>
      <c r="AK189" s="14" t="n"/>
      <c r="AL189" s="14" t="n"/>
      <c r="AM189" s="14" t="n"/>
      <c r="AN189" s="14" t="n"/>
      <c r="AO189" s="14" t="n"/>
      <c r="AP189" s="14" t="n"/>
      <c r="AQ189" s="14" t="n"/>
      <c r="AR189" s="14" t="n"/>
      <c r="AS189" s="14" t="n"/>
      <c r="AT189" s="14" t="n"/>
      <c r="AU189" s="14" t="n"/>
      <c r="AV189" s="14" t="n"/>
      <c r="AW189" s="14" t="n"/>
      <c r="AX189" s="14" t="n"/>
      <c r="AY189" s="14" t="n"/>
      <c r="AZ189" s="14" t="n"/>
      <c r="BA189" s="14" t="n"/>
      <c r="BB189" s="14" t="n"/>
      <c r="BC189" s="14" t="n"/>
      <c r="BD189" s="14" t="n"/>
      <c r="BE189" s="14" t="n"/>
    </row>
    <row r="190" hidden="1" ht="15.75" customHeight="1" thickTop="1">
      <c r="A190" s="39" t="inlineStr">
        <is>
          <t>RM6-6MCC01</t>
        </is>
      </c>
      <c r="B190" s="29" t="inlineStr">
        <is>
          <t>15G</t>
        </is>
      </c>
      <c r="C190" s="111" t="inlineStr">
        <is>
          <t>SPACE</t>
        </is>
      </c>
      <c r="D190" s="28" t="inlineStr">
        <is>
          <t>6" SPACE</t>
        </is>
      </c>
      <c r="E190" s="112" t="inlineStr">
        <is>
          <t>SPACE</t>
        </is>
      </c>
      <c r="F190" s="8" t="n"/>
      <c r="G190" s="8" t="n"/>
      <c r="H190" s="82" t="n"/>
      <c r="I190" s="8" t="n"/>
      <c r="J190" s="80">
        <f>IF(ISNUMBER(MCC_Table[[#This Row],[SIZE]]), MCC_Table[[#This Row],[SIZE]]/12, 0)</f>
        <v/>
      </c>
      <c r="K190" s="82" t="n"/>
      <c r="L190" s="82" t="n"/>
      <c r="M190" s="82" t="n"/>
      <c r="N190" s="82" t="n"/>
      <c r="O190" s="77" t="n"/>
      <c r="P190" s="110" t="n"/>
      <c r="Q190" s="79" t="n"/>
      <c r="R190" s="79" t="n"/>
      <c r="S190" s="79" t="n"/>
      <c r="T190" s="79" t="n"/>
      <c r="U190" s="79" t="n"/>
      <c r="V190" s="79" t="n"/>
      <c r="W190" s="79" t="n"/>
      <c r="X190" s="79" t="n"/>
      <c r="Y190" s="79" t="n"/>
      <c r="Z190" s="79" t="n"/>
      <c r="AA190" s="79" t="n"/>
      <c r="AB190" s="225" t="n"/>
      <c r="AC190" s="225" t="n"/>
      <c r="AD190" s="225" t="n"/>
      <c r="AE190" s="29">
        <f>_xlfn.NUMBERVALUE(LEFT(MCC_Table[[#This Row],[BUCKET]],LEN(MCC_Table[[#This Row],[BUCKET]])-1))</f>
        <v/>
      </c>
      <c r="AF190" s="29">
        <f>RIGHT(MCC_Table[[#This Row],[BUCKET]],1)</f>
        <v/>
      </c>
      <c r="AG190" s="29">
        <f>VLOOKUP(MCC_Table[[#This Row],[START UNIT]],UnitMap[],2,FALSE)</f>
        <v/>
      </c>
      <c r="AH190" s="29">
        <f t="array" ref="AH19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90" s="29">
        <f>IF(ISNUMBER(MCC_Table[[#This Row],[SIZE]]), MCC_Table[[#This Row],[SIZE]]/6, 0)</f>
        <v/>
      </c>
      <c r="AJ190" s="29">
        <f>MCC_Table[[#This Row],[START INDEX]]+MCC_Table[[#This Row],[UNITS USED]]-1</f>
        <v/>
      </c>
      <c r="AK190" s="14" t="n"/>
      <c r="AL190" s="14" t="n"/>
      <c r="AM190" s="14" t="n"/>
      <c r="AN190" s="14" t="n"/>
      <c r="AO190" s="14" t="n"/>
      <c r="AP190" s="14" t="n"/>
      <c r="AQ190" s="14" t="n"/>
      <c r="AR190" s="14" t="n"/>
      <c r="AS190" s="14" t="n"/>
      <c r="AT190" s="14" t="n"/>
      <c r="AU190" s="14" t="n"/>
      <c r="AV190" s="14" t="n"/>
      <c r="AW190" s="14" t="n"/>
      <c r="AX190" s="14" t="n"/>
      <c r="AY190" s="14" t="n"/>
      <c r="AZ190" s="14" t="n"/>
      <c r="BA190" s="14" t="n"/>
      <c r="BB190" s="14" t="n"/>
      <c r="BC190" s="14" t="n"/>
      <c r="BD190" s="14" t="n"/>
      <c r="BE190" s="14" t="n"/>
    </row>
    <row r="191" hidden="1" ht="15.75" customHeight="1" thickTop="1">
      <c r="A191" s="39" t="inlineStr">
        <is>
          <t>RM6-6MCC01</t>
        </is>
      </c>
      <c r="B191" s="29" t="inlineStr">
        <is>
          <t>15H</t>
        </is>
      </c>
      <c r="C191" s="111" t="inlineStr">
        <is>
          <t>RM6-AGC-103.M1</t>
        </is>
      </c>
      <c r="D191" s="28" t="inlineStr">
        <is>
          <t>DUAL AUGER CART 1 LEVELING RIBON</t>
        </is>
      </c>
      <c r="E191" s="112" t="inlineStr">
        <is>
          <t>VFD</t>
        </is>
      </c>
      <c r="F191" s="8" t="n">
        <v>7.5</v>
      </c>
      <c r="G191" s="8" t="n">
        <v>10</v>
      </c>
      <c r="H191" s="82" t="n"/>
      <c r="I191" s="8" t="n"/>
      <c r="J191" s="80">
        <f>IF(ISNUMBER(MCC_Table[[#This Row],[SIZE]]), MCC_Table[[#This Row],[SIZE]]/12, 0)</f>
        <v/>
      </c>
      <c r="K191" s="82" t="n">
        <v>30</v>
      </c>
      <c r="L191" s="82" t="n">
        <v>125</v>
      </c>
      <c r="M191" s="82" t="n">
        <v>25</v>
      </c>
      <c r="N191" s="82" t="inlineStr">
        <is>
          <t>3/C #12 VFD CABLE</t>
        </is>
      </c>
      <c r="O191" s="77" t="n"/>
      <c r="P191" s="110" t="n"/>
      <c r="Q191" s="79" t="n"/>
      <c r="R191" s="79" t="n"/>
      <c r="S191" s="79" t="n"/>
      <c r="T191" s="79" t="n"/>
      <c r="U191" s="79" t="n"/>
      <c r="V191" s="79" t="n"/>
      <c r="W191" s="79" t="n"/>
      <c r="X191" s="79" t="n"/>
      <c r="Y191" s="79" t="n"/>
      <c r="Z191" s="79" t="n"/>
      <c r="AA191" s="79" t="n"/>
      <c r="AB191" s="225" t="n"/>
      <c r="AC191" s="225" t="n"/>
      <c r="AD191" s="225" t="n"/>
      <c r="AE191" s="29">
        <f>_xlfn.NUMBERVALUE(LEFT(MCC_Table[[#This Row],[BUCKET]],LEN(MCC_Table[[#This Row],[BUCKET]])-1))</f>
        <v/>
      </c>
      <c r="AF191" s="29">
        <f>RIGHT(MCC_Table[[#This Row],[BUCKET]],1)</f>
        <v/>
      </c>
      <c r="AG191" s="29">
        <f>VLOOKUP(MCC_Table[[#This Row],[START UNIT]],UnitMap[],2,FALSE)</f>
        <v/>
      </c>
      <c r="AH191" s="29">
        <f t="array" ref="AH19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91" s="29">
        <f>IF(ISNUMBER(MCC_Table[[#This Row],[SIZE]]), MCC_Table[[#This Row],[SIZE]]/6, 0)</f>
        <v/>
      </c>
      <c r="AJ191" s="29">
        <f>MCC_Table[[#This Row],[START INDEX]]+MCC_Table[[#This Row],[UNITS USED]]-1</f>
        <v/>
      </c>
      <c r="AK191" s="14" t="n"/>
      <c r="AL191" s="14" t="n"/>
      <c r="AM191" s="14" t="n"/>
      <c r="AN191" s="14" t="n"/>
      <c r="AO191" s="14" t="n"/>
      <c r="AP191" s="14" t="n"/>
      <c r="AQ191" s="14" t="n"/>
      <c r="AR191" s="14" t="n"/>
      <c r="AS191" s="14" t="n"/>
      <c r="AT191" s="14" t="n"/>
      <c r="AU191" s="14" t="n"/>
      <c r="AV191" s="14" t="n"/>
      <c r="AW191" s="14" t="n"/>
      <c r="AX191" s="14" t="n"/>
      <c r="AY191" s="14" t="n"/>
      <c r="AZ191" s="14" t="n"/>
      <c r="BA191" s="14" t="n"/>
      <c r="BB191" s="14" t="n"/>
      <c r="BC191" s="14" t="n"/>
      <c r="BD191" s="14" t="n"/>
      <c r="BE191" s="14" t="n"/>
    </row>
    <row r="192" hidden="1" ht="15.75" customHeight="1" thickTop="1">
      <c r="A192" s="39" t="inlineStr">
        <is>
          <t>RM6-6MCC01</t>
        </is>
      </c>
      <c r="B192" s="29" t="inlineStr">
        <is>
          <t>16A</t>
        </is>
      </c>
      <c r="C192" s="111" t="inlineStr">
        <is>
          <t>SPARE</t>
        </is>
      </c>
      <c r="D192" s="28" t="inlineStr">
        <is>
          <t>VFD - 2HP</t>
        </is>
      </c>
      <c r="E192" s="112" t="inlineStr">
        <is>
          <t>VFD</t>
        </is>
      </c>
      <c r="F192" s="8" t="n"/>
      <c r="G192" s="8" t="n"/>
      <c r="H192" s="82" t="n"/>
      <c r="I192" s="8" t="n"/>
      <c r="J192" s="80">
        <f>IF(ISNUMBER(MCC_Table[[#This Row],[SIZE]]), MCC_Table[[#This Row],[SIZE]]/12, 0)</f>
        <v/>
      </c>
      <c r="K192" s="82" t="n">
        <v>15</v>
      </c>
      <c r="L192" s="82" t="n">
        <v>125</v>
      </c>
      <c r="M192" s="82" t="n">
        <v>10</v>
      </c>
      <c r="N192" s="82" t="inlineStr">
        <is>
          <t>3/C #12 VFD CABLE</t>
        </is>
      </c>
      <c r="O192" s="77" t="n"/>
      <c r="P192" s="110" t="n"/>
      <c r="Q192" s="79" t="n"/>
      <c r="R192" s="79" t="n"/>
      <c r="S192" s="79" t="n"/>
      <c r="T192" s="79" t="n"/>
      <c r="U192" s="79" t="n"/>
      <c r="V192" s="79" t="n"/>
      <c r="W192" s="79" t="n"/>
      <c r="X192" s="79" t="n"/>
      <c r="Y192" s="79" t="n"/>
      <c r="Z192" s="79" t="n"/>
      <c r="AA192" s="79" t="n"/>
      <c r="AB192" s="225" t="n"/>
      <c r="AC192" s="225" t="n"/>
      <c r="AD192" s="225" t="n"/>
      <c r="AE192" s="29">
        <f>_xlfn.NUMBERVALUE(LEFT(MCC_Table[[#This Row],[BUCKET]],LEN(MCC_Table[[#This Row],[BUCKET]])-1))</f>
        <v/>
      </c>
      <c r="AF192" s="29">
        <f>RIGHT(MCC_Table[[#This Row],[BUCKET]],1)</f>
        <v/>
      </c>
      <c r="AG192" s="29">
        <f>VLOOKUP(MCC_Table[[#This Row],[START UNIT]],UnitMap[],2,FALSE)</f>
        <v/>
      </c>
      <c r="AH192" s="29">
        <f t="array" ref="AH19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92" s="29">
        <f>IF(ISNUMBER(MCC_Table[[#This Row],[SIZE]]), MCC_Table[[#This Row],[SIZE]]/6, 0)</f>
        <v/>
      </c>
      <c r="AJ192" s="29">
        <f>MCC_Table[[#This Row],[START INDEX]]+MCC_Table[[#This Row],[UNITS USED]]-1</f>
        <v/>
      </c>
      <c r="AK192" s="14" t="n"/>
      <c r="AL192" s="14" t="n"/>
      <c r="AM192" s="14" t="n"/>
      <c r="AN192" s="14" t="n"/>
      <c r="AO192" s="14" t="n"/>
      <c r="AP192" s="14" t="n"/>
      <c r="AQ192" s="14" t="n"/>
      <c r="AR192" s="14" t="n"/>
      <c r="AS192" s="14" t="n"/>
      <c r="AT192" s="14" t="n"/>
      <c r="AU192" s="14" t="n"/>
      <c r="AV192" s="14" t="n"/>
      <c r="AW192" s="14" t="n"/>
      <c r="AX192" s="14" t="n"/>
      <c r="AY192" s="14" t="n"/>
      <c r="AZ192" s="14" t="n"/>
      <c r="BA192" s="14" t="n"/>
      <c r="BB192" s="14" t="n"/>
      <c r="BC192" s="14" t="n"/>
      <c r="BD192" s="14" t="n"/>
      <c r="BE192" s="14" t="n"/>
    </row>
    <row r="193" hidden="1" ht="15.75" customHeight="1" thickTop="1">
      <c r="A193" s="39" t="inlineStr">
        <is>
          <t>RM6-6MCC01</t>
        </is>
      </c>
      <c r="B193" s="29" t="inlineStr">
        <is>
          <t>16E</t>
        </is>
      </c>
      <c r="C193" s="111" t="inlineStr">
        <is>
          <t>RM6-CNV-104.M1</t>
        </is>
      </c>
      <c r="D193" s="28" t="inlineStr">
        <is>
          <t>SURGE BIN SUPPLY CONVEYOR</t>
        </is>
      </c>
      <c r="E193" s="112" t="inlineStr">
        <is>
          <t>VFD</t>
        </is>
      </c>
      <c r="F193" s="8" t="n">
        <v>2</v>
      </c>
      <c r="G193" s="8" t="n">
        <v>2</v>
      </c>
      <c r="H193" s="82" t="n"/>
      <c r="I193" s="8" t="n"/>
      <c r="J193" s="80">
        <f>IF(ISNUMBER(MCC_Table[[#This Row],[SIZE]]), MCC_Table[[#This Row],[SIZE]]/12, 0)</f>
        <v/>
      </c>
      <c r="K193" s="82" t="n">
        <v>15</v>
      </c>
      <c r="L193" s="82" t="n">
        <v>125</v>
      </c>
      <c r="M193" s="82" t="n">
        <v>10</v>
      </c>
      <c r="N193" s="82" t="inlineStr">
        <is>
          <t>3/C #12 VFD CABLE</t>
        </is>
      </c>
      <c r="O193" s="77" t="n"/>
      <c r="P193" s="110" t="n"/>
      <c r="Q193" s="79" t="n"/>
      <c r="R193" s="79" t="n"/>
      <c r="S193" s="79" t="n"/>
      <c r="T193" s="79" t="n"/>
      <c r="U193" s="79" t="n"/>
      <c r="V193" s="79" t="n"/>
      <c r="W193" s="79" t="n"/>
      <c r="X193" s="79" t="n"/>
      <c r="Y193" s="79" t="n"/>
      <c r="Z193" s="79" t="n"/>
      <c r="AA193" s="79" t="n"/>
      <c r="AB193" s="225" t="n"/>
      <c r="AC193" s="225" t="n"/>
      <c r="AD193" s="225" t="n"/>
      <c r="AE193" s="29">
        <f>_xlfn.NUMBERVALUE(LEFT(MCC_Table[[#This Row],[BUCKET]],LEN(MCC_Table[[#This Row],[BUCKET]])-1))</f>
        <v/>
      </c>
      <c r="AF193" s="29">
        <f>RIGHT(MCC_Table[[#This Row],[BUCKET]],1)</f>
        <v/>
      </c>
      <c r="AG193" s="29">
        <f>VLOOKUP(MCC_Table[[#This Row],[START UNIT]],UnitMap[],2,FALSE)</f>
        <v/>
      </c>
      <c r="AH193" s="29">
        <f t="array" ref="AH19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93" s="29">
        <f>IF(ISNUMBER(MCC_Table[[#This Row],[SIZE]]), MCC_Table[[#This Row],[SIZE]]/6, 0)</f>
        <v/>
      </c>
      <c r="AJ193" s="29">
        <f>MCC_Table[[#This Row],[START INDEX]]+MCC_Table[[#This Row],[UNITS USED]]-1</f>
        <v/>
      </c>
      <c r="AK193" s="14" t="n"/>
      <c r="AL193" s="14" t="n"/>
      <c r="AM193" s="14" t="n"/>
      <c r="AN193" s="14" t="n"/>
      <c r="AO193" s="14" t="n"/>
      <c r="AP193" s="14" t="n"/>
      <c r="AQ193" s="14" t="n"/>
      <c r="AR193" s="14" t="n"/>
      <c r="AS193" s="14" t="n"/>
      <c r="AT193" s="14" t="n"/>
      <c r="AU193" s="14" t="n"/>
      <c r="AV193" s="14" t="n"/>
      <c r="AW193" s="14" t="n"/>
      <c r="AX193" s="14" t="n"/>
      <c r="AY193" s="14" t="n"/>
      <c r="AZ193" s="14" t="n"/>
      <c r="BA193" s="14" t="n"/>
      <c r="BB193" s="14" t="n"/>
      <c r="BC193" s="14" t="n"/>
      <c r="BD193" s="14" t="n"/>
      <c r="BE193" s="14" t="n"/>
    </row>
    <row r="194" hidden="1" ht="15.75" customHeight="1" thickTop="1">
      <c r="A194" s="39" t="inlineStr">
        <is>
          <t>RM6-6MCC01</t>
        </is>
      </c>
      <c r="B194" s="29" t="inlineStr">
        <is>
          <t>16J</t>
        </is>
      </c>
      <c r="C194" s="111" t="inlineStr">
        <is>
          <t>RM6-CNV-108.M2</t>
        </is>
      </c>
      <c r="D194" s="28" t="inlineStr">
        <is>
          <t>INCLINE CONVEYOR HYDRAULICS</t>
        </is>
      </c>
      <c r="E194" s="112" t="inlineStr">
        <is>
          <t>FVNR</t>
        </is>
      </c>
      <c r="F194" s="8" t="n">
        <v>1.5</v>
      </c>
      <c r="G194" s="8" t="n">
        <v>2</v>
      </c>
      <c r="H194" s="82" t="n"/>
      <c r="I194" s="8" t="n">
        <v>1</v>
      </c>
      <c r="J194" s="80">
        <f>IF(ISNUMBER(MCC_Table[[#This Row],[SIZE]]), MCC_Table[[#This Row],[SIZE]]/12, 0)</f>
        <v/>
      </c>
      <c r="K194" s="82" t="n">
        <v>7</v>
      </c>
      <c r="L194" s="82" t="n">
        <v>125</v>
      </c>
      <c r="M194" s="82" t="n"/>
      <c r="N194" s="82" t="inlineStr">
        <is>
          <t>3/C #12 VFD CABLE</t>
        </is>
      </c>
      <c r="O194" s="77" t="n"/>
      <c r="P194" s="110" t="n"/>
      <c r="Q194" s="79" t="n"/>
      <c r="R194" s="79" t="n"/>
      <c r="S194" s="79" t="n"/>
      <c r="T194" s="79" t="n"/>
      <c r="U194" s="79" t="n"/>
      <c r="V194" s="79" t="n"/>
      <c r="W194" s="79" t="n"/>
      <c r="X194" s="79" t="n"/>
      <c r="Y194" s="79" t="n"/>
      <c r="Z194" s="79" t="n"/>
      <c r="AA194" s="79" t="n"/>
      <c r="AB194" s="225" t="n"/>
      <c r="AC194" s="225" t="n"/>
      <c r="AD194" s="225" t="n"/>
      <c r="AE194" s="29">
        <f>_xlfn.NUMBERVALUE(LEFT(MCC_Table[[#This Row],[BUCKET]],LEN(MCC_Table[[#This Row],[BUCKET]])-1))</f>
        <v/>
      </c>
      <c r="AF194" s="29">
        <f>RIGHT(MCC_Table[[#This Row],[BUCKET]],1)</f>
        <v/>
      </c>
      <c r="AG194" s="29">
        <f>VLOOKUP(MCC_Table[[#This Row],[START UNIT]],UnitMap[],2,FALSE)</f>
        <v/>
      </c>
      <c r="AH194" s="29">
        <f t="array" ref="AH19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94" s="29">
        <f>IF(ISNUMBER(MCC_Table[[#This Row],[SIZE]]), MCC_Table[[#This Row],[SIZE]]/6, 0)</f>
        <v/>
      </c>
      <c r="AJ194" s="29">
        <f>MCC_Table[[#This Row],[START INDEX]]+MCC_Table[[#This Row],[UNITS USED]]-1</f>
        <v/>
      </c>
      <c r="AK194" s="14" t="n"/>
      <c r="AL194" s="14" t="n"/>
      <c r="AM194" s="14" t="n"/>
      <c r="AN194" s="14" t="n"/>
      <c r="AO194" s="14" t="n"/>
      <c r="AP194" s="14" t="n"/>
      <c r="AQ194" s="14" t="n"/>
      <c r="AR194" s="14" t="n"/>
      <c r="AS194" s="14" t="n"/>
      <c r="AT194" s="14" t="n"/>
      <c r="AU194" s="14" t="n"/>
      <c r="AV194" s="14" t="n"/>
      <c r="AW194" s="14" t="n"/>
      <c r="AX194" s="14" t="n"/>
      <c r="AY194" s="14" t="n"/>
      <c r="AZ194" s="14" t="n"/>
      <c r="BA194" s="14" t="n"/>
      <c r="BB194" s="14" t="n"/>
      <c r="BC194" s="14" t="n"/>
      <c r="BD194" s="14" t="n"/>
      <c r="BE194" s="14" t="n"/>
    </row>
    <row r="195" hidden="1" ht="15.75" customHeight="1" thickTop="1">
      <c r="A195" s="39" t="inlineStr">
        <is>
          <t>RM6-6MCC01</t>
        </is>
      </c>
      <c r="B195" s="29" t="inlineStr">
        <is>
          <t>16L</t>
        </is>
      </c>
      <c r="C195" s="111" t="inlineStr">
        <is>
          <t>SPACE</t>
        </is>
      </c>
      <c r="D195" s="28" t="inlineStr">
        <is>
          <t>12" SPACE</t>
        </is>
      </c>
      <c r="E195" s="112" t="inlineStr">
        <is>
          <t>SPACE</t>
        </is>
      </c>
      <c r="F195" s="8" t="n"/>
      <c r="G195" s="8" t="n"/>
      <c r="H195" s="82" t="n"/>
      <c r="I195" s="8" t="n"/>
      <c r="J195" s="80">
        <f>IF(ISNUMBER(MCC_Table[[#This Row],[SIZE]]), MCC_Table[[#This Row],[SIZE]]/12, 0)</f>
        <v/>
      </c>
      <c r="K195" s="82" t="n"/>
      <c r="L195" s="82" t="n"/>
      <c r="M195" s="82" t="n"/>
      <c r="N195" s="82" t="n"/>
      <c r="O195" s="77" t="n"/>
      <c r="P195" s="110" t="n"/>
      <c r="Q195" s="79" t="n"/>
      <c r="R195" s="79" t="n"/>
      <c r="S195" s="79" t="n"/>
      <c r="T195" s="79" t="n"/>
      <c r="U195" s="79" t="n"/>
      <c r="V195" s="79" t="n"/>
      <c r="W195" s="79" t="n"/>
      <c r="X195" s="79" t="n"/>
      <c r="Y195" s="79" t="n"/>
      <c r="Z195" s="79" t="n"/>
      <c r="AA195" s="79" t="n"/>
      <c r="AB195" s="225" t="n"/>
      <c r="AC195" s="225" t="n"/>
      <c r="AD195" s="225" t="n"/>
      <c r="AE195" s="29">
        <f>_xlfn.NUMBERVALUE(LEFT(MCC_Table[[#This Row],[BUCKET]],LEN(MCC_Table[[#This Row],[BUCKET]])-1))</f>
        <v/>
      </c>
      <c r="AF195" s="29">
        <f>RIGHT(MCC_Table[[#This Row],[BUCKET]],1)</f>
        <v/>
      </c>
      <c r="AG195" s="29">
        <f>VLOOKUP(MCC_Table[[#This Row],[START UNIT]],UnitMap[],2,FALSE)</f>
        <v/>
      </c>
      <c r="AH195" s="29">
        <f t="array" ref="AH19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95" s="29">
        <f>IF(ISNUMBER(MCC_Table[[#This Row],[SIZE]]), MCC_Table[[#This Row],[SIZE]]/6, 0)</f>
        <v/>
      </c>
      <c r="AJ195" s="29">
        <f>MCC_Table[[#This Row],[START INDEX]]+MCC_Table[[#This Row],[UNITS USED]]-1</f>
        <v/>
      </c>
      <c r="AK195" s="14" t="n"/>
      <c r="AL195" s="14" t="n"/>
      <c r="AM195" s="14" t="n"/>
      <c r="AN195" s="14" t="n"/>
      <c r="AO195" s="14" t="n"/>
      <c r="AP195" s="14" t="n"/>
      <c r="AQ195" s="14" t="n"/>
      <c r="AR195" s="14" t="n"/>
      <c r="AS195" s="14" t="n"/>
      <c r="AT195" s="14" t="n"/>
      <c r="AU195" s="14" t="n"/>
      <c r="AV195" s="14" t="n"/>
      <c r="AW195" s="14" t="n"/>
      <c r="AX195" s="14" t="n"/>
      <c r="AY195" s="14" t="n"/>
      <c r="AZ195" s="14" t="n"/>
      <c r="BA195" s="14" t="n"/>
      <c r="BB195" s="14" t="n"/>
      <c r="BC195" s="14" t="n"/>
      <c r="BD195" s="14" t="n"/>
      <c r="BE195" s="14" t="n"/>
    </row>
    <row r="196" hidden="1" ht="15.75" customHeight="1" thickTop="1">
      <c r="A196" s="39" t="inlineStr">
        <is>
          <t>RM6-6MCC01</t>
        </is>
      </c>
      <c r="B196" s="29" t="inlineStr">
        <is>
          <t>17A</t>
        </is>
      </c>
      <c r="C196" s="111" t="inlineStr">
        <is>
          <t>RM6-FAN-104.M1</t>
        </is>
      </c>
      <c r="D196" s="28" t="inlineStr">
        <is>
          <t>STEAM COOKER 2 EXHAUST FAN 1</t>
        </is>
      </c>
      <c r="E196" s="112" t="inlineStr">
        <is>
          <t>VFD</t>
        </is>
      </c>
      <c r="F196" s="8" t="n">
        <v>5</v>
      </c>
      <c r="G196" s="8" t="n">
        <v>5</v>
      </c>
      <c r="H196" s="82" t="n"/>
      <c r="I196" s="8" t="n"/>
      <c r="J196" s="80">
        <f>IF(ISNUMBER(MCC_Table[[#This Row],[SIZE]]), MCC_Table[[#This Row],[SIZE]]/12, 0)</f>
        <v/>
      </c>
      <c r="K196" s="82" t="n">
        <v>20</v>
      </c>
      <c r="L196" s="82" t="n">
        <v>125</v>
      </c>
      <c r="M196" s="82" t="n">
        <v>20</v>
      </c>
      <c r="N196" s="82" t="inlineStr">
        <is>
          <t>3/C #12 VFD CABLE</t>
        </is>
      </c>
      <c r="O196" s="77" t="n"/>
      <c r="P196" s="110" t="n"/>
      <c r="Q196" s="79" t="n"/>
      <c r="R196" s="79" t="n"/>
      <c r="S196" s="79" t="n"/>
      <c r="T196" s="79" t="n"/>
      <c r="U196" s="79" t="n"/>
      <c r="V196" s="79" t="n"/>
      <c r="W196" s="79" t="n"/>
      <c r="X196" s="79" t="n"/>
      <c r="Y196" s="79" t="n"/>
      <c r="Z196" s="79" t="n"/>
      <c r="AA196" s="79" t="n"/>
      <c r="AB196" s="225" t="n"/>
      <c r="AC196" s="225" t="n"/>
      <c r="AD196" s="225" t="n"/>
      <c r="AE196" s="29">
        <f>_xlfn.NUMBERVALUE(LEFT(MCC_Table[[#This Row],[BUCKET]],LEN(MCC_Table[[#This Row],[BUCKET]])-1))</f>
        <v/>
      </c>
      <c r="AF196" s="29">
        <f>RIGHT(MCC_Table[[#This Row],[BUCKET]],1)</f>
        <v/>
      </c>
      <c r="AG196" s="29">
        <f>VLOOKUP(MCC_Table[[#This Row],[START UNIT]],UnitMap[],2,FALSE)</f>
        <v/>
      </c>
      <c r="AH196" s="29">
        <f t="array" ref="AH19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96" s="29">
        <f>IF(ISNUMBER(MCC_Table[[#This Row],[SIZE]]), MCC_Table[[#This Row],[SIZE]]/6, 0)</f>
        <v/>
      </c>
      <c r="AJ196" s="29">
        <f>MCC_Table[[#This Row],[START INDEX]]+MCC_Table[[#This Row],[UNITS USED]]-1</f>
        <v/>
      </c>
      <c r="AK196" s="14" t="n"/>
      <c r="AL196" s="14" t="n"/>
      <c r="AM196" s="14" t="n"/>
      <c r="AN196" s="14" t="n"/>
      <c r="AO196" s="14" t="n"/>
      <c r="AP196" s="14" t="n"/>
      <c r="AQ196" s="14" t="n"/>
      <c r="AR196" s="14" t="n"/>
      <c r="AS196" s="14" t="n"/>
      <c r="AT196" s="14" t="n"/>
      <c r="AU196" s="14" t="n"/>
      <c r="AV196" s="14" t="n"/>
      <c r="AW196" s="14" t="n"/>
      <c r="AX196" s="14" t="n"/>
      <c r="AY196" s="14" t="n"/>
      <c r="AZ196" s="14" t="n"/>
      <c r="BA196" s="14" t="n"/>
      <c r="BB196" s="14" t="n"/>
      <c r="BC196" s="14" t="n"/>
      <c r="BD196" s="14" t="n"/>
      <c r="BE196" s="14" t="n"/>
    </row>
    <row r="197" hidden="1" ht="15.75" customHeight="1" thickTop="1">
      <c r="A197" s="39" t="inlineStr">
        <is>
          <t>RM6-6MCC01</t>
        </is>
      </c>
      <c r="B197" s="29" t="inlineStr">
        <is>
          <t>17E</t>
        </is>
      </c>
      <c r="C197" s="111" t="inlineStr">
        <is>
          <t>RM6-FAN-105.M1</t>
        </is>
      </c>
      <c r="D197" s="28" t="inlineStr">
        <is>
          <t>STEAM COOKER 2 EXHAUST FAN 2</t>
        </is>
      </c>
      <c r="E197" s="112" t="inlineStr">
        <is>
          <t>VFD</t>
        </is>
      </c>
      <c r="F197" s="8" t="n">
        <v>5</v>
      </c>
      <c r="G197" s="8" t="n">
        <v>5</v>
      </c>
      <c r="H197" s="82" t="n"/>
      <c r="I197" s="8" t="n"/>
      <c r="J197" s="80">
        <f>IF(ISNUMBER(MCC_Table[[#This Row],[SIZE]]), MCC_Table[[#This Row],[SIZE]]/12, 0)</f>
        <v/>
      </c>
      <c r="K197" s="82" t="n">
        <v>20</v>
      </c>
      <c r="L197" s="82" t="n">
        <v>125</v>
      </c>
      <c r="M197" s="82" t="n">
        <v>20</v>
      </c>
      <c r="N197" s="82" t="inlineStr">
        <is>
          <t>3/C #12 VFD CABLE</t>
        </is>
      </c>
      <c r="O197" s="77" t="n"/>
      <c r="P197" s="110" t="n"/>
      <c r="Q197" s="79" t="n"/>
      <c r="R197" s="79" t="n"/>
      <c r="S197" s="79" t="n"/>
      <c r="T197" s="79" t="n"/>
      <c r="U197" s="79" t="n"/>
      <c r="V197" s="79" t="n"/>
      <c r="W197" s="79" t="n"/>
      <c r="X197" s="79" t="n"/>
      <c r="Y197" s="79" t="n"/>
      <c r="Z197" s="79" t="n"/>
      <c r="AA197" s="79" t="n"/>
      <c r="AB197" s="225" t="n"/>
      <c r="AC197" s="225" t="n"/>
      <c r="AD197" s="225" t="n"/>
      <c r="AE197" s="29">
        <f>_xlfn.NUMBERVALUE(LEFT(MCC_Table[[#This Row],[BUCKET]],LEN(MCC_Table[[#This Row],[BUCKET]])-1))</f>
        <v/>
      </c>
      <c r="AF197" s="29">
        <f>RIGHT(MCC_Table[[#This Row],[BUCKET]],1)</f>
        <v/>
      </c>
      <c r="AG197" s="29">
        <f>VLOOKUP(MCC_Table[[#This Row],[START UNIT]],UnitMap[],2,FALSE)</f>
        <v/>
      </c>
      <c r="AH197" s="29">
        <f t="array" ref="AH19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97" s="29">
        <f>IF(ISNUMBER(MCC_Table[[#This Row],[SIZE]]), MCC_Table[[#This Row],[SIZE]]/6, 0)</f>
        <v/>
      </c>
      <c r="AJ197" s="29">
        <f>MCC_Table[[#This Row],[START INDEX]]+MCC_Table[[#This Row],[UNITS USED]]-1</f>
        <v/>
      </c>
      <c r="AK197" s="14" t="n"/>
      <c r="AL197" s="14" t="n"/>
      <c r="AM197" s="14" t="n"/>
      <c r="AN197" s="14" t="n"/>
      <c r="AO197" s="14" t="n"/>
      <c r="AP197" s="14" t="n"/>
      <c r="AQ197" s="14" t="n"/>
      <c r="AR197" s="14" t="n"/>
      <c r="AS197" s="14" t="n"/>
      <c r="AT197" s="14" t="n"/>
      <c r="AU197" s="14" t="n"/>
      <c r="AV197" s="14" t="n"/>
      <c r="AW197" s="14" t="n"/>
      <c r="AX197" s="14" t="n"/>
      <c r="AY197" s="14" t="n"/>
      <c r="AZ197" s="14" t="n"/>
      <c r="BA197" s="14" t="n"/>
      <c r="BB197" s="14" t="n"/>
      <c r="BC197" s="14" t="n"/>
      <c r="BD197" s="14" t="n"/>
      <c r="BE197" s="14" t="n"/>
    </row>
    <row r="198" hidden="1" ht="15.75" customHeight="1" thickTop="1">
      <c r="A198" s="39" t="inlineStr">
        <is>
          <t>RM6-6MCC01</t>
        </is>
      </c>
      <c r="B198" s="29" t="inlineStr">
        <is>
          <t>17J</t>
        </is>
      </c>
      <c r="C198" s="111" t="inlineStr">
        <is>
          <t>RM6-FAN-106.M1</t>
        </is>
      </c>
      <c r="D198" s="28" t="inlineStr">
        <is>
          <t>STEAM COOKER 2 EXHAUST FAN 3</t>
        </is>
      </c>
      <c r="E198" s="112" t="inlineStr">
        <is>
          <t>VFD</t>
        </is>
      </c>
      <c r="F198" s="8" t="n">
        <v>5</v>
      </c>
      <c r="G198" s="8" t="n">
        <v>5</v>
      </c>
      <c r="H198" s="82" t="n"/>
      <c r="I198" s="8" t="n"/>
      <c r="J198" s="80">
        <f>IF(ISNUMBER(MCC_Table[[#This Row],[SIZE]]), MCC_Table[[#This Row],[SIZE]]/12, 0)</f>
        <v/>
      </c>
      <c r="K198" s="82" t="n">
        <v>20</v>
      </c>
      <c r="L198" s="82" t="n">
        <v>125</v>
      </c>
      <c r="M198" s="82" t="n">
        <v>20</v>
      </c>
      <c r="N198" s="82" t="inlineStr">
        <is>
          <t>3/C #12 VFD CABLE</t>
        </is>
      </c>
      <c r="O198" s="77" t="n"/>
      <c r="P198" s="110" t="n"/>
      <c r="Q198" s="79" t="n"/>
      <c r="R198" s="79" t="n"/>
      <c r="S198" s="79" t="n"/>
      <c r="T198" s="79" t="n"/>
      <c r="U198" s="79" t="n"/>
      <c r="V198" s="79" t="n"/>
      <c r="W198" s="79" t="n"/>
      <c r="X198" s="79" t="n"/>
      <c r="Y198" s="79" t="n"/>
      <c r="Z198" s="79" t="n"/>
      <c r="AA198" s="79" t="n"/>
      <c r="AB198" s="225" t="n"/>
      <c r="AC198" s="225" t="n"/>
      <c r="AD198" s="225" t="n"/>
      <c r="AE198" s="29">
        <f>_xlfn.NUMBERVALUE(LEFT(MCC_Table[[#This Row],[BUCKET]],LEN(MCC_Table[[#This Row],[BUCKET]])-1))</f>
        <v/>
      </c>
      <c r="AF198" s="29">
        <f>RIGHT(MCC_Table[[#This Row],[BUCKET]],1)</f>
        <v/>
      </c>
      <c r="AG198" s="29">
        <f>VLOOKUP(MCC_Table[[#This Row],[START UNIT]],UnitMap[],2,FALSE)</f>
        <v/>
      </c>
      <c r="AH198" s="29">
        <f t="array" ref="AH19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98" s="29">
        <f>IF(ISNUMBER(MCC_Table[[#This Row],[SIZE]]), MCC_Table[[#This Row],[SIZE]]/6, 0)</f>
        <v/>
      </c>
      <c r="AJ198" s="29">
        <f>MCC_Table[[#This Row],[START INDEX]]+MCC_Table[[#This Row],[UNITS USED]]-1</f>
        <v/>
      </c>
      <c r="AK198" s="14" t="n"/>
      <c r="AL198" s="14" t="n"/>
      <c r="AM198" s="14" t="n"/>
      <c r="AN198" s="14" t="n"/>
      <c r="AO198" s="14" t="n"/>
      <c r="AP198" s="14" t="n"/>
      <c r="AQ198" s="14" t="n"/>
      <c r="AR198" s="14" t="n"/>
      <c r="AS198" s="14" t="n"/>
      <c r="AT198" s="14" t="n"/>
      <c r="AU198" s="14" t="n"/>
      <c r="AV198" s="14" t="n"/>
      <c r="AW198" s="14" t="n"/>
      <c r="AX198" s="14" t="n"/>
      <c r="AY198" s="14" t="n"/>
      <c r="AZ198" s="14" t="n"/>
      <c r="BA198" s="14" t="n"/>
      <c r="BB198" s="14" t="n"/>
      <c r="BC198" s="14" t="n"/>
      <c r="BD198" s="14" t="n"/>
      <c r="BE198" s="14" t="n"/>
    </row>
    <row r="199" hidden="1" ht="15.75" customHeight="1" thickTop="1">
      <c r="A199" s="39" t="inlineStr">
        <is>
          <t>RM6-6MCC01</t>
        </is>
      </c>
      <c r="B199" s="29" t="inlineStr">
        <is>
          <t>18A</t>
        </is>
      </c>
      <c r="C199" s="111" t="inlineStr">
        <is>
          <t>RM6-AGC-104.M3</t>
        </is>
      </c>
      <c r="D199" s="28" t="inlineStr">
        <is>
          <t>DUAL AUGER CART 2 AUGER 2</t>
        </is>
      </c>
      <c r="E199" s="112" t="inlineStr">
        <is>
          <t>VFD</t>
        </is>
      </c>
      <c r="F199" s="8" t="n">
        <v>5</v>
      </c>
      <c r="G199" s="8" t="n">
        <v>5</v>
      </c>
      <c r="H199" s="82" t="n"/>
      <c r="I199" s="8" t="n"/>
      <c r="J199" s="80">
        <f>IF(ISNUMBER(MCC_Table[[#This Row],[SIZE]]), MCC_Table[[#This Row],[SIZE]]/12, 0)</f>
        <v/>
      </c>
      <c r="K199" s="82" t="n">
        <v>20</v>
      </c>
      <c r="L199" s="82" t="n">
        <v>125</v>
      </c>
      <c r="M199" s="82" t="n">
        <v>20</v>
      </c>
      <c r="N199" s="82" t="inlineStr">
        <is>
          <t>3/C #12 VFD CABLE</t>
        </is>
      </c>
      <c r="O199" s="77" t="n"/>
      <c r="P199" s="110" t="n"/>
      <c r="Q199" s="79" t="n"/>
      <c r="R199" s="79" t="n"/>
      <c r="S199" s="79" t="n"/>
      <c r="T199" s="79" t="n"/>
      <c r="U199" s="79" t="n"/>
      <c r="V199" s="79" t="n"/>
      <c r="W199" s="79" t="n"/>
      <c r="X199" s="79" t="n"/>
      <c r="Y199" s="79" t="n"/>
      <c r="Z199" s="79" t="n"/>
      <c r="AA199" s="79" t="n"/>
      <c r="AB199" s="225" t="n"/>
      <c r="AC199" s="225" t="n"/>
      <c r="AD199" s="225" t="n"/>
      <c r="AE199" s="29">
        <f>_xlfn.NUMBERVALUE(LEFT(MCC_Table[[#This Row],[BUCKET]],LEN(MCC_Table[[#This Row],[BUCKET]])-1))</f>
        <v/>
      </c>
      <c r="AF199" s="29">
        <f>RIGHT(MCC_Table[[#This Row],[BUCKET]],1)</f>
        <v/>
      </c>
      <c r="AG199" s="29">
        <f>VLOOKUP(MCC_Table[[#This Row],[START UNIT]],UnitMap[],2,FALSE)</f>
        <v/>
      </c>
      <c r="AH199" s="29">
        <f t="array" ref="AH19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199" s="29">
        <f>IF(ISNUMBER(MCC_Table[[#This Row],[SIZE]]), MCC_Table[[#This Row],[SIZE]]/6, 0)</f>
        <v/>
      </c>
      <c r="AJ199" s="29">
        <f>MCC_Table[[#This Row],[START INDEX]]+MCC_Table[[#This Row],[UNITS USED]]-1</f>
        <v/>
      </c>
      <c r="AK199" s="14" t="n"/>
      <c r="AL199" s="14" t="n"/>
      <c r="AM199" s="14" t="n"/>
      <c r="AN199" s="14" t="n"/>
      <c r="AO199" s="14" t="n"/>
      <c r="AP199" s="14" t="n"/>
      <c r="AQ199" s="14" t="n"/>
      <c r="AR199" s="14" t="n"/>
      <c r="AS199" s="14" t="n"/>
      <c r="AT199" s="14" t="n"/>
      <c r="AU199" s="14" t="n"/>
      <c r="AV199" s="14" t="n"/>
      <c r="AW199" s="14" t="n"/>
      <c r="AX199" s="14" t="n"/>
      <c r="AY199" s="14" t="n"/>
      <c r="AZ199" s="14" t="n"/>
      <c r="BA199" s="14" t="n"/>
      <c r="BB199" s="14" t="n"/>
      <c r="BC199" s="14" t="n"/>
      <c r="BD199" s="14" t="n"/>
      <c r="BE199" s="14" t="n"/>
    </row>
    <row r="200" hidden="1" ht="15.75" customHeight="1" thickTop="1">
      <c r="A200" s="39" t="inlineStr">
        <is>
          <t>RM6-6MCC01</t>
        </is>
      </c>
      <c r="B200" s="29" t="inlineStr">
        <is>
          <t>18E</t>
        </is>
      </c>
      <c r="C200" s="111" t="inlineStr">
        <is>
          <t>RM6-MLT-103.M1</t>
        </is>
      </c>
      <c r="D200" s="28" t="inlineStr">
        <is>
          <t>MIXER GRINDER 1 COLUMN DUMPER</t>
        </is>
      </c>
      <c r="E200" s="112" t="inlineStr">
        <is>
          <t>FVR</t>
        </is>
      </c>
      <c r="F200" s="8" t="n">
        <v>1.5</v>
      </c>
      <c r="G200" s="8" t="n">
        <v>2</v>
      </c>
      <c r="H200" s="82" t="n"/>
      <c r="I200" s="8" t="n">
        <v>1</v>
      </c>
      <c r="J200" s="80">
        <f>IF(ISNUMBER(MCC_Table[[#This Row],[SIZE]]), MCC_Table[[#This Row],[SIZE]]/12, 0)</f>
        <v/>
      </c>
      <c r="K200" s="82" t="n">
        <v>7</v>
      </c>
      <c r="L200" s="82" t="n">
        <v>125</v>
      </c>
      <c r="M200" s="82" t="inlineStr">
        <is>
          <t>N/A</t>
        </is>
      </c>
      <c r="N200" s="82" t="inlineStr">
        <is>
          <t>3/C #12 VFD CABLE</t>
        </is>
      </c>
      <c r="O200" s="77" t="n"/>
      <c r="P200" s="110" t="n"/>
      <c r="Q200" s="79" t="n"/>
      <c r="R200" s="79" t="n"/>
      <c r="S200" s="79" t="n"/>
      <c r="T200" s="79" t="n"/>
      <c r="U200" s="79" t="n"/>
      <c r="V200" s="79" t="n"/>
      <c r="W200" s="79" t="n"/>
      <c r="X200" s="79" t="n"/>
      <c r="Y200" s="79" t="n"/>
      <c r="Z200" s="79" t="n"/>
      <c r="AA200" s="79" t="n"/>
      <c r="AB200" s="225" t="n"/>
      <c r="AC200" s="225" t="n"/>
      <c r="AD200" s="225" t="n"/>
      <c r="AE200" s="29">
        <f>_xlfn.NUMBERVALUE(LEFT(MCC_Table[[#This Row],[BUCKET]],LEN(MCC_Table[[#This Row],[BUCKET]])-1))</f>
        <v/>
      </c>
      <c r="AF200" s="29">
        <f>RIGHT(MCC_Table[[#This Row],[BUCKET]],1)</f>
        <v/>
      </c>
      <c r="AG200" s="29">
        <f>VLOOKUP(MCC_Table[[#This Row],[START UNIT]],UnitMap[],2,FALSE)</f>
        <v/>
      </c>
      <c r="AH200" s="29">
        <f t="array" ref="AH20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00" s="29">
        <f>IF(ISNUMBER(MCC_Table[[#This Row],[SIZE]]), MCC_Table[[#This Row],[SIZE]]/6, 0)</f>
        <v/>
      </c>
      <c r="AJ200" s="29">
        <f>MCC_Table[[#This Row],[START INDEX]]+MCC_Table[[#This Row],[UNITS USED]]-1</f>
        <v/>
      </c>
      <c r="AK200" s="14" t="n"/>
      <c r="AL200" s="14" t="n"/>
      <c r="AM200" s="14" t="n"/>
      <c r="AN200" s="14" t="n"/>
      <c r="AO200" s="14" t="n"/>
      <c r="AP200" s="14" t="n"/>
      <c r="AQ200" s="14" t="n"/>
      <c r="AR200" s="14" t="n"/>
      <c r="AS200" s="14" t="n"/>
      <c r="AT200" s="14" t="n"/>
      <c r="AU200" s="14" t="n"/>
      <c r="AV200" s="14" t="n"/>
      <c r="AW200" s="14" t="n"/>
      <c r="AX200" s="14" t="n"/>
      <c r="AY200" s="14" t="n"/>
      <c r="AZ200" s="14" t="n"/>
      <c r="BA200" s="14" t="n"/>
      <c r="BB200" s="14" t="n"/>
      <c r="BC200" s="14" t="n"/>
      <c r="BD200" s="14" t="n"/>
      <c r="BE200" s="14" t="n"/>
    </row>
    <row r="201" hidden="1" ht="15.75" customHeight="1" thickTop="1">
      <c r="A201" s="39" t="inlineStr">
        <is>
          <t>RM6-6MCC01</t>
        </is>
      </c>
      <c r="B201" s="29" t="inlineStr">
        <is>
          <t>18H</t>
        </is>
      </c>
      <c r="C201" s="111" t="inlineStr">
        <is>
          <t>RM6-AGC-104.M1</t>
        </is>
      </c>
      <c r="D201" s="28" t="inlineStr">
        <is>
          <t>DUAL AUGER CART 2 LEVELING RIBON</t>
        </is>
      </c>
      <c r="E201" s="112" t="inlineStr">
        <is>
          <t>VFD</t>
        </is>
      </c>
      <c r="F201" s="8" t="n">
        <v>7.5</v>
      </c>
      <c r="G201" s="8" t="n">
        <v>10</v>
      </c>
      <c r="H201" s="82" t="n"/>
      <c r="I201" s="8" t="n"/>
      <c r="J201" s="80">
        <f>IF(ISNUMBER(MCC_Table[[#This Row],[SIZE]]), MCC_Table[[#This Row],[SIZE]]/12, 0)</f>
        <v/>
      </c>
      <c r="K201" s="82" t="n">
        <v>30</v>
      </c>
      <c r="L201" s="82" t="n">
        <v>125</v>
      </c>
      <c r="M201" s="82" t="n">
        <v>25</v>
      </c>
      <c r="N201" s="82" t="inlineStr">
        <is>
          <t>3/C #12 VFD CABLE</t>
        </is>
      </c>
      <c r="O201" s="77" t="n"/>
      <c r="P201" s="110" t="n"/>
      <c r="Q201" s="79" t="n"/>
      <c r="R201" s="79" t="n"/>
      <c r="S201" s="79" t="n"/>
      <c r="T201" s="79" t="n"/>
      <c r="U201" s="79" t="n"/>
      <c r="V201" s="79" t="n"/>
      <c r="W201" s="79" t="n"/>
      <c r="X201" s="79" t="n"/>
      <c r="Y201" s="79" t="n"/>
      <c r="Z201" s="79" t="n"/>
      <c r="AA201" s="79" t="n"/>
      <c r="AB201" s="225" t="n"/>
      <c r="AC201" s="225" t="n"/>
      <c r="AD201" s="225" t="n"/>
      <c r="AE201" s="29">
        <f>_xlfn.NUMBERVALUE(LEFT(MCC_Table[[#This Row],[BUCKET]],LEN(MCC_Table[[#This Row],[BUCKET]])-1))</f>
        <v/>
      </c>
      <c r="AF201" s="29">
        <f>RIGHT(MCC_Table[[#This Row],[BUCKET]],1)</f>
        <v/>
      </c>
      <c r="AG201" s="29">
        <f>VLOOKUP(MCC_Table[[#This Row],[START UNIT]],UnitMap[],2,FALSE)</f>
        <v/>
      </c>
      <c r="AH201" s="29">
        <f t="array" ref="AH20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01" s="29">
        <f>IF(ISNUMBER(MCC_Table[[#This Row],[SIZE]]), MCC_Table[[#This Row],[SIZE]]/6, 0)</f>
        <v/>
      </c>
      <c r="AJ201" s="29">
        <f>MCC_Table[[#This Row],[START INDEX]]+MCC_Table[[#This Row],[UNITS USED]]-1</f>
        <v/>
      </c>
      <c r="AK201" s="14" t="n"/>
      <c r="AL201" s="14" t="n"/>
      <c r="AM201" s="14" t="n"/>
      <c r="AN201" s="14" t="n"/>
      <c r="AO201" s="14" t="n"/>
      <c r="AP201" s="14" t="n"/>
      <c r="AQ201" s="14" t="n"/>
      <c r="AR201" s="14" t="n"/>
      <c r="AS201" s="14" t="n"/>
      <c r="AT201" s="14" t="n"/>
      <c r="AU201" s="14" t="n"/>
      <c r="AV201" s="14" t="n"/>
      <c r="AW201" s="14" t="n"/>
      <c r="AX201" s="14" t="n"/>
      <c r="AY201" s="14" t="n"/>
      <c r="AZ201" s="14" t="n"/>
      <c r="BA201" s="14" t="n"/>
      <c r="BB201" s="14" t="n"/>
      <c r="BC201" s="14" t="n"/>
      <c r="BD201" s="14" t="n"/>
      <c r="BE201" s="14" t="n"/>
    </row>
    <row r="202" hidden="1" ht="15.75" customHeight="1" thickTop="1">
      <c r="A202" s="39" t="inlineStr">
        <is>
          <t>RM6-6MCC01</t>
        </is>
      </c>
      <c r="B202" s="29" t="inlineStr">
        <is>
          <t>19A</t>
        </is>
      </c>
      <c r="C202" s="111" t="inlineStr">
        <is>
          <t>SPARE</t>
        </is>
      </c>
      <c r="D202" s="28" t="inlineStr">
        <is>
          <t>VFD - 5HP</t>
        </is>
      </c>
      <c r="E202" s="112" t="inlineStr">
        <is>
          <t>VFD</t>
        </is>
      </c>
      <c r="F202" s="8" t="n"/>
      <c r="G202" s="8" t="n"/>
      <c r="H202" s="82" t="n"/>
      <c r="I202" s="8" t="n"/>
      <c r="J202" s="80">
        <f>IF(ISNUMBER(MCC_Table[[#This Row],[SIZE]]), MCC_Table[[#This Row],[SIZE]]/12, 0)</f>
        <v/>
      </c>
      <c r="K202" s="82" t="n">
        <v>20</v>
      </c>
      <c r="L202" s="82" t="n">
        <v>125</v>
      </c>
      <c r="M202" s="82" t="n">
        <v>20</v>
      </c>
      <c r="N202" s="82" t="inlineStr">
        <is>
          <t>3/C #10 VFD CABLE</t>
        </is>
      </c>
      <c r="O202" s="77" t="n"/>
      <c r="P202" s="110" t="n"/>
      <c r="Q202" s="79" t="n"/>
      <c r="R202" s="79" t="n"/>
      <c r="S202" s="79" t="n"/>
      <c r="T202" s="79" t="n"/>
      <c r="U202" s="79" t="n"/>
      <c r="V202" s="79" t="n"/>
      <c r="W202" s="79" t="n"/>
      <c r="X202" s="79" t="n"/>
      <c r="Y202" s="79" t="n"/>
      <c r="Z202" s="79" t="n"/>
      <c r="AA202" s="79" t="n"/>
      <c r="AB202" s="225" t="n"/>
      <c r="AC202" s="225" t="n"/>
      <c r="AD202" s="225" t="n"/>
      <c r="AE202" s="29">
        <f>_xlfn.NUMBERVALUE(LEFT(MCC_Table[[#This Row],[BUCKET]],LEN(MCC_Table[[#This Row],[BUCKET]])-1))</f>
        <v/>
      </c>
      <c r="AF202" s="29">
        <f>RIGHT(MCC_Table[[#This Row],[BUCKET]],1)</f>
        <v/>
      </c>
      <c r="AG202" s="29">
        <f>VLOOKUP(MCC_Table[[#This Row],[START UNIT]],UnitMap[],2,FALSE)</f>
        <v/>
      </c>
      <c r="AH202" s="29">
        <f t="array" ref="AH20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02" s="29">
        <f>IF(ISNUMBER(MCC_Table[[#This Row],[SIZE]]), MCC_Table[[#This Row],[SIZE]]/6, 0)</f>
        <v/>
      </c>
      <c r="AJ202" s="29">
        <f>MCC_Table[[#This Row],[START INDEX]]+MCC_Table[[#This Row],[UNITS USED]]-1</f>
        <v/>
      </c>
      <c r="AK202" s="14" t="n"/>
      <c r="AL202" s="14" t="n"/>
      <c r="AM202" s="14" t="n"/>
      <c r="AN202" s="14" t="n"/>
      <c r="AO202" s="14" t="n"/>
      <c r="AP202" s="14" t="n"/>
      <c r="AQ202" s="14" t="n"/>
      <c r="AR202" s="14" t="n"/>
      <c r="AS202" s="14" t="n"/>
      <c r="AT202" s="14" t="n"/>
      <c r="AU202" s="14" t="n"/>
      <c r="AV202" s="14" t="n"/>
      <c r="AW202" s="14" t="n"/>
      <c r="AX202" s="14" t="n"/>
      <c r="AY202" s="14" t="n"/>
      <c r="AZ202" s="14" t="n"/>
      <c r="BA202" s="14" t="n"/>
      <c r="BB202" s="14" t="n"/>
      <c r="BC202" s="14" t="n"/>
      <c r="BD202" s="14" t="n"/>
      <c r="BE202" s="14" t="n"/>
    </row>
    <row r="203" hidden="1" ht="15.75" customHeight="1" thickTop="1">
      <c r="A203" s="39" t="inlineStr">
        <is>
          <t>RM6-6MCC01</t>
        </is>
      </c>
      <c r="B203" s="29" t="inlineStr">
        <is>
          <t>19E</t>
        </is>
      </c>
      <c r="C203" s="111" t="inlineStr">
        <is>
          <t>RM6_82</t>
        </is>
      </c>
      <c r="D203" s="28" t="inlineStr">
        <is>
          <t>CIP TANK STARTER</t>
        </is>
      </c>
      <c r="E203" s="112" t="inlineStr">
        <is>
          <t>FVNR</t>
        </is>
      </c>
      <c r="F203" s="8" t="n">
        <v>40</v>
      </c>
      <c r="G203" s="8" t="n">
        <v>40</v>
      </c>
      <c r="H203" s="82" t="n"/>
      <c r="I203" s="8" t="n">
        <v>1</v>
      </c>
      <c r="J203" s="80">
        <f>IF(ISNUMBER(MCC_Table[[#This Row],[SIZE]]), MCC_Table[[#This Row],[SIZE]]/12, 0)</f>
        <v/>
      </c>
      <c r="K203" s="82" t="n">
        <v>70</v>
      </c>
      <c r="L203" s="82" t="n">
        <v>125</v>
      </c>
      <c r="M203" s="82" t="n">
        <v>50</v>
      </c>
      <c r="N203" s="82" t="inlineStr">
        <is>
          <t>3/C #6 W/ GND</t>
        </is>
      </c>
      <c r="O203" s="77" t="n"/>
      <c r="P203" s="110" t="n"/>
      <c r="Q203" s="79" t="n"/>
      <c r="R203" s="79" t="n"/>
      <c r="S203" s="79" t="n"/>
      <c r="T203" s="79" t="n"/>
      <c r="U203" s="79" t="n"/>
      <c r="V203" s="79" t="n"/>
      <c r="W203" s="79" t="n"/>
      <c r="X203" s="79" t="n"/>
      <c r="Y203" s="79" t="n"/>
      <c r="Z203" s="79" t="n"/>
      <c r="AA203" s="79" t="n"/>
      <c r="AB203" s="225" t="n"/>
      <c r="AC203" s="225" t="n"/>
      <c r="AD203" s="225" t="n"/>
      <c r="AE203" s="29">
        <f>_xlfn.NUMBERVALUE(LEFT(MCC_Table[[#This Row],[BUCKET]],LEN(MCC_Table[[#This Row],[BUCKET]])-1))</f>
        <v/>
      </c>
      <c r="AF203" s="29">
        <f>RIGHT(MCC_Table[[#This Row],[BUCKET]],1)</f>
        <v/>
      </c>
      <c r="AG203" s="29">
        <f>VLOOKUP(MCC_Table[[#This Row],[START UNIT]],UnitMap[],2,FALSE)</f>
        <v/>
      </c>
      <c r="AH203" s="29">
        <f t="array" ref="AH20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03" s="29">
        <f>IF(ISNUMBER(MCC_Table[[#This Row],[SIZE]]), MCC_Table[[#This Row],[SIZE]]/6, 0)</f>
        <v/>
      </c>
      <c r="AJ203" s="29">
        <f>MCC_Table[[#This Row],[START INDEX]]+MCC_Table[[#This Row],[UNITS USED]]-1</f>
        <v/>
      </c>
      <c r="AK203" s="14" t="n"/>
      <c r="AL203" s="14" t="n"/>
      <c r="AM203" s="14" t="n"/>
      <c r="AN203" s="14" t="n"/>
      <c r="AO203" s="14" t="n"/>
      <c r="AP203" s="14" t="n"/>
      <c r="AQ203" s="14" t="n"/>
      <c r="AR203" s="14" t="n"/>
      <c r="AS203" s="14" t="n"/>
      <c r="AT203" s="14" t="n"/>
      <c r="AU203" s="14" t="n"/>
      <c r="AV203" s="14" t="n"/>
      <c r="AW203" s="14" t="n"/>
      <c r="AX203" s="14" t="n"/>
      <c r="AY203" s="14" t="n"/>
      <c r="AZ203" s="14" t="n"/>
      <c r="BA203" s="14" t="n"/>
      <c r="BB203" s="14" t="n"/>
      <c r="BC203" s="14" t="n"/>
      <c r="BD203" s="14" t="n"/>
      <c r="BE203" s="14" t="n"/>
    </row>
    <row r="204" hidden="1" ht="15.75" customHeight="1" thickTop="1">
      <c r="A204" s="39" t="inlineStr">
        <is>
          <t>RM6-6MCC01</t>
        </is>
      </c>
      <c r="B204" s="29" t="inlineStr">
        <is>
          <t>19H</t>
        </is>
      </c>
      <c r="C204" s="111" t="inlineStr">
        <is>
          <t>SPACE</t>
        </is>
      </c>
      <c r="D204" s="28" t="inlineStr">
        <is>
          <t>6" SPACE</t>
        </is>
      </c>
      <c r="E204" s="112" t="inlineStr">
        <is>
          <t>SPACE</t>
        </is>
      </c>
      <c r="F204" s="8" t="n"/>
      <c r="G204" s="8" t="n"/>
      <c r="H204" s="82" t="n"/>
      <c r="I204" s="8" t="n"/>
      <c r="J204" s="80">
        <f>IF(ISNUMBER(MCC_Table[[#This Row],[SIZE]]), MCC_Table[[#This Row],[SIZE]]/12, 0)</f>
        <v/>
      </c>
      <c r="K204" s="82" t="n"/>
      <c r="L204" s="82" t="n"/>
      <c r="M204" s="82" t="n"/>
      <c r="N204" s="82" t="n"/>
      <c r="O204" s="77" t="n"/>
      <c r="P204" s="110" t="n"/>
      <c r="Q204" s="79" t="n"/>
      <c r="R204" s="79" t="n"/>
      <c r="S204" s="79" t="n"/>
      <c r="T204" s="79" t="n"/>
      <c r="U204" s="79" t="n"/>
      <c r="V204" s="79" t="n"/>
      <c r="W204" s="79" t="n"/>
      <c r="X204" s="79" t="n"/>
      <c r="Y204" s="79" t="n"/>
      <c r="Z204" s="79" t="n"/>
      <c r="AA204" s="79" t="n"/>
      <c r="AB204" s="225" t="n"/>
      <c r="AC204" s="225" t="n"/>
      <c r="AD204" s="225" t="n"/>
      <c r="AE204" s="29">
        <f>_xlfn.NUMBERVALUE(LEFT(MCC_Table[[#This Row],[BUCKET]],LEN(MCC_Table[[#This Row],[BUCKET]])-1))</f>
        <v/>
      </c>
      <c r="AF204" s="29">
        <f>RIGHT(MCC_Table[[#This Row],[BUCKET]],1)</f>
        <v/>
      </c>
      <c r="AG204" s="29">
        <f>VLOOKUP(MCC_Table[[#This Row],[START UNIT]],UnitMap[],2,FALSE)</f>
        <v/>
      </c>
      <c r="AH204" s="29">
        <f t="array" ref="AH20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04" s="29">
        <f>IF(ISNUMBER(MCC_Table[[#This Row],[SIZE]]), MCC_Table[[#This Row],[SIZE]]/6, 0)</f>
        <v/>
      </c>
      <c r="AJ204" s="29">
        <f>MCC_Table[[#This Row],[START INDEX]]+MCC_Table[[#This Row],[UNITS USED]]-1</f>
        <v/>
      </c>
      <c r="AK204" s="14" t="n"/>
      <c r="AL204" s="14" t="n"/>
      <c r="AM204" s="14" t="n"/>
      <c r="AN204" s="14" t="n"/>
      <c r="AO204" s="14" t="n"/>
      <c r="AP204" s="14" t="n"/>
      <c r="AQ204" s="14" t="n"/>
      <c r="AR204" s="14" t="n"/>
      <c r="AS204" s="14" t="n"/>
      <c r="AT204" s="14" t="n"/>
      <c r="AU204" s="14" t="n"/>
      <c r="AV204" s="14" t="n"/>
      <c r="AW204" s="14" t="n"/>
      <c r="AX204" s="14" t="n"/>
      <c r="AY204" s="14" t="n"/>
      <c r="AZ204" s="14" t="n"/>
      <c r="BA204" s="14" t="n"/>
      <c r="BB204" s="14" t="n"/>
      <c r="BC204" s="14" t="n"/>
      <c r="BD204" s="14" t="n"/>
      <c r="BE204" s="14" t="n"/>
    </row>
    <row r="205" hidden="1" ht="15.75" customHeight="1" thickTop="1">
      <c r="A205" s="39" t="inlineStr">
        <is>
          <t>RM6-6MCC01</t>
        </is>
      </c>
      <c r="B205" s="29" t="inlineStr">
        <is>
          <t>19J</t>
        </is>
      </c>
      <c r="C205" s="111" t="inlineStr">
        <is>
          <t>RM6-SLT-201.M1</t>
        </is>
      </c>
      <c r="D205" s="28" t="inlineStr">
        <is>
          <t>SLITTER</t>
        </is>
      </c>
      <c r="E205" s="112" t="inlineStr">
        <is>
          <t>VFD</t>
        </is>
      </c>
      <c r="F205" s="8" t="n">
        <v>1</v>
      </c>
      <c r="G205" s="8" t="n">
        <v>2</v>
      </c>
      <c r="H205" s="82" t="n"/>
      <c r="I205" s="8" t="n"/>
      <c r="J205" s="80">
        <f>IF(ISNUMBER(MCC_Table[[#This Row],[SIZE]]), MCC_Table[[#This Row],[SIZE]]/12, 0)</f>
        <v/>
      </c>
      <c r="K205" s="82" t="n">
        <v>15</v>
      </c>
      <c r="L205" s="82" t="n">
        <v>125</v>
      </c>
      <c r="M205" s="82" t="n">
        <v>3</v>
      </c>
      <c r="N205" s="82" t="inlineStr">
        <is>
          <t>3/C #12 VFD CABLE</t>
        </is>
      </c>
      <c r="O205" s="77" t="n"/>
      <c r="P205" s="110" t="n"/>
      <c r="Q205" s="79" t="n"/>
      <c r="R205" s="79" t="n"/>
      <c r="S205" s="79" t="n"/>
      <c r="T205" s="79" t="n"/>
      <c r="U205" s="79" t="n"/>
      <c r="V205" s="79" t="n"/>
      <c r="W205" s="79" t="n"/>
      <c r="X205" s="79" t="n"/>
      <c r="Y205" s="79" t="n"/>
      <c r="Z205" s="79" t="n"/>
      <c r="AA205" s="79" t="n"/>
      <c r="AB205" s="225" t="n"/>
      <c r="AC205" s="225" t="n"/>
      <c r="AD205" s="225" t="n"/>
      <c r="AE205" s="29">
        <f>_xlfn.NUMBERVALUE(LEFT(MCC_Table[[#This Row],[BUCKET]],LEN(MCC_Table[[#This Row],[BUCKET]])-1))</f>
        <v/>
      </c>
      <c r="AF205" s="29">
        <f>RIGHT(MCC_Table[[#This Row],[BUCKET]],1)</f>
        <v/>
      </c>
      <c r="AG205" s="29">
        <f>VLOOKUP(MCC_Table[[#This Row],[START UNIT]],UnitMap[],2,FALSE)</f>
        <v/>
      </c>
      <c r="AH205" s="29">
        <f t="array" ref="AH20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05" s="29">
        <f>IF(ISNUMBER(MCC_Table[[#This Row],[SIZE]]), MCC_Table[[#This Row],[SIZE]]/6, 0)</f>
        <v/>
      </c>
      <c r="AJ205" s="29">
        <f>MCC_Table[[#This Row],[START INDEX]]+MCC_Table[[#This Row],[UNITS USED]]-1</f>
        <v/>
      </c>
      <c r="AK205" s="14" t="n"/>
      <c r="AL205" s="14" t="n"/>
      <c r="AM205" s="14" t="n"/>
      <c r="AN205" s="14" t="n"/>
      <c r="AO205" s="14" t="n"/>
      <c r="AP205" s="14" t="n"/>
      <c r="AQ205" s="14" t="n"/>
      <c r="AR205" s="14" t="n"/>
      <c r="AS205" s="14" t="n"/>
      <c r="AT205" s="14" t="n"/>
      <c r="AU205" s="14" t="n"/>
      <c r="AV205" s="14" t="n"/>
      <c r="AW205" s="14" t="n"/>
      <c r="AX205" s="14" t="n"/>
      <c r="AY205" s="14" t="n"/>
      <c r="AZ205" s="14" t="n"/>
      <c r="BA205" s="14" t="n"/>
      <c r="BB205" s="14" t="n"/>
      <c r="BC205" s="14" t="n"/>
      <c r="BD205" s="14" t="n"/>
      <c r="BE205" s="14" t="n"/>
    </row>
    <row r="206" hidden="1" ht="15.75" customHeight="1" thickTop="1">
      <c r="A206" s="39" t="inlineStr">
        <is>
          <t>RM6-6MCC02</t>
        </is>
      </c>
      <c r="B206" s="29" t="inlineStr">
        <is>
          <t>01A</t>
        </is>
      </c>
      <c r="C206" s="99" t="inlineStr">
        <is>
          <t>MAIN</t>
        </is>
      </c>
      <c r="D206" s="100" t="inlineStr">
        <is>
          <t>INCOMING MCB</t>
        </is>
      </c>
      <c r="E206" s="112" t="inlineStr">
        <is>
          <t>MAIN</t>
        </is>
      </c>
      <c r="F206" s="8" t="n"/>
      <c r="G206" s="8" t="n"/>
      <c r="H206" s="82" t="n"/>
      <c r="I206" s="8" t="n"/>
      <c r="J206" s="80">
        <f>IF(ISNUMBER(MCC_Table[[#This Row],[SIZE]]), MCC_Table[[#This Row],[SIZE]]/12, 0)</f>
        <v/>
      </c>
      <c r="K206" s="82" t="n"/>
      <c r="L206" s="82" t="n"/>
      <c r="M206" s="82" t="n"/>
      <c r="N206" s="82" t="n"/>
      <c r="O206" s="77" t="n"/>
      <c r="P206" s="110" t="n"/>
      <c r="Q206" s="79" t="n"/>
      <c r="R206" s="79" t="n"/>
      <c r="S206" s="79" t="n"/>
      <c r="T206" s="79" t="n"/>
      <c r="U206" s="79" t="n"/>
      <c r="V206" s="79" t="n"/>
      <c r="W206" s="79" t="n"/>
      <c r="X206" s="79" t="n"/>
      <c r="Y206" s="79" t="n"/>
      <c r="Z206" s="79" t="n"/>
      <c r="AA206" s="79" t="n"/>
      <c r="AB206" s="225" t="n"/>
      <c r="AC206" s="225" t="n"/>
      <c r="AD206" s="225" t="n"/>
      <c r="AE206" s="29">
        <f>_xlfn.NUMBERVALUE(LEFT(MCC_Table[[#This Row],[BUCKET]],LEN(MCC_Table[[#This Row],[BUCKET]])-1))</f>
        <v/>
      </c>
      <c r="AF206" s="29">
        <f>RIGHT(MCC_Table[[#This Row],[BUCKET]],1)</f>
        <v/>
      </c>
      <c r="AG206" s="29">
        <f>VLOOKUP(MCC_Table[[#This Row],[START UNIT]],UnitMap[],2,FALSE)</f>
        <v/>
      </c>
      <c r="AH206" s="29">
        <f t="array" ref="AH20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06" s="29">
        <f>IF(ISNUMBER(MCC_Table[[#This Row],[SIZE]]), MCC_Table[[#This Row],[SIZE]]/6, 0)</f>
        <v/>
      </c>
      <c r="AJ206" s="29">
        <f>MCC_Table[[#This Row],[START INDEX]]+MCC_Table[[#This Row],[UNITS USED]]-1</f>
        <v/>
      </c>
      <c r="AK206" s="14" t="n"/>
      <c r="AL206" s="14" t="n"/>
      <c r="AM206" s="14" t="n"/>
      <c r="AN206" s="14" t="n"/>
      <c r="AO206" s="14" t="n"/>
      <c r="AP206" s="14" t="n"/>
      <c r="AQ206" s="14" t="n"/>
      <c r="AR206" s="14" t="n"/>
      <c r="AS206" s="14" t="n"/>
      <c r="AT206" s="14" t="n"/>
      <c r="AU206" s="14" t="n"/>
      <c r="AV206" s="14" t="n"/>
      <c r="AW206" s="14" t="n"/>
      <c r="AX206" s="14" t="n"/>
      <c r="AY206" s="14" t="n"/>
      <c r="AZ206" s="14" t="n"/>
      <c r="BA206" s="14" t="n"/>
      <c r="BB206" s="14" t="n"/>
      <c r="BC206" s="14" t="n"/>
      <c r="BD206" s="14" t="n"/>
      <c r="BE206" s="14" t="n"/>
    </row>
    <row r="207" hidden="1" ht="15.75" customHeight="1" thickTop="1">
      <c r="A207" s="39" t="inlineStr">
        <is>
          <t>RM6-6MCC02</t>
        </is>
      </c>
      <c r="B207" s="29" t="inlineStr">
        <is>
          <t>01F</t>
        </is>
      </c>
      <c r="C207" s="99" t="inlineStr">
        <is>
          <t>RM6-MCC2-PM</t>
        </is>
      </c>
      <c r="D207" s="100" t="inlineStr">
        <is>
          <t>POWERMONITOR 5000 W/ ETHERNET</t>
        </is>
      </c>
      <c r="E207" s="99" t="inlineStr">
        <is>
          <t>PM</t>
        </is>
      </c>
      <c r="F207" s="10" t="n"/>
      <c r="G207" s="10" t="n"/>
      <c r="H207" s="81" t="n"/>
      <c r="I207" s="10" t="n"/>
      <c r="J207" s="101">
        <f>IF(ISNUMBER(MCC_Table[[#This Row],[SIZE]]), MCC_Table[[#This Row],[SIZE]]/12, 0)</f>
        <v/>
      </c>
      <c r="K207" s="81" t="inlineStr">
        <is>
          <t>N/A</t>
        </is>
      </c>
      <c r="L207" s="82" t="inlineStr">
        <is>
          <t>N/A</t>
        </is>
      </c>
      <c r="M207" s="81" t="n">
        <v>0.75</v>
      </c>
      <c r="N207" s="82" t="n"/>
      <c r="O207" s="77" t="n"/>
      <c r="P207" s="110" t="n"/>
      <c r="Q207" s="79" t="n"/>
      <c r="R207" s="79" t="n"/>
      <c r="S207" s="79" t="n"/>
      <c r="T207" s="79" t="n"/>
      <c r="U207" s="79" t="n"/>
      <c r="V207" s="79" t="n"/>
      <c r="W207" s="79" t="n"/>
      <c r="X207" s="79" t="n"/>
      <c r="Y207" s="79" t="n"/>
      <c r="Z207" s="79" t="n"/>
      <c r="AA207" s="79" t="n"/>
      <c r="AB207" s="224" t="n"/>
      <c r="AC207" s="224" t="n"/>
      <c r="AD207" s="224" t="n"/>
      <c r="AE207" s="98">
        <f>_xlfn.NUMBERVALUE(LEFT(MCC_Table[[#This Row],[BUCKET]],LEN(MCC_Table[[#This Row],[BUCKET]])-1))</f>
        <v/>
      </c>
      <c r="AF207" s="98">
        <f>RIGHT(MCC_Table[[#This Row],[BUCKET]],1)</f>
        <v/>
      </c>
      <c r="AG207" s="98">
        <f>VLOOKUP(MCC_Table[[#This Row],[START UNIT]],UnitMap[],2,FALSE)</f>
        <v/>
      </c>
      <c r="AH207" s="98">
        <f t="array" ref="AH20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07" s="98">
        <f>IF(ISNUMBER(MCC_Table[[#This Row],[SIZE]]), MCC_Table[[#This Row],[SIZE]]/6, 0)</f>
        <v/>
      </c>
      <c r="AJ207" s="98">
        <f>MCC_Table[[#This Row],[START INDEX]]+MCC_Table[[#This Row],[UNITS USED]]-1</f>
        <v/>
      </c>
      <c r="AK207" s="14" t="n"/>
      <c r="AL207" s="14" t="n"/>
      <c r="AM207" s="14" t="n"/>
      <c r="AN207" s="14" t="n"/>
      <c r="AO207" s="14" t="n"/>
      <c r="AP207" s="14" t="n"/>
      <c r="AQ207" s="14" t="n"/>
      <c r="AR207" s="14" t="n"/>
      <c r="AS207" s="14" t="n"/>
      <c r="AT207" s="14" t="n"/>
      <c r="AU207" s="14" t="n"/>
      <c r="AV207" s="14" t="n"/>
      <c r="AW207" s="14" t="n"/>
      <c r="AX207" s="14" t="n"/>
      <c r="AY207" s="14" t="n"/>
      <c r="AZ207" s="14" t="n"/>
      <c r="BA207" s="14" t="n"/>
      <c r="BB207" s="14" t="n"/>
      <c r="BC207" s="14" t="n"/>
      <c r="BD207" s="14" t="n"/>
      <c r="BE207" s="14" t="n"/>
    </row>
    <row r="208" hidden="1" ht="15.75" customHeight="1" thickTop="1">
      <c r="A208" s="39" t="inlineStr">
        <is>
          <t>RM6-6MCC02</t>
        </is>
      </c>
      <c r="B208" s="29" t="inlineStr">
        <is>
          <t>01J</t>
        </is>
      </c>
      <c r="C208" s="111" t="inlineStr">
        <is>
          <t>SPACE</t>
        </is>
      </c>
      <c r="D208" s="28" t="inlineStr">
        <is>
          <t>6" SPACE</t>
        </is>
      </c>
      <c r="E208" s="112" t="inlineStr">
        <is>
          <t>SPACE</t>
        </is>
      </c>
      <c r="F208" s="8" t="n"/>
      <c r="G208" s="8" t="n"/>
      <c r="H208" s="82" t="n"/>
      <c r="I208" s="8" t="n"/>
      <c r="J208" s="80">
        <f>IF(ISNUMBER(MCC_Table[[#This Row],[SIZE]]), MCC_Table[[#This Row],[SIZE]]/12, 0)</f>
        <v/>
      </c>
      <c r="K208" s="82" t="n"/>
      <c r="L208" s="82" t="n"/>
      <c r="M208" s="82" t="n"/>
      <c r="N208" s="82" t="n"/>
      <c r="O208" s="77" t="n"/>
      <c r="P208" s="110" t="n"/>
      <c r="Q208" s="79" t="n"/>
      <c r="R208" s="79" t="n"/>
      <c r="S208" s="79" t="n"/>
      <c r="T208" s="79" t="n"/>
      <c r="U208" s="79" t="n"/>
      <c r="V208" s="79" t="n"/>
      <c r="W208" s="79" t="n"/>
      <c r="X208" s="79" t="n"/>
      <c r="Y208" s="79" t="n"/>
      <c r="Z208" s="79" t="n"/>
      <c r="AA208" s="79" t="n"/>
      <c r="AB208" s="225" t="n"/>
      <c r="AC208" s="225" t="n"/>
      <c r="AD208" s="225" t="n"/>
      <c r="AE208" s="29">
        <f>_xlfn.NUMBERVALUE(LEFT(MCC_Table[[#This Row],[BUCKET]],LEN(MCC_Table[[#This Row],[BUCKET]])-1))</f>
        <v/>
      </c>
      <c r="AF208" s="29">
        <f>RIGHT(MCC_Table[[#This Row],[BUCKET]],1)</f>
        <v/>
      </c>
      <c r="AG208" s="29">
        <f>VLOOKUP(MCC_Table[[#This Row],[START UNIT]],UnitMap[],2,FALSE)</f>
        <v/>
      </c>
      <c r="AH208" s="29">
        <f t="array" ref="AH20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08" s="29">
        <f>IF(ISNUMBER(MCC_Table[[#This Row],[SIZE]]), MCC_Table[[#This Row],[SIZE]]/6, 0)</f>
        <v/>
      </c>
      <c r="AJ208" s="29">
        <f>MCC_Table[[#This Row],[START INDEX]]+MCC_Table[[#This Row],[UNITS USED]]-1</f>
        <v/>
      </c>
      <c r="AK208" s="14" t="n"/>
      <c r="AL208" s="14" t="n"/>
      <c r="AM208" s="14" t="n"/>
      <c r="AN208" s="14" t="n"/>
      <c r="AO208" s="14" t="n"/>
      <c r="AP208" s="14" t="n"/>
      <c r="AQ208" s="14" t="n"/>
      <c r="AR208" s="14" t="n"/>
      <c r="AS208" s="14" t="n"/>
      <c r="AT208" s="14" t="n"/>
      <c r="AU208" s="14" t="n"/>
      <c r="AV208" s="14" t="n"/>
      <c r="AW208" s="14" t="n"/>
      <c r="AX208" s="14" t="n"/>
      <c r="AY208" s="14" t="n"/>
      <c r="AZ208" s="14" t="n"/>
      <c r="BA208" s="14" t="n"/>
      <c r="BB208" s="14" t="n"/>
      <c r="BC208" s="14" t="n"/>
      <c r="BD208" s="14" t="n"/>
      <c r="BE208" s="14" t="n"/>
    </row>
    <row r="209" hidden="1" ht="15.75" customHeight="1" thickTop="1">
      <c r="A209" s="39" t="inlineStr">
        <is>
          <t>RM6-6MCC02</t>
        </is>
      </c>
      <c r="B209" s="29" t="inlineStr">
        <is>
          <t>01K</t>
        </is>
      </c>
      <c r="C209" s="24" t="inlineStr">
        <is>
          <t>RM6-MCC2-01K.PS1</t>
        </is>
      </c>
      <c r="D209" s="62" t="inlineStr">
        <is>
          <t>ETHERNET SWITCH POWER SUPPLY</t>
        </is>
      </c>
      <c r="E209" s="24" t="inlineStr">
        <is>
          <t>ENET_PS</t>
        </is>
      </c>
      <c r="F209" s="8" t="n"/>
      <c r="G209" s="8" t="n"/>
      <c r="H209" s="82" t="n"/>
      <c r="I209" s="8" t="n"/>
      <c r="J209" s="80">
        <f>IF(ISNUMBER(MCC_Table[[#This Row],[SIZE]]), MCC_Table[[#This Row],[SIZE]]/12, 0)</f>
        <v/>
      </c>
      <c r="K209" s="82" t="n">
        <v>15</v>
      </c>
      <c r="L209" s="82" t="n">
        <v>125</v>
      </c>
      <c r="M209" s="82" t="n"/>
      <c r="N209" s="82" t="n"/>
      <c r="O209" s="77" t="n"/>
      <c r="P209" s="110" t="n"/>
      <c r="Q209" s="79" t="n"/>
      <c r="R209" s="79" t="n"/>
      <c r="S209" s="79" t="n"/>
      <c r="T209" s="79" t="n"/>
      <c r="U209" s="79" t="n"/>
      <c r="V209" s="79" t="n"/>
      <c r="W209" s="79" t="n"/>
      <c r="X209" s="79" t="n"/>
      <c r="Y209" s="79" t="n"/>
      <c r="Z209" s="79" t="n"/>
      <c r="AA209" s="79" t="n"/>
      <c r="AB209" s="225" t="n"/>
      <c r="AC209" s="225" t="n"/>
      <c r="AD209" s="225" t="n"/>
      <c r="AE209" s="29">
        <f>_xlfn.NUMBERVALUE(LEFT(MCC_Table[[#This Row],[BUCKET]],LEN(MCC_Table[[#This Row],[BUCKET]])-1))</f>
        <v/>
      </c>
      <c r="AF209" s="29">
        <f>RIGHT(MCC_Table[[#This Row],[BUCKET]],1)</f>
        <v/>
      </c>
      <c r="AG209" s="29">
        <f>VLOOKUP(MCC_Table[[#This Row],[START UNIT]],UnitMap[],2,FALSE)</f>
        <v/>
      </c>
      <c r="AH209" s="29">
        <f t="array" ref="AH20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09" s="29">
        <f>IF(ISNUMBER(MCC_Table[[#This Row],[SIZE]]), MCC_Table[[#This Row],[SIZE]]/6, 0)</f>
        <v/>
      </c>
      <c r="AJ209" s="29">
        <f>MCC_Table[[#This Row],[START INDEX]]+MCC_Table[[#This Row],[UNITS USED]]-1</f>
        <v/>
      </c>
      <c r="AK209" s="14" t="n"/>
      <c r="AL209" s="14" t="n"/>
      <c r="AM209" s="14" t="n"/>
      <c r="AN209" s="14" t="n"/>
      <c r="AO209" s="14" t="n"/>
      <c r="AP209" s="14" t="n"/>
      <c r="AQ209" s="14" t="n"/>
      <c r="AR209" s="14" t="n"/>
      <c r="AS209" s="14" t="n"/>
      <c r="AT209" s="14" t="n"/>
      <c r="AU209" s="14" t="n"/>
      <c r="AV209" s="14" t="n"/>
      <c r="AW209" s="14" t="n"/>
      <c r="AX209" s="14" t="n"/>
      <c r="AY209" s="14" t="n"/>
      <c r="AZ209" s="14" t="n"/>
      <c r="BA209" s="14" t="n"/>
      <c r="BB209" s="14" t="n"/>
      <c r="BC209" s="14" t="n"/>
      <c r="BD209" s="14" t="n"/>
      <c r="BE209" s="14" t="n"/>
    </row>
    <row r="210" hidden="1" ht="15.75" customHeight="1" thickTop="1">
      <c r="A210" s="39" t="inlineStr">
        <is>
          <t>RM6-6MCC02</t>
        </is>
      </c>
      <c r="B210" s="29" t="inlineStr">
        <is>
          <t>02A</t>
        </is>
      </c>
      <c r="C210" s="24" t="inlineStr">
        <is>
          <t>RM6-MGR-101.M3</t>
        </is>
      </c>
      <c r="D210" s="62" t="inlineStr">
        <is>
          <t>MIXER GRINDER 1 DISCHARGE SCREW</t>
        </is>
      </c>
      <c r="E210" s="24" t="inlineStr">
        <is>
          <t>VFD</t>
        </is>
      </c>
      <c r="F210" s="8" t="n">
        <v>15</v>
      </c>
      <c r="G210" s="8" t="n">
        <v>15</v>
      </c>
      <c r="H210" s="82" t="n"/>
      <c r="I210" s="8" t="n"/>
      <c r="J210" s="80">
        <f>IF(ISNUMBER(MCC_Table[[#This Row],[SIZE]]), MCC_Table[[#This Row],[SIZE]]/12, 0)</f>
        <v/>
      </c>
      <c r="K210" s="82" t="n">
        <v>60</v>
      </c>
      <c r="L210" s="82" t="n">
        <v>125</v>
      </c>
      <c r="M210" s="82" t="n">
        <v>40</v>
      </c>
      <c r="N210" s="82" t="inlineStr">
        <is>
          <t>3/C #10 VFD CABLE</t>
        </is>
      </c>
      <c r="O210" s="77" t="n"/>
      <c r="P210" s="110" t="n"/>
      <c r="Q210" s="79" t="n"/>
      <c r="R210" s="79" t="n"/>
      <c r="S210" s="79" t="n"/>
      <c r="T210" s="79" t="n"/>
      <c r="U210" s="79" t="n"/>
      <c r="V210" s="79" t="n"/>
      <c r="W210" s="79" t="n"/>
      <c r="X210" s="79" t="n"/>
      <c r="Y210" s="79" t="n"/>
      <c r="Z210" s="79" t="n"/>
      <c r="AA210" s="79" t="n"/>
      <c r="AB210" s="225" t="n"/>
      <c r="AC210" s="225" t="n"/>
      <c r="AD210" s="225" t="n"/>
      <c r="AE210" s="29">
        <f>_xlfn.NUMBERVALUE(LEFT(MCC_Table[[#This Row],[BUCKET]],LEN(MCC_Table[[#This Row],[BUCKET]])-1))</f>
        <v/>
      </c>
      <c r="AF210" s="29">
        <f>RIGHT(MCC_Table[[#This Row],[BUCKET]],1)</f>
        <v/>
      </c>
      <c r="AG210" s="29">
        <f>VLOOKUP(MCC_Table[[#This Row],[START UNIT]],UnitMap[],2,FALSE)</f>
        <v/>
      </c>
      <c r="AH210" s="29">
        <f t="array" ref="AH21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10" s="29">
        <f>IF(ISNUMBER(MCC_Table[[#This Row],[SIZE]]), MCC_Table[[#This Row],[SIZE]]/6, 0)</f>
        <v/>
      </c>
      <c r="AJ210" s="29">
        <f>MCC_Table[[#This Row],[START INDEX]]+MCC_Table[[#This Row],[UNITS USED]]-1</f>
        <v/>
      </c>
      <c r="AK210" s="14" t="n"/>
      <c r="AL210" s="14" t="n"/>
      <c r="AM210" s="14" t="n"/>
      <c r="AN210" s="14" t="n"/>
      <c r="AO210" s="14" t="n"/>
      <c r="AP210" s="14" t="n"/>
      <c r="AQ210" s="14" t="n"/>
      <c r="AR210" s="14" t="n"/>
      <c r="AS210" s="14" t="n"/>
      <c r="AT210" s="14" t="n"/>
      <c r="AU210" s="14" t="n"/>
      <c r="AV210" s="14" t="n"/>
      <c r="AW210" s="14" t="n"/>
      <c r="AX210" s="14" t="n"/>
      <c r="AY210" s="14" t="n"/>
      <c r="AZ210" s="14" t="n"/>
      <c r="BA210" s="14" t="n"/>
      <c r="BB210" s="14" t="n"/>
      <c r="BC210" s="14" t="n"/>
      <c r="BD210" s="14" t="n"/>
      <c r="BE210" s="14" t="n"/>
    </row>
    <row r="211" hidden="1" ht="15.75" customHeight="1" thickTop="1">
      <c r="A211" s="39" t="inlineStr">
        <is>
          <t>RM6-6MCC02</t>
        </is>
      </c>
      <c r="B211" s="29" t="inlineStr">
        <is>
          <t>02G</t>
        </is>
      </c>
      <c r="C211" s="111" t="inlineStr">
        <is>
          <t>RM6-SKD-101.M1</t>
        </is>
      </c>
      <c r="D211" s="28" t="inlineStr">
        <is>
          <t>VOTATOR PMP-201 COOKER 1</t>
        </is>
      </c>
      <c r="E211" s="112" t="inlineStr">
        <is>
          <t>VFD</t>
        </is>
      </c>
      <c r="F211" s="8" t="n">
        <v>3</v>
      </c>
      <c r="G211" s="8" t="n">
        <v>5</v>
      </c>
      <c r="H211" s="82" t="n"/>
      <c r="I211" s="8" t="n"/>
      <c r="J211" s="80">
        <f>IF(ISNUMBER(MCC_Table[[#This Row],[SIZE]]), MCC_Table[[#This Row],[SIZE]]/12, 0)</f>
        <v/>
      </c>
      <c r="K211" s="82" t="n">
        <v>15</v>
      </c>
      <c r="L211" s="82" t="n">
        <v>125</v>
      </c>
      <c r="M211" s="82" t="n">
        <v>15</v>
      </c>
      <c r="N211" s="82" t="inlineStr">
        <is>
          <t>3/C #12 VFD CABLE</t>
        </is>
      </c>
      <c r="O211" s="77" t="n"/>
      <c r="P211" s="110" t="n"/>
      <c r="Q211" s="79" t="n"/>
      <c r="R211" s="79" t="n"/>
      <c r="S211" s="79" t="n"/>
      <c r="T211" s="79" t="n"/>
      <c r="U211" s="79" t="n"/>
      <c r="V211" s="79" t="n"/>
      <c r="W211" s="79" t="n"/>
      <c r="X211" s="79" t="n"/>
      <c r="Y211" s="79" t="n"/>
      <c r="Z211" s="79" t="n"/>
      <c r="AA211" s="79" t="n"/>
      <c r="AB211" s="225" t="n"/>
      <c r="AC211" s="225" t="n"/>
      <c r="AD211" s="225" t="n"/>
      <c r="AE211" s="29">
        <f>_xlfn.NUMBERVALUE(LEFT(MCC_Table[[#This Row],[BUCKET]],LEN(MCC_Table[[#This Row],[BUCKET]])-1))</f>
        <v/>
      </c>
      <c r="AF211" s="29">
        <f>RIGHT(MCC_Table[[#This Row],[BUCKET]],1)</f>
        <v/>
      </c>
      <c r="AG211" s="29">
        <f>VLOOKUP(MCC_Table[[#This Row],[START UNIT]],UnitMap[],2,FALSE)</f>
        <v/>
      </c>
      <c r="AH211" s="29">
        <f t="array" ref="AH21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11" s="29">
        <f>IF(ISNUMBER(MCC_Table[[#This Row],[SIZE]]), MCC_Table[[#This Row],[SIZE]]/6, 0)</f>
        <v/>
      </c>
      <c r="AJ211" s="29">
        <f>MCC_Table[[#This Row],[START INDEX]]+MCC_Table[[#This Row],[UNITS USED]]-1</f>
        <v/>
      </c>
      <c r="AK211" s="14" t="n"/>
      <c r="AL211" s="14" t="n"/>
      <c r="AM211" s="14" t="n"/>
      <c r="AN211" s="14" t="n"/>
      <c r="AO211" s="14" t="n"/>
      <c r="AP211" s="14" t="n"/>
      <c r="AQ211" s="14" t="n"/>
      <c r="AR211" s="14" t="n"/>
      <c r="AS211" s="14" t="n"/>
      <c r="AT211" s="14" t="n"/>
      <c r="AU211" s="14" t="n"/>
      <c r="AV211" s="14" t="n"/>
      <c r="AW211" s="14" t="n"/>
      <c r="AX211" s="14" t="n"/>
      <c r="AY211" s="14" t="n"/>
      <c r="AZ211" s="14" t="n"/>
      <c r="BA211" s="14" t="n"/>
      <c r="BB211" s="14" t="n"/>
      <c r="BC211" s="14" t="n"/>
      <c r="BD211" s="14" t="n"/>
      <c r="BE211" s="14" t="n"/>
    </row>
    <row r="212" hidden="1" ht="15.75" customHeight="1" thickTop="1">
      <c r="A212" s="39" t="inlineStr">
        <is>
          <t>RM6-6MCC02</t>
        </is>
      </c>
      <c r="B212" s="29" t="inlineStr">
        <is>
          <t>02L</t>
        </is>
      </c>
      <c r="C212" s="24" t="inlineStr">
        <is>
          <t>RM6-MCC2-02L.SW1</t>
        </is>
      </c>
      <c r="D212" s="62" t="inlineStr">
        <is>
          <t>ETHERNET SWITCH (20-PORT)</t>
        </is>
      </c>
      <c r="E212" s="24" t="inlineStr">
        <is>
          <t>ENET_20</t>
        </is>
      </c>
      <c r="F212" s="8" t="n"/>
      <c r="G212" s="8" t="n"/>
      <c r="H212" s="82" t="n"/>
      <c r="I212" s="8" t="n"/>
      <c r="J212" s="80">
        <f>IF(ISNUMBER(MCC_Table[[#This Row],[SIZE]]), MCC_Table[[#This Row],[SIZE]]/12, 0)</f>
        <v/>
      </c>
      <c r="K212" s="82" t="n"/>
      <c r="L212" s="82" t="n"/>
      <c r="M212" s="82" t="n"/>
      <c r="N212" s="82" t="n"/>
      <c r="O212" s="77" t="n"/>
      <c r="P212" s="110" t="n"/>
      <c r="Q212" s="79" t="n"/>
      <c r="R212" s="79" t="n"/>
      <c r="S212" s="79" t="n"/>
      <c r="T212" s="79" t="n"/>
      <c r="U212" s="79" t="n"/>
      <c r="V212" s="79" t="n"/>
      <c r="W212" s="79" t="n"/>
      <c r="X212" s="79" t="n"/>
      <c r="Y212" s="79" t="n"/>
      <c r="Z212" s="79" t="n"/>
      <c r="AA212" s="79" t="n"/>
      <c r="AB212" s="225" t="n"/>
      <c r="AC212" s="225" t="n"/>
      <c r="AD212" s="225" t="n"/>
      <c r="AE212" s="29">
        <f>_xlfn.NUMBERVALUE(LEFT(MCC_Table[[#This Row],[BUCKET]],LEN(MCC_Table[[#This Row],[BUCKET]])-1))</f>
        <v/>
      </c>
      <c r="AF212" s="29">
        <f>RIGHT(MCC_Table[[#This Row],[BUCKET]],1)</f>
        <v/>
      </c>
      <c r="AG212" s="29">
        <f>VLOOKUP(MCC_Table[[#This Row],[START UNIT]],UnitMap[],2,FALSE)</f>
        <v/>
      </c>
      <c r="AH212" s="29">
        <f t="array" ref="AH21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12" s="29">
        <f>IF(ISNUMBER(MCC_Table[[#This Row],[SIZE]]), MCC_Table[[#This Row],[SIZE]]/6, 0)</f>
        <v/>
      </c>
      <c r="AJ212" s="29">
        <f>MCC_Table[[#This Row],[START INDEX]]+MCC_Table[[#This Row],[UNITS USED]]-1</f>
        <v/>
      </c>
      <c r="AK212" s="14" t="n"/>
      <c r="AL212" s="14" t="n"/>
      <c r="AM212" s="14" t="n"/>
      <c r="AN212" s="14" t="n"/>
      <c r="AO212" s="14" t="n"/>
      <c r="AP212" s="14" t="n"/>
      <c r="AQ212" s="14" t="n"/>
      <c r="AR212" s="14" t="n"/>
      <c r="AS212" s="14" t="n"/>
      <c r="AT212" s="14" t="n"/>
      <c r="AU212" s="14" t="n"/>
      <c r="AV212" s="14" t="n"/>
      <c r="AW212" s="14" t="n"/>
      <c r="AX212" s="14" t="n"/>
      <c r="AY212" s="14" t="n"/>
      <c r="AZ212" s="14" t="n"/>
      <c r="BA212" s="14" t="n"/>
      <c r="BB212" s="14" t="n"/>
      <c r="BC212" s="14" t="n"/>
      <c r="BD212" s="14" t="n"/>
      <c r="BE212" s="14" t="n"/>
    </row>
    <row r="213" hidden="1" ht="15.75" customHeight="1" thickTop="1">
      <c r="A213" s="39" t="inlineStr">
        <is>
          <t>RM6-6MCC02</t>
        </is>
      </c>
      <c r="B213" s="29" t="inlineStr">
        <is>
          <t>03A</t>
        </is>
      </c>
      <c r="C213" s="111" t="inlineStr">
        <is>
          <t>RM6-BIN-101D.M1</t>
        </is>
      </c>
      <c r="D213" s="28" t="inlineStr">
        <is>
          <t>SURGE BIN 4 AGITATOR</t>
        </is>
      </c>
      <c r="E213" s="112" t="inlineStr">
        <is>
          <t>VFD</t>
        </is>
      </c>
      <c r="F213" s="8" t="n">
        <v>15</v>
      </c>
      <c r="G213" s="8" t="n">
        <v>15</v>
      </c>
      <c r="H213" s="82" t="n"/>
      <c r="I213" s="8" t="n"/>
      <c r="J213" s="80">
        <f>IF(ISNUMBER(MCC_Table[[#This Row],[SIZE]]), MCC_Table[[#This Row],[SIZE]]/12, 0)</f>
        <v/>
      </c>
      <c r="K213" s="82" t="n">
        <v>60</v>
      </c>
      <c r="L213" s="82" t="n">
        <v>125</v>
      </c>
      <c r="M213" s="82" t="n">
        <v>40</v>
      </c>
      <c r="N213" s="82" t="inlineStr">
        <is>
          <t>3/C #10 VFD CABLE</t>
        </is>
      </c>
      <c r="O213" s="77" t="n"/>
      <c r="P213" s="110" t="n"/>
      <c r="Q213" s="79" t="n"/>
      <c r="R213" s="79" t="n"/>
      <c r="S213" s="79" t="n"/>
      <c r="T213" s="79" t="n"/>
      <c r="U213" s="79" t="n"/>
      <c r="V213" s="79" t="n"/>
      <c r="W213" s="79" t="n"/>
      <c r="X213" s="79" t="n"/>
      <c r="Y213" s="79" t="n"/>
      <c r="Z213" s="79" t="n"/>
      <c r="AA213" s="79" t="n"/>
      <c r="AB213" s="225" t="n"/>
      <c r="AC213" s="225" t="n"/>
      <c r="AD213" s="225" t="n"/>
      <c r="AE213" s="29">
        <f>_xlfn.NUMBERVALUE(LEFT(MCC_Table[[#This Row],[BUCKET]],LEN(MCC_Table[[#This Row],[BUCKET]])-1))</f>
        <v/>
      </c>
      <c r="AF213" s="29">
        <f>RIGHT(MCC_Table[[#This Row],[BUCKET]],1)</f>
        <v/>
      </c>
      <c r="AG213" s="29">
        <f>VLOOKUP(MCC_Table[[#This Row],[START UNIT]],UnitMap[],2,FALSE)</f>
        <v/>
      </c>
      <c r="AH213" s="29">
        <f t="array" ref="AH21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13" s="29">
        <f>IF(ISNUMBER(MCC_Table[[#This Row],[SIZE]]), MCC_Table[[#This Row],[SIZE]]/6, 0)</f>
        <v/>
      </c>
      <c r="AJ213" s="29">
        <f>MCC_Table[[#This Row],[START INDEX]]+MCC_Table[[#This Row],[UNITS USED]]-1</f>
        <v/>
      </c>
      <c r="AK213" s="14" t="n"/>
      <c r="AL213" s="14" t="n"/>
      <c r="AM213" s="14" t="n"/>
      <c r="AN213" s="14" t="n"/>
      <c r="AO213" s="14" t="n"/>
      <c r="AP213" s="14" t="n"/>
      <c r="AQ213" s="14" t="n"/>
      <c r="AR213" s="14" t="n"/>
      <c r="AS213" s="14" t="n"/>
      <c r="AT213" s="14" t="n"/>
      <c r="AU213" s="14" t="n"/>
      <c r="AV213" s="14" t="n"/>
      <c r="AW213" s="14" t="n"/>
      <c r="AX213" s="14" t="n"/>
      <c r="AY213" s="14" t="n"/>
      <c r="AZ213" s="14" t="n"/>
      <c r="BA213" s="14" t="n"/>
      <c r="BB213" s="14" t="n"/>
      <c r="BC213" s="14" t="n"/>
      <c r="BD213" s="14" t="n"/>
      <c r="BE213" s="14" t="n"/>
    </row>
    <row r="214" hidden="1" ht="15.75" customHeight="1" thickTop="1">
      <c r="A214" s="39" t="inlineStr">
        <is>
          <t>RM6-6MCC02</t>
        </is>
      </c>
      <c r="B214" s="29" t="inlineStr">
        <is>
          <t>03G</t>
        </is>
      </c>
      <c r="C214" s="111" t="inlineStr">
        <is>
          <t>RM6-BIN-101C.M1</t>
        </is>
      </c>
      <c r="D214" s="28" t="inlineStr">
        <is>
          <t>SURGE BIN 3 AGITATOR</t>
        </is>
      </c>
      <c r="E214" s="112" t="inlineStr">
        <is>
          <t>VFD</t>
        </is>
      </c>
      <c r="F214" s="8" t="n">
        <v>15</v>
      </c>
      <c r="G214" s="8" t="n">
        <v>15</v>
      </c>
      <c r="H214" s="82" t="n"/>
      <c r="I214" s="8" t="n"/>
      <c r="J214" s="80">
        <f>IF(ISNUMBER(MCC_Table[[#This Row],[SIZE]]), MCC_Table[[#This Row],[SIZE]]/12, 0)</f>
        <v/>
      </c>
      <c r="K214" s="82" t="n">
        <v>60</v>
      </c>
      <c r="L214" s="82" t="n">
        <v>125</v>
      </c>
      <c r="M214" s="82" t="n">
        <v>40</v>
      </c>
      <c r="N214" s="82" t="inlineStr">
        <is>
          <t>3/C #10 VFD CABLE</t>
        </is>
      </c>
      <c r="O214" s="77" t="n"/>
      <c r="P214" s="110" t="n"/>
      <c r="Q214" s="79" t="n"/>
      <c r="R214" s="79" t="n"/>
      <c r="S214" s="79" t="n"/>
      <c r="T214" s="79" t="n"/>
      <c r="U214" s="79" t="n"/>
      <c r="V214" s="79" t="n"/>
      <c r="W214" s="79" t="n"/>
      <c r="X214" s="79" t="n"/>
      <c r="Y214" s="79" t="n"/>
      <c r="Z214" s="79" t="n"/>
      <c r="AA214" s="79" t="n"/>
      <c r="AB214" s="225" t="n"/>
      <c r="AC214" s="225" t="n"/>
      <c r="AD214" s="225" t="n"/>
      <c r="AE214" s="29">
        <f>_xlfn.NUMBERVALUE(LEFT(MCC_Table[[#This Row],[BUCKET]],LEN(MCC_Table[[#This Row],[BUCKET]])-1))</f>
        <v/>
      </c>
      <c r="AF214" s="29">
        <f>RIGHT(MCC_Table[[#This Row],[BUCKET]],1)</f>
        <v/>
      </c>
      <c r="AG214" s="29">
        <f>VLOOKUP(MCC_Table[[#This Row],[START UNIT]],UnitMap[],2,FALSE)</f>
        <v/>
      </c>
      <c r="AH214" s="29">
        <f t="array" ref="AH21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14" s="29">
        <f>IF(ISNUMBER(MCC_Table[[#This Row],[SIZE]]), MCC_Table[[#This Row],[SIZE]]/6, 0)</f>
        <v/>
      </c>
      <c r="AJ214" s="29">
        <f>MCC_Table[[#This Row],[START INDEX]]+MCC_Table[[#This Row],[UNITS USED]]-1</f>
        <v/>
      </c>
      <c r="AK214" s="14" t="n"/>
      <c r="AL214" s="14" t="n"/>
      <c r="AM214" s="14" t="n"/>
      <c r="AN214" s="14" t="n"/>
      <c r="AO214" s="14" t="n"/>
      <c r="AP214" s="14" t="n"/>
      <c r="AQ214" s="14" t="n"/>
      <c r="AR214" s="14" t="n"/>
      <c r="AS214" s="14" t="n"/>
      <c r="AT214" s="14" t="n"/>
      <c r="AU214" s="14" t="n"/>
      <c r="AV214" s="14" t="n"/>
      <c r="AW214" s="14" t="n"/>
      <c r="AX214" s="14" t="n"/>
      <c r="AY214" s="14" t="n"/>
      <c r="AZ214" s="14" t="n"/>
      <c r="BA214" s="14" t="n"/>
      <c r="BB214" s="14" t="n"/>
      <c r="BC214" s="14" t="n"/>
      <c r="BD214" s="14" t="n"/>
      <c r="BE214" s="14" t="n"/>
    </row>
    <row r="215" hidden="1" ht="15.75" customHeight="1" thickTop="1">
      <c r="A215" s="39" t="inlineStr">
        <is>
          <t>RM6-6MCC02</t>
        </is>
      </c>
      <c r="B215" s="29" t="inlineStr">
        <is>
          <t>04A</t>
        </is>
      </c>
      <c r="C215" s="111" t="inlineStr">
        <is>
          <t>RM6-BIN-101B.M1</t>
        </is>
      </c>
      <c r="D215" s="28" t="inlineStr">
        <is>
          <t>SURGE BIN 2 AGITATOR</t>
        </is>
      </c>
      <c r="E215" s="112" t="inlineStr">
        <is>
          <t>VFD</t>
        </is>
      </c>
      <c r="F215" s="8" t="n">
        <v>15</v>
      </c>
      <c r="G215" s="8" t="n">
        <v>15</v>
      </c>
      <c r="H215" s="82" t="n"/>
      <c r="I215" s="8" t="n"/>
      <c r="J215" s="80">
        <f>IF(ISNUMBER(MCC_Table[[#This Row],[SIZE]]), MCC_Table[[#This Row],[SIZE]]/12, 0)</f>
        <v/>
      </c>
      <c r="K215" s="82" t="n">
        <v>60</v>
      </c>
      <c r="L215" s="82" t="n">
        <v>125</v>
      </c>
      <c r="M215" s="82" t="n">
        <v>40</v>
      </c>
      <c r="N215" s="82" t="inlineStr">
        <is>
          <t>3/C #10 VFD CABLE</t>
        </is>
      </c>
      <c r="O215" s="77" t="n"/>
      <c r="P215" s="110" t="n"/>
      <c r="Q215" s="79" t="n"/>
      <c r="R215" s="79" t="n"/>
      <c r="S215" s="79" t="n"/>
      <c r="T215" s="79" t="n"/>
      <c r="U215" s="79" t="n"/>
      <c r="V215" s="79" t="n"/>
      <c r="W215" s="79" t="n"/>
      <c r="X215" s="79" t="n"/>
      <c r="Y215" s="79" t="n"/>
      <c r="Z215" s="79" t="n"/>
      <c r="AA215" s="79" t="n"/>
      <c r="AB215" s="225" t="n"/>
      <c r="AC215" s="225" t="n"/>
      <c r="AD215" s="225" t="n"/>
      <c r="AE215" s="29">
        <f>_xlfn.NUMBERVALUE(LEFT(MCC_Table[[#This Row],[BUCKET]],LEN(MCC_Table[[#This Row],[BUCKET]])-1))</f>
        <v/>
      </c>
      <c r="AF215" s="29">
        <f>RIGHT(MCC_Table[[#This Row],[BUCKET]],1)</f>
        <v/>
      </c>
      <c r="AG215" s="29">
        <f>VLOOKUP(MCC_Table[[#This Row],[START UNIT]],UnitMap[],2,FALSE)</f>
        <v/>
      </c>
      <c r="AH215" s="29">
        <f t="array" ref="AH21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15" s="29">
        <f>IF(ISNUMBER(MCC_Table[[#This Row],[SIZE]]), MCC_Table[[#This Row],[SIZE]]/6, 0)</f>
        <v/>
      </c>
      <c r="AJ215" s="29">
        <f>MCC_Table[[#This Row],[START INDEX]]+MCC_Table[[#This Row],[UNITS USED]]-1</f>
        <v/>
      </c>
      <c r="AK215" s="14" t="n"/>
      <c r="AL215" s="14" t="n"/>
      <c r="AM215" s="14" t="n"/>
      <c r="AN215" s="14" t="n"/>
      <c r="AO215" s="14" t="n"/>
      <c r="AP215" s="14" t="n"/>
      <c r="AQ215" s="14" t="n"/>
      <c r="AR215" s="14" t="n"/>
      <c r="AS215" s="14" t="n"/>
      <c r="AT215" s="14" t="n"/>
      <c r="AU215" s="14" t="n"/>
      <c r="AV215" s="14" t="n"/>
      <c r="AW215" s="14" t="n"/>
      <c r="AX215" s="14" t="n"/>
      <c r="AY215" s="14" t="n"/>
      <c r="AZ215" s="14" t="n"/>
      <c r="BA215" s="14" t="n"/>
      <c r="BB215" s="14" t="n"/>
      <c r="BC215" s="14" t="n"/>
      <c r="BD215" s="14" t="n"/>
      <c r="BE215" s="14" t="n"/>
    </row>
    <row r="216" hidden="1" ht="15.75" customHeight="1" thickTop="1">
      <c r="A216" s="39" t="inlineStr">
        <is>
          <t>RM6-6MCC02</t>
        </is>
      </c>
      <c r="B216" s="29" t="inlineStr">
        <is>
          <t>04G</t>
        </is>
      </c>
      <c r="C216" s="111" t="inlineStr">
        <is>
          <t>RM6-BIN-101A.M1</t>
        </is>
      </c>
      <c r="D216" s="28" t="inlineStr">
        <is>
          <t>SURGE BIN 1 AGITATOR</t>
        </is>
      </c>
      <c r="E216" s="112" t="inlineStr">
        <is>
          <t>VFD</t>
        </is>
      </c>
      <c r="F216" s="8" t="n">
        <v>15</v>
      </c>
      <c r="G216" s="8" t="n">
        <v>15</v>
      </c>
      <c r="H216" s="82" t="n"/>
      <c r="I216" s="8" t="n"/>
      <c r="J216" s="80">
        <f>IF(ISNUMBER(MCC_Table[[#This Row],[SIZE]]), MCC_Table[[#This Row],[SIZE]]/12, 0)</f>
        <v/>
      </c>
      <c r="K216" s="82" t="n">
        <v>60</v>
      </c>
      <c r="L216" s="82" t="n">
        <v>125</v>
      </c>
      <c r="M216" s="82" t="n">
        <v>40</v>
      </c>
      <c r="N216" s="82" t="inlineStr">
        <is>
          <t>3/C #10 VFD CABLE</t>
        </is>
      </c>
      <c r="O216" s="77" t="n"/>
      <c r="P216" s="110" t="n"/>
      <c r="Q216" s="79" t="n"/>
      <c r="R216" s="79" t="n"/>
      <c r="S216" s="79" t="n"/>
      <c r="T216" s="79" t="n"/>
      <c r="U216" s="79" t="n"/>
      <c r="V216" s="79" t="n"/>
      <c r="W216" s="79" t="n"/>
      <c r="X216" s="79" t="n"/>
      <c r="Y216" s="79" t="n"/>
      <c r="Z216" s="79" t="n"/>
      <c r="AA216" s="79" t="n"/>
      <c r="AB216" s="225" t="n"/>
      <c r="AC216" s="225" t="n"/>
      <c r="AD216" s="225" t="n"/>
      <c r="AE216" s="29">
        <f>_xlfn.NUMBERVALUE(LEFT(MCC_Table[[#This Row],[BUCKET]],LEN(MCC_Table[[#This Row],[BUCKET]])-1))</f>
        <v/>
      </c>
      <c r="AF216" s="29">
        <f>RIGHT(MCC_Table[[#This Row],[BUCKET]],1)</f>
        <v/>
      </c>
      <c r="AG216" s="29">
        <f>VLOOKUP(MCC_Table[[#This Row],[START UNIT]],UnitMap[],2,FALSE)</f>
        <v/>
      </c>
      <c r="AH216" s="29">
        <f t="array" ref="AH21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16" s="29">
        <f>IF(ISNUMBER(MCC_Table[[#This Row],[SIZE]]), MCC_Table[[#This Row],[SIZE]]/6, 0)</f>
        <v/>
      </c>
      <c r="AJ216" s="29">
        <f>MCC_Table[[#This Row],[START INDEX]]+MCC_Table[[#This Row],[UNITS USED]]-1</f>
        <v/>
      </c>
      <c r="AK216" s="14" t="n"/>
      <c r="AL216" s="14" t="n"/>
      <c r="AM216" s="14" t="n"/>
      <c r="AN216" s="14" t="n"/>
      <c r="AO216" s="14" t="n"/>
      <c r="AP216" s="14" t="n"/>
      <c r="AQ216" s="14" t="n"/>
      <c r="AR216" s="14" t="n"/>
      <c r="AS216" s="14" t="n"/>
      <c r="AT216" s="14" t="n"/>
      <c r="AU216" s="14" t="n"/>
      <c r="AV216" s="14" t="n"/>
      <c r="AW216" s="14" t="n"/>
      <c r="AX216" s="14" t="n"/>
      <c r="AY216" s="14" t="n"/>
      <c r="AZ216" s="14" t="n"/>
      <c r="BA216" s="14" t="n"/>
      <c r="BB216" s="14" t="n"/>
      <c r="BC216" s="14" t="n"/>
      <c r="BD216" s="14" t="n"/>
      <c r="BE216" s="14" t="n"/>
    </row>
    <row r="217" hidden="1" ht="15.75" customHeight="1" thickTop="1">
      <c r="A217" s="39" t="inlineStr">
        <is>
          <t>RM6-6MCC02</t>
        </is>
      </c>
      <c r="B217" s="29" t="inlineStr">
        <is>
          <t>05A</t>
        </is>
      </c>
      <c r="C217" s="111" t="inlineStr">
        <is>
          <t>RM6-PMP-103.M1</t>
        </is>
      </c>
      <c r="D217" s="28" t="inlineStr">
        <is>
          <t>DUAL AUGER CART 1 PUMP</t>
        </is>
      </c>
      <c r="E217" s="112" t="inlineStr">
        <is>
          <t>VFD</t>
        </is>
      </c>
      <c r="F217" s="8" t="n">
        <v>20</v>
      </c>
      <c r="G217" s="8" t="n">
        <v>20</v>
      </c>
      <c r="H217" s="82" t="n"/>
      <c r="I217" s="8" t="n"/>
      <c r="J217" s="80">
        <f>IF(ISNUMBER(MCC_Table[[#This Row],[SIZE]]), MCC_Table[[#This Row],[SIZE]]/12, 0)</f>
        <v/>
      </c>
      <c r="K217" s="82" t="n">
        <v>60</v>
      </c>
      <c r="L217" s="82" t="n">
        <v>125</v>
      </c>
      <c r="M217" s="82" t="n">
        <v>50</v>
      </c>
      <c r="N217" s="82" t="inlineStr">
        <is>
          <t>3/C #10 VFD CABLE</t>
        </is>
      </c>
      <c r="O217" s="77" t="n"/>
      <c r="P217" s="110" t="n"/>
      <c r="Q217" s="79" t="n"/>
      <c r="R217" s="79" t="n"/>
      <c r="S217" s="79" t="n"/>
      <c r="T217" s="79" t="n"/>
      <c r="U217" s="79" t="n"/>
      <c r="V217" s="79" t="n"/>
      <c r="W217" s="79" t="n"/>
      <c r="X217" s="79" t="n"/>
      <c r="Y217" s="79" t="n"/>
      <c r="Z217" s="79" t="n"/>
      <c r="AA217" s="79" t="n"/>
      <c r="AB217" s="225" t="n"/>
      <c r="AC217" s="225" t="n"/>
      <c r="AD217" s="225" t="n"/>
      <c r="AE217" s="29">
        <f>_xlfn.NUMBERVALUE(LEFT(MCC_Table[[#This Row],[BUCKET]],LEN(MCC_Table[[#This Row],[BUCKET]])-1))</f>
        <v/>
      </c>
      <c r="AF217" s="29">
        <f>RIGHT(MCC_Table[[#This Row],[BUCKET]],1)</f>
        <v/>
      </c>
      <c r="AG217" s="29">
        <f>VLOOKUP(MCC_Table[[#This Row],[START UNIT]],UnitMap[],2,FALSE)</f>
        <v/>
      </c>
      <c r="AH217" s="29">
        <f t="array" ref="AH21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17" s="29">
        <f>IF(ISNUMBER(MCC_Table[[#This Row],[SIZE]]), MCC_Table[[#This Row],[SIZE]]/6, 0)</f>
        <v/>
      </c>
      <c r="AJ217" s="29">
        <f>MCC_Table[[#This Row],[START INDEX]]+MCC_Table[[#This Row],[UNITS USED]]-1</f>
        <v/>
      </c>
      <c r="AK217" s="14" t="n"/>
      <c r="AL217" s="14" t="n"/>
      <c r="AM217" s="14" t="n"/>
      <c r="AN217" s="14" t="n"/>
      <c r="AO217" s="14" t="n"/>
      <c r="AP217" s="14" t="n"/>
      <c r="AQ217" s="14" t="n"/>
      <c r="AR217" s="14" t="n"/>
      <c r="AS217" s="14" t="n"/>
      <c r="AT217" s="14" t="n"/>
      <c r="AU217" s="14" t="n"/>
      <c r="AV217" s="14" t="n"/>
      <c r="AW217" s="14" t="n"/>
      <c r="AX217" s="14" t="n"/>
      <c r="AY217" s="14" t="n"/>
      <c r="AZ217" s="14" t="n"/>
      <c r="BA217" s="14" t="n"/>
      <c r="BB217" s="14" t="n"/>
      <c r="BC217" s="14" t="n"/>
      <c r="BD217" s="14" t="n"/>
      <c r="BE217" s="14" t="n"/>
    </row>
    <row r="218" hidden="1" ht="15.75" customHeight="1" thickTop="1">
      <c r="A218" s="39" t="inlineStr">
        <is>
          <t>RM6-6MCC02</t>
        </is>
      </c>
      <c r="B218" s="29" t="inlineStr">
        <is>
          <t>05G</t>
        </is>
      </c>
      <c r="C218" s="111" t="inlineStr">
        <is>
          <t>RM6-PMP-104.M1</t>
        </is>
      </c>
      <c r="D218" s="28" t="inlineStr">
        <is>
          <t>DUAL AUGER CART 2 PUMP</t>
        </is>
      </c>
      <c r="E218" s="112" t="inlineStr">
        <is>
          <t>VFD</t>
        </is>
      </c>
      <c r="F218" s="8" t="n">
        <v>20</v>
      </c>
      <c r="G218" s="8" t="n">
        <v>20</v>
      </c>
      <c r="H218" s="82" t="n"/>
      <c r="I218" s="8" t="n"/>
      <c r="J218" s="80">
        <f>IF(ISNUMBER(MCC_Table[[#This Row],[SIZE]]), MCC_Table[[#This Row],[SIZE]]/12, 0)</f>
        <v/>
      </c>
      <c r="K218" s="82" t="n">
        <v>60</v>
      </c>
      <c r="L218" s="82" t="n">
        <v>125</v>
      </c>
      <c r="M218" s="82" t="n">
        <v>50</v>
      </c>
      <c r="N218" s="82" t="inlineStr">
        <is>
          <t>3/C #10 VFD CABLE</t>
        </is>
      </c>
      <c r="O218" s="77" t="n"/>
      <c r="P218" s="110" t="n"/>
      <c r="Q218" s="79" t="n"/>
      <c r="R218" s="79" t="n"/>
      <c r="S218" s="79" t="n"/>
      <c r="T218" s="79" t="n"/>
      <c r="U218" s="79" t="n"/>
      <c r="V218" s="79" t="n"/>
      <c r="W218" s="79" t="n"/>
      <c r="X218" s="79" t="n"/>
      <c r="Y218" s="79" t="n"/>
      <c r="Z218" s="79" t="n"/>
      <c r="AA218" s="79" t="n"/>
      <c r="AB218" s="225" t="n"/>
      <c r="AC218" s="225" t="n"/>
      <c r="AD218" s="225" t="n"/>
      <c r="AE218" s="29">
        <f>_xlfn.NUMBERVALUE(LEFT(MCC_Table[[#This Row],[BUCKET]],LEN(MCC_Table[[#This Row],[BUCKET]])-1))</f>
        <v/>
      </c>
      <c r="AF218" s="29">
        <f>RIGHT(MCC_Table[[#This Row],[BUCKET]],1)</f>
        <v/>
      </c>
      <c r="AG218" s="29">
        <f>VLOOKUP(MCC_Table[[#This Row],[START UNIT]],UnitMap[],2,FALSE)</f>
        <v/>
      </c>
      <c r="AH218" s="29">
        <f t="array" ref="AH21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18" s="29">
        <f>IF(ISNUMBER(MCC_Table[[#This Row],[SIZE]]), MCC_Table[[#This Row],[SIZE]]/6, 0)</f>
        <v/>
      </c>
      <c r="AJ218" s="29">
        <f>MCC_Table[[#This Row],[START INDEX]]+MCC_Table[[#This Row],[UNITS USED]]-1</f>
        <v/>
      </c>
      <c r="AK218" s="14" t="n"/>
      <c r="AL218" s="14" t="n"/>
      <c r="AM218" s="14" t="n"/>
      <c r="AN218" s="14" t="n"/>
      <c r="AO218" s="14" t="n"/>
      <c r="AP218" s="14" t="n"/>
      <c r="AQ218" s="14" t="n"/>
      <c r="AR218" s="14" t="n"/>
      <c r="AS218" s="14" t="n"/>
      <c r="AT218" s="14" t="n"/>
      <c r="AU218" s="14" t="n"/>
      <c r="AV218" s="14" t="n"/>
      <c r="AW218" s="14" t="n"/>
      <c r="AX218" s="14" t="n"/>
      <c r="AY218" s="14" t="n"/>
      <c r="AZ218" s="14" t="n"/>
      <c r="BA218" s="14" t="n"/>
      <c r="BB218" s="14" t="n"/>
      <c r="BC218" s="14" t="n"/>
      <c r="BD218" s="14" t="n"/>
      <c r="BE218" s="14" t="n"/>
    </row>
    <row r="219" hidden="1" ht="15.75" customHeight="1" thickTop="1">
      <c r="A219" s="39" t="inlineStr">
        <is>
          <t>RM6-6MCC02</t>
        </is>
      </c>
      <c r="B219" s="29" t="inlineStr">
        <is>
          <t>06A</t>
        </is>
      </c>
      <c r="C219" s="111" t="inlineStr">
        <is>
          <t>RM6-SCR-201.M1</t>
        </is>
      </c>
      <c r="D219" s="28" t="inlineStr">
        <is>
          <t>VIBRATORY SCREENER</t>
        </is>
      </c>
      <c r="E219" s="112" t="inlineStr">
        <is>
          <t>VFD</t>
        </is>
      </c>
      <c r="F219" s="8" t="n">
        <v>2</v>
      </c>
      <c r="G219" s="8" t="n">
        <v>2</v>
      </c>
      <c r="H219" s="82" t="n"/>
      <c r="I219" s="8" t="n"/>
      <c r="J219" s="80">
        <f>IF(ISNUMBER(MCC_Table[[#This Row],[SIZE]]), MCC_Table[[#This Row],[SIZE]]/12, 0)</f>
        <v/>
      </c>
      <c r="K219" s="82" t="n">
        <v>15</v>
      </c>
      <c r="L219" s="82" t="n">
        <v>125</v>
      </c>
      <c r="M219" s="82" t="n">
        <v>10</v>
      </c>
      <c r="N219" s="82" t="inlineStr">
        <is>
          <t>3/C #12 VFD CABLE</t>
        </is>
      </c>
      <c r="O219" s="77" t="n"/>
      <c r="P219" s="110" t="n"/>
      <c r="Q219" s="79" t="n"/>
      <c r="R219" s="79" t="n"/>
      <c r="S219" s="79" t="n"/>
      <c r="T219" s="79" t="n"/>
      <c r="U219" s="79" t="n"/>
      <c r="V219" s="79" t="n"/>
      <c r="W219" s="79" t="n"/>
      <c r="X219" s="79" t="n"/>
      <c r="Y219" s="79" t="n"/>
      <c r="Z219" s="79" t="n"/>
      <c r="AA219" s="79" t="n"/>
      <c r="AB219" s="225" t="n"/>
      <c r="AC219" s="225" t="n"/>
      <c r="AD219" s="225" t="n"/>
      <c r="AE219" s="29">
        <f>_xlfn.NUMBERVALUE(LEFT(MCC_Table[[#This Row],[BUCKET]],LEN(MCC_Table[[#This Row],[BUCKET]])-1))</f>
        <v/>
      </c>
      <c r="AF219" s="29">
        <f>RIGHT(MCC_Table[[#This Row],[BUCKET]],1)</f>
        <v/>
      </c>
      <c r="AG219" s="29">
        <f>VLOOKUP(MCC_Table[[#This Row],[START UNIT]],UnitMap[],2,FALSE)</f>
        <v/>
      </c>
      <c r="AH219" s="29">
        <f t="array" ref="AH21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19" s="29">
        <f>IF(ISNUMBER(MCC_Table[[#This Row],[SIZE]]), MCC_Table[[#This Row],[SIZE]]/6, 0)</f>
        <v/>
      </c>
      <c r="AJ219" s="29">
        <f>MCC_Table[[#This Row],[START INDEX]]+MCC_Table[[#This Row],[UNITS USED]]-1</f>
        <v/>
      </c>
      <c r="AK219" s="14" t="n"/>
      <c r="AL219" s="14" t="n"/>
      <c r="AM219" s="14" t="n"/>
      <c r="AN219" s="14" t="n"/>
      <c r="AO219" s="14" t="n"/>
      <c r="AP219" s="14" t="n"/>
      <c r="AQ219" s="14" t="n"/>
      <c r="AR219" s="14" t="n"/>
      <c r="AS219" s="14" t="n"/>
      <c r="AT219" s="14" t="n"/>
      <c r="AU219" s="14" t="n"/>
      <c r="AV219" s="14" t="n"/>
      <c r="AW219" s="14" t="n"/>
      <c r="AX219" s="14" t="n"/>
      <c r="AY219" s="14" t="n"/>
      <c r="AZ219" s="14" t="n"/>
      <c r="BA219" s="14" t="n"/>
      <c r="BB219" s="14" t="n"/>
      <c r="BC219" s="14" t="n"/>
      <c r="BD219" s="14" t="n"/>
      <c r="BE219" s="14" t="n"/>
    </row>
    <row r="220" hidden="1" ht="30.75" customHeight="1" thickTop="1">
      <c r="A220" s="39" t="inlineStr">
        <is>
          <t>RM6-6MCC02</t>
        </is>
      </c>
      <c r="B220" s="29" t="inlineStr">
        <is>
          <t>06E</t>
        </is>
      </c>
      <c r="C220" s="111" t="inlineStr">
        <is>
          <t>RM6-MGR-101.M1 RM6-MGR-101.M2</t>
        </is>
      </c>
      <c r="D220" s="28" t="inlineStr">
        <is>
          <t>MIXER GRINDER 1</t>
        </is>
      </c>
      <c r="E220" s="112" t="inlineStr">
        <is>
          <t>VFD</t>
        </is>
      </c>
      <c r="F220" s="8" t="n">
        <v>40</v>
      </c>
      <c r="G220" s="8" t="n">
        <v>40</v>
      </c>
      <c r="H220" s="82" t="n"/>
      <c r="I220" s="8" t="n"/>
      <c r="J220" s="80">
        <f>IF(ISNUMBER(MCC_Table[[#This Row],[SIZE]]), MCC_Table[[#This Row],[SIZE]]/12, 0)</f>
        <v/>
      </c>
      <c r="K220" s="82" t="n">
        <v>125</v>
      </c>
      <c r="L220" s="82" t="n">
        <v>125</v>
      </c>
      <c r="M220" s="82" t="n">
        <v>90</v>
      </c>
      <c r="N220" s="82" t="inlineStr">
        <is>
          <t>3/C #4 VFD CABLE</t>
        </is>
      </c>
      <c r="O220" s="77" t="n"/>
      <c r="P220" s="110" t="n"/>
      <c r="Q220" s="79" t="n"/>
      <c r="R220" s="79" t="n"/>
      <c r="S220" s="79" t="n"/>
      <c r="T220" s="79" t="n"/>
      <c r="U220" s="79" t="n"/>
      <c r="V220" s="79" t="n"/>
      <c r="W220" s="79" t="n"/>
      <c r="X220" s="79" t="n"/>
      <c r="Y220" s="79" t="n"/>
      <c r="Z220" s="79" t="n"/>
      <c r="AA220" s="79" t="n"/>
      <c r="AB220" s="225" t="n"/>
      <c r="AC220" s="225" t="n"/>
      <c r="AD220" s="225" t="n"/>
      <c r="AE220" s="29">
        <f>_xlfn.NUMBERVALUE(LEFT(MCC_Table[[#This Row],[BUCKET]],LEN(MCC_Table[[#This Row],[BUCKET]])-1))</f>
        <v/>
      </c>
      <c r="AF220" s="29">
        <f>RIGHT(MCC_Table[[#This Row],[BUCKET]],1)</f>
        <v/>
      </c>
      <c r="AG220" s="29">
        <f>VLOOKUP(MCC_Table[[#This Row],[START UNIT]],UnitMap[],2,FALSE)</f>
        <v/>
      </c>
      <c r="AH220" s="29">
        <f t="array" ref="AH22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20" s="29">
        <f>IF(ISNUMBER(MCC_Table[[#This Row],[SIZE]]), MCC_Table[[#This Row],[SIZE]]/6, 0)</f>
        <v/>
      </c>
      <c r="AJ220" s="29">
        <f>MCC_Table[[#This Row],[START INDEX]]+MCC_Table[[#This Row],[UNITS USED]]-1</f>
        <v/>
      </c>
      <c r="AK220" s="14" t="n"/>
      <c r="AL220" s="14" t="n"/>
      <c r="AM220" s="14" t="n"/>
      <c r="AN220" s="14" t="n"/>
      <c r="AO220" s="14" t="n"/>
      <c r="AP220" s="14" t="n"/>
      <c r="AQ220" s="14" t="n"/>
      <c r="AR220" s="14" t="n"/>
      <c r="AS220" s="14" t="n"/>
      <c r="AT220" s="14" t="n"/>
      <c r="AU220" s="14" t="n"/>
      <c r="AV220" s="14" t="n"/>
      <c r="AW220" s="14" t="n"/>
      <c r="AX220" s="14" t="n"/>
      <c r="AY220" s="14" t="n"/>
      <c r="AZ220" s="14" t="n"/>
      <c r="BA220" s="14" t="n"/>
      <c r="BB220" s="14" t="n"/>
      <c r="BC220" s="14" t="n"/>
      <c r="BD220" s="14" t="n"/>
      <c r="BE220" s="14" t="n"/>
    </row>
    <row r="221" hidden="1" ht="15.75" customHeight="1" thickTop="1">
      <c r="A221" s="39" t="inlineStr">
        <is>
          <t>RM6-6MCC02</t>
        </is>
      </c>
      <c r="B221" s="29" t="inlineStr">
        <is>
          <t>07A</t>
        </is>
      </c>
      <c r="C221" s="111" t="inlineStr">
        <is>
          <t>RM6-CNV-201.M1</t>
        </is>
      </c>
      <c r="D221" s="28" t="inlineStr">
        <is>
          <t>INCLINE CONVEYOR</t>
        </is>
      </c>
      <c r="E221" s="112" t="inlineStr">
        <is>
          <t>VFD</t>
        </is>
      </c>
      <c r="F221" s="8" t="n">
        <v>3</v>
      </c>
      <c r="G221" s="8" t="n">
        <v>5</v>
      </c>
      <c r="H221" s="82" t="n"/>
      <c r="I221" s="8" t="n"/>
      <c r="J221" s="80">
        <f>IF(ISNUMBER(MCC_Table[[#This Row],[SIZE]]), MCC_Table[[#This Row],[SIZE]]/12, 0)</f>
        <v/>
      </c>
      <c r="K221" s="82" t="n">
        <v>15</v>
      </c>
      <c r="L221" s="82" t="n">
        <v>125</v>
      </c>
      <c r="M221" s="82" t="n">
        <v>15</v>
      </c>
      <c r="N221" s="82" t="inlineStr">
        <is>
          <t>3/C #12 VFD CABLE</t>
        </is>
      </c>
      <c r="O221" s="77" t="n"/>
      <c r="P221" s="110" t="n"/>
      <c r="Q221" s="79" t="n"/>
      <c r="R221" s="79" t="n"/>
      <c r="S221" s="79" t="n"/>
      <c r="T221" s="79" t="n"/>
      <c r="U221" s="79" t="n"/>
      <c r="V221" s="79" t="n"/>
      <c r="W221" s="79" t="n"/>
      <c r="X221" s="79" t="n"/>
      <c r="Y221" s="79" t="n"/>
      <c r="Z221" s="79" t="n"/>
      <c r="AA221" s="79" t="n"/>
      <c r="AB221" s="225" t="n"/>
      <c r="AC221" s="225" t="n"/>
      <c r="AD221" s="225" t="n"/>
      <c r="AE221" s="29">
        <f>_xlfn.NUMBERVALUE(LEFT(MCC_Table[[#This Row],[BUCKET]],LEN(MCC_Table[[#This Row],[BUCKET]])-1))</f>
        <v/>
      </c>
      <c r="AF221" s="29">
        <f>RIGHT(MCC_Table[[#This Row],[BUCKET]],1)</f>
        <v/>
      </c>
      <c r="AG221" s="29">
        <f>VLOOKUP(MCC_Table[[#This Row],[START UNIT]],UnitMap[],2,FALSE)</f>
        <v/>
      </c>
      <c r="AH221" s="29">
        <f t="array" ref="AH22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21" s="29">
        <f>IF(ISNUMBER(MCC_Table[[#This Row],[SIZE]]), MCC_Table[[#This Row],[SIZE]]/6, 0)</f>
        <v/>
      </c>
      <c r="AJ221" s="29">
        <f>MCC_Table[[#This Row],[START INDEX]]+MCC_Table[[#This Row],[UNITS USED]]-1</f>
        <v/>
      </c>
      <c r="AK221" s="14" t="n"/>
      <c r="AL221" s="14" t="n"/>
      <c r="AM221" s="14" t="n"/>
      <c r="AN221" s="14" t="n"/>
      <c r="AO221" s="14" t="n"/>
      <c r="AP221" s="14" t="n"/>
      <c r="AQ221" s="14" t="n"/>
      <c r="AR221" s="14" t="n"/>
      <c r="AS221" s="14" t="n"/>
      <c r="AT221" s="14" t="n"/>
      <c r="AU221" s="14" t="n"/>
      <c r="AV221" s="14" t="n"/>
      <c r="AW221" s="14" t="n"/>
      <c r="AX221" s="14" t="n"/>
      <c r="AY221" s="14" t="n"/>
      <c r="AZ221" s="14" t="n"/>
      <c r="BA221" s="14" t="n"/>
      <c r="BB221" s="14" t="n"/>
      <c r="BC221" s="14" t="n"/>
      <c r="BD221" s="14" t="n"/>
      <c r="BE221" s="14" t="n"/>
    </row>
    <row r="222" hidden="1" ht="30.75" customHeight="1" thickTop="1">
      <c r="A222" s="39" t="inlineStr">
        <is>
          <t>RM6-6MCC02</t>
        </is>
      </c>
      <c r="B222" s="29" t="inlineStr">
        <is>
          <t>07E</t>
        </is>
      </c>
      <c r="C222" s="111" t="inlineStr">
        <is>
          <t>RM6-MGR-102.M1 RM6-MGR-102.M2</t>
        </is>
      </c>
      <c r="D222" s="28" t="inlineStr">
        <is>
          <t>MIXER GRINDER 2</t>
        </is>
      </c>
      <c r="E222" s="112" t="inlineStr">
        <is>
          <t>VFD</t>
        </is>
      </c>
      <c r="F222" s="8" t="n">
        <v>40</v>
      </c>
      <c r="G222" s="8" t="n">
        <v>40</v>
      </c>
      <c r="H222" s="82" t="n"/>
      <c r="I222" s="8" t="n"/>
      <c r="J222" s="80">
        <f>IF(ISNUMBER(MCC_Table[[#This Row],[SIZE]]), MCC_Table[[#This Row],[SIZE]]/12, 0)</f>
        <v/>
      </c>
      <c r="K222" s="82" t="n">
        <v>125</v>
      </c>
      <c r="L222" s="82" t="n">
        <v>125</v>
      </c>
      <c r="M222" s="82" t="n">
        <v>90</v>
      </c>
      <c r="N222" s="82" t="inlineStr">
        <is>
          <t>3/C #4 VFD CABLE</t>
        </is>
      </c>
      <c r="O222" s="77" t="n"/>
      <c r="P222" s="110" t="n"/>
      <c r="Q222" s="79" t="n"/>
      <c r="R222" s="79" t="n"/>
      <c r="S222" s="79" t="n"/>
      <c r="T222" s="79" t="n"/>
      <c r="U222" s="79" t="n"/>
      <c r="V222" s="79" t="n"/>
      <c r="W222" s="79" t="n"/>
      <c r="X222" s="79" t="n"/>
      <c r="Y222" s="79" t="n"/>
      <c r="Z222" s="79" t="n"/>
      <c r="AA222" s="79" t="n"/>
      <c r="AB222" s="225" t="n"/>
      <c r="AC222" s="225" t="n"/>
      <c r="AD222" s="225" t="n"/>
      <c r="AE222" s="29">
        <f>_xlfn.NUMBERVALUE(LEFT(MCC_Table[[#This Row],[BUCKET]],LEN(MCC_Table[[#This Row],[BUCKET]])-1))</f>
        <v/>
      </c>
      <c r="AF222" s="29">
        <f>RIGHT(MCC_Table[[#This Row],[BUCKET]],1)</f>
        <v/>
      </c>
      <c r="AG222" s="29">
        <f>VLOOKUP(MCC_Table[[#This Row],[START UNIT]],UnitMap[],2,FALSE)</f>
        <v/>
      </c>
      <c r="AH222" s="29">
        <f t="array" ref="AH22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22" s="29">
        <f>IF(ISNUMBER(MCC_Table[[#This Row],[SIZE]]), MCC_Table[[#This Row],[SIZE]]/6, 0)</f>
        <v/>
      </c>
      <c r="AJ222" s="29">
        <f>MCC_Table[[#This Row],[START INDEX]]+MCC_Table[[#This Row],[UNITS USED]]-1</f>
        <v/>
      </c>
      <c r="AK222" s="14" t="n"/>
      <c r="AL222" s="14" t="n"/>
      <c r="AM222" s="14" t="n"/>
      <c r="AN222" s="14" t="n"/>
      <c r="AO222" s="14" t="n"/>
      <c r="AP222" s="14" t="n"/>
      <c r="AQ222" s="14" t="n"/>
      <c r="AR222" s="14" t="n"/>
      <c r="AS222" s="14" t="n"/>
      <c r="AT222" s="14" t="n"/>
      <c r="AU222" s="14" t="n"/>
      <c r="AV222" s="14" t="n"/>
      <c r="AW222" s="14" t="n"/>
      <c r="AX222" s="14" t="n"/>
      <c r="AY222" s="14" t="n"/>
      <c r="AZ222" s="14" t="n"/>
      <c r="BA222" s="14" t="n"/>
      <c r="BB222" s="14" t="n"/>
      <c r="BC222" s="14" t="n"/>
      <c r="BD222" s="14" t="n"/>
      <c r="BE222" s="14" t="n"/>
    </row>
    <row r="223" hidden="1" ht="15.75" customHeight="1" thickTop="1">
      <c r="A223" s="39" t="inlineStr">
        <is>
          <t>RM6-6MCC02</t>
        </is>
      </c>
      <c r="B223" s="29" t="inlineStr">
        <is>
          <t>08A</t>
        </is>
      </c>
      <c r="C223" s="111" t="inlineStr">
        <is>
          <t>RM6-PMP-101.M1</t>
        </is>
      </c>
      <c r="D223" s="28" t="inlineStr">
        <is>
          <t>AUGER CART 1 PUMP</t>
        </is>
      </c>
      <c r="E223" s="112" t="inlineStr">
        <is>
          <t>VFD</t>
        </is>
      </c>
      <c r="F223" s="8" t="n">
        <v>25</v>
      </c>
      <c r="G223" s="8" t="n">
        <v>25</v>
      </c>
      <c r="H223" s="82" t="n"/>
      <c r="I223" s="8" t="n"/>
      <c r="J223" s="80">
        <f>IF(ISNUMBER(MCC_Table[[#This Row],[SIZE]]), MCC_Table[[#This Row],[SIZE]]/12, 0)</f>
        <v/>
      </c>
      <c r="K223" s="82" t="n">
        <v>60</v>
      </c>
      <c r="L223" s="82" t="n">
        <v>125</v>
      </c>
      <c r="M223" s="82" t="n">
        <v>60</v>
      </c>
      <c r="N223" s="82" t="inlineStr">
        <is>
          <t>3/C #8 VFD CABLE</t>
        </is>
      </c>
      <c r="O223" s="77" t="n"/>
      <c r="P223" s="110" t="n"/>
      <c r="Q223" s="79" t="n"/>
      <c r="R223" s="79" t="n"/>
      <c r="S223" s="79" t="n"/>
      <c r="T223" s="79" t="n"/>
      <c r="U223" s="79" t="n"/>
      <c r="V223" s="79" t="n"/>
      <c r="W223" s="79" t="n"/>
      <c r="X223" s="79" t="n"/>
      <c r="Y223" s="79" t="n"/>
      <c r="Z223" s="79" t="n"/>
      <c r="AA223" s="79" t="n"/>
      <c r="AB223" s="225" t="n"/>
      <c r="AC223" s="225" t="n"/>
      <c r="AD223" s="225" t="n"/>
      <c r="AE223" s="29">
        <f>_xlfn.NUMBERVALUE(LEFT(MCC_Table[[#This Row],[BUCKET]],LEN(MCC_Table[[#This Row],[BUCKET]])-1))</f>
        <v/>
      </c>
      <c r="AF223" s="29">
        <f>RIGHT(MCC_Table[[#This Row],[BUCKET]],1)</f>
        <v/>
      </c>
      <c r="AG223" s="29">
        <f>VLOOKUP(MCC_Table[[#This Row],[START UNIT]],UnitMap[],2,FALSE)</f>
        <v/>
      </c>
      <c r="AH223" s="29">
        <f t="array" ref="AH22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23" s="29">
        <f>IF(ISNUMBER(MCC_Table[[#This Row],[SIZE]]), MCC_Table[[#This Row],[SIZE]]/6, 0)</f>
        <v/>
      </c>
      <c r="AJ223" s="29">
        <f>MCC_Table[[#This Row],[START INDEX]]+MCC_Table[[#This Row],[UNITS USED]]-1</f>
        <v/>
      </c>
      <c r="AK223" s="14" t="n"/>
      <c r="AL223" s="14" t="n"/>
      <c r="AM223" s="14" t="n"/>
      <c r="AN223" s="14" t="n"/>
      <c r="AO223" s="14" t="n"/>
      <c r="AP223" s="14" t="n"/>
      <c r="AQ223" s="14" t="n"/>
      <c r="AR223" s="14" t="n"/>
      <c r="AS223" s="14" t="n"/>
      <c r="AT223" s="14" t="n"/>
      <c r="AU223" s="14" t="n"/>
      <c r="AV223" s="14" t="n"/>
      <c r="AW223" s="14" t="n"/>
      <c r="AX223" s="14" t="n"/>
      <c r="AY223" s="14" t="n"/>
      <c r="AZ223" s="14" t="n"/>
      <c r="BA223" s="14" t="n"/>
      <c r="BB223" s="14" t="n"/>
      <c r="BC223" s="14" t="n"/>
      <c r="BD223" s="14" t="n"/>
      <c r="BE223" s="14" t="n"/>
    </row>
    <row r="224" hidden="1" ht="15.75" customHeight="1" thickTop="1">
      <c r="A224" s="39" t="inlineStr">
        <is>
          <t>RM6-6MCC02</t>
        </is>
      </c>
      <c r="B224" s="29" t="inlineStr">
        <is>
          <t>08H</t>
        </is>
      </c>
      <c r="C224" s="111" t="inlineStr">
        <is>
          <t>RM6-MTL-104.M1</t>
        </is>
      </c>
      <c r="D224" s="28" t="inlineStr">
        <is>
          <t>MIXER GRINDER 2 COLUMN DUMPER</t>
        </is>
      </c>
      <c r="E224" s="112" t="inlineStr">
        <is>
          <t>FVR</t>
        </is>
      </c>
      <c r="F224" s="8" t="n">
        <v>1.5</v>
      </c>
      <c r="G224" s="8" t="n">
        <v>2</v>
      </c>
      <c r="H224" s="82" t="n"/>
      <c r="I224" s="8" t="n">
        <v>1</v>
      </c>
      <c r="J224" s="80">
        <f>IF(ISNUMBER(MCC_Table[[#This Row],[SIZE]]), MCC_Table[[#This Row],[SIZE]]/12, 0)</f>
        <v/>
      </c>
      <c r="K224" s="82" t="n">
        <v>7</v>
      </c>
      <c r="L224" s="82" t="n">
        <v>125</v>
      </c>
      <c r="M224" s="82" t="inlineStr">
        <is>
          <t>N/A</t>
        </is>
      </c>
      <c r="N224" s="82" t="inlineStr">
        <is>
          <t>3/C #12 VFD CABLE</t>
        </is>
      </c>
      <c r="O224" s="77" t="n"/>
      <c r="P224" s="110" t="n"/>
      <c r="Q224" s="79" t="n"/>
      <c r="R224" s="79" t="n"/>
      <c r="S224" s="79" t="n"/>
      <c r="T224" s="79" t="n"/>
      <c r="U224" s="79" t="n"/>
      <c r="V224" s="79" t="n"/>
      <c r="W224" s="79" t="n"/>
      <c r="X224" s="79" t="n"/>
      <c r="Y224" s="79" t="n"/>
      <c r="Z224" s="79" t="n"/>
      <c r="AA224" s="79" t="n"/>
      <c r="AB224" s="225" t="n"/>
      <c r="AC224" s="225" t="n"/>
      <c r="AD224" s="225" t="n"/>
      <c r="AE224" s="29">
        <f>_xlfn.NUMBERVALUE(LEFT(MCC_Table[[#This Row],[BUCKET]],LEN(MCC_Table[[#This Row],[BUCKET]])-1))</f>
        <v/>
      </c>
      <c r="AF224" s="29">
        <f>RIGHT(MCC_Table[[#This Row],[BUCKET]],1)</f>
        <v/>
      </c>
      <c r="AG224" s="29">
        <f>VLOOKUP(MCC_Table[[#This Row],[START UNIT]],UnitMap[],2,FALSE)</f>
        <v/>
      </c>
      <c r="AH224" s="29">
        <f t="array" ref="AH22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24" s="29">
        <f>IF(ISNUMBER(MCC_Table[[#This Row],[SIZE]]), MCC_Table[[#This Row],[SIZE]]/6, 0)</f>
        <v/>
      </c>
      <c r="AJ224" s="29">
        <f>MCC_Table[[#This Row],[START INDEX]]+MCC_Table[[#This Row],[UNITS USED]]-1</f>
        <v/>
      </c>
      <c r="AK224" s="14" t="n"/>
      <c r="AL224" s="14" t="n"/>
      <c r="AM224" s="14" t="n"/>
      <c r="AN224" s="14" t="n"/>
      <c r="AO224" s="14" t="n"/>
      <c r="AP224" s="14" t="n"/>
      <c r="AQ224" s="14" t="n"/>
      <c r="AR224" s="14" t="n"/>
      <c r="AS224" s="14" t="n"/>
      <c r="AT224" s="14" t="n"/>
      <c r="AU224" s="14" t="n"/>
      <c r="AV224" s="14" t="n"/>
      <c r="AW224" s="14" t="n"/>
      <c r="AX224" s="14" t="n"/>
      <c r="AY224" s="14" t="n"/>
      <c r="AZ224" s="14" t="n"/>
      <c r="BA224" s="14" t="n"/>
      <c r="BB224" s="14" t="n"/>
      <c r="BC224" s="14" t="n"/>
      <c r="BD224" s="14" t="n"/>
      <c r="BE224" s="14" t="n"/>
    </row>
    <row r="225" hidden="1" ht="15.75" customHeight="1" thickTop="1">
      <c r="A225" s="39" t="inlineStr">
        <is>
          <t>RM6-6MCC02</t>
        </is>
      </c>
      <c r="B225" s="29" t="inlineStr">
        <is>
          <t>08L</t>
        </is>
      </c>
      <c r="C225" s="24" t="inlineStr">
        <is>
          <t>RM6-MCC2-08L.SW1</t>
        </is>
      </c>
      <c r="D225" s="62" t="inlineStr">
        <is>
          <t>ETHERNET SWITCH (20-PORT)</t>
        </is>
      </c>
      <c r="E225" s="24" t="inlineStr">
        <is>
          <t>ENET_20</t>
        </is>
      </c>
      <c r="F225" s="8" t="n"/>
      <c r="G225" s="8" t="n"/>
      <c r="H225" s="82" t="n"/>
      <c r="I225" s="8" t="n"/>
      <c r="J225" s="80">
        <f>IF(ISNUMBER(MCC_Table[[#This Row],[SIZE]]), MCC_Table[[#This Row],[SIZE]]/12, 0)</f>
        <v/>
      </c>
      <c r="K225" s="82" t="n"/>
      <c r="L225" s="82" t="n"/>
      <c r="M225" s="82" t="n"/>
      <c r="N225" s="82" t="n"/>
      <c r="O225" s="77" t="n"/>
      <c r="P225" s="110" t="n"/>
      <c r="Q225" s="79" t="n"/>
      <c r="R225" s="79" t="n"/>
      <c r="S225" s="79" t="n"/>
      <c r="T225" s="79" t="n"/>
      <c r="U225" s="79" t="n"/>
      <c r="V225" s="79" t="n"/>
      <c r="W225" s="79" t="n"/>
      <c r="X225" s="79" t="n"/>
      <c r="Y225" s="79" t="n"/>
      <c r="Z225" s="79" t="n"/>
      <c r="AA225" s="79" t="n"/>
      <c r="AB225" s="225" t="n"/>
      <c r="AC225" s="225" t="n"/>
      <c r="AD225" s="225" t="n"/>
      <c r="AE225" s="29">
        <f>_xlfn.NUMBERVALUE(LEFT(MCC_Table[[#This Row],[BUCKET]],LEN(MCC_Table[[#This Row],[BUCKET]])-1))</f>
        <v/>
      </c>
      <c r="AF225" s="29">
        <f>RIGHT(MCC_Table[[#This Row],[BUCKET]],1)</f>
        <v/>
      </c>
      <c r="AG225" s="29">
        <f>VLOOKUP(MCC_Table[[#This Row],[START UNIT]],UnitMap[],2,FALSE)</f>
        <v/>
      </c>
      <c r="AH225" s="29">
        <f t="array" ref="AH22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25" s="29">
        <f>IF(ISNUMBER(MCC_Table[[#This Row],[SIZE]]), MCC_Table[[#This Row],[SIZE]]/6, 0)</f>
        <v/>
      </c>
      <c r="AJ225" s="29">
        <f>MCC_Table[[#This Row],[START INDEX]]+MCC_Table[[#This Row],[UNITS USED]]-1</f>
        <v/>
      </c>
      <c r="AK225" s="14" t="n"/>
      <c r="AL225" s="14" t="n"/>
      <c r="AM225" s="14" t="n"/>
      <c r="AN225" s="14" t="n"/>
      <c r="AO225" s="14" t="n"/>
      <c r="AP225" s="14" t="n"/>
      <c r="AQ225" s="14" t="n"/>
      <c r="AR225" s="14" t="n"/>
      <c r="AS225" s="14" t="n"/>
      <c r="AT225" s="14" t="n"/>
      <c r="AU225" s="14" t="n"/>
      <c r="AV225" s="14" t="n"/>
      <c r="AW225" s="14" t="n"/>
      <c r="AX225" s="14" t="n"/>
      <c r="AY225" s="14" t="n"/>
      <c r="AZ225" s="14" t="n"/>
      <c r="BA225" s="14" t="n"/>
      <c r="BB225" s="14" t="n"/>
      <c r="BC225" s="14" t="n"/>
      <c r="BD225" s="14" t="n"/>
      <c r="BE225" s="14" t="n"/>
    </row>
    <row r="226" hidden="1" ht="15.75" customHeight="1" thickTop="1">
      <c r="A226" s="39" t="inlineStr">
        <is>
          <t>RM6-6MCC02</t>
        </is>
      </c>
      <c r="B226" s="29" t="inlineStr">
        <is>
          <t>09A</t>
        </is>
      </c>
      <c r="C226" s="111" t="inlineStr">
        <is>
          <t>SPACE</t>
        </is>
      </c>
      <c r="D226" s="28" t="inlineStr">
        <is>
          <t>12" SPACE</t>
        </is>
      </c>
      <c r="E226" s="112" t="inlineStr">
        <is>
          <t>SPACE</t>
        </is>
      </c>
      <c r="F226" s="8" t="n"/>
      <c r="G226" s="8" t="n"/>
      <c r="H226" s="82" t="n"/>
      <c r="I226" s="8" t="n"/>
      <c r="J226" s="80">
        <f>IF(ISNUMBER(MCC_Table[[#This Row],[SIZE]]), MCC_Table[[#This Row],[SIZE]]/12, 0)</f>
        <v/>
      </c>
      <c r="K226" s="82" t="n"/>
      <c r="L226" s="82" t="n"/>
      <c r="M226" s="82" t="n"/>
      <c r="N226" s="82" t="n"/>
      <c r="O226" s="77" t="n"/>
      <c r="P226" s="110" t="n"/>
      <c r="Q226" s="79" t="n"/>
      <c r="R226" s="79" t="n"/>
      <c r="S226" s="79" t="n"/>
      <c r="T226" s="79" t="n"/>
      <c r="U226" s="79" t="n"/>
      <c r="V226" s="79" t="n"/>
      <c r="W226" s="79" t="n"/>
      <c r="X226" s="79" t="n"/>
      <c r="Y226" s="79" t="n"/>
      <c r="Z226" s="79" t="n"/>
      <c r="AA226" s="79" t="n"/>
      <c r="AB226" s="225" t="n"/>
      <c r="AC226" s="225" t="n"/>
      <c r="AD226" s="225" t="n"/>
      <c r="AE226" s="29">
        <f>_xlfn.NUMBERVALUE(LEFT(MCC_Table[[#This Row],[BUCKET]],LEN(MCC_Table[[#This Row],[BUCKET]])-1))</f>
        <v/>
      </c>
      <c r="AF226" s="29">
        <f>RIGHT(MCC_Table[[#This Row],[BUCKET]],1)</f>
        <v/>
      </c>
      <c r="AG226" s="29">
        <f>VLOOKUP(MCC_Table[[#This Row],[START UNIT]],UnitMap[],2,FALSE)</f>
        <v/>
      </c>
      <c r="AH226" s="29">
        <f t="array" ref="AH22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26" s="29">
        <f>IF(ISNUMBER(MCC_Table[[#This Row],[SIZE]]), MCC_Table[[#This Row],[SIZE]]/6, 0)</f>
        <v/>
      </c>
      <c r="AJ226" s="29">
        <f>MCC_Table[[#This Row],[START INDEX]]+MCC_Table[[#This Row],[UNITS USED]]-1</f>
        <v/>
      </c>
      <c r="AK226" s="14" t="n"/>
      <c r="AL226" s="14" t="n"/>
      <c r="AM226" s="14" t="n"/>
      <c r="AN226" s="14" t="n"/>
      <c r="AO226" s="14" t="n"/>
      <c r="AP226" s="14" t="n"/>
      <c r="AQ226" s="14" t="n"/>
      <c r="AR226" s="14" t="n"/>
      <c r="AS226" s="14" t="n"/>
      <c r="AT226" s="14" t="n"/>
      <c r="AU226" s="14" t="n"/>
      <c r="AV226" s="14" t="n"/>
      <c r="AW226" s="14" t="n"/>
      <c r="AX226" s="14" t="n"/>
      <c r="AY226" s="14" t="n"/>
      <c r="AZ226" s="14" t="n"/>
      <c r="BA226" s="14" t="n"/>
      <c r="BB226" s="14" t="n"/>
      <c r="BC226" s="14" t="n"/>
      <c r="BD226" s="14" t="n"/>
      <c r="BE226" s="14" t="n"/>
    </row>
    <row r="227" hidden="1" ht="15.75" customHeight="1" thickTop="1">
      <c r="A227" s="39" t="inlineStr">
        <is>
          <t>RM6-6MCC02</t>
        </is>
      </c>
      <c r="B227" s="29" t="inlineStr">
        <is>
          <t>09C</t>
        </is>
      </c>
      <c r="C227" s="111" t="inlineStr">
        <is>
          <t>SPACE</t>
        </is>
      </c>
      <c r="D227" s="28" t="inlineStr">
        <is>
          <t>12" SPACE</t>
        </is>
      </c>
      <c r="E227" s="112" t="inlineStr">
        <is>
          <t>SPACE</t>
        </is>
      </c>
      <c r="F227" s="8" t="n"/>
      <c r="G227" s="8" t="n"/>
      <c r="H227" s="82" t="n"/>
      <c r="I227" s="8" t="n"/>
      <c r="J227" s="80">
        <f>IF(ISNUMBER(MCC_Table[[#This Row],[SIZE]]), MCC_Table[[#This Row],[SIZE]]/12, 0)</f>
        <v/>
      </c>
      <c r="K227" s="82" t="n"/>
      <c r="L227" s="82" t="n"/>
      <c r="M227" s="82" t="n"/>
      <c r="N227" s="82" t="n"/>
      <c r="O227" s="77" t="n"/>
      <c r="P227" s="110" t="n"/>
      <c r="Q227" s="79" t="n"/>
      <c r="R227" s="79" t="n"/>
      <c r="S227" s="79" t="n"/>
      <c r="T227" s="79" t="n"/>
      <c r="U227" s="79" t="n"/>
      <c r="V227" s="79" t="n"/>
      <c r="W227" s="79" t="n"/>
      <c r="X227" s="79" t="n"/>
      <c r="Y227" s="79" t="n"/>
      <c r="Z227" s="79" t="n"/>
      <c r="AA227" s="79" t="n"/>
      <c r="AB227" s="225" t="n"/>
      <c r="AC227" s="225" t="n"/>
      <c r="AD227" s="225" t="n"/>
      <c r="AE227" s="29">
        <f>_xlfn.NUMBERVALUE(LEFT(MCC_Table[[#This Row],[BUCKET]],LEN(MCC_Table[[#This Row],[BUCKET]])-1))</f>
        <v/>
      </c>
      <c r="AF227" s="29">
        <f>RIGHT(MCC_Table[[#This Row],[BUCKET]],1)</f>
        <v/>
      </c>
      <c r="AG227" s="29">
        <f>VLOOKUP(MCC_Table[[#This Row],[START UNIT]],UnitMap[],2,FALSE)</f>
        <v/>
      </c>
      <c r="AH227" s="29">
        <f t="array" ref="AH22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27" s="29">
        <f>IF(ISNUMBER(MCC_Table[[#This Row],[SIZE]]), MCC_Table[[#This Row],[SIZE]]/6, 0)</f>
        <v/>
      </c>
      <c r="AJ227" s="29">
        <f>MCC_Table[[#This Row],[START INDEX]]+MCC_Table[[#This Row],[UNITS USED]]-1</f>
        <v/>
      </c>
      <c r="AK227" s="14" t="n"/>
      <c r="AL227" s="14" t="n"/>
      <c r="AM227" s="14" t="n"/>
      <c r="AN227" s="14" t="n"/>
      <c r="AO227" s="14" t="n"/>
      <c r="AP227" s="14" t="n"/>
      <c r="AQ227" s="14" t="n"/>
      <c r="AR227" s="14" t="n"/>
      <c r="AS227" s="14" t="n"/>
      <c r="AT227" s="14" t="n"/>
      <c r="AU227" s="14" t="n"/>
      <c r="AV227" s="14" t="n"/>
      <c r="AW227" s="14" t="n"/>
      <c r="AX227" s="14" t="n"/>
      <c r="AY227" s="14" t="n"/>
      <c r="AZ227" s="14" t="n"/>
      <c r="BA227" s="14" t="n"/>
      <c r="BB227" s="14" t="n"/>
      <c r="BC227" s="14" t="n"/>
      <c r="BD227" s="14" t="n"/>
      <c r="BE227" s="14" t="n"/>
    </row>
    <row r="228" hidden="1" ht="15.75" customHeight="1" thickTop="1">
      <c r="A228" s="39" t="inlineStr">
        <is>
          <t>RM6-6MCC02</t>
        </is>
      </c>
      <c r="B228" s="29" t="inlineStr">
        <is>
          <t>09E</t>
        </is>
      </c>
      <c r="C228" s="111" t="inlineStr">
        <is>
          <t>RM6-MLT-102.M1</t>
        </is>
      </c>
      <c r="D228" s="28" t="inlineStr">
        <is>
          <t>COMBO TOTE DUMPER</t>
        </is>
      </c>
      <c r="E228" s="112" t="inlineStr">
        <is>
          <t>FVNR</t>
        </is>
      </c>
      <c r="F228" s="8" t="n">
        <v>7.5</v>
      </c>
      <c r="G228" s="8" t="n">
        <v>10</v>
      </c>
      <c r="H228" s="82" t="n"/>
      <c r="I228" s="8" t="n">
        <v>1</v>
      </c>
      <c r="J228" s="80">
        <f>IF(ISNUMBER(MCC_Table[[#This Row],[SIZE]]), MCC_Table[[#This Row],[SIZE]]/12, 0)</f>
        <v/>
      </c>
      <c r="K228" s="82" t="n">
        <v>30</v>
      </c>
      <c r="L228" s="82" t="n">
        <v>125</v>
      </c>
      <c r="M228" s="82" t="inlineStr">
        <is>
          <t>N/A</t>
        </is>
      </c>
      <c r="N228" s="82" t="inlineStr">
        <is>
          <t>3/C #12 VFD CABLE</t>
        </is>
      </c>
      <c r="O228" s="77" t="n"/>
      <c r="P228" s="110" t="n"/>
      <c r="Q228" s="79" t="n"/>
      <c r="R228" s="79" t="n"/>
      <c r="S228" s="79" t="n"/>
      <c r="T228" s="79" t="n"/>
      <c r="U228" s="79" t="n"/>
      <c r="V228" s="79" t="n"/>
      <c r="W228" s="79" t="n"/>
      <c r="X228" s="79" t="n"/>
      <c r="Y228" s="79" t="n"/>
      <c r="Z228" s="79" t="n"/>
      <c r="AA228" s="79" t="n"/>
      <c r="AB228" s="225" t="n"/>
      <c r="AC228" s="225" t="n"/>
      <c r="AD228" s="225" t="n"/>
      <c r="AE228" s="29">
        <f>_xlfn.NUMBERVALUE(LEFT(MCC_Table[[#This Row],[BUCKET]],LEN(MCC_Table[[#This Row],[BUCKET]])-1))</f>
        <v/>
      </c>
      <c r="AF228" s="29">
        <f>RIGHT(MCC_Table[[#This Row],[BUCKET]],1)</f>
        <v/>
      </c>
      <c r="AG228" s="29">
        <f>VLOOKUP(MCC_Table[[#This Row],[START UNIT]],UnitMap[],2,FALSE)</f>
        <v/>
      </c>
      <c r="AH228" s="29">
        <f t="array" ref="AH22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28" s="29">
        <f>IF(ISNUMBER(MCC_Table[[#This Row],[SIZE]]), MCC_Table[[#This Row],[SIZE]]/6, 0)</f>
        <v/>
      </c>
      <c r="AJ228" s="29">
        <f>MCC_Table[[#This Row],[START INDEX]]+MCC_Table[[#This Row],[UNITS USED]]-1</f>
        <v/>
      </c>
      <c r="AK228" s="14" t="n"/>
      <c r="AL228" s="14" t="n"/>
      <c r="AM228" s="14" t="n"/>
      <c r="AN228" s="14" t="n"/>
      <c r="AO228" s="14" t="n"/>
      <c r="AP228" s="14" t="n"/>
      <c r="AQ228" s="14" t="n"/>
      <c r="AR228" s="14" t="n"/>
      <c r="AS228" s="14" t="n"/>
      <c r="AT228" s="14" t="n"/>
      <c r="AU228" s="14" t="n"/>
      <c r="AV228" s="14" t="n"/>
      <c r="AW228" s="14" t="n"/>
      <c r="AX228" s="14" t="n"/>
      <c r="AY228" s="14" t="n"/>
      <c r="AZ228" s="14" t="n"/>
      <c r="BA228" s="14" t="n"/>
      <c r="BB228" s="14" t="n"/>
      <c r="BC228" s="14" t="n"/>
      <c r="BD228" s="14" t="n"/>
      <c r="BE228" s="14" t="n"/>
    </row>
    <row r="229" hidden="1" ht="15.75" customHeight="1" thickTop="1">
      <c r="A229" s="39" t="inlineStr">
        <is>
          <t>RM6-6MCC02</t>
        </is>
      </c>
      <c r="B229" s="29" t="inlineStr">
        <is>
          <t>09G</t>
        </is>
      </c>
      <c r="C229" s="111" t="inlineStr">
        <is>
          <t>RM6-MGR-102.M3</t>
        </is>
      </c>
      <c r="D229" s="28" t="inlineStr">
        <is>
          <t>MIXER GRINDER 2 DISCHARGE SCREW</t>
        </is>
      </c>
      <c r="E229" s="112" t="inlineStr">
        <is>
          <t>VFD</t>
        </is>
      </c>
      <c r="F229" s="8" t="n">
        <v>15</v>
      </c>
      <c r="G229" s="8" t="n">
        <v>15</v>
      </c>
      <c r="H229" s="82" t="n"/>
      <c r="I229" s="8" t="n"/>
      <c r="J229" s="80">
        <f>IF(ISNUMBER(MCC_Table[[#This Row],[SIZE]]), MCC_Table[[#This Row],[SIZE]]/12, 0)</f>
        <v/>
      </c>
      <c r="K229" s="82" t="n">
        <v>60</v>
      </c>
      <c r="L229" s="82" t="n">
        <v>125</v>
      </c>
      <c r="M229" s="82" t="n">
        <v>40</v>
      </c>
      <c r="N229" s="82" t="inlineStr">
        <is>
          <t>3/C #10 VFD CABLE</t>
        </is>
      </c>
      <c r="O229" s="77" t="n"/>
      <c r="P229" s="110" t="n"/>
      <c r="Q229" s="79" t="n"/>
      <c r="R229" s="79" t="n"/>
      <c r="S229" s="79" t="n"/>
      <c r="T229" s="79" t="n"/>
      <c r="U229" s="79" t="n"/>
      <c r="V229" s="79" t="n"/>
      <c r="W229" s="79" t="n"/>
      <c r="X229" s="79" t="n"/>
      <c r="Y229" s="79" t="n"/>
      <c r="Z229" s="79" t="n"/>
      <c r="AA229" s="79" t="n"/>
      <c r="AB229" s="225" t="n"/>
      <c r="AC229" s="225" t="n"/>
      <c r="AD229" s="225" t="n"/>
      <c r="AE229" s="29">
        <f>_xlfn.NUMBERVALUE(LEFT(MCC_Table[[#This Row],[BUCKET]],LEN(MCC_Table[[#This Row],[BUCKET]])-1))</f>
        <v/>
      </c>
      <c r="AF229" s="29">
        <f>RIGHT(MCC_Table[[#This Row],[BUCKET]],1)</f>
        <v/>
      </c>
      <c r="AG229" s="29">
        <f>VLOOKUP(MCC_Table[[#This Row],[START UNIT]],UnitMap[],2,FALSE)</f>
        <v/>
      </c>
      <c r="AH229" s="29">
        <f t="array" ref="AH22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29" s="29">
        <f>IF(ISNUMBER(MCC_Table[[#This Row],[SIZE]]), MCC_Table[[#This Row],[SIZE]]/6, 0)</f>
        <v/>
      </c>
      <c r="AJ229" s="29">
        <f>MCC_Table[[#This Row],[START INDEX]]+MCC_Table[[#This Row],[UNITS USED]]-1</f>
        <v/>
      </c>
      <c r="AK229" s="14" t="n"/>
      <c r="AL229" s="14" t="n"/>
      <c r="AM229" s="14" t="n"/>
      <c r="AN229" s="14" t="n"/>
      <c r="AO229" s="14" t="n"/>
      <c r="AP229" s="14" t="n"/>
      <c r="AQ229" s="14" t="n"/>
      <c r="AR229" s="14" t="n"/>
      <c r="AS229" s="14" t="n"/>
      <c r="AT229" s="14" t="n"/>
      <c r="AU229" s="14" t="n"/>
      <c r="AV229" s="14" t="n"/>
      <c r="AW229" s="14" t="n"/>
      <c r="AX229" s="14" t="n"/>
      <c r="AY229" s="14" t="n"/>
      <c r="AZ229" s="14" t="n"/>
      <c r="BA229" s="14" t="n"/>
      <c r="BB229" s="14" t="n"/>
      <c r="BC229" s="14" t="n"/>
      <c r="BD229" s="14" t="n"/>
      <c r="BE229" s="14" t="n"/>
    </row>
    <row r="230" hidden="1" ht="15.75" customHeight="1" thickTop="1">
      <c r="A230" s="39" t="inlineStr">
        <is>
          <t>RM6-6MCC02</t>
        </is>
      </c>
      <c r="B230" s="29" t="inlineStr">
        <is>
          <t>10A</t>
        </is>
      </c>
      <c r="C230" s="111" t="inlineStr">
        <is>
          <t>RM6-GRR-101.M1</t>
        </is>
      </c>
      <c r="D230" s="28" t="inlineStr">
        <is>
          <t>FROZEN BLOCK BREAKER 1</t>
        </is>
      </c>
      <c r="E230" s="112" t="inlineStr">
        <is>
          <t>VFD</t>
        </is>
      </c>
      <c r="F230" s="8" t="n">
        <v>60</v>
      </c>
      <c r="G230" s="8" t="n">
        <v>60</v>
      </c>
      <c r="H230" s="82" t="n"/>
      <c r="I230" s="8" t="n"/>
      <c r="J230" s="80">
        <f>IF(ISNUMBER(MCC_Table[[#This Row],[SIZE]]), MCC_Table[[#This Row],[SIZE]]/12, 0)</f>
        <v/>
      </c>
      <c r="K230" s="82" t="n">
        <v>200</v>
      </c>
      <c r="L230" s="82" t="n">
        <v>250</v>
      </c>
      <c r="M230" s="82" t="n">
        <v>125</v>
      </c>
      <c r="N230" s="82" t="inlineStr">
        <is>
          <t>3/C #2 VFD CABLE</t>
        </is>
      </c>
      <c r="O230" s="77" t="n"/>
      <c r="P230" s="110" t="n"/>
      <c r="Q230" s="79" t="n"/>
      <c r="R230" s="79" t="n"/>
      <c r="S230" s="79" t="n"/>
      <c r="T230" s="79" t="n"/>
      <c r="U230" s="79" t="n"/>
      <c r="V230" s="79" t="n"/>
      <c r="W230" s="79" t="n"/>
      <c r="X230" s="79" t="n"/>
      <c r="Y230" s="79" t="n"/>
      <c r="Z230" s="79" t="n"/>
      <c r="AA230" s="79" t="n"/>
      <c r="AB230" s="225" t="n"/>
      <c r="AC230" s="225" t="n"/>
      <c r="AD230" s="225" t="n"/>
      <c r="AE230" s="29">
        <f>_xlfn.NUMBERVALUE(LEFT(MCC_Table[[#This Row],[BUCKET]],LEN(MCC_Table[[#This Row],[BUCKET]])-1))</f>
        <v/>
      </c>
      <c r="AF230" s="29">
        <f>RIGHT(MCC_Table[[#This Row],[BUCKET]],1)</f>
        <v/>
      </c>
      <c r="AG230" s="29">
        <f>VLOOKUP(MCC_Table[[#This Row],[START UNIT]],UnitMap[],2,FALSE)</f>
        <v/>
      </c>
      <c r="AH230" s="29">
        <f t="array" ref="AH23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30" s="29">
        <f>IF(ISNUMBER(MCC_Table[[#This Row],[SIZE]]), MCC_Table[[#This Row],[SIZE]]/6, 0)</f>
        <v/>
      </c>
      <c r="AJ230" s="29">
        <f>MCC_Table[[#This Row],[START INDEX]]+MCC_Table[[#This Row],[UNITS USED]]-1</f>
        <v/>
      </c>
      <c r="AK230" s="14" t="n"/>
      <c r="AL230" s="14" t="n"/>
      <c r="AM230" s="14" t="n"/>
      <c r="AN230" s="14" t="n"/>
      <c r="AO230" s="14" t="n"/>
      <c r="AP230" s="14" t="n"/>
      <c r="AQ230" s="14" t="n"/>
      <c r="AR230" s="14" t="n"/>
      <c r="AS230" s="14" t="n"/>
      <c r="AT230" s="14" t="n"/>
      <c r="AU230" s="14" t="n"/>
      <c r="AV230" s="14" t="n"/>
      <c r="AW230" s="14" t="n"/>
      <c r="AX230" s="14" t="n"/>
      <c r="AY230" s="14" t="n"/>
      <c r="AZ230" s="14" t="n"/>
      <c r="BA230" s="14" t="n"/>
      <c r="BB230" s="14" t="n"/>
      <c r="BC230" s="14" t="n"/>
      <c r="BD230" s="14" t="n"/>
      <c r="BE230" s="14" t="n"/>
    </row>
    <row r="231" hidden="1" ht="15.75" customHeight="1" thickTop="1">
      <c r="A231" s="39" t="inlineStr">
        <is>
          <t>RM6-6MCC02</t>
        </is>
      </c>
      <c r="B231" s="29" t="inlineStr">
        <is>
          <t>11A</t>
        </is>
      </c>
      <c r="C231" s="111" t="inlineStr">
        <is>
          <t>RM6-GRR-101.M2</t>
        </is>
      </c>
      <c r="D231" s="28" t="inlineStr">
        <is>
          <t>FROZEN BLOCK BREAKER 2</t>
        </is>
      </c>
      <c r="E231" s="112" t="inlineStr">
        <is>
          <t>VFD</t>
        </is>
      </c>
      <c r="F231" s="8" t="n">
        <v>60</v>
      </c>
      <c r="G231" s="8" t="n">
        <v>60</v>
      </c>
      <c r="H231" s="82" t="n"/>
      <c r="I231" s="8" t="n"/>
      <c r="J231" s="80">
        <f>IF(ISNUMBER(MCC_Table[[#This Row],[SIZE]]), MCC_Table[[#This Row],[SIZE]]/12, 0)</f>
        <v/>
      </c>
      <c r="K231" s="82" t="n">
        <v>200</v>
      </c>
      <c r="L231" s="82" t="n">
        <v>250</v>
      </c>
      <c r="M231" s="82" t="n">
        <v>125</v>
      </c>
      <c r="N231" s="82" t="inlineStr">
        <is>
          <t>3/C #2 VFD CABLE</t>
        </is>
      </c>
      <c r="O231" s="77" t="n"/>
      <c r="P231" s="110" t="n"/>
      <c r="Q231" s="79" t="n"/>
      <c r="R231" s="79" t="n"/>
      <c r="S231" s="79" t="n"/>
      <c r="T231" s="79" t="n"/>
      <c r="U231" s="79" t="n"/>
      <c r="V231" s="79" t="n"/>
      <c r="W231" s="79" t="n"/>
      <c r="X231" s="79" t="n"/>
      <c r="Y231" s="79" t="n"/>
      <c r="Z231" s="79" t="n"/>
      <c r="AA231" s="79" t="n"/>
      <c r="AB231" s="225" t="n"/>
      <c r="AC231" s="225" t="n"/>
      <c r="AD231" s="225" t="n"/>
      <c r="AE231" s="29">
        <f>_xlfn.NUMBERVALUE(LEFT(MCC_Table[[#This Row],[BUCKET]],LEN(MCC_Table[[#This Row],[BUCKET]])-1))</f>
        <v/>
      </c>
      <c r="AF231" s="29">
        <f>RIGHT(MCC_Table[[#This Row],[BUCKET]],1)</f>
        <v/>
      </c>
      <c r="AG231" s="29">
        <f>VLOOKUP(MCC_Table[[#This Row],[START UNIT]],UnitMap[],2,FALSE)</f>
        <v/>
      </c>
      <c r="AH231" s="29">
        <f t="array" ref="AH23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31" s="29">
        <f>IF(ISNUMBER(MCC_Table[[#This Row],[SIZE]]), MCC_Table[[#This Row],[SIZE]]/6, 0)</f>
        <v/>
      </c>
      <c r="AJ231" s="29">
        <f>MCC_Table[[#This Row],[START INDEX]]+MCC_Table[[#This Row],[UNITS USED]]-1</f>
        <v/>
      </c>
      <c r="AK231" s="14" t="n"/>
      <c r="AL231" s="14" t="n"/>
      <c r="AM231" s="14" t="n"/>
      <c r="AN231" s="14" t="n"/>
      <c r="AO231" s="14" t="n"/>
      <c r="AP231" s="14" t="n"/>
      <c r="AQ231" s="14" t="n"/>
      <c r="AR231" s="14" t="n"/>
      <c r="AS231" s="14" t="n"/>
      <c r="AT231" s="14" t="n"/>
      <c r="AU231" s="14" t="n"/>
      <c r="AV231" s="14" t="n"/>
      <c r="AW231" s="14" t="n"/>
      <c r="AX231" s="14" t="n"/>
      <c r="AY231" s="14" t="n"/>
      <c r="AZ231" s="14" t="n"/>
      <c r="BA231" s="14" t="n"/>
      <c r="BB231" s="14" t="n"/>
      <c r="BC231" s="14" t="n"/>
      <c r="BD231" s="14" t="n"/>
      <c r="BE231" s="14" t="n"/>
    </row>
    <row r="232" hidden="1" ht="15.75" customHeight="1" thickTop="1">
      <c r="A232" s="39" t="inlineStr">
        <is>
          <t>RM6-6MCC02</t>
        </is>
      </c>
      <c r="B232" s="29" t="inlineStr">
        <is>
          <t>12A</t>
        </is>
      </c>
      <c r="C232" s="111" t="inlineStr">
        <is>
          <t>RM6-SKD-101.M2</t>
        </is>
      </c>
      <c r="D232" s="28" t="inlineStr">
        <is>
          <t>VOTATOR PMP-202 COOKER 1</t>
        </is>
      </c>
      <c r="E232" s="112" t="inlineStr">
        <is>
          <t>VFD</t>
        </is>
      </c>
      <c r="F232" s="8" t="n">
        <v>2</v>
      </c>
      <c r="G232" s="8" t="n">
        <v>2</v>
      </c>
      <c r="H232" s="82" t="n"/>
      <c r="I232" s="8" t="n"/>
      <c r="J232" s="80">
        <f>IF(ISNUMBER(MCC_Table[[#This Row],[SIZE]]), MCC_Table[[#This Row],[SIZE]]/12, 0)</f>
        <v/>
      </c>
      <c r="K232" s="82" t="n">
        <v>15</v>
      </c>
      <c r="L232" s="82" t="n">
        <v>125</v>
      </c>
      <c r="M232" s="82" t="n">
        <v>10</v>
      </c>
      <c r="N232" s="82" t="inlineStr">
        <is>
          <t>3/C #12 VFD CABLE</t>
        </is>
      </c>
      <c r="O232" s="77" t="n"/>
      <c r="P232" s="110" t="n"/>
      <c r="Q232" s="79" t="n"/>
      <c r="R232" s="79" t="n"/>
      <c r="S232" s="79" t="n"/>
      <c r="T232" s="79" t="n"/>
      <c r="U232" s="79" t="n"/>
      <c r="V232" s="79" t="n"/>
      <c r="W232" s="79" t="n"/>
      <c r="X232" s="79" t="n"/>
      <c r="Y232" s="79" t="n"/>
      <c r="Z232" s="79" t="n"/>
      <c r="AA232" s="79" t="n"/>
      <c r="AB232" s="225" t="n"/>
      <c r="AC232" s="225" t="n"/>
      <c r="AD232" s="225" t="n"/>
      <c r="AE232" s="29">
        <f>_xlfn.NUMBERVALUE(LEFT(MCC_Table[[#This Row],[BUCKET]],LEN(MCC_Table[[#This Row],[BUCKET]])-1))</f>
        <v/>
      </c>
      <c r="AF232" s="29">
        <f>RIGHT(MCC_Table[[#This Row],[BUCKET]],1)</f>
        <v/>
      </c>
      <c r="AG232" s="29">
        <f>VLOOKUP(MCC_Table[[#This Row],[START UNIT]],UnitMap[],2,FALSE)</f>
        <v/>
      </c>
      <c r="AH232" s="29">
        <f t="array" ref="AH23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32" s="29">
        <f>IF(ISNUMBER(MCC_Table[[#This Row],[SIZE]]), MCC_Table[[#This Row],[SIZE]]/6, 0)</f>
        <v/>
      </c>
      <c r="AJ232" s="29">
        <f>MCC_Table[[#This Row],[START INDEX]]+MCC_Table[[#This Row],[UNITS USED]]-1</f>
        <v/>
      </c>
      <c r="AK232" s="14" t="n"/>
      <c r="AL232" s="14" t="n"/>
      <c r="AM232" s="14" t="n"/>
      <c r="AN232" s="14" t="n"/>
      <c r="AO232" s="14" t="n"/>
      <c r="AP232" s="14" t="n"/>
      <c r="AQ232" s="14" t="n"/>
      <c r="AR232" s="14" t="n"/>
      <c r="AS232" s="14" t="n"/>
      <c r="AT232" s="14" t="n"/>
      <c r="AU232" s="14" t="n"/>
      <c r="AV232" s="14" t="n"/>
      <c r="AW232" s="14" t="n"/>
      <c r="AX232" s="14" t="n"/>
      <c r="AY232" s="14" t="n"/>
      <c r="AZ232" s="14" t="n"/>
      <c r="BA232" s="14" t="n"/>
      <c r="BB232" s="14" t="n"/>
      <c r="BC232" s="14" t="n"/>
      <c r="BD232" s="14" t="n"/>
      <c r="BE232" s="14" t="n"/>
    </row>
    <row r="233" hidden="1" ht="15.75" customHeight="1" thickTop="1">
      <c r="A233" s="39" t="inlineStr">
        <is>
          <t>RM6-6MCC02</t>
        </is>
      </c>
      <c r="B233" s="29" t="inlineStr">
        <is>
          <t>12E</t>
        </is>
      </c>
      <c r="C233" s="111" t="inlineStr">
        <is>
          <t>RM6-SKD-102.M2</t>
        </is>
      </c>
      <c r="D233" s="28" t="inlineStr">
        <is>
          <t xml:space="preserve">VOTATOR PMP-202 COOKER 2 </t>
        </is>
      </c>
      <c r="E233" s="112" t="inlineStr">
        <is>
          <t>VFD</t>
        </is>
      </c>
      <c r="F233" s="8" t="n">
        <v>2</v>
      </c>
      <c r="G233" s="8" t="n">
        <v>2</v>
      </c>
      <c r="H233" s="82" t="n"/>
      <c r="I233" s="8" t="n"/>
      <c r="J233" s="80">
        <f>IF(ISNUMBER(MCC_Table[[#This Row],[SIZE]]), MCC_Table[[#This Row],[SIZE]]/12, 0)</f>
        <v/>
      </c>
      <c r="K233" s="82" t="n">
        <v>15</v>
      </c>
      <c r="L233" s="82" t="n">
        <v>125</v>
      </c>
      <c r="M233" s="82" t="n">
        <v>10</v>
      </c>
      <c r="N233" s="82" t="inlineStr">
        <is>
          <t>3/C #12 VFD CABLE</t>
        </is>
      </c>
      <c r="O233" s="77" t="n"/>
      <c r="P233" s="110" t="n"/>
      <c r="Q233" s="79" t="n"/>
      <c r="R233" s="79" t="n"/>
      <c r="S233" s="79" t="n"/>
      <c r="T233" s="79" t="n"/>
      <c r="U233" s="79" t="n"/>
      <c r="V233" s="79" t="n"/>
      <c r="W233" s="79" t="n"/>
      <c r="X233" s="79" t="n"/>
      <c r="Y233" s="79" t="n"/>
      <c r="Z233" s="79" t="n"/>
      <c r="AA233" s="79" t="n"/>
      <c r="AB233" s="225" t="n"/>
      <c r="AC233" s="225" t="n"/>
      <c r="AD233" s="225" t="n"/>
      <c r="AE233" s="29">
        <f>_xlfn.NUMBERVALUE(LEFT(MCC_Table[[#This Row],[BUCKET]],LEN(MCC_Table[[#This Row],[BUCKET]])-1))</f>
        <v/>
      </c>
      <c r="AF233" s="29">
        <f>RIGHT(MCC_Table[[#This Row],[BUCKET]],1)</f>
        <v/>
      </c>
      <c r="AG233" s="29">
        <f>VLOOKUP(MCC_Table[[#This Row],[START UNIT]],UnitMap[],2,FALSE)</f>
        <v/>
      </c>
      <c r="AH233" s="29">
        <f t="array" ref="AH23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33" s="29">
        <f>IF(ISNUMBER(MCC_Table[[#This Row],[SIZE]]), MCC_Table[[#This Row],[SIZE]]/6, 0)</f>
        <v/>
      </c>
      <c r="AJ233" s="29">
        <f>MCC_Table[[#This Row],[START INDEX]]+MCC_Table[[#This Row],[UNITS USED]]-1</f>
        <v/>
      </c>
      <c r="AK233" s="14" t="n"/>
      <c r="AL233" s="14" t="n"/>
      <c r="AM233" s="14" t="n"/>
      <c r="AN233" s="14" t="n"/>
      <c r="AO233" s="14" t="n"/>
      <c r="AP233" s="14" t="n"/>
      <c r="AQ233" s="14" t="n"/>
      <c r="AR233" s="14" t="n"/>
      <c r="AS233" s="14" t="n"/>
      <c r="AT233" s="14" t="n"/>
      <c r="AU233" s="14" t="n"/>
      <c r="AV233" s="14" t="n"/>
      <c r="AW233" s="14" t="n"/>
      <c r="AX233" s="14" t="n"/>
      <c r="AY233" s="14" t="n"/>
      <c r="AZ233" s="14" t="n"/>
      <c r="BA233" s="14" t="n"/>
      <c r="BB233" s="14" t="n"/>
      <c r="BC233" s="14" t="n"/>
      <c r="BD233" s="14" t="n"/>
      <c r="BE233" s="14" t="n"/>
    </row>
    <row r="234" hidden="1" ht="15.75" customHeight="1" thickTop="1">
      <c r="A234" s="39" t="inlineStr">
        <is>
          <t>RM6-6MCC02</t>
        </is>
      </c>
      <c r="B234" s="29" t="inlineStr">
        <is>
          <t>12J</t>
        </is>
      </c>
      <c r="C234" s="111" t="inlineStr">
        <is>
          <t>RM6-CNV-105.M1</t>
        </is>
      </c>
      <c r="D234" s="28" t="inlineStr">
        <is>
          <t>SURGE BIN TAKEAWAY CONVEYOR</t>
        </is>
      </c>
      <c r="E234" s="112" t="inlineStr">
        <is>
          <t>VFD</t>
        </is>
      </c>
      <c r="F234" s="8" t="n">
        <v>2</v>
      </c>
      <c r="G234" s="8" t="n">
        <v>2</v>
      </c>
      <c r="H234" s="82" t="n"/>
      <c r="I234" s="8" t="n"/>
      <c r="J234" s="80">
        <f>IF(ISNUMBER(MCC_Table[[#This Row],[SIZE]]), MCC_Table[[#This Row],[SIZE]]/12, 0)</f>
        <v/>
      </c>
      <c r="K234" s="82" t="n">
        <v>15</v>
      </c>
      <c r="L234" s="82" t="n">
        <v>125</v>
      </c>
      <c r="M234" s="82" t="n">
        <v>10</v>
      </c>
      <c r="N234" s="82" t="inlineStr">
        <is>
          <t>3/C #12 VFD CABLE</t>
        </is>
      </c>
      <c r="O234" s="77" t="n"/>
      <c r="P234" s="110" t="n"/>
      <c r="Q234" s="79" t="n"/>
      <c r="R234" s="79" t="n"/>
      <c r="S234" s="79" t="n"/>
      <c r="T234" s="79" t="n"/>
      <c r="U234" s="79" t="n"/>
      <c r="V234" s="79" t="n"/>
      <c r="W234" s="79" t="n"/>
      <c r="X234" s="79" t="n"/>
      <c r="Y234" s="79" t="n"/>
      <c r="Z234" s="79" t="n"/>
      <c r="AA234" s="79" t="n"/>
      <c r="AB234" s="225" t="n"/>
      <c r="AC234" s="225" t="n"/>
      <c r="AD234" s="225" t="n"/>
      <c r="AE234" s="29">
        <f>_xlfn.NUMBERVALUE(LEFT(MCC_Table[[#This Row],[BUCKET]],LEN(MCC_Table[[#This Row],[BUCKET]])-1))</f>
        <v/>
      </c>
      <c r="AF234" s="29">
        <f>RIGHT(MCC_Table[[#This Row],[BUCKET]],1)</f>
        <v/>
      </c>
      <c r="AG234" s="29">
        <f>VLOOKUP(MCC_Table[[#This Row],[START UNIT]],UnitMap[],2,FALSE)</f>
        <v/>
      </c>
      <c r="AH234" s="29">
        <f t="array" ref="AH23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34" s="29">
        <f>IF(ISNUMBER(MCC_Table[[#This Row],[SIZE]]), MCC_Table[[#This Row],[SIZE]]/6, 0)</f>
        <v/>
      </c>
      <c r="AJ234" s="29">
        <f>MCC_Table[[#This Row],[START INDEX]]+MCC_Table[[#This Row],[UNITS USED]]-1</f>
        <v/>
      </c>
      <c r="AK234" s="14" t="n"/>
      <c r="AL234" s="14" t="n"/>
      <c r="AM234" s="14" t="n"/>
      <c r="AN234" s="14" t="n"/>
      <c r="AO234" s="14" t="n"/>
      <c r="AP234" s="14" t="n"/>
      <c r="AQ234" s="14" t="n"/>
      <c r="AR234" s="14" t="n"/>
      <c r="AS234" s="14" t="n"/>
      <c r="AT234" s="14" t="n"/>
      <c r="AU234" s="14" t="n"/>
      <c r="AV234" s="14" t="n"/>
      <c r="AW234" s="14" t="n"/>
      <c r="AX234" s="14" t="n"/>
      <c r="AY234" s="14" t="n"/>
      <c r="AZ234" s="14" t="n"/>
      <c r="BA234" s="14" t="n"/>
      <c r="BB234" s="14" t="n"/>
      <c r="BC234" s="14" t="n"/>
      <c r="BD234" s="14" t="n"/>
      <c r="BE234" s="14" t="n"/>
    </row>
    <row r="235" hidden="1" ht="15.75" customHeight="1" thickTop="1">
      <c r="A235" s="39" t="inlineStr">
        <is>
          <t>RM6-6MCC02</t>
        </is>
      </c>
      <c r="B235" s="29" t="inlineStr">
        <is>
          <t>13A</t>
        </is>
      </c>
      <c r="C235" s="111" t="inlineStr">
        <is>
          <t>SPARE</t>
        </is>
      </c>
      <c r="D235" s="28" t="inlineStr">
        <is>
          <t>VFD - 1HP</t>
        </is>
      </c>
      <c r="E235" s="112" t="inlineStr">
        <is>
          <t>VFD</t>
        </is>
      </c>
      <c r="F235" s="8" t="n">
        <v>1</v>
      </c>
      <c r="G235" s="8" t="n">
        <v>1</v>
      </c>
      <c r="H235" s="82" t="n"/>
      <c r="I235" s="8" t="n"/>
      <c r="J235" s="80">
        <f>IF(ISNUMBER(MCC_Table[[#This Row],[SIZE]]), MCC_Table[[#This Row],[SIZE]]/12, 0)</f>
        <v/>
      </c>
      <c r="K235" s="82" t="n">
        <v>15</v>
      </c>
      <c r="L235" s="82" t="n">
        <v>125</v>
      </c>
      <c r="M235" s="82" t="n">
        <v>6</v>
      </c>
      <c r="N235" s="82" t="inlineStr">
        <is>
          <t>3/C #12 VFD CABLE</t>
        </is>
      </c>
      <c r="O235" s="77" t="n"/>
      <c r="P235" s="110" t="n"/>
      <c r="Q235" s="79" t="n"/>
      <c r="R235" s="79" t="n"/>
      <c r="S235" s="79" t="n"/>
      <c r="T235" s="79" t="n"/>
      <c r="U235" s="79" t="n"/>
      <c r="V235" s="79" t="n"/>
      <c r="W235" s="79" t="n"/>
      <c r="X235" s="79" t="n"/>
      <c r="Y235" s="79" t="n"/>
      <c r="Z235" s="79" t="n"/>
      <c r="AA235" s="79" t="n"/>
      <c r="AB235" s="225" t="n"/>
      <c r="AC235" s="225" t="n"/>
      <c r="AD235" s="225" t="n"/>
      <c r="AE235" s="29">
        <f>_xlfn.NUMBERVALUE(LEFT(MCC_Table[[#This Row],[BUCKET]],LEN(MCC_Table[[#This Row],[BUCKET]])-1))</f>
        <v/>
      </c>
      <c r="AF235" s="29">
        <f>RIGHT(MCC_Table[[#This Row],[BUCKET]],1)</f>
        <v/>
      </c>
      <c r="AG235" s="29">
        <f>VLOOKUP(MCC_Table[[#This Row],[START UNIT]],UnitMap[],2,FALSE)</f>
        <v/>
      </c>
      <c r="AH235" s="29">
        <f t="array" ref="AH23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35" s="29">
        <f>IF(ISNUMBER(MCC_Table[[#This Row],[SIZE]]), MCC_Table[[#This Row],[SIZE]]/6, 0)</f>
        <v/>
      </c>
      <c r="AJ235" s="29">
        <f>MCC_Table[[#This Row],[START INDEX]]+MCC_Table[[#This Row],[UNITS USED]]-1</f>
        <v/>
      </c>
      <c r="AK235" s="14" t="n"/>
      <c r="AL235" s="14" t="n"/>
      <c r="AM235" s="14" t="n"/>
      <c r="AN235" s="14" t="n"/>
      <c r="AO235" s="14" t="n"/>
      <c r="AP235" s="14" t="n"/>
      <c r="AQ235" s="14" t="n"/>
      <c r="AR235" s="14" t="n"/>
      <c r="AS235" s="14" t="n"/>
      <c r="AT235" s="14" t="n"/>
      <c r="AU235" s="14" t="n"/>
      <c r="AV235" s="14" t="n"/>
      <c r="AW235" s="14" t="n"/>
      <c r="AX235" s="14" t="n"/>
      <c r="AY235" s="14" t="n"/>
      <c r="AZ235" s="14" t="n"/>
      <c r="BA235" s="14" t="n"/>
      <c r="BB235" s="14" t="n"/>
      <c r="BC235" s="14" t="n"/>
      <c r="BD235" s="14" t="n"/>
      <c r="BE235" s="14" t="n"/>
    </row>
    <row r="236" hidden="1" ht="15.75" customHeight="1" thickTop="1">
      <c r="A236" s="39" t="inlineStr">
        <is>
          <t>RM6-6MCC02</t>
        </is>
      </c>
      <c r="B236" s="29" t="inlineStr">
        <is>
          <t>13E</t>
        </is>
      </c>
      <c r="C236" s="111" t="inlineStr">
        <is>
          <t>RM6-CNV-108.M1</t>
        </is>
      </c>
      <c r="D236" s="28" t="inlineStr">
        <is>
          <t>INCLINE CONVEYOR SCREW</t>
        </is>
      </c>
      <c r="E236" s="112" t="inlineStr">
        <is>
          <t>VFD</t>
        </is>
      </c>
      <c r="F236" s="8" t="n">
        <v>15</v>
      </c>
      <c r="G236" s="8" t="n">
        <v>15</v>
      </c>
      <c r="H236" s="82" t="n"/>
      <c r="I236" s="8" t="n"/>
      <c r="J236" s="80">
        <f>IF(ISNUMBER(MCC_Table[[#This Row],[SIZE]]), MCC_Table[[#This Row],[SIZE]]/12, 0)</f>
        <v/>
      </c>
      <c r="K236" s="82" t="n">
        <v>60</v>
      </c>
      <c r="L236" s="82" t="n">
        <v>125</v>
      </c>
      <c r="M236" s="82" t="n">
        <v>40</v>
      </c>
      <c r="N236" s="82" t="inlineStr">
        <is>
          <t>3/C #10 VFD CABLE</t>
        </is>
      </c>
      <c r="O236" s="77" t="n"/>
      <c r="P236" s="110" t="n"/>
      <c r="Q236" s="79" t="n"/>
      <c r="R236" s="79" t="n"/>
      <c r="S236" s="79" t="n"/>
      <c r="T236" s="79" t="n"/>
      <c r="U236" s="79" t="n"/>
      <c r="V236" s="79" t="n"/>
      <c r="W236" s="79" t="n"/>
      <c r="X236" s="79" t="n"/>
      <c r="Y236" s="79" t="n"/>
      <c r="Z236" s="79" t="n"/>
      <c r="AA236" s="79" t="n"/>
      <c r="AB236" s="225" t="n"/>
      <c r="AC236" s="225" t="n"/>
      <c r="AD236" s="225" t="n"/>
      <c r="AE236" s="29">
        <f>_xlfn.NUMBERVALUE(LEFT(MCC_Table[[#This Row],[BUCKET]],LEN(MCC_Table[[#This Row],[BUCKET]])-1))</f>
        <v/>
      </c>
      <c r="AF236" s="29">
        <f>RIGHT(MCC_Table[[#This Row],[BUCKET]],1)</f>
        <v/>
      </c>
      <c r="AG236" s="29">
        <f>VLOOKUP(MCC_Table[[#This Row],[START UNIT]],UnitMap[],2,FALSE)</f>
        <v/>
      </c>
      <c r="AH236" s="29">
        <f t="array" ref="AH23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36" s="29">
        <f>IF(ISNUMBER(MCC_Table[[#This Row],[SIZE]]), MCC_Table[[#This Row],[SIZE]]/6, 0)</f>
        <v/>
      </c>
      <c r="AJ236" s="29">
        <f>MCC_Table[[#This Row],[START INDEX]]+MCC_Table[[#This Row],[UNITS USED]]-1</f>
        <v/>
      </c>
      <c r="AK236" s="14" t="n"/>
      <c r="AL236" s="14" t="n"/>
      <c r="AM236" s="14" t="n"/>
      <c r="AN236" s="14" t="n"/>
      <c r="AO236" s="14" t="n"/>
      <c r="AP236" s="14" t="n"/>
      <c r="AQ236" s="14" t="n"/>
      <c r="AR236" s="14" t="n"/>
      <c r="AS236" s="14" t="n"/>
      <c r="AT236" s="14" t="n"/>
      <c r="AU236" s="14" t="n"/>
      <c r="AV236" s="14" t="n"/>
      <c r="AW236" s="14" t="n"/>
      <c r="AX236" s="14" t="n"/>
      <c r="AY236" s="14" t="n"/>
      <c r="AZ236" s="14" t="n"/>
      <c r="BA236" s="14" t="n"/>
      <c r="BB236" s="14" t="n"/>
      <c r="BC236" s="14" t="n"/>
      <c r="BD236" s="14" t="n"/>
      <c r="BE236" s="14" t="n"/>
    </row>
    <row r="237" hidden="1" ht="15.75" customHeight="1" thickTop="1">
      <c r="A237" s="39" t="inlineStr">
        <is>
          <t>RM6-6MCC02</t>
        </is>
      </c>
      <c r="B237" s="29" t="inlineStr">
        <is>
          <t>13L</t>
        </is>
      </c>
      <c r="C237" s="24" t="inlineStr">
        <is>
          <t>RM6-MCC2-13L.SW1</t>
        </is>
      </c>
      <c r="D237" s="62" t="inlineStr">
        <is>
          <t>ETHERNET SWITCH (20-PORT)</t>
        </is>
      </c>
      <c r="E237" s="24" t="inlineStr">
        <is>
          <t>ENET_20</t>
        </is>
      </c>
      <c r="F237" s="8" t="n"/>
      <c r="G237" s="8" t="n"/>
      <c r="H237" s="82" t="n"/>
      <c r="I237" s="8" t="n"/>
      <c r="J237" s="80">
        <f>IF(ISNUMBER(MCC_Table[[#This Row],[SIZE]]), MCC_Table[[#This Row],[SIZE]]/12, 0)</f>
        <v/>
      </c>
      <c r="K237" s="82" t="n"/>
      <c r="L237" s="82" t="n"/>
      <c r="M237" s="82" t="n"/>
      <c r="N237" s="82" t="n"/>
      <c r="O237" s="77" t="n"/>
      <c r="P237" s="110" t="n"/>
      <c r="Q237" s="79" t="n"/>
      <c r="R237" s="79" t="n"/>
      <c r="S237" s="79" t="n"/>
      <c r="T237" s="79" t="n"/>
      <c r="U237" s="79" t="n"/>
      <c r="V237" s="79" t="n"/>
      <c r="W237" s="79" t="n"/>
      <c r="X237" s="79" t="n"/>
      <c r="Y237" s="79" t="n"/>
      <c r="Z237" s="79" t="n"/>
      <c r="AA237" s="79" t="n"/>
      <c r="AB237" s="225" t="n"/>
      <c r="AC237" s="225" t="n"/>
      <c r="AD237" s="225" t="n"/>
      <c r="AE237" s="29">
        <f>_xlfn.NUMBERVALUE(LEFT(MCC_Table[[#This Row],[BUCKET]],LEN(MCC_Table[[#This Row],[BUCKET]])-1))</f>
        <v/>
      </c>
      <c r="AF237" s="29">
        <f>RIGHT(MCC_Table[[#This Row],[BUCKET]],1)</f>
        <v/>
      </c>
      <c r="AG237" s="29">
        <f>VLOOKUP(MCC_Table[[#This Row],[START UNIT]],UnitMap[],2,FALSE)</f>
        <v/>
      </c>
      <c r="AH237" s="29">
        <f t="array" ref="AH23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37" s="29">
        <f>IF(ISNUMBER(MCC_Table[[#This Row],[SIZE]]), MCC_Table[[#This Row],[SIZE]]/6, 0)</f>
        <v/>
      </c>
      <c r="AJ237" s="29">
        <f>MCC_Table[[#This Row],[START INDEX]]+MCC_Table[[#This Row],[UNITS USED]]-1</f>
        <v/>
      </c>
      <c r="AK237" s="14" t="n"/>
      <c r="AL237" s="14" t="n"/>
      <c r="AM237" s="14" t="n"/>
      <c r="AN237" s="14" t="n"/>
      <c r="AO237" s="14" t="n"/>
      <c r="AP237" s="14" t="n"/>
      <c r="AQ237" s="14" t="n"/>
      <c r="AR237" s="14" t="n"/>
      <c r="AS237" s="14" t="n"/>
      <c r="AT237" s="14" t="n"/>
      <c r="AU237" s="14" t="n"/>
      <c r="AV237" s="14" t="n"/>
      <c r="AW237" s="14" t="n"/>
      <c r="AX237" s="14" t="n"/>
      <c r="AY237" s="14" t="n"/>
      <c r="AZ237" s="14" t="n"/>
      <c r="BA237" s="14" t="n"/>
      <c r="BB237" s="14" t="n"/>
      <c r="BC237" s="14" t="n"/>
      <c r="BD237" s="14" t="n"/>
      <c r="BE237" s="14" t="n"/>
    </row>
    <row r="238" hidden="1" ht="15.75" customHeight="1" thickTop="1">
      <c r="A238" s="39" t="inlineStr">
        <is>
          <t>RM6-6MCC02</t>
        </is>
      </c>
      <c r="B238" s="29" t="inlineStr">
        <is>
          <t>14A</t>
        </is>
      </c>
      <c r="C238" s="111" t="inlineStr">
        <is>
          <t>RM6-SKD-102.M1</t>
        </is>
      </c>
      <c r="D238" s="28" t="inlineStr">
        <is>
          <t>VOTATOR PMP-101 COOKER 1</t>
        </is>
      </c>
      <c r="E238" s="112" t="inlineStr">
        <is>
          <t>VFD</t>
        </is>
      </c>
      <c r="F238" s="8" t="n">
        <v>3</v>
      </c>
      <c r="G238" s="8" t="n">
        <v>5</v>
      </c>
      <c r="H238" s="82" t="n"/>
      <c r="I238" s="8" t="n"/>
      <c r="J238" s="80">
        <f>IF(ISNUMBER(MCC_Table[[#This Row],[SIZE]]), MCC_Table[[#This Row],[SIZE]]/12, 0)</f>
        <v/>
      </c>
      <c r="K238" s="82" t="n">
        <v>15</v>
      </c>
      <c r="L238" s="82" t="n">
        <v>125</v>
      </c>
      <c r="M238" s="82" t="n">
        <v>15</v>
      </c>
      <c r="N238" s="82" t="inlineStr">
        <is>
          <t>3/C #12 VFD CABLE</t>
        </is>
      </c>
      <c r="O238" s="77" t="n"/>
      <c r="P238" s="110" t="n"/>
      <c r="Q238" s="79" t="n"/>
      <c r="R238" s="79" t="n"/>
      <c r="S238" s="79" t="n"/>
      <c r="T238" s="79" t="n"/>
      <c r="U238" s="79" t="n"/>
      <c r="V238" s="79" t="n"/>
      <c r="W238" s="79" t="n"/>
      <c r="X238" s="79" t="n"/>
      <c r="Y238" s="79" t="n"/>
      <c r="Z238" s="79" t="n"/>
      <c r="AA238" s="79" t="n"/>
      <c r="AB238" s="225" t="n"/>
      <c r="AC238" s="225" t="n"/>
      <c r="AD238" s="225" t="n"/>
      <c r="AE238" s="29">
        <f>_xlfn.NUMBERVALUE(LEFT(MCC_Table[[#This Row],[BUCKET]],LEN(MCC_Table[[#This Row],[BUCKET]])-1))</f>
        <v/>
      </c>
      <c r="AF238" s="29">
        <f>RIGHT(MCC_Table[[#This Row],[BUCKET]],1)</f>
        <v/>
      </c>
      <c r="AG238" s="29">
        <f>VLOOKUP(MCC_Table[[#This Row],[START UNIT]],UnitMap[],2,FALSE)</f>
        <v/>
      </c>
      <c r="AH238" s="29">
        <f t="array" ref="AH23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38" s="29">
        <f>IF(ISNUMBER(MCC_Table[[#This Row],[SIZE]]), MCC_Table[[#This Row],[SIZE]]/6, 0)</f>
        <v/>
      </c>
      <c r="AJ238" s="29">
        <f>MCC_Table[[#This Row],[START INDEX]]+MCC_Table[[#This Row],[UNITS USED]]-1</f>
        <v/>
      </c>
      <c r="AK238" s="14" t="n"/>
      <c r="AL238" s="14" t="n"/>
      <c r="AM238" s="14" t="n"/>
      <c r="AN238" s="14" t="n"/>
      <c r="AO238" s="14" t="n"/>
      <c r="AP238" s="14" t="n"/>
      <c r="AQ238" s="14" t="n"/>
      <c r="AR238" s="14" t="n"/>
      <c r="AS238" s="14" t="n"/>
      <c r="AT238" s="14" t="n"/>
      <c r="AU238" s="14" t="n"/>
      <c r="AV238" s="14" t="n"/>
      <c r="AW238" s="14" t="n"/>
      <c r="AX238" s="14" t="n"/>
      <c r="AY238" s="14" t="n"/>
      <c r="AZ238" s="14" t="n"/>
      <c r="BA238" s="14" t="n"/>
      <c r="BB238" s="14" t="n"/>
      <c r="BC238" s="14" t="n"/>
      <c r="BD238" s="14" t="n"/>
      <c r="BE238" s="14" t="n"/>
    </row>
    <row r="239" hidden="1" ht="15.75" customHeight="1" thickTop="1">
      <c r="A239" s="39" t="inlineStr">
        <is>
          <t>RM6-6MCC02</t>
        </is>
      </c>
      <c r="B239" s="29" t="inlineStr">
        <is>
          <t>14E</t>
        </is>
      </c>
      <c r="C239" s="111" t="inlineStr">
        <is>
          <t>RM6-CNV-102.M1</t>
        </is>
      </c>
      <c r="D239" s="28" t="inlineStr">
        <is>
          <t>METAL DETECTOR BELT CONVEYOR</t>
        </is>
      </c>
      <c r="E239" s="112" t="inlineStr">
        <is>
          <t>VFD</t>
        </is>
      </c>
      <c r="F239" s="8" t="n">
        <v>2</v>
      </c>
      <c r="G239" s="8" t="n">
        <v>2</v>
      </c>
      <c r="H239" s="82" t="n"/>
      <c r="I239" s="8" t="n"/>
      <c r="J239" s="80">
        <f>IF(ISNUMBER(MCC_Table[[#This Row],[SIZE]]), MCC_Table[[#This Row],[SIZE]]/12, 0)</f>
        <v/>
      </c>
      <c r="K239" s="82" t="n">
        <v>15</v>
      </c>
      <c r="L239" s="82" t="n">
        <v>125</v>
      </c>
      <c r="M239" s="82" t="n">
        <v>10</v>
      </c>
      <c r="N239" s="82" t="inlineStr">
        <is>
          <t>3/C #12 VFD CABLE</t>
        </is>
      </c>
      <c r="O239" s="77" t="n"/>
      <c r="P239" s="110" t="n"/>
      <c r="Q239" s="79" t="n"/>
      <c r="R239" s="79" t="n"/>
      <c r="S239" s="79" t="n"/>
      <c r="T239" s="79" t="n"/>
      <c r="U239" s="79" t="n"/>
      <c r="V239" s="79" t="n"/>
      <c r="W239" s="79" t="n"/>
      <c r="X239" s="79" t="n"/>
      <c r="Y239" s="79" t="n"/>
      <c r="Z239" s="79" t="n"/>
      <c r="AA239" s="79" t="n"/>
      <c r="AB239" s="225" t="n"/>
      <c r="AC239" s="225" t="n"/>
      <c r="AD239" s="225" t="n"/>
      <c r="AE239" s="29">
        <f>_xlfn.NUMBERVALUE(LEFT(MCC_Table[[#This Row],[BUCKET]],LEN(MCC_Table[[#This Row],[BUCKET]])-1))</f>
        <v/>
      </c>
      <c r="AF239" s="29">
        <f>RIGHT(MCC_Table[[#This Row],[BUCKET]],1)</f>
        <v/>
      </c>
      <c r="AG239" s="29">
        <f>VLOOKUP(MCC_Table[[#This Row],[START UNIT]],UnitMap[],2,FALSE)</f>
        <v/>
      </c>
      <c r="AH239" s="29">
        <f t="array" ref="AH23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39" s="29">
        <f>IF(ISNUMBER(MCC_Table[[#This Row],[SIZE]]), MCC_Table[[#This Row],[SIZE]]/6, 0)</f>
        <v/>
      </c>
      <c r="AJ239" s="29">
        <f>MCC_Table[[#This Row],[START INDEX]]+MCC_Table[[#This Row],[UNITS USED]]-1</f>
        <v/>
      </c>
      <c r="AK239" s="14" t="n"/>
      <c r="AL239" s="14" t="n"/>
      <c r="AM239" s="14" t="n"/>
      <c r="AN239" s="14" t="n"/>
      <c r="AO239" s="14" t="n"/>
      <c r="AP239" s="14" t="n"/>
      <c r="AQ239" s="14" t="n"/>
      <c r="AR239" s="14" t="n"/>
      <c r="AS239" s="14" t="n"/>
      <c r="AT239" s="14" t="n"/>
      <c r="AU239" s="14" t="n"/>
      <c r="AV239" s="14" t="n"/>
      <c r="AW239" s="14" t="n"/>
      <c r="AX239" s="14" t="n"/>
      <c r="AY239" s="14" t="n"/>
      <c r="AZ239" s="14" t="n"/>
      <c r="BA239" s="14" t="n"/>
      <c r="BB239" s="14" t="n"/>
      <c r="BC239" s="14" t="n"/>
      <c r="BD239" s="14" t="n"/>
      <c r="BE239" s="14" t="n"/>
    </row>
    <row r="240" hidden="1" ht="15.75" customHeight="1" thickTop="1">
      <c r="A240" s="39" t="inlineStr">
        <is>
          <t>RM6-6MCC02</t>
        </is>
      </c>
      <c r="B240" s="29" t="inlineStr">
        <is>
          <t>14J</t>
        </is>
      </c>
      <c r="C240" s="111" t="inlineStr">
        <is>
          <t>RM6-SKD-103.M1</t>
        </is>
      </c>
      <c r="D240" s="28" t="inlineStr">
        <is>
          <t>VOTATOR PMP-201 COOKER 2</t>
        </is>
      </c>
      <c r="E240" s="112" t="inlineStr">
        <is>
          <t>VFD</t>
        </is>
      </c>
      <c r="F240" s="8" t="n">
        <v>3</v>
      </c>
      <c r="G240" s="8" t="n">
        <v>5</v>
      </c>
      <c r="H240" s="82" t="n"/>
      <c r="I240" s="8" t="n"/>
      <c r="J240" s="80">
        <f>IF(ISNUMBER(MCC_Table[[#This Row],[SIZE]]), MCC_Table[[#This Row],[SIZE]]/12, 0)</f>
        <v/>
      </c>
      <c r="K240" s="82" t="n">
        <v>15</v>
      </c>
      <c r="L240" s="82" t="n">
        <v>125</v>
      </c>
      <c r="M240" s="82" t="n">
        <v>15</v>
      </c>
      <c r="N240" s="82" t="inlineStr">
        <is>
          <t>3/C #12 VFD CABLE</t>
        </is>
      </c>
      <c r="O240" s="77" t="n"/>
      <c r="P240" s="110" t="n"/>
      <c r="Q240" s="79" t="n"/>
      <c r="R240" s="79" t="n"/>
      <c r="S240" s="79" t="n"/>
      <c r="T240" s="79" t="n"/>
      <c r="U240" s="79" t="n"/>
      <c r="V240" s="79" t="n"/>
      <c r="W240" s="79" t="n"/>
      <c r="X240" s="79" t="n"/>
      <c r="Y240" s="79" t="n"/>
      <c r="Z240" s="79" t="n"/>
      <c r="AA240" s="79" t="n"/>
      <c r="AB240" s="225" t="n"/>
      <c r="AC240" s="225" t="n"/>
      <c r="AD240" s="225" t="n"/>
      <c r="AE240" s="29">
        <f>_xlfn.NUMBERVALUE(LEFT(MCC_Table[[#This Row],[BUCKET]],LEN(MCC_Table[[#This Row],[BUCKET]])-1))</f>
        <v/>
      </c>
      <c r="AF240" s="29">
        <f>RIGHT(MCC_Table[[#This Row],[BUCKET]],1)</f>
        <v/>
      </c>
      <c r="AG240" s="29">
        <f>VLOOKUP(MCC_Table[[#This Row],[START UNIT]],UnitMap[],2,FALSE)</f>
        <v/>
      </c>
      <c r="AH240" s="29">
        <f t="array" ref="AH24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40" s="29">
        <f>IF(ISNUMBER(MCC_Table[[#This Row],[SIZE]]), MCC_Table[[#This Row],[SIZE]]/6, 0)</f>
        <v/>
      </c>
      <c r="AJ240" s="29">
        <f>MCC_Table[[#This Row],[START INDEX]]+MCC_Table[[#This Row],[UNITS USED]]-1</f>
        <v/>
      </c>
      <c r="AK240" s="14" t="n"/>
      <c r="AL240" s="14" t="n"/>
      <c r="AM240" s="14" t="n"/>
      <c r="AN240" s="14" t="n"/>
      <c r="AO240" s="14" t="n"/>
      <c r="AP240" s="14" t="n"/>
      <c r="AQ240" s="14" t="n"/>
      <c r="AR240" s="14" t="n"/>
      <c r="AS240" s="14" t="n"/>
      <c r="AT240" s="14" t="n"/>
      <c r="AU240" s="14" t="n"/>
      <c r="AV240" s="14" t="n"/>
      <c r="AW240" s="14" t="n"/>
      <c r="AX240" s="14" t="n"/>
      <c r="AY240" s="14" t="n"/>
      <c r="AZ240" s="14" t="n"/>
      <c r="BA240" s="14" t="n"/>
      <c r="BB240" s="14" t="n"/>
      <c r="BC240" s="14" t="n"/>
      <c r="BD240" s="14" t="n"/>
      <c r="BE240" s="14" t="n"/>
    </row>
    <row r="241" hidden="1" ht="15.75" customHeight="1" thickTop="1">
      <c r="A241" s="39" t="inlineStr">
        <is>
          <t>RM6-6MCC02</t>
        </is>
      </c>
      <c r="B241" s="29" t="inlineStr">
        <is>
          <t>15A</t>
        </is>
      </c>
      <c r="C241" s="111" t="inlineStr">
        <is>
          <t>RM6-SKD-103.M2</t>
        </is>
      </c>
      <c r="D241" s="28" t="inlineStr">
        <is>
          <t>VOTATOR PMP-202 COOKER 2</t>
        </is>
      </c>
      <c r="E241" s="112" t="inlineStr">
        <is>
          <t>VFD</t>
        </is>
      </c>
      <c r="F241" s="8" t="n">
        <v>2</v>
      </c>
      <c r="G241" s="8" t="n">
        <v>2</v>
      </c>
      <c r="H241" s="82" t="n"/>
      <c r="I241" s="8" t="n"/>
      <c r="J241" s="80">
        <f>IF(ISNUMBER(MCC_Table[[#This Row],[SIZE]]), MCC_Table[[#This Row],[SIZE]]/12, 0)</f>
        <v/>
      </c>
      <c r="K241" s="82" t="n">
        <v>15</v>
      </c>
      <c r="L241" s="82" t="n">
        <v>125</v>
      </c>
      <c r="M241" s="82" t="n">
        <v>10</v>
      </c>
      <c r="N241" s="82" t="inlineStr">
        <is>
          <t>3/C #12 VFD CABLE</t>
        </is>
      </c>
      <c r="O241" s="77" t="n"/>
      <c r="P241" s="110" t="n"/>
      <c r="Q241" s="79" t="n"/>
      <c r="R241" s="79" t="n"/>
      <c r="S241" s="79" t="n"/>
      <c r="T241" s="79" t="n"/>
      <c r="U241" s="79" t="n"/>
      <c r="V241" s="79" t="n"/>
      <c r="W241" s="79" t="n"/>
      <c r="X241" s="79" t="n"/>
      <c r="Y241" s="79" t="n"/>
      <c r="Z241" s="79" t="n"/>
      <c r="AA241" s="79" t="n"/>
      <c r="AB241" s="225" t="n"/>
      <c r="AC241" s="225" t="n"/>
      <c r="AD241" s="225" t="n"/>
      <c r="AE241" s="29">
        <f>_xlfn.NUMBERVALUE(LEFT(MCC_Table[[#This Row],[BUCKET]],LEN(MCC_Table[[#This Row],[BUCKET]])-1))</f>
        <v/>
      </c>
      <c r="AF241" s="29">
        <f>RIGHT(MCC_Table[[#This Row],[BUCKET]],1)</f>
        <v/>
      </c>
      <c r="AG241" s="29">
        <f>VLOOKUP(MCC_Table[[#This Row],[START UNIT]],UnitMap[],2,FALSE)</f>
        <v/>
      </c>
      <c r="AH241" s="29">
        <f t="array" ref="AH24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41" s="29">
        <f>IF(ISNUMBER(MCC_Table[[#This Row],[SIZE]]), MCC_Table[[#This Row],[SIZE]]/6, 0)</f>
        <v/>
      </c>
      <c r="AJ241" s="29">
        <f>MCC_Table[[#This Row],[START INDEX]]+MCC_Table[[#This Row],[UNITS USED]]-1</f>
        <v/>
      </c>
      <c r="AK241" s="14" t="n"/>
      <c r="AL241" s="14" t="n"/>
      <c r="AM241" s="14" t="n"/>
      <c r="AN241" s="14" t="n"/>
      <c r="AO241" s="14" t="n"/>
      <c r="AP241" s="14" t="n"/>
      <c r="AQ241" s="14" t="n"/>
      <c r="AR241" s="14" t="n"/>
      <c r="AS241" s="14" t="n"/>
      <c r="AT241" s="14" t="n"/>
      <c r="AU241" s="14" t="n"/>
      <c r="AV241" s="14" t="n"/>
      <c r="AW241" s="14" t="n"/>
      <c r="AX241" s="14" t="n"/>
      <c r="AY241" s="14" t="n"/>
      <c r="AZ241" s="14" t="n"/>
      <c r="BA241" s="14" t="n"/>
      <c r="BB241" s="14" t="n"/>
      <c r="BC241" s="14" t="n"/>
      <c r="BD241" s="14" t="n"/>
      <c r="BE241" s="14" t="n"/>
    </row>
    <row r="242" hidden="1" ht="15.75" customHeight="1" thickTop="1">
      <c r="A242" s="39" t="inlineStr">
        <is>
          <t>RM6-6MCC02</t>
        </is>
      </c>
      <c r="B242" s="29" t="inlineStr">
        <is>
          <t>15E</t>
        </is>
      </c>
      <c r="C242" s="111" t="inlineStr">
        <is>
          <t>RM6-SKD-104.M1</t>
        </is>
      </c>
      <c r="D242" s="28" t="inlineStr">
        <is>
          <t>VOTATOR PMP-101 COOKER 2</t>
        </is>
      </c>
      <c r="E242" s="112" t="inlineStr">
        <is>
          <t>VFD</t>
        </is>
      </c>
      <c r="F242" s="8" t="n">
        <v>3</v>
      </c>
      <c r="G242" s="8" t="n">
        <v>5</v>
      </c>
      <c r="H242" s="82" t="n"/>
      <c r="I242" s="8" t="n"/>
      <c r="J242" s="80">
        <f>IF(ISNUMBER(MCC_Table[[#This Row],[SIZE]]), MCC_Table[[#This Row],[SIZE]]/12, 0)</f>
        <v/>
      </c>
      <c r="K242" s="82" t="n">
        <v>15</v>
      </c>
      <c r="L242" s="82" t="n">
        <v>125</v>
      </c>
      <c r="M242" s="82" t="n">
        <v>15</v>
      </c>
      <c r="N242" s="82" t="inlineStr">
        <is>
          <t>3/C #12 VFD CABLE</t>
        </is>
      </c>
      <c r="O242" s="77" t="n"/>
      <c r="P242" s="110" t="n"/>
      <c r="Q242" s="79" t="n"/>
      <c r="R242" s="79" t="n"/>
      <c r="S242" s="79" t="n"/>
      <c r="T242" s="79" t="n"/>
      <c r="U242" s="79" t="n"/>
      <c r="V242" s="79" t="n"/>
      <c r="W242" s="79" t="n"/>
      <c r="X242" s="79" t="n"/>
      <c r="Y242" s="79" t="n"/>
      <c r="Z242" s="79" t="n"/>
      <c r="AA242" s="79" t="n"/>
      <c r="AB242" s="225" t="n"/>
      <c r="AC242" s="225" t="n"/>
      <c r="AD242" s="225" t="n"/>
      <c r="AE242" s="29">
        <f>_xlfn.NUMBERVALUE(LEFT(MCC_Table[[#This Row],[BUCKET]],LEN(MCC_Table[[#This Row],[BUCKET]])-1))</f>
        <v/>
      </c>
      <c r="AF242" s="29">
        <f>RIGHT(MCC_Table[[#This Row],[BUCKET]],1)</f>
        <v/>
      </c>
      <c r="AG242" s="29">
        <f>VLOOKUP(MCC_Table[[#This Row],[START UNIT]],UnitMap[],2,FALSE)</f>
        <v/>
      </c>
      <c r="AH242" s="29">
        <f t="array" ref="AH24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42" s="29">
        <f>IF(ISNUMBER(MCC_Table[[#This Row],[SIZE]]), MCC_Table[[#This Row],[SIZE]]/6, 0)</f>
        <v/>
      </c>
      <c r="AJ242" s="29">
        <f>MCC_Table[[#This Row],[START INDEX]]+MCC_Table[[#This Row],[UNITS USED]]-1</f>
        <v/>
      </c>
      <c r="AK242" s="14" t="n"/>
      <c r="AL242" s="14" t="n"/>
      <c r="AM242" s="14" t="n"/>
      <c r="AN242" s="14" t="n"/>
      <c r="AO242" s="14" t="n"/>
      <c r="AP242" s="14" t="n"/>
      <c r="AQ242" s="14" t="n"/>
      <c r="AR242" s="14" t="n"/>
      <c r="AS242" s="14" t="n"/>
      <c r="AT242" s="14" t="n"/>
      <c r="AU242" s="14" t="n"/>
      <c r="AV242" s="14" t="n"/>
      <c r="AW242" s="14" t="n"/>
      <c r="AX242" s="14" t="n"/>
      <c r="AY242" s="14" t="n"/>
      <c r="AZ242" s="14" t="n"/>
      <c r="BA242" s="14" t="n"/>
      <c r="BB242" s="14" t="n"/>
      <c r="BC242" s="14" t="n"/>
      <c r="BD242" s="14" t="n"/>
      <c r="BE242" s="14" t="n"/>
    </row>
    <row r="243" hidden="1" ht="15.75" customHeight="1" thickTop="1">
      <c r="A243" s="39" t="inlineStr">
        <is>
          <t>RM6-6MCC02</t>
        </is>
      </c>
      <c r="B243" s="29" t="inlineStr">
        <is>
          <t>15J</t>
        </is>
      </c>
      <c r="C243" s="111" t="inlineStr">
        <is>
          <t>RM6-SKD-104.M2</t>
        </is>
      </c>
      <c r="D243" s="28" t="inlineStr">
        <is>
          <t xml:space="preserve">VOTATOR PMP-102 COOKER 2 </t>
        </is>
      </c>
      <c r="E243" s="112" t="inlineStr">
        <is>
          <t>VFD</t>
        </is>
      </c>
      <c r="F243" s="8" t="n">
        <v>2</v>
      </c>
      <c r="G243" s="8" t="n">
        <v>2</v>
      </c>
      <c r="H243" s="82" t="n"/>
      <c r="I243" s="8" t="n"/>
      <c r="J243" s="80">
        <f>IF(ISNUMBER(MCC_Table[[#This Row],[SIZE]]), MCC_Table[[#This Row],[SIZE]]/12, 0)</f>
        <v/>
      </c>
      <c r="K243" s="82" t="n">
        <v>15</v>
      </c>
      <c r="L243" s="82" t="n">
        <v>125</v>
      </c>
      <c r="M243" s="82" t="n">
        <v>15</v>
      </c>
      <c r="N243" s="82" t="inlineStr">
        <is>
          <t>3/C #12 VFD CABLE</t>
        </is>
      </c>
      <c r="O243" s="77" t="n"/>
      <c r="P243" s="110" t="n"/>
      <c r="Q243" s="79" t="n"/>
      <c r="R243" s="79" t="n"/>
      <c r="S243" s="79" t="n"/>
      <c r="T243" s="79" t="n"/>
      <c r="U243" s="79" t="n"/>
      <c r="V243" s="79" t="n"/>
      <c r="W243" s="79" t="n"/>
      <c r="X243" s="79" t="n"/>
      <c r="Y243" s="79" t="n"/>
      <c r="Z243" s="79" t="n"/>
      <c r="AA243" s="79" t="n"/>
      <c r="AB243" s="225" t="n"/>
      <c r="AC243" s="225" t="n"/>
      <c r="AD243" s="225" t="n"/>
      <c r="AE243" s="29">
        <f>_xlfn.NUMBERVALUE(LEFT(MCC_Table[[#This Row],[BUCKET]],LEN(MCC_Table[[#This Row],[BUCKET]])-1))</f>
        <v/>
      </c>
      <c r="AF243" s="29">
        <f>RIGHT(MCC_Table[[#This Row],[BUCKET]],1)</f>
        <v/>
      </c>
      <c r="AG243" s="29">
        <f>VLOOKUP(MCC_Table[[#This Row],[START UNIT]],UnitMap[],2,FALSE)</f>
        <v/>
      </c>
      <c r="AH243" s="29">
        <f t="array" ref="AH24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43" s="29">
        <f>IF(ISNUMBER(MCC_Table[[#This Row],[SIZE]]), MCC_Table[[#This Row],[SIZE]]/6, 0)</f>
        <v/>
      </c>
      <c r="AJ243" s="29">
        <f>MCC_Table[[#This Row],[START INDEX]]+MCC_Table[[#This Row],[UNITS USED]]-1</f>
        <v/>
      </c>
      <c r="AK243" s="14" t="n"/>
      <c r="AL243" s="14" t="n"/>
      <c r="AM243" s="14" t="n"/>
      <c r="AN243" s="14" t="n"/>
      <c r="AO243" s="14" t="n"/>
      <c r="AP243" s="14" t="n"/>
      <c r="AQ243" s="14" t="n"/>
      <c r="AR243" s="14" t="n"/>
      <c r="AS243" s="14" t="n"/>
      <c r="AT243" s="14" t="n"/>
      <c r="AU243" s="14" t="n"/>
      <c r="AV243" s="14" t="n"/>
      <c r="AW243" s="14" t="n"/>
      <c r="AX243" s="14" t="n"/>
      <c r="AY243" s="14" t="n"/>
      <c r="AZ243" s="14" t="n"/>
      <c r="BA243" s="14" t="n"/>
      <c r="BB243" s="14" t="n"/>
      <c r="BC243" s="14" t="n"/>
      <c r="BD243" s="14" t="n"/>
      <c r="BE243" s="14" t="n"/>
    </row>
    <row r="244" hidden="1" ht="15.75" customHeight="1" thickTop="1">
      <c r="A244" s="39" t="inlineStr">
        <is>
          <t>RM6-6MCC02</t>
        </is>
      </c>
      <c r="B244" s="29" t="inlineStr">
        <is>
          <t>16A</t>
        </is>
      </c>
      <c r="C244" s="111" t="inlineStr">
        <is>
          <t>RM6-HTX-101.M1</t>
        </is>
      </c>
      <c r="D244" s="28" t="inlineStr">
        <is>
          <t xml:space="preserve">VOTATOR HX-101 COOKER 1 </t>
        </is>
      </c>
      <c r="E244" s="112" t="inlineStr">
        <is>
          <t>VFD</t>
        </is>
      </c>
      <c r="F244" s="8" t="n">
        <v>15</v>
      </c>
      <c r="G244" s="8" t="n">
        <v>15</v>
      </c>
      <c r="H244" s="82" t="n"/>
      <c r="I244" s="8" t="n"/>
      <c r="J244" s="80">
        <f>IF(ISNUMBER(MCC_Table[[#This Row],[SIZE]]), MCC_Table[[#This Row],[SIZE]]/12, 0)</f>
        <v/>
      </c>
      <c r="K244" s="82" t="n">
        <v>60</v>
      </c>
      <c r="L244" s="82" t="n">
        <v>125</v>
      </c>
      <c r="M244" s="82" t="n">
        <v>40</v>
      </c>
      <c r="N244" s="82" t="inlineStr">
        <is>
          <t>3/C #10 VFD CABLE</t>
        </is>
      </c>
      <c r="O244" s="77" t="n"/>
      <c r="P244" s="110" t="n"/>
      <c r="Q244" s="79" t="n"/>
      <c r="R244" s="79" t="n"/>
      <c r="S244" s="79" t="n"/>
      <c r="T244" s="79" t="n"/>
      <c r="U244" s="79" t="n"/>
      <c r="V244" s="79" t="n"/>
      <c r="W244" s="79" t="n"/>
      <c r="X244" s="79" t="n"/>
      <c r="Y244" s="79" t="n"/>
      <c r="Z244" s="79" t="n"/>
      <c r="AA244" s="79" t="n"/>
      <c r="AB244" s="225" t="n"/>
      <c r="AC244" s="225" t="n"/>
      <c r="AD244" s="225" t="n"/>
      <c r="AE244" s="29">
        <f>_xlfn.NUMBERVALUE(LEFT(MCC_Table[[#This Row],[BUCKET]],LEN(MCC_Table[[#This Row],[BUCKET]])-1))</f>
        <v/>
      </c>
      <c r="AF244" s="29">
        <f>RIGHT(MCC_Table[[#This Row],[BUCKET]],1)</f>
        <v/>
      </c>
      <c r="AG244" s="29">
        <f>VLOOKUP(MCC_Table[[#This Row],[START UNIT]],UnitMap[],2,FALSE)</f>
        <v/>
      </c>
      <c r="AH244" s="29">
        <f t="array" ref="AH24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44" s="29">
        <f>IF(ISNUMBER(MCC_Table[[#This Row],[SIZE]]), MCC_Table[[#This Row],[SIZE]]/6, 0)</f>
        <v/>
      </c>
      <c r="AJ244" s="29">
        <f>MCC_Table[[#This Row],[START INDEX]]+MCC_Table[[#This Row],[UNITS USED]]-1</f>
        <v/>
      </c>
      <c r="AK244" s="14" t="n"/>
      <c r="AL244" s="14" t="n"/>
      <c r="AM244" s="14" t="n"/>
      <c r="AN244" s="14" t="n"/>
      <c r="AO244" s="14" t="n"/>
      <c r="AP244" s="14" t="n"/>
      <c r="AQ244" s="14" t="n"/>
      <c r="AR244" s="14" t="n"/>
      <c r="AS244" s="14" t="n"/>
      <c r="AT244" s="14" t="n"/>
      <c r="AU244" s="14" t="n"/>
      <c r="AV244" s="14" t="n"/>
      <c r="AW244" s="14" t="n"/>
      <c r="AX244" s="14" t="n"/>
      <c r="AY244" s="14" t="n"/>
      <c r="AZ244" s="14" t="n"/>
      <c r="BA244" s="14" t="n"/>
      <c r="BB244" s="14" t="n"/>
      <c r="BC244" s="14" t="n"/>
      <c r="BD244" s="14" t="n"/>
      <c r="BE244" s="14" t="n"/>
    </row>
    <row r="245" hidden="1" ht="15.75" customHeight="1" thickTop="1">
      <c r="A245" s="39" t="inlineStr">
        <is>
          <t>RM6-6MCC02</t>
        </is>
      </c>
      <c r="B245" s="29" t="inlineStr">
        <is>
          <t>16G</t>
        </is>
      </c>
      <c r="C245" s="111" t="inlineStr">
        <is>
          <t>RM6-HTX-102.M1</t>
        </is>
      </c>
      <c r="D245" s="28" t="inlineStr">
        <is>
          <t>VOTATOR HX-102 COOKER 1</t>
        </is>
      </c>
      <c r="E245" s="112" t="inlineStr">
        <is>
          <t>VFD</t>
        </is>
      </c>
      <c r="F245" s="8" t="n">
        <v>15</v>
      </c>
      <c r="G245" s="8" t="n">
        <v>15</v>
      </c>
      <c r="H245" s="82" t="n"/>
      <c r="I245" s="8" t="n"/>
      <c r="J245" s="80">
        <f>IF(ISNUMBER(MCC_Table[[#This Row],[SIZE]]), MCC_Table[[#This Row],[SIZE]]/12, 0)</f>
        <v/>
      </c>
      <c r="K245" s="82" t="n">
        <v>60</v>
      </c>
      <c r="L245" s="82" t="n">
        <v>125</v>
      </c>
      <c r="M245" s="82" t="n">
        <v>40</v>
      </c>
      <c r="N245" s="82" t="inlineStr">
        <is>
          <t>3/C #10 VFD CABLE</t>
        </is>
      </c>
      <c r="O245" s="77" t="n"/>
      <c r="P245" s="110" t="n"/>
      <c r="Q245" s="79" t="n"/>
      <c r="R245" s="79" t="n"/>
      <c r="S245" s="79" t="n"/>
      <c r="T245" s="79" t="n"/>
      <c r="U245" s="79" t="n"/>
      <c r="V245" s="79" t="n"/>
      <c r="W245" s="79" t="n"/>
      <c r="X245" s="79" t="n"/>
      <c r="Y245" s="79" t="n"/>
      <c r="Z245" s="79" t="n"/>
      <c r="AA245" s="79" t="n"/>
      <c r="AB245" s="225" t="n"/>
      <c r="AC245" s="225" t="n"/>
      <c r="AD245" s="225" t="n"/>
      <c r="AE245" s="29">
        <f>_xlfn.NUMBERVALUE(LEFT(MCC_Table[[#This Row],[BUCKET]],LEN(MCC_Table[[#This Row],[BUCKET]])-1))</f>
        <v/>
      </c>
      <c r="AF245" s="29">
        <f>RIGHT(MCC_Table[[#This Row],[BUCKET]],1)</f>
        <v/>
      </c>
      <c r="AG245" s="29">
        <f>VLOOKUP(MCC_Table[[#This Row],[START UNIT]],UnitMap[],2,FALSE)</f>
        <v/>
      </c>
      <c r="AH245" s="29">
        <f t="array" ref="AH24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45" s="29">
        <f>IF(ISNUMBER(MCC_Table[[#This Row],[SIZE]]), MCC_Table[[#This Row],[SIZE]]/6, 0)</f>
        <v/>
      </c>
      <c r="AJ245" s="29">
        <f>MCC_Table[[#This Row],[START INDEX]]+MCC_Table[[#This Row],[UNITS USED]]-1</f>
        <v/>
      </c>
      <c r="AK245" s="14" t="n"/>
      <c r="AL245" s="14" t="n"/>
      <c r="AM245" s="14" t="n"/>
      <c r="AN245" s="14" t="n"/>
      <c r="AO245" s="14" t="n"/>
      <c r="AP245" s="14" t="n"/>
      <c r="AQ245" s="14" t="n"/>
      <c r="AR245" s="14" t="n"/>
      <c r="AS245" s="14" t="n"/>
      <c r="AT245" s="14" t="n"/>
      <c r="AU245" s="14" t="n"/>
      <c r="AV245" s="14" t="n"/>
      <c r="AW245" s="14" t="n"/>
      <c r="AX245" s="14" t="n"/>
      <c r="AY245" s="14" t="n"/>
      <c r="AZ245" s="14" t="n"/>
      <c r="BA245" s="14" t="n"/>
      <c r="BB245" s="14" t="n"/>
      <c r="BC245" s="14" t="n"/>
      <c r="BD245" s="14" t="n"/>
      <c r="BE245" s="14" t="n"/>
    </row>
    <row r="246" hidden="1" ht="15.75" customHeight="1" thickTop="1">
      <c r="A246" s="39" t="inlineStr">
        <is>
          <t>RM6-6MCC02</t>
        </is>
      </c>
      <c r="B246" s="29" t="inlineStr">
        <is>
          <t>17A</t>
        </is>
      </c>
      <c r="C246" s="111" t="inlineStr">
        <is>
          <t>RM6-HTX-103.M1</t>
        </is>
      </c>
      <c r="D246" s="28" t="inlineStr">
        <is>
          <t>VOTATOR HX-103 COOKER 1</t>
        </is>
      </c>
      <c r="E246" s="112" t="inlineStr">
        <is>
          <t>VFD</t>
        </is>
      </c>
      <c r="F246" s="8" t="n">
        <v>15</v>
      </c>
      <c r="G246" s="8" t="n">
        <v>15</v>
      </c>
      <c r="H246" s="82" t="n"/>
      <c r="I246" s="8" t="n"/>
      <c r="J246" s="80">
        <f>IF(ISNUMBER(MCC_Table[[#This Row],[SIZE]]), MCC_Table[[#This Row],[SIZE]]/12, 0)</f>
        <v/>
      </c>
      <c r="K246" s="82" t="n">
        <v>60</v>
      </c>
      <c r="L246" s="82" t="n">
        <v>125</v>
      </c>
      <c r="M246" s="82" t="n">
        <v>40</v>
      </c>
      <c r="N246" s="82" t="inlineStr">
        <is>
          <t>3/C #10 VFD CABLE</t>
        </is>
      </c>
      <c r="O246" s="77" t="n"/>
      <c r="P246" s="110" t="n"/>
      <c r="Q246" s="79" t="n"/>
      <c r="R246" s="79" t="n"/>
      <c r="S246" s="79" t="n"/>
      <c r="T246" s="79" t="n"/>
      <c r="U246" s="79" t="n"/>
      <c r="V246" s="79" t="n"/>
      <c r="W246" s="79" t="n"/>
      <c r="X246" s="79" t="n"/>
      <c r="Y246" s="79" t="n"/>
      <c r="Z246" s="79" t="n"/>
      <c r="AA246" s="79" t="n"/>
      <c r="AB246" s="225" t="n"/>
      <c r="AC246" s="225" t="n"/>
      <c r="AD246" s="225" t="n"/>
      <c r="AE246" s="29">
        <f>_xlfn.NUMBERVALUE(LEFT(MCC_Table[[#This Row],[BUCKET]],LEN(MCC_Table[[#This Row],[BUCKET]])-1))</f>
        <v/>
      </c>
      <c r="AF246" s="29">
        <f>RIGHT(MCC_Table[[#This Row],[BUCKET]],1)</f>
        <v/>
      </c>
      <c r="AG246" s="29">
        <f>VLOOKUP(MCC_Table[[#This Row],[START UNIT]],UnitMap[],2,FALSE)</f>
        <v/>
      </c>
      <c r="AH246" s="29">
        <f t="array" ref="AH24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46" s="29">
        <f>IF(ISNUMBER(MCC_Table[[#This Row],[SIZE]]), MCC_Table[[#This Row],[SIZE]]/6, 0)</f>
        <v/>
      </c>
      <c r="AJ246" s="29">
        <f>MCC_Table[[#This Row],[START INDEX]]+MCC_Table[[#This Row],[UNITS USED]]-1</f>
        <v/>
      </c>
      <c r="AK246" s="14" t="n"/>
      <c r="AL246" s="14" t="n"/>
      <c r="AM246" s="14" t="n"/>
      <c r="AN246" s="14" t="n"/>
      <c r="AO246" s="14" t="n"/>
      <c r="AP246" s="14" t="n"/>
      <c r="AQ246" s="14" t="n"/>
      <c r="AR246" s="14" t="n"/>
      <c r="AS246" s="14" t="n"/>
      <c r="AT246" s="14" t="n"/>
      <c r="AU246" s="14" t="n"/>
      <c r="AV246" s="14" t="n"/>
      <c r="AW246" s="14" t="n"/>
      <c r="AX246" s="14" t="n"/>
      <c r="AY246" s="14" t="n"/>
      <c r="AZ246" s="14" t="n"/>
      <c r="BA246" s="14" t="n"/>
      <c r="BB246" s="14" t="n"/>
      <c r="BC246" s="14" t="n"/>
      <c r="BD246" s="14" t="n"/>
      <c r="BE246" s="14" t="n"/>
    </row>
    <row r="247" hidden="1" ht="15.75" customHeight="1" thickTop="1">
      <c r="A247" s="39" t="inlineStr">
        <is>
          <t>RM6-6MCC02</t>
        </is>
      </c>
      <c r="B247" s="29" t="inlineStr">
        <is>
          <t>17G</t>
        </is>
      </c>
      <c r="C247" s="111" t="inlineStr">
        <is>
          <t>RM6-HTX-104.M1</t>
        </is>
      </c>
      <c r="D247" s="28" t="inlineStr">
        <is>
          <t>VOTATOR HX-104 COOKER 1</t>
        </is>
      </c>
      <c r="E247" s="112" t="inlineStr">
        <is>
          <t>VFD</t>
        </is>
      </c>
      <c r="F247" s="8" t="n">
        <v>15</v>
      </c>
      <c r="G247" s="8" t="n">
        <v>15</v>
      </c>
      <c r="H247" s="82" t="n"/>
      <c r="I247" s="8" t="n"/>
      <c r="J247" s="80">
        <f>IF(ISNUMBER(MCC_Table[[#This Row],[SIZE]]), MCC_Table[[#This Row],[SIZE]]/12, 0)</f>
        <v/>
      </c>
      <c r="K247" s="82" t="n">
        <v>60</v>
      </c>
      <c r="L247" s="82" t="n">
        <v>125</v>
      </c>
      <c r="M247" s="82" t="n">
        <v>40</v>
      </c>
      <c r="N247" s="82" t="inlineStr">
        <is>
          <t>3/C #10 VFD CABLE</t>
        </is>
      </c>
      <c r="O247" s="77" t="n"/>
      <c r="P247" s="110" t="n"/>
      <c r="Q247" s="79" t="n"/>
      <c r="R247" s="79" t="n"/>
      <c r="S247" s="79" t="n"/>
      <c r="T247" s="79" t="n"/>
      <c r="U247" s="79" t="n"/>
      <c r="V247" s="79" t="n"/>
      <c r="W247" s="79" t="n"/>
      <c r="X247" s="79" t="n"/>
      <c r="Y247" s="79" t="n"/>
      <c r="Z247" s="79" t="n"/>
      <c r="AA247" s="79" t="n"/>
      <c r="AB247" s="225" t="n"/>
      <c r="AC247" s="225" t="n"/>
      <c r="AD247" s="225" t="n"/>
      <c r="AE247" s="29">
        <f>_xlfn.NUMBERVALUE(LEFT(MCC_Table[[#This Row],[BUCKET]],LEN(MCC_Table[[#This Row],[BUCKET]])-1))</f>
        <v/>
      </c>
      <c r="AF247" s="29">
        <f>RIGHT(MCC_Table[[#This Row],[BUCKET]],1)</f>
        <v/>
      </c>
      <c r="AG247" s="29">
        <f>VLOOKUP(MCC_Table[[#This Row],[START UNIT]],UnitMap[],2,FALSE)</f>
        <v/>
      </c>
      <c r="AH247" s="29">
        <f t="array" ref="AH24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47" s="29">
        <f>IF(ISNUMBER(MCC_Table[[#This Row],[SIZE]]), MCC_Table[[#This Row],[SIZE]]/6, 0)</f>
        <v/>
      </c>
      <c r="AJ247" s="29">
        <f>MCC_Table[[#This Row],[START INDEX]]+MCC_Table[[#This Row],[UNITS USED]]-1</f>
        <v/>
      </c>
      <c r="AK247" s="14" t="n"/>
      <c r="AL247" s="14" t="n"/>
      <c r="AM247" s="14" t="n"/>
      <c r="AN247" s="14" t="n"/>
      <c r="AO247" s="14" t="n"/>
      <c r="AP247" s="14" t="n"/>
      <c r="AQ247" s="14" t="n"/>
      <c r="AR247" s="14" t="n"/>
      <c r="AS247" s="14" t="n"/>
      <c r="AT247" s="14" t="n"/>
      <c r="AU247" s="14" t="n"/>
      <c r="AV247" s="14" t="n"/>
      <c r="AW247" s="14" t="n"/>
      <c r="AX247" s="14" t="n"/>
      <c r="AY247" s="14" t="n"/>
      <c r="AZ247" s="14" t="n"/>
      <c r="BA247" s="14" t="n"/>
      <c r="BB247" s="14" t="n"/>
      <c r="BC247" s="14" t="n"/>
      <c r="BD247" s="14" t="n"/>
      <c r="BE247" s="14" t="n"/>
    </row>
    <row r="248" hidden="1" ht="15.75" customHeight="1" thickTop="1">
      <c r="A248" s="39" t="inlineStr">
        <is>
          <t>RM6-6MCC02</t>
        </is>
      </c>
      <c r="B248" s="29" t="inlineStr">
        <is>
          <t>18A</t>
        </is>
      </c>
      <c r="C248" s="111" t="inlineStr">
        <is>
          <t>SPACE</t>
        </is>
      </c>
      <c r="D248" s="28" t="n"/>
      <c r="E248" s="112" t="n"/>
      <c r="F248" s="8" t="n"/>
      <c r="G248" s="8" t="n"/>
      <c r="H248" s="82" t="n"/>
      <c r="I248" s="8" t="n"/>
      <c r="J248" s="80">
        <f>IF(ISNUMBER(MCC_Table[[#This Row],[SIZE]]), MCC_Table[[#This Row],[SIZE]]/12, 0)</f>
        <v/>
      </c>
      <c r="K248" s="82" t="n"/>
      <c r="L248" s="82" t="n"/>
      <c r="M248" s="82" t="n"/>
      <c r="N248" s="82" t="n"/>
      <c r="O248" s="77" t="n"/>
      <c r="P248" s="110" t="n"/>
      <c r="Q248" s="79" t="n"/>
      <c r="R248" s="79" t="n"/>
      <c r="S248" s="79" t="n"/>
      <c r="T248" s="79" t="n"/>
      <c r="U248" s="79" t="n"/>
      <c r="V248" s="79" t="n"/>
      <c r="W248" s="79" t="n"/>
      <c r="X248" s="79" t="n"/>
      <c r="Y248" s="79" t="n"/>
      <c r="Z248" s="79" t="n"/>
      <c r="AA248" s="79" t="n"/>
      <c r="AB248" s="225" t="n"/>
      <c r="AC248" s="225" t="n"/>
      <c r="AD248" s="225" t="n"/>
      <c r="AE248" s="29">
        <f>_xlfn.NUMBERVALUE(LEFT(MCC_Table[[#This Row],[BUCKET]],LEN(MCC_Table[[#This Row],[BUCKET]])-1))</f>
        <v/>
      </c>
      <c r="AF248" s="29">
        <f>RIGHT(MCC_Table[[#This Row],[BUCKET]],1)</f>
        <v/>
      </c>
      <c r="AG248" s="29">
        <f>VLOOKUP(MCC_Table[[#This Row],[START UNIT]],UnitMap[],2,FALSE)</f>
        <v/>
      </c>
      <c r="AH248" s="29">
        <f t="array" ref="AH24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48" s="29">
        <f>IF(ISNUMBER(MCC_Table[[#This Row],[SIZE]]), MCC_Table[[#This Row],[SIZE]]/6, 0)</f>
        <v/>
      </c>
      <c r="AJ248" s="29">
        <f>MCC_Table[[#This Row],[START INDEX]]+MCC_Table[[#This Row],[UNITS USED]]-1</f>
        <v/>
      </c>
      <c r="AK248" s="14" t="n"/>
      <c r="AL248" s="14" t="n"/>
      <c r="AM248" s="14" t="n"/>
      <c r="AN248" s="14" t="n"/>
      <c r="AO248" s="14" t="n"/>
      <c r="AP248" s="14" t="n"/>
      <c r="AQ248" s="14" t="n"/>
      <c r="AR248" s="14" t="n"/>
      <c r="AS248" s="14" t="n"/>
      <c r="AT248" s="14" t="n"/>
      <c r="AU248" s="14" t="n"/>
      <c r="AV248" s="14" t="n"/>
      <c r="AW248" s="14" t="n"/>
      <c r="AX248" s="14" t="n"/>
      <c r="AY248" s="14" t="n"/>
      <c r="AZ248" s="14" t="n"/>
      <c r="BA248" s="14" t="n"/>
      <c r="BB248" s="14" t="n"/>
      <c r="BC248" s="14" t="n"/>
      <c r="BD248" s="14" t="n"/>
      <c r="BE248" s="14" t="n"/>
    </row>
    <row r="249" hidden="1" ht="15.75" customHeight="1" thickTop="1">
      <c r="A249" s="39" t="inlineStr">
        <is>
          <t>RM6-6MCC02</t>
        </is>
      </c>
      <c r="B249" s="29" t="inlineStr">
        <is>
          <t>18C</t>
        </is>
      </c>
      <c r="C249" s="111" t="inlineStr">
        <is>
          <t>RM6-AGC-101.M1</t>
        </is>
      </c>
      <c r="D249" s="28" t="inlineStr">
        <is>
          <t>AUGER CART 1 AUGER 1</t>
        </is>
      </c>
      <c r="E249" s="112" t="inlineStr">
        <is>
          <t>VFD</t>
        </is>
      </c>
      <c r="F249" s="8" t="n">
        <v>7.5</v>
      </c>
      <c r="G249" s="8" t="n">
        <v>10</v>
      </c>
      <c r="H249" s="82" t="n"/>
      <c r="I249" s="8" t="n"/>
      <c r="J249" s="80">
        <f>IF(ISNUMBER(MCC_Table[[#This Row],[SIZE]]), MCC_Table[[#This Row],[SIZE]]/12, 0)</f>
        <v/>
      </c>
      <c r="K249" s="82" t="n">
        <v>30</v>
      </c>
      <c r="L249" s="82" t="n">
        <v>125</v>
      </c>
      <c r="M249" s="82" t="n">
        <v>25</v>
      </c>
      <c r="N249" s="82" t="inlineStr">
        <is>
          <t>3/C #12 VFD CABLE</t>
        </is>
      </c>
      <c r="O249" s="77" t="n"/>
      <c r="P249" s="110" t="n"/>
      <c r="Q249" s="79" t="n"/>
      <c r="R249" s="79" t="n"/>
      <c r="S249" s="79" t="n"/>
      <c r="T249" s="79" t="n"/>
      <c r="U249" s="79" t="n"/>
      <c r="V249" s="79" t="n"/>
      <c r="W249" s="79" t="n"/>
      <c r="X249" s="79" t="n"/>
      <c r="Y249" s="79" t="n"/>
      <c r="Z249" s="79" t="n"/>
      <c r="AA249" s="79" t="n"/>
      <c r="AB249" s="225" t="n"/>
      <c r="AC249" s="225" t="n"/>
      <c r="AD249" s="225" t="n"/>
      <c r="AE249" s="29">
        <f>_xlfn.NUMBERVALUE(LEFT(MCC_Table[[#This Row],[BUCKET]],LEN(MCC_Table[[#This Row],[BUCKET]])-1))</f>
        <v/>
      </c>
      <c r="AF249" s="29">
        <f>RIGHT(MCC_Table[[#This Row],[BUCKET]],1)</f>
        <v/>
      </c>
      <c r="AG249" s="29">
        <f>VLOOKUP(MCC_Table[[#This Row],[START UNIT]],UnitMap[],2,FALSE)</f>
        <v/>
      </c>
      <c r="AH249" s="29">
        <f t="array" ref="AH24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49" s="29">
        <f>IF(ISNUMBER(MCC_Table[[#This Row],[SIZE]]), MCC_Table[[#This Row],[SIZE]]/6, 0)</f>
        <v/>
      </c>
      <c r="AJ249" s="29">
        <f>MCC_Table[[#This Row],[START INDEX]]+MCC_Table[[#This Row],[UNITS USED]]-1</f>
        <v/>
      </c>
      <c r="AK249" s="14" t="n"/>
      <c r="AL249" s="14" t="n"/>
      <c r="AM249" s="14" t="n"/>
      <c r="AN249" s="14" t="n"/>
      <c r="AO249" s="14" t="n"/>
      <c r="AP249" s="14" t="n"/>
      <c r="AQ249" s="14" t="n"/>
      <c r="AR249" s="14" t="n"/>
      <c r="AS249" s="14" t="n"/>
      <c r="AT249" s="14" t="n"/>
      <c r="AU249" s="14" t="n"/>
      <c r="AV249" s="14" t="n"/>
      <c r="AW249" s="14" t="n"/>
      <c r="AX249" s="14" t="n"/>
      <c r="AY249" s="14" t="n"/>
      <c r="AZ249" s="14" t="n"/>
      <c r="BA249" s="14" t="n"/>
      <c r="BB249" s="14" t="n"/>
      <c r="BC249" s="14" t="n"/>
      <c r="BD249" s="14" t="n"/>
      <c r="BE249" s="14" t="n"/>
    </row>
    <row r="250" hidden="1" ht="15.75" customHeight="1" thickTop="1">
      <c r="A250" s="39" t="inlineStr">
        <is>
          <t>RM6-6MCC02</t>
        </is>
      </c>
      <c r="B250" s="29" t="inlineStr">
        <is>
          <t>18H</t>
        </is>
      </c>
      <c r="C250" s="111" t="inlineStr">
        <is>
          <t>RM6-AGC-101.M2</t>
        </is>
      </c>
      <c r="D250" s="28" t="inlineStr">
        <is>
          <t>AUGER CART 1 AUGER 2</t>
        </is>
      </c>
      <c r="E250" s="112" t="inlineStr">
        <is>
          <t>VFD</t>
        </is>
      </c>
      <c r="F250" s="8" t="n">
        <v>7.5</v>
      </c>
      <c r="G250" s="8" t="n">
        <v>10</v>
      </c>
      <c r="H250" s="82" t="n"/>
      <c r="I250" s="8" t="n"/>
      <c r="J250" s="80">
        <f>IF(ISNUMBER(MCC_Table[[#This Row],[SIZE]]), MCC_Table[[#This Row],[SIZE]]/12, 0)</f>
        <v/>
      </c>
      <c r="K250" s="82" t="n">
        <v>30</v>
      </c>
      <c r="L250" s="82" t="n">
        <v>125</v>
      </c>
      <c r="M250" s="82" t="n">
        <v>25</v>
      </c>
      <c r="N250" s="82" t="inlineStr">
        <is>
          <t>3/C #12 VFD CABLE</t>
        </is>
      </c>
      <c r="O250" s="77" t="n"/>
      <c r="P250" s="110" t="n"/>
      <c r="Q250" s="79" t="n"/>
      <c r="R250" s="79" t="n"/>
      <c r="S250" s="79" t="n"/>
      <c r="T250" s="79" t="n"/>
      <c r="U250" s="79" t="n"/>
      <c r="V250" s="79" t="n"/>
      <c r="W250" s="79" t="n"/>
      <c r="X250" s="79" t="n"/>
      <c r="Y250" s="79" t="n"/>
      <c r="Z250" s="79" t="n"/>
      <c r="AA250" s="79" t="n"/>
      <c r="AB250" s="225" t="n"/>
      <c r="AC250" s="225" t="n"/>
      <c r="AD250" s="225" t="n"/>
      <c r="AE250" s="29">
        <f>_xlfn.NUMBERVALUE(LEFT(MCC_Table[[#This Row],[BUCKET]],LEN(MCC_Table[[#This Row],[BUCKET]])-1))</f>
        <v/>
      </c>
      <c r="AF250" s="29">
        <f>RIGHT(MCC_Table[[#This Row],[BUCKET]],1)</f>
        <v/>
      </c>
      <c r="AG250" s="29">
        <f>VLOOKUP(MCC_Table[[#This Row],[START UNIT]],UnitMap[],2,FALSE)</f>
        <v/>
      </c>
      <c r="AH250" s="29">
        <f t="array" ref="AH25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50" s="29">
        <f>IF(ISNUMBER(MCC_Table[[#This Row],[SIZE]]), MCC_Table[[#This Row],[SIZE]]/6, 0)</f>
        <v/>
      </c>
      <c r="AJ250" s="29">
        <f>MCC_Table[[#This Row],[START INDEX]]+MCC_Table[[#This Row],[UNITS USED]]-1</f>
        <v/>
      </c>
      <c r="AK250" s="14" t="n"/>
      <c r="AL250" s="14" t="n"/>
      <c r="AM250" s="14" t="n"/>
      <c r="AN250" s="14" t="n"/>
      <c r="AO250" s="14" t="n"/>
      <c r="AP250" s="14" t="n"/>
      <c r="AQ250" s="14" t="n"/>
      <c r="AR250" s="14" t="n"/>
      <c r="AS250" s="14" t="n"/>
      <c r="AT250" s="14" t="n"/>
      <c r="AU250" s="14" t="n"/>
      <c r="AV250" s="14" t="n"/>
      <c r="AW250" s="14" t="n"/>
      <c r="AX250" s="14" t="n"/>
      <c r="AY250" s="14" t="n"/>
      <c r="AZ250" s="14" t="n"/>
      <c r="BA250" s="14" t="n"/>
      <c r="BB250" s="14" t="n"/>
      <c r="BC250" s="14" t="n"/>
      <c r="BD250" s="14" t="n"/>
      <c r="BE250" s="14" t="n"/>
    </row>
    <row r="251" hidden="1" ht="15.75" customHeight="1" thickTop="1">
      <c r="A251" s="39" t="n"/>
      <c r="B251" s="29" t="n"/>
      <c r="C251" s="111" t="n"/>
      <c r="D251" s="28" t="n"/>
      <c r="E251" s="112" t="n"/>
      <c r="F251" s="8" t="n"/>
      <c r="G251" s="8" t="n"/>
      <c r="H251" s="82" t="n"/>
      <c r="I251" s="8" t="n"/>
      <c r="J251" s="80">
        <f>IF(ISNUMBER(MCC_Table[[#This Row],[SIZE]]), MCC_Table[[#This Row],[SIZE]]/12, 0)</f>
        <v/>
      </c>
      <c r="K251" s="82" t="n"/>
      <c r="L251" s="82" t="n"/>
      <c r="M251" s="82" t="n"/>
      <c r="N251" s="82" t="n"/>
      <c r="O251" s="77" t="n"/>
      <c r="P251" s="110" t="n"/>
      <c r="Q251" s="79" t="n"/>
      <c r="R251" s="79" t="n"/>
      <c r="S251" s="79" t="n"/>
      <c r="T251" s="79" t="n"/>
      <c r="U251" s="79" t="n"/>
      <c r="V251" s="79" t="n"/>
      <c r="W251" s="79" t="n"/>
      <c r="X251" s="79" t="n"/>
      <c r="Y251" s="79" t="n"/>
      <c r="Z251" s="79" t="n"/>
      <c r="AA251" s="79" t="n"/>
      <c r="AB251" s="225" t="n"/>
      <c r="AC251" s="225" t="n"/>
      <c r="AD251" s="225" t="n"/>
      <c r="AE251" s="29">
        <f>_xlfn.NUMBERVALUE(LEFT(MCC_Table[[#This Row],[BUCKET]],LEN(MCC_Table[[#This Row],[BUCKET]])-1))</f>
        <v/>
      </c>
      <c r="AF251" s="29">
        <f>RIGHT(MCC_Table[[#This Row],[BUCKET]],1)</f>
        <v/>
      </c>
      <c r="AG251" s="29">
        <f>VLOOKUP(MCC_Table[[#This Row],[START UNIT]],UnitMap[],2,FALSE)</f>
        <v/>
      </c>
      <c r="AH251" s="29">
        <f t="array" ref="AH25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51" s="29">
        <f>IF(ISNUMBER(MCC_Table[[#This Row],[SIZE]]), MCC_Table[[#This Row],[SIZE]]/6, 0)</f>
        <v/>
      </c>
      <c r="AJ251" s="29">
        <f>MCC_Table[[#This Row],[START INDEX]]+MCC_Table[[#This Row],[UNITS USED]]-1</f>
        <v/>
      </c>
      <c r="AK251" s="14" t="n"/>
      <c r="AL251" s="14" t="n"/>
      <c r="AM251" s="14" t="n"/>
      <c r="AN251" s="14" t="n"/>
      <c r="AO251" s="14" t="n"/>
      <c r="AP251" s="14" t="n"/>
      <c r="AQ251" s="14" t="n"/>
      <c r="AR251" s="14" t="n"/>
      <c r="AS251" s="14" t="n"/>
      <c r="AT251" s="14" t="n"/>
      <c r="AU251" s="14" t="n"/>
      <c r="AV251" s="14" t="n"/>
      <c r="AW251" s="14" t="n"/>
      <c r="AX251" s="14" t="n"/>
      <c r="AY251" s="14" t="n"/>
      <c r="AZ251" s="14" t="n"/>
      <c r="BA251" s="14" t="n"/>
      <c r="BB251" s="14" t="n"/>
      <c r="BC251" s="14" t="n"/>
      <c r="BD251" s="14" t="n"/>
      <c r="BE251" s="14" t="n"/>
    </row>
    <row r="252" hidden="1" ht="15.75" customHeight="1" thickTop="1">
      <c r="A252" s="113" t="n"/>
      <c r="B252" s="29" t="n"/>
      <c r="C252" s="111" t="n"/>
      <c r="D252" s="114" t="n"/>
      <c r="E252" s="112" t="n"/>
      <c r="F252" s="8" t="n"/>
      <c r="G252" s="8" t="n"/>
      <c r="H252" s="82" t="n"/>
      <c r="I252" s="8" t="n"/>
      <c r="J252" s="80">
        <f>IF(ISNUMBER(MCC_Table[[#This Row],[SIZE]]), MCC_Table[[#This Row],[SIZE]]/12, 0)</f>
        <v/>
      </c>
      <c r="K252" s="82" t="n"/>
      <c r="L252" s="82" t="n"/>
      <c r="M252" s="82" t="n"/>
      <c r="N252" s="82" t="n"/>
      <c r="O252" s="77" t="n"/>
      <c r="P252" s="110" t="n"/>
      <c r="Q252" s="79" t="n"/>
      <c r="R252" s="79" t="n"/>
      <c r="S252" s="79" t="n"/>
      <c r="T252" s="79" t="n"/>
      <c r="U252" s="79" t="n"/>
      <c r="V252" s="79" t="n"/>
      <c r="W252" s="79" t="n"/>
      <c r="X252" s="79" t="n"/>
      <c r="Y252" s="79" t="n"/>
      <c r="Z252" s="79" t="n"/>
      <c r="AA252" s="79" t="n"/>
      <c r="AB252" s="225" t="n"/>
      <c r="AC252" s="225" t="n"/>
      <c r="AD252" s="225" t="n"/>
      <c r="AE252" s="29">
        <f>_xlfn.NUMBERVALUE(LEFT(MCC_Table[[#This Row],[BUCKET]],LEN(MCC_Table[[#This Row],[BUCKET]])-1))</f>
        <v/>
      </c>
      <c r="AF252" s="29">
        <f>RIGHT(MCC_Table[[#This Row],[BUCKET]],1)</f>
        <v/>
      </c>
      <c r="AG252" s="29">
        <f>VLOOKUP(MCC_Table[[#This Row],[START UNIT]],UnitMap[],2,FALSE)</f>
        <v/>
      </c>
      <c r="AH252" s="29">
        <f t="array" ref="AH25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52" s="29">
        <f>IF(ISNUMBER(MCC_Table[[#This Row],[SIZE]]), MCC_Table[[#This Row],[SIZE]]/6, 0)</f>
        <v/>
      </c>
      <c r="AJ252" s="29">
        <f>MCC_Table[[#This Row],[START INDEX]]+MCC_Table[[#This Row],[UNITS USED]]-1</f>
        <v/>
      </c>
      <c r="AK252" s="14" t="n"/>
      <c r="AL252" s="14" t="n"/>
      <c r="AM252" s="14" t="n"/>
      <c r="AN252" s="14" t="n"/>
      <c r="AO252" s="14" t="n"/>
      <c r="AP252" s="14" t="n"/>
      <c r="AQ252" s="14" t="n"/>
      <c r="AR252" s="14" t="n"/>
      <c r="AS252" s="14" t="n"/>
      <c r="AT252" s="14" t="n"/>
      <c r="AU252" s="14" t="n"/>
      <c r="AV252" s="14" t="n"/>
      <c r="AW252" s="14" t="n"/>
      <c r="AX252" s="14" t="n"/>
      <c r="AY252" s="14" t="n"/>
      <c r="AZ252" s="14" t="n"/>
      <c r="BA252" s="14" t="n"/>
      <c r="BB252" s="14" t="n"/>
      <c r="BC252" s="14" t="n"/>
      <c r="BD252" s="14" t="n"/>
      <c r="BE252" s="14" t="n"/>
    </row>
    <row r="253" hidden="1" ht="15.75" customHeight="1" thickTop="1">
      <c r="A253" s="39" t="n"/>
      <c r="B253" s="29" t="n"/>
      <c r="C253" s="111" t="n"/>
      <c r="D253" s="28" t="n"/>
      <c r="E253" s="112" t="n"/>
      <c r="F253" s="8" t="n"/>
      <c r="G253" s="8" t="n"/>
      <c r="H253" s="82" t="n"/>
      <c r="I253" s="8" t="n"/>
      <c r="J253" s="80">
        <f>IF(ISNUMBER(MCC_Table[[#This Row],[SIZE]]), MCC_Table[[#This Row],[SIZE]]/12, 0)</f>
        <v/>
      </c>
      <c r="K253" s="82" t="n"/>
      <c r="L253" s="82" t="n"/>
      <c r="M253" s="82" t="n"/>
      <c r="N253" s="82" t="n"/>
      <c r="O253" s="77" t="n"/>
      <c r="P253" s="110" t="n"/>
      <c r="Q253" s="79" t="n"/>
      <c r="R253" s="79" t="n"/>
      <c r="S253" s="79" t="n"/>
      <c r="T253" s="79" t="n"/>
      <c r="U253" s="79" t="n"/>
      <c r="V253" s="79" t="n"/>
      <c r="W253" s="79" t="n"/>
      <c r="X253" s="79" t="n"/>
      <c r="Y253" s="79" t="n"/>
      <c r="Z253" s="79" t="n"/>
      <c r="AA253" s="79" t="n"/>
      <c r="AB253" s="225" t="n"/>
      <c r="AC253" s="225" t="n"/>
      <c r="AD253" s="225" t="n"/>
      <c r="AE253" s="29">
        <f>_xlfn.NUMBERVALUE(LEFT(MCC_Table[[#This Row],[BUCKET]],LEN(MCC_Table[[#This Row],[BUCKET]])-1))</f>
        <v/>
      </c>
      <c r="AF253" s="29">
        <f>RIGHT(MCC_Table[[#This Row],[BUCKET]],1)</f>
        <v/>
      </c>
      <c r="AG253" s="29">
        <f>VLOOKUP(MCC_Table[[#This Row],[START UNIT]],UnitMap[],2,FALSE)</f>
        <v/>
      </c>
      <c r="AH253" s="29">
        <f t="array" ref="AH25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53" s="29">
        <f>IF(ISNUMBER(MCC_Table[[#This Row],[SIZE]]), MCC_Table[[#This Row],[SIZE]]/6, 0)</f>
        <v/>
      </c>
      <c r="AJ253" s="29">
        <f>MCC_Table[[#This Row],[START INDEX]]+MCC_Table[[#This Row],[UNITS USED]]-1</f>
        <v/>
      </c>
      <c r="AK253" s="14" t="n"/>
      <c r="AL253" s="14" t="n"/>
      <c r="AM253" s="14" t="n"/>
      <c r="AN253" s="14" t="n"/>
      <c r="AO253" s="14" t="n"/>
      <c r="AP253" s="14" t="n"/>
      <c r="AQ253" s="14" t="n"/>
      <c r="AR253" s="14" t="n"/>
      <c r="AS253" s="14" t="n"/>
      <c r="AT253" s="14" t="n"/>
      <c r="AU253" s="14" t="n"/>
      <c r="AV253" s="14" t="n"/>
      <c r="AW253" s="14" t="n"/>
      <c r="AX253" s="14" t="n"/>
      <c r="AY253" s="14" t="n"/>
      <c r="AZ253" s="14" t="n"/>
      <c r="BA253" s="14" t="n"/>
      <c r="BB253" s="14" t="n"/>
      <c r="BC253" s="14" t="n"/>
      <c r="BD253" s="14" t="n"/>
      <c r="BE253" s="14" t="n"/>
    </row>
    <row r="254" hidden="1" ht="15.75" customHeight="1" thickTop="1">
      <c r="A254" s="39" t="n"/>
      <c r="B254" s="29" t="n"/>
      <c r="C254" s="111" t="n"/>
      <c r="D254" s="28" t="n"/>
      <c r="E254" s="112" t="n"/>
      <c r="F254" s="8" t="n"/>
      <c r="G254" s="8" t="n"/>
      <c r="H254" s="82" t="n"/>
      <c r="I254" s="8" t="n"/>
      <c r="J254" s="80">
        <f>IF(ISNUMBER(MCC_Table[[#This Row],[SIZE]]), MCC_Table[[#This Row],[SIZE]]/12, 0)</f>
        <v/>
      </c>
      <c r="K254" s="82" t="n"/>
      <c r="L254" s="82" t="n"/>
      <c r="M254" s="82" t="n"/>
      <c r="N254" s="82" t="n"/>
      <c r="O254" s="77" t="n"/>
      <c r="P254" s="110" t="n"/>
      <c r="Q254" s="79" t="n"/>
      <c r="R254" s="79" t="n"/>
      <c r="S254" s="79" t="n"/>
      <c r="T254" s="79" t="n"/>
      <c r="U254" s="79" t="n"/>
      <c r="V254" s="79" t="n"/>
      <c r="W254" s="79" t="n"/>
      <c r="X254" s="79" t="n"/>
      <c r="Y254" s="79" t="n"/>
      <c r="Z254" s="79" t="n"/>
      <c r="AA254" s="79" t="n"/>
      <c r="AB254" s="225" t="n"/>
      <c r="AC254" s="225" t="n"/>
      <c r="AD254" s="225" t="n"/>
      <c r="AE254" s="29">
        <f>_xlfn.NUMBERVALUE(LEFT(MCC_Table[[#This Row],[BUCKET]],LEN(MCC_Table[[#This Row],[BUCKET]])-1))</f>
        <v/>
      </c>
      <c r="AF254" s="29">
        <f>RIGHT(MCC_Table[[#This Row],[BUCKET]],1)</f>
        <v/>
      </c>
      <c r="AG254" s="29">
        <f>VLOOKUP(MCC_Table[[#This Row],[START UNIT]],UnitMap[],2,FALSE)</f>
        <v/>
      </c>
      <c r="AH254" s="29">
        <f t="array" ref="AH25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54" s="29">
        <f>IF(ISNUMBER(MCC_Table[[#This Row],[SIZE]]), MCC_Table[[#This Row],[SIZE]]/6, 0)</f>
        <v/>
      </c>
      <c r="AJ254" s="29">
        <f>MCC_Table[[#This Row],[START INDEX]]+MCC_Table[[#This Row],[UNITS USED]]-1</f>
        <v/>
      </c>
      <c r="AK254" s="14" t="n"/>
      <c r="AL254" s="14" t="n"/>
      <c r="AM254" s="14" t="n"/>
      <c r="AN254" s="14" t="n"/>
      <c r="AO254" s="14" t="n"/>
      <c r="AP254" s="14" t="n"/>
      <c r="AQ254" s="14" t="n"/>
      <c r="AR254" s="14" t="n"/>
      <c r="AS254" s="14" t="n"/>
      <c r="AT254" s="14" t="n"/>
      <c r="AU254" s="14" t="n"/>
      <c r="AV254" s="14" t="n"/>
      <c r="AW254" s="14" t="n"/>
      <c r="AX254" s="14" t="n"/>
      <c r="AY254" s="14" t="n"/>
      <c r="AZ254" s="14" t="n"/>
      <c r="BA254" s="14" t="n"/>
      <c r="BB254" s="14" t="n"/>
      <c r="BC254" s="14" t="n"/>
      <c r="BD254" s="14" t="n"/>
      <c r="BE254" s="14" t="n"/>
    </row>
    <row r="255" hidden="1" ht="15.75" customHeight="1" thickTop="1">
      <c r="A255" s="113" t="n"/>
      <c r="B255" s="29" t="n"/>
      <c r="C255" s="111" t="n"/>
      <c r="D255" s="28" t="n"/>
      <c r="E255" s="112" t="n"/>
      <c r="F255" s="8" t="n"/>
      <c r="G255" s="8" t="n"/>
      <c r="H255" s="82" t="n"/>
      <c r="I255" s="8" t="n"/>
      <c r="J255" s="80">
        <f>IF(ISNUMBER(MCC_Table[[#This Row],[SIZE]]), MCC_Table[[#This Row],[SIZE]]/12, 0)</f>
        <v/>
      </c>
      <c r="K255" s="82" t="n"/>
      <c r="L255" s="82" t="n"/>
      <c r="M255" s="82" t="n"/>
      <c r="N255" s="82" t="n"/>
      <c r="O255" s="77" t="n"/>
      <c r="P255" s="110" t="n"/>
      <c r="Q255" s="79" t="n"/>
      <c r="R255" s="79" t="n"/>
      <c r="S255" s="79" t="n"/>
      <c r="T255" s="79" t="n"/>
      <c r="U255" s="79" t="n"/>
      <c r="V255" s="79" t="n"/>
      <c r="W255" s="79" t="n"/>
      <c r="X255" s="79" t="n"/>
      <c r="Y255" s="79" t="n"/>
      <c r="Z255" s="79" t="n"/>
      <c r="AA255" s="79" t="n"/>
      <c r="AB255" s="225" t="n"/>
      <c r="AC255" s="225" t="n"/>
      <c r="AD255" s="225" t="n"/>
      <c r="AE255" s="29">
        <f>_xlfn.NUMBERVALUE(LEFT(MCC_Table[[#This Row],[BUCKET]],LEN(MCC_Table[[#This Row],[BUCKET]])-1))</f>
        <v/>
      </c>
      <c r="AF255" s="29">
        <f>RIGHT(MCC_Table[[#This Row],[BUCKET]],1)</f>
        <v/>
      </c>
      <c r="AG255" s="29">
        <f>VLOOKUP(MCC_Table[[#This Row],[START UNIT]],UnitMap[],2,FALSE)</f>
        <v/>
      </c>
      <c r="AH255" s="29">
        <f t="array" ref="AH25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55" s="29">
        <f>IF(ISNUMBER(MCC_Table[[#This Row],[SIZE]]), MCC_Table[[#This Row],[SIZE]]/6, 0)</f>
        <v/>
      </c>
      <c r="AJ255" s="29">
        <f>MCC_Table[[#This Row],[START INDEX]]+MCC_Table[[#This Row],[UNITS USED]]-1</f>
        <v/>
      </c>
      <c r="AK255" s="14" t="n"/>
      <c r="AL255" s="14" t="n"/>
      <c r="AM255" s="14" t="n"/>
      <c r="AN255" s="14" t="n"/>
      <c r="AO255" s="14" t="n"/>
      <c r="AP255" s="14" t="n"/>
      <c r="AQ255" s="14" t="n"/>
      <c r="AR255" s="14" t="n"/>
      <c r="AS255" s="14" t="n"/>
      <c r="AT255" s="14" t="n"/>
      <c r="AU255" s="14" t="n"/>
      <c r="AV255" s="14" t="n"/>
      <c r="AW255" s="14" t="n"/>
      <c r="AX255" s="14" t="n"/>
      <c r="AY255" s="14" t="n"/>
      <c r="AZ255" s="14" t="n"/>
      <c r="BA255" s="14" t="n"/>
      <c r="BB255" s="14" t="n"/>
      <c r="BC255" s="14" t="n"/>
      <c r="BD255" s="14" t="n"/>
      <c r="BE255" s="14" t="n"/>
    </row>
    <row r="256" hidden="1" ht="15.75" customHeight="1" thickTop="1">
      <c r="A256" s="115" t="inlineStr">
        <is>
          <t>VTTRS-MCC1</t>
        </is>
      </c>
      <c r="B256" s="98" t="inlineStr">
        <is>
          <t>01A</t>
        </is>
      </c>
      <c r="C256" s="99" t="inlineStr">
        <is>
          <t>MAIN</t>
        </is>
      </c>
      <c r="D256" s="100" t="inlineStr">
        <is>
          <t>INCOMING MCB</t>
        </is>
      </c>
      <c r="E256" s="99" t="inlineStr">
        <is>
          <t>MAIN</t>
        </is>
      </c>
      <c r="F256" s="10" t="n"/>
      <c r="G256" s="10" t="n"/>
      <c r="H256" s="76" t="n"/>
      <c r="I256" s="10" t="n"/>
      <c r="J256" s="101">
        <f>IF(ISNUMBER(MCC_Table[[#This Row],[SIZE]]), MCC_Table[[#This Row],[SIZE]]/12, 0)</f>
        <v/>
      </c>
      <c r="K256" s="76" t="n">
        <v>1200</v>
      </c>
      <c r="L256" s="76" t="n">
        <v>1200</v>
      </c>
      <c r="M256" s="76" t="inlineStr">
        <is>
          <t>N/A</t>
        </is>
      </c>
      <c r="N256" s="76" t="n"/>
      <c r="O256" s="84" t="n"/>
      <c r="P256" s="110" t="n"/>
      <c r="Q256" s="79" t="n"/>
      <c r="R256" s="79" t="n"/>
      <c r="S256" s="79" t="n"/>
      <c r="T256" s="79" t="n"/>
      <c r="U256" s="79" t="n"/>
      <c r="V256" s="79" t="n"/>
      <c r="W256" s="79" t="n"/>
      <c r="X256" s="79" t="n"/>
      <c r="Y256" s="79" t="n"/>
      <c r="Z256" s="79" t="n"/>
      <c r="AA256" s="79" t="n"/>
      <c r="AB256" s="224" t="n"/>
      <c r="AC256" s="224" t="n"/>
      <c r="AD256" s="224" t="n"/>
      <c r="AE256" s="98">
        <f>_xlfn.NUMBERVALUE(LEFT(MCC_Table[[#This Row],[BUCKET]],LEN(MCC_Table[[#This Row],[BUCKET]])-1))</f>
        <v/>
      </c>
      <c r="AF256" s="98">
        <f>RIGHT(MCC_Table[[#This Row],[BUCKET]],1)</f>
        <v/>
      </c>
      <c r="AG256" s="98">
        <f>VLOOKUP(MCC_Table[[#This Row],[START UNIT]],UnitMap[],2,FALSE)</f>
        <v/>
      </c>
      <c r="AH256" s="98">
        <f t="array" ref="AH25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56" s="98">
        <f>IF(ISNUMBER(MCC_Table[[#This Row],[SIZE]]), MCC_Table[[#This Row],[SIZE]]/6, 0)</f>
        <v/>
      </c>
      <c r="AJ256" s="98">
        <f>MCC_Table[[#This Row],[START INDEX]]+MCC_Table[[#This Row],[UNITS USED]]-1</f>
        <v/>
      </c>
      <c r="AK256" s="14" t="n"/>
      <c r="AL256" s="14" t="n"/>
      <c r="AM256" s="14" t="n"/>
      <c r="AN256" s="14" t="n"/>
      <c r="AO256" s="14" t="n"/>
      <c r="AP256" s="14" t="n"/>
      <c r="AQ256" s="14" t="n"/>
      <c r="AR256" s="14" t="n"/>
      <c r="AS256" s="14" t="n"/>
      <c r="AT256" s="14" t="n"/>
      <c r="AU256" s="14" t="n"/>
      <c r="AV256" s="14" t="n"/>
      <c r="AW256" s="14" t="n"/>
      <c r="AX256" s="14" t="n"/>
      <c r="AY256" s="14" t="n"/>
      <c r="AZ256" s="14" t="n"/>
      <c r="BA256" s="14" t="n"/>
      <c r="BB256" s="14" t="n"/>
      <c r="BC256" s="14" t="n"/>
      <c r="BD256" s="14" t="n"/>
      <c r="BE256" s="14" t="n"/>
    </row>
    <row r="257" hidden="1" ht="15.75" customHeight="1" thickTop="1">
      <c r="A257" s="113" t="inlineStr">
        <is>
          <t>VTTRS-MCC1</t>
        </is>
      </c>
      <c r="B257" s="29" t="inlineStr">
        <is>
          <t>01H</t>
        </is>
      </c>
      <c r="C257" s="24" t="inlineStr">
        <is>
          <t>SPACE</t>
        </is>
      </c>
      <c r="D257" s="62" t="inlineStr">
        <is>
          <t>6" SPACE</t>
        </is>
      </c>
      <c r="E257" s="29" t="inlineStr">
        <is>
          <t>SPACE</t>
        </is>
      </c>
      <c r="F257" s="8" t="n"/>
      <c r="G257" s="8" t="n"/>
      <c r="H257" s="82" t="n"/>
      <c r="I257" s="8" t="n"/>
      <c r="J257" s="80">
        <f>IF(ISNUMBER(MCC_Table[[#This Row],[SIZE]]), MCC_Table[[#This Row],[SIZE]]/12, 0)</f>
        <v/>
      </c>
      <c r="K257" s="82" t="n"/>
      <c r="L257" s="82" t="n"/>
      <c r="M257" s="82" t="n"/>
      <c r="N257" s="82" t="n"/>
      <c r="O257" s="77" t="n"/>
      <c r="P257" s="110" t="n"/>
      <c r="Q257" s="79" t="n"/>
      <c r="R257" s="79" t="n"/>
      <c r="S257" s="79" t="n"/>
      <c r="T257" s="79" t="n"/>
      <c r="U257" s="79" t="n"/>
      <c r="V257" s="79" t="n"/>
      <c r="W257" s="79" t="n"/>
      <c r="X257" s="79" t="n"/>
      <c r="Y257" s="79" t="n"/>
      <c r="Z257" s="79" t="n"/>
      <c r="AA257" s="79" t="n"/>
      <c r="AB257" s="225" t="n"/>
      <c r="AC257" s="225" t="n"/>
      <c r="AD257" s="225" t="n"/>
      <c r="AE257" s="29">
        <f>_xlfn.NUMBERVALUE(LEFT(MCC_Table[[#This Row],[BUCKET]],LEN(MCC_Table[[#This Row],[BUCKET]])-1))</f>
        <v/>
      </c>
      <c r="AF257" s="29">
        <f>RIGHT(MCC_Table[[#This Row],[BUCKET]],1)</f>
        <v/>
      </c>
      <c r="AG257" s="29">
        <f>VLOOKUP(MCC_Table[[#This Row],[START UNIT]],UnitMap[],2,FALSE)</f>
        <v/>
      </c>
      <c r="AH257" s="29">
        <f t="array" ref="AH25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57" s="29">
        <f>IF(ISNUMBER(MCC_Table[[#This Row],[SIZE]]), MCC_Table[[#This Row],[SIZE]]/6, 0)</f>
        <v/>
      </c>
      <c r="AJ257" s="29">
        <f>MCC_Table[[#This Row],[START INDEX]]+MCC_Table[[#This Row],[UNITS USED]]-1</f>
        <v/>
      </c>
      <c r="AK257" s="14" t="n"/>
      <c r="AL257" s="14" t="n"/>
      <c r="AM257" s="14" t="n"/>
      <c r="AN257" s="14" t="n"/>
      <c r="AO257" s="14" t="n"/>
      <c r="AP257" s="14" t="n"/>
      <c r="AQ257" s="14" t="n"/>
      <c r="AR257" s="14" t="n"/>
      <c r="AS257" s="14" t="n"/>
      <c r="AT257" s="14" t="n"/>
      <c r="AU257" s="14" t="n"/>
      <c r="AV257" s="14" t="n"/>
      <c r="AW257" s="14" t="n"/>
      <c r="AX257" s="14" t="n"/>
      <c r="AY257" s="14" t="n"/>
      <c r="AZ257" s="14" t="n"/>
      <c r="BA257" s="14" t="n"/>
      <c r="BB257" s="14" t="n"/>
      <c r="BC257" s="14" t="n"/>
      <c r="BD257" s="14" t="n"/>
      <c r="BE257" s="14" t="n"/>
    </row>
    <row r="258" hidden="1" ht="15.75" customHeight="1" thickTop="1">
      <c r="A258" s="113" t="inlineStr">
        <is>
          <t>VTTRS-MCC1</t>
        </is>
      </c>
      <c r="B258" s="29" t="inlineStr">
        <is>
          <t>01J</t>
        </is>
      </c>
      <c r="C258" s="24" t="inlineStr">
        <is>
          <t>SPACE</t>
        </is>
      </c>
      <c r="D258" s="62" t="inlineStr">
        <is>
          <t>12" SPACE</t>
        </is>
      </c>
      <c r="E258" s="29" t="inlineStr">
        <is>
          <t>SPACE</t>
        </is>
      </c>
      <c r="F258" s="8" t="n"/>
      <c r="G258" s="8" t="n"/>
      <c r="H258" s="82" t="n"/>
      <c r="I258" s="8" t="n"/>
      <c r="J258" s="80">
        <f>IF(ISNUMBER(MCC_Table[[#This Row],[SIZE]]), MCC_Table[[#This Row],[SIZE]]/12, 0)</f>
        <v/>
      </c>
      <c r="K258" s="82" t="n"/>
      <c r="L258" s="82" t="n"/>
      <c r="M258" s="82" t="n"/>
      <c r="N258" s="82" t="n"/>
      <c r="O258" s="77" t="n"/>
      <c r="P258" s="110" t="n"/>
      <c r="Q258" s="79" t="n"/>
      <c r="R258" s="79" t="n"/>
      <c r="S258" s="79" t="n"/>
      <c r="T258" s="79" t="n"/>
      <c r="U258" s="79" t="n"/>
      <c r="V258" s="79" t="n"/>
      <c r="W258" s="79" t="n"/>
      <c r="X258" s="79" t="n"/>
      <c r="Y258" s="79" t="n"/>
      <c r="Z258" s="79" t="n"/>
      <c r="AA258" s="79" t="n"/>
      <c r="AB258" s="225" t="n"/>
      <c r="AC258" s="225" t="n"/>
      <c r="AD258" s="225" t="n"/>
      <c r="AE258" s="29">
        <f>_xlfn.NUMBERVALUE(LEFT(MCC_Table[[#This Row],[BUCKET]],LEN(MCC_Table[[#This Row],[BUCKET]])-1))</f>
        <v/>
      </c>
      <c r="AF258" s="29">
        <f>RIGHT(MCC_Table[[#This Row],[BUCKET]],1)</f>
        <v/>
      </c>
      <c r="AG258" s="29">
        <f>VLOOKUP(MCC_Table[[#This Row],[START UNIT]],UnitMap[],2,FALSE)</f>
        <v/>
      </c>
      <c r="AH258" s="29">
        <f t="array" ref="AH25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58" s="29">
        <f>IF(ISNUMBER(MCC_Table[[#This Row],[SIZE]]), MCC_Table[[#This Row],[SIZE]]/6, 0)</f>
        <v/>
      </c>
      <c r="AJ258" s="29">
        <f>MCC_Table[[#This Row],[START INDEX]]+MCC_Table[[#This Row],[UNITS USED]]-1</f>
        <v/>
      </c>
      <c r="AK258" s="14" t="n"/>
      <c r="AL258" s="14" t="n"/>
      <c r="AM258" s="14" t="n"/>
      <c r="AN258" s="14" t="n"/>
      <c r="AO258" s="14" t="n"/>
      <c r="AP258" s="14" t="n"/>
      <c r="AQ258" s="14" t="n"/>
      <c r="AR258" s="14" t="n"/>
      <c r="AS258" s="14" t="n"/>
      <c r="AT258" s="14" t="n"/>
      <c r="AU258" s="14" t="n"/>
      <c r="AV258" s="14" t="n"/>
      <c r="AW258" s="14" t="n"/>
      <c r="AX258" s="14" t="n"/>
      <c r="AY258" s="14" t="n"/>
      <c r="AZ258" s="14" t="n"/>
      <c r="BA258" s="14" t="n"/>
      <c r="BB258" s="14" t="n"/>
      <c r="BC258" s="14" t="n"/>
      <c r="BD258" s="14" t="n"/>
      <c r="BE258" s="14" t="n"/>
    </row>
    <row r="259" hidden="1" ht="15.75" customHeight="1" thickTop="1">
      <c r="A259" s="113" t="inlineStr">
        <is>
          <t>VTTRS-MCC1</t>
        </is>
      </c>
      <c r="B259" s="29" t="inlineStr">
        <is>
          <t>01L</t>
        </is>
      </c>
      <c r="C259" s="24" t="inlineStr">
        <is>
          <t>SPACE</t>
        </is>
      </c>
      <c r="D259" s="62" t="inlineStr">
        <is>
          <t>12" SPACE</t>
        </is>
      </c>
      <c r="E259" s="29" t="inlineStr">
        <is>
          <t>SPACE</t>
        </is>
      </c>
      <c r="F259" s="8" t="n"/>
      <c r="G259" s="8" t="n"/>
      <c r="H259" s="82" t="n"/>
      <c r="I259" s="8" t="n"/>
      <c r="J259" s="80">
        <f>IF(ISNUMBER(MCC_Table[[#This Row],[SIZE]]), MCC_Table[[#This Row],[SIZE]]/12, 0)</f>
        <v/>
      </c>
      <c r="K259" s="82" t="n"/>
      <c r="L259" s="82" t="n"/>
      <c r="M259" s="82" t="n"/>
      <c r="N259" s="82" t="n"/>
      <c r="O259" s="77" t="n"/>
      <c r="P259" s="110" t="n"/>
      <c r="Q259" s="79" t="n"/>
      <c r="R259" s="79" t="n"/>
      <c r="S259" s="79" t="n"/>
      <c r="T259" s="79" t="n"/>
      <c r="U259" s="79" t="n"/>
      <c r="V259" s="79" t="n"/>
      <c r="W259" s="79" t="n"/>
      <c r="X259" s="79" t="n"/>
      <c r="Y259" s="79" t="n"/>
      <c r="Z259" s="79" t="n"/>
      <c r="AA259" s="79" t="n"/>
      <c r="AB259" s="225" t="n"/>
      <c r="AC259" s="225" t="n"/>
      <c r="AD259" s="225" t="n"/>
      <c r="AE259" s="29">
        <f>_xlfn.NUMBERVALUE(LEFT(MCC_Table[[#This Row],[BUCKET]],LEN(MCC_Table[[#This Row],[BUCKET]])-1))</f>
        <v/>
      </c>
      <c r="AF259" s="29">
        <f>RIGHT(MCC_Table[[#This Row],[BUCKET]],1)</f>
        <v/>
      </c>
      <c r="AG259" s="29">
        <f>VLOOKUP(MCC_Table[[#This Row],[START UNIT]],UnitMap[],2,FALSE)</f>
        <v/>
      </c>
      <c r="AH259" s="29">
        <f t="array" ref="AH25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59" s="29">
        <f>IF(ISNUMBER(MCC_Table[[#This Row],[SIZE]]), MCC_Table[[#This Row],[SIZE]]/6, 0)</f>
        <v/>
      </c>
      <c r="AJ259" s="29">
        <f>MCC_Table[[#This Row],[START INDEX]]+MCC_Table[[#This Row],[UNITS USED]]-1</f>
        <v/>
      </c>
      <c r="AK259" s="14" t="n"/>
      <c r="AL259" s="14" t="n"/>
      <c r="AM259" s="14" t="n"/>
      <c r="AN259" s="14" t="n"/>
      <c r="AO259" s="14" t="n"/>
      <c r="AP259" s="14" t="n"/>
      <c r="AQ259" s="14" t="n"/>
      <c r="AR259" s="14" t="n"/>
      <c r="AS259" s="14" t="n"/>
      <c r="AT259" s="14" t="n"/>
      <c r="AU259" s="14" t="n"/>
      <c r="AV259" s="14" t="n"/>
      <c r="AW259" s="14" t="n"/>
      <c r="AX259" s="14" t="n"/>
      <c r="AY259" s="14" t="n"/>
      <c r="AZ259" s="14" t="n"/>
      <c r="BA259" s="14" t="n"/>
      <c r="BB259" s="14" t="n"/>
      <c r="BC259" s="14" t="n"/>
      <c r="BD259" s="14" t="n"/>
      <c r="BE259" s="14" t="n"/>
    </row>
    <row r="260" hidden="1" ht="15.75" customHeight="1" thickTop="1">
      <c r="A260" s="113" t="inlineStr">
        <is>
          <t>VTTRS-MCC1</t>
        </is>
      </c>
      <c r="B260" s="29" t="inlineStr">
        <is>
          <t>02A</t>
        </is>
      </c>
      <c r="C260" s="24" t="inlineStr">
        <is>
          <t>SPACE</t>
        </is>
      </c>
      <c r="D260" s="62" t="inlineStr">
        <is>
          <t>12" SPACE</t>
        </is>
      </c>
      <c r="E260" s="29" t="inlineStr">
        <is>
          <t>SPACE</t>
        </is>
      </c>
      <c r="F260" s="8" t="n"/>
      <c r="G260" s="8" t="n"/>
      <c r="H260" s="82" t="n"/>
      <c r="I260" s="8" t="n"/>
      <c r="J260" s="80">
        <f>IF(ISNUMBER(MCC_Table[[#This Row],[SIZE]]), MCC_Table[[#This Row],[SIZE]]/12, 0)</f>
        <v/>
      </c>
      <c r="K260" s="82" t="n"/>
      <c r="L260" s="82" t="n"/>
      <c r="M260" s="82" t="n"/>
      <c r="N260" s="82" t="n"/>
      <c r="O260" s="77" t="n"/>
      <c r="P260" s="110" t="n"/>
      <c r="Q260" s="79" t="n"/>
      <c r="R260" s="79" t="n"/>
      <c r="S260" s="79" t="n"/>
      <c r="T260" s="79" t="n"/>
      <c r="U260" s="79" t="n"/>
      <c r="V260" s="79" t="n"/>
      <c r="W260" s="79" t="n"/>
      <c r="X260" s="79" t="n"/>
      <c r="Y260" s="79" t="n"/>
      <c r="Z260" s="79" t="n"/>
      <c r="AA260" s="79" t="n"/>
      <c r="AB260" s="225" t="n"/>
      <c r="AC260" s="225" t="n"/>
      <c r="AD260" s="225" t="n"/>
      <c r="AE260" s="29">
        <f>_xlfn.NUMBERVALUE(LEFT(MCC_Table[[#This Row],[BUCKET]],LEN(MCC_Table[[#This Row],[BUCKET]])-1))</f>
        <v/>
      </c>
      <c r="AF260" s="29">
        <f>RIGHT(MCC_Table[[#This Row],[BUCKET]],1)</f>
        <v/>
      </c>
      <c r="AG260" s="29">
        <f>VLOOKUP(MCC_Table[[#This Row],[START UNIT]],UnitMap[],2,FALSE)</f>
        <v/>
      </c>
      <c r="AH260" s="29">
        <f t="array" ref="AH26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60" s="29">
        <f>IF(ISNUMBER(MCC_Table[[#This Row],[SIZE]]), MCC_Table[[#This Row],[SIZE]]/6, 0)</f>
        <v/>
      </c>
      <c r="AJ260" s="29">
        <f>MCC_Table[[#This Row],[START INDEX]]+MCC_Table[[#This Row],[UNITS USED]]-1</f>
        <v/>
      </c>
      <c r="AK260" s="14" t="n"/>
      <c r="AL260" s="14" t="n"/>
      <c r="AM260" s="14" t="n"/>
      <c r="AN260" s="14" t="n"/>
      <c r="AO260" s="14" t="n"/>
      <c r="AP260" s="14" t="n"/>
      <c r="AQ260" s="14" t="n"/>
      <c r="AR260" s="14" t="n"/>
      <c r="AS260" s="14" t="n"/>
      <c r="AT260" s="14" t="n"/>
      <c r="AU260" s="14" t="n"/>
      <c r="AV260" s="14" t="n"/>
      <c r="AW260" s="14" t="n"/>
      <c r="AX260" s="14" t="n"/>
      <c r="AY260" s="14" t="n"/>
      <c r="AZ260" s="14" t="n"/>
      <c r="BA260" s="14" t="n"/>
      <c r="BB260" s="14" t="n"/>
      <c r="BC260" s="14" t="n"/>
      <c r="BD260" s="14" t="n"/>
      <c r="BE260" s="14" t="n"/>
    </row>
    <row r="261" hidden="1" ht="15.75" customHeight="1" thickTop="1">
      <c r="A261" s="113" t="inlineStr">
        <is>
          <t>VTTRS-MCC1</t>
        </is>
      </c>
      <c r="B261" s="29" t="inlineStr">
        <is>
          <t>02C</t>
        </is>
      </c>
      <c r="C261" s="24" t="inlineStr">
        <is>
          <t>RL7-MCC1-PM</t>
        </is>
      </c>
      <c r="D261" s="62" t="inlineStr">
        <is>
          <t>POWERMONITOR 5000 W/ ETHERNET</t>
        </is>
      </c>
      <c r="E261" s="24" t="inlineStr">
        <is>
          <t>PM</t>
        </is>
      </c>
      <c r="F261" s="8" t="n"/>
      <c r="G261" s="8" t="n"/>
      <c r="H261" s="81" t="n"/>
      <c r="I261" s="8" t="n"/>
      <c r="J261" s="80">
        <f>IF(ISNUMBER(MCC_Table[[#This Row],[SIZE]]), MCC_Table[[#This Row],[SIZE]]/12, 0)</f>
        <v/>
      </c>
      <c r="K261" s="81" t="inlineStr">
        <is>
          <t>N/A</t>
        </is>
      </c>
      <c r="L261" s="82" t="inlineStr">
        <is>
          <t>N/A</t>
        </is>
      </c>
      <c r="M261" s="81" t="n">
        <v>0.75</v>
      </c>
      <c r="N261" s="81" t="n"/>
      <c r="O261" s="77" t="n"/>
      <c r="P261" s="110" t="n"/>
      <c r="Q261" s="79" t="n"/>
      <c r="R261" s="79" t="n"/>
      <c r="S261" s="79" t="n"/>
      <c r="T261" s="79" t="n"/>
      <c r="U261" s="79" t="n"/>
      <c r="V261" s="79" t="n"/>
      <c r="W261" s="79" t="n"/>
      <c r="X261" s="79" t="n"/>
      <c r="Y261" s="79" t="n"/>
      <c r="Z261" s="79" t="n"/>
      <c r="AA261" s="79" t="n"/>
      <c r="AB261" s="225" t="n"/>
      <c r="AC261" s="225" t="n"/>
      <c r="AD261" s="225" t="n"/>
      <c r="AE261" s="29">
        <f>_xlfn.NUMBERVALUE(LEFT(MCC_Table[[#This Row],[BUCKET]],LEN(MCC_Table[[#This Row],[BUCKET]])-1))</f>
        <v/>
      </c>
      <c r="AF261" s="29">
        <f>RIGHT(MCC_Table[[#This Row],[BUCKET]],1)</f>
        <v/>
      </c>
      <c r="AG261" s="29">
        <f>VLOOKUP(MCC_Table[[#This Row],[START UNIT]],UnitMap[],2,FALSE)</f>
        <v/>
      </c>
      <c r="AH261" s="29">
        <f t="array" ref="AH26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61" s="29">
        <f>IF(ISNUMBER(MCC_Table[[#This Row],[SIZE]]), MCC_Table[[#This Row],[SIZE]]/6, 0)</f>
        <v/>
      </c>
      <c r="AJ261" s="29">
        <f>MCC_Table[[#This Row],[START INDEX]]+MCC_Table[[#This Row],[UNITS USED]]-1</f>
        <v/>
      </c>
      <c r="AK261" s="14" t="n"/>
      <c r="AL261" s="14" t="n"/>
      <c r="AM261" s="14" t="n"/>
      <c r="AN261" s="14" t="n"/>
      <c r="AO261" s="14" t="n"/>
      <c r="AP261" s="14" t="n"/>
      <c r="AQ261" s="14" t="n"/>
      <c r="AR261" s="14" t="n"/>
      <c r="AS261" s="14" t="n"/>
      <c r="AT261" s="14" t="n"/>
      <c r="AU261" s="14" t="n"/>
      <c r="AV261" s="14" t="n"/>
      <c r="AW261" s="14" t="n"/>
      <c r="AX261" s="14" t="n"/>
      <c r="AY261" s="14" t="n"/>
      <c r="AZ261" s="14" t="n"/>
      <c r="BA261" s="14" t="n"/>
      <c r="BB261" s="14" t="n"/>
      <c r="BC261" s="14" t="n"/>
      <c r="BD261" s="14" t="n"/>
      <c r="BE261" s="14" t="n"/>
    </row>
    <row r="262" hidden="1" ht="15.75" customHeight="1" thickTop="1">
      <c r="A262" s="113" t="inlineStr">
        <is>
          <t>VTTRS-MCC1</t>
        </is>
      </c>
      <c r="B262" s="29" t="inlineStr">
        <is>
          <t>02F</t>
        </is>
      </c>
      <c r="C262" s="24" t="inlineStr">
        <is>
          <t>HTX-101</t>
        </is>
      </c>
      <c r="D262" s="28" t="inlineStr">
        <is>
          <t>VOTATOR 1</t>
        </is>
      </c>
      <c r="E262" s="29" t="inlineStr">
        <is>
          <t>VFD</t>
        </is>
      </c>
      <c r="F262" s="8" t="n">
        <v>30</v>
      </c>
      <c r="G262" s="8" t="n">
        <v>30</v>
      </c>
      <c r="H262" s="82" t="n"/>
      <c r="I262" s="8" t="n"/>
      <c r="J262" s="80">
        <f>IF(ISNUMBER(MCC_Table[[#This Row],[SIZE]]), MCC_Table[[#This Row],[SIZE]]/12, 0)</f>
        <v/>
      </c>
      <c r="K262" s="82" t="n">
        <v>100</v>
      </c>
      <c r="L262" s="82" t="n">
        <v>125</v>
      </c>
      <c r="M262" s="82" t="inlineStr">
        <is>
          <t>N/A</t>
        </is>
      </c>
      <c r="N262" s="82" t="inlineStr">
        <is>
          <t>3/C #6 VFD CABLE</t>
        </is>
      </c>
      <c r="O262" s="77" t="n"/>
      <c r="P262" s="110" t="n"/>
      <c r="Q262" s="79" t="n"/>
      <c r="R262" s="79" t="n"/>
      <c r="S262" s="79" t="n"/>
      <c r="T262" s="79" t="n"/>
      <c r="U262" s="79" t="n"/>
      <c r="V262" s="79" t="n"/>
      <c r="W262" s="79" t="n"/>
      <c r="X262" s="79" t="n"/>
      <c r="Y262" s="79" t="n"/>
      <c r="Z262" s="79" t="n"/>
      <c r="AA262" s="79" t="n"/>
      <c r="AB262" s="225" t="n"/>
      <c r="AC262" s="225" t="n"/>
      <c r="AD262" s="225" t="n"/>
      <c r="AE262" s="29">
        <f>_xlfn.NUMBERVALUE(LEFT(MCC_Table[[#This Row],[BUCKET]],LEN(MCC_Table[[#This Row],[BUCKET]])-1))</f>
        <v/>
      </c>
      <c r="AF262" s="29">
        <f>RIGHT(MCC_Table[[#This Row],[BUCKET]],1)</f>
        <v/>
      </c>
      <c r="AG262" s="29">
        <f>VLOOKUP(MCC_Table[[#This Row],[START UNIT]],UnitMap[],2,FALSE)</f>
        <v/>
      </c>
      <c r="AH262" s="29">
        <f t="array" ref="AH26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62" s="29">
        <f>IF(ISNUMBER(MCC_Table[[#This Row],[SIZE]]), MCC_Table[[#This Row],[SIZE]]/6, 0)</f>
        <v/>
      </c>
      <c r="AJ262" s="29">
        <f>MCC_Table[[#This Row],[START INDEX]]+MCC_Table[[#This Row],[UNITS USED]]-1</f>
        <v/>
      </c>
      <c r="AK262" s="14" t="n"/>
      <c r="AL262" s="14" t="n"/>
      <c r="AM262" s="14" t="n"/>
      <c r="AN262" s="14" t="n"/>
      <c r="AO262" s="14" t="n"/>
      <c r="AP262" s="14" t="n"/>
      <c r="AQ262" s="14" t="n"/>
      <c r="AR262" s="14" t="n"/>
      <c r="AS262" s="14" t="n"/>
      <c r="AT262" s="14" t="n"/>
      <c r="AU262" s="14" t="n"/>
      <c r="AV262" s="14" t="n"/>
      <c r="AW262" s="14" t="n"/>
      <c r="AX262" s="14" t="n"/>
      <c r="AY262" s="14" t="n"/>
      <c r="AZ262" s="14" t="n"/>
      <c r="BA262" s="14" t="n"/>
      <c r="BB262" s="14" t="n"/>
      <c r="BC262" s="14" t="n"/>
      <c r="BD262" s="14" t="n"/>
      <c r="BE262" s="14" t="n"/>
    </row>
    <row r="263" hidden="1" ht="15.75" customHeight="1" thickTop="1">
      <c r="A263" s="113" t="inlineStr">
        <is>
          <t>VTTRS-MCC1</t>
        </is>
      </c>
      <c r="B263" s="29" t="inlineStr">
        <is>
          <t>03A</t>
        </is>
      </c>
      <c r="C263" s="24" t="inlineStr">
        <is>
          <t>PMP-101</t>
        </is>
      </c>
      <c r="D263" s="28" t="inlineStr">
        <is>
          <t>B&amp;F HOT WATER LOOP PUMP</t>
        </is>
      </c>
      <c r="E263" s="29" t="inlineStr">
        <is>
          <t>VFD</t>
        </is>
      </c>
      <c r="F263" s="8" t="n">
        <v>15</v>
      </c>
      <c r="G263" s="8" t="n">
        <v>15</v>
      </c>
      <c r="H263" s="82" t="n"/>
      <c r="I263" s="8" t="n"/>
      <c r="J263" s="80">
        <f>IF(ISNUMBER(MCC_Table[[#This Row],[SIZE]]), MCC_Table[[#This Row],[SIZE]]/12, 0)</f>
        <v/>
      </c>
      <c r="K263" s="82" t="n">
        <v>60</v>
      </c>
      <c r="L263" s="82" t="n">
        <v>125</v>
      </c>
      <c r="M263" s="82" t="n">
        <v>40</v>
      </c>
      <c r="N263" s="82" t="inlineStr">
        <is>
          <t>3/C #10 VFD CABLE</t>
        </is>
      </c>
      <c r="O263" s="77" t="n"/>
      <c r="P263" s="110" t="n"/>
      <c r="Q263" s="79" t="n"/>
      <c r="R263" s="79" t="n"/>
      <c r="S263" s="79" t="n"/>
      <c r="T263" s="79" t="n"/>
      <c r="U263" s="79" t="n"/>
      <c r="V263" s="79" t="n"/>
      <c r="W263" s="79" t="n"/>
      <c r="X263" s="79" t="n"/>
      <c r="Y263" s="79" t="n"/>
      <c r="Z263" s="79" t="n"/>
      <c r="AA263" s="79" t="n"/>
      <c r="AB263" s="225" t="n"/>
      <c r="AC263" s="225" t="n"/>
      <c r="AD263" s="225" t="n"/>
      <c r="AE263" s="29">
        <f>_xlfn.NUMBERVALUE(LEFT(MCC_Table[[#This Row],[BUCKET]],LEN(MCC_Table[[#This Row],[BUCKET]])-1))</f>
        <v/>
      </c>
      <c r="AF263" s="29">
        <f>RIGHT(MCC_Table[[#This Row],[BUCKET]],1)</f>
        <v/>
      </c>
      <c r="AG263" s="29">
        <f>VLOOKUP(MCC_Table[[#This Row],[START UNIT]],UnitMap[],2,FALSE)</f>
        <v/>
      </c>
      <c r="AH263" s="29">
        <f t="array" ref="AH26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63" s="29">
        <f>IF(ISNUMBER(MCC_Table[[#This Row],[SIZE]]), MCC_Table[[#This Row],[SIZE]]/6, 0)</f>
        <v/>
      </c>
      <c r="AJ263" s="29">
        <f>MCC_Table[[#This Row],[START INDEX]]+MCC_Table[[#This Row],[UNITS USED]]-1</f>
        <v/>
      </c>
      <c r="AK263" s="14" t="n"/>
      <c r="AL263" s="14" t="n"/>
      <c r="AM263" s="14" t="n"/>
      <c r="AN263" s="14" t="n"/>
      <c r="AO263" s="14" t="n"/>
      <c r="AP263" s="14" t="n"/>
      <c r="AQ263" s="14" t="n"/>
      <c r="AR263" s="14" t="n"/>
      <c r="AS263" s="14" t="n"/>
      <c r="AT263" s="14" t="n"/>
      <c r="AU263" s="14" t="n"/>
      <c r="AV263" s="14" t="n"/>
      <c r="AW263" s="14" t="n"/>
      <c r="AX263" s="14" t="n"/>
      <c r="AY263" s="14" t="n"/>
      <c r="AZ263" s="14" t="n"/>
      <c r="BA263" s="14" t="n"/>
      <c r="BB263" s="14" t="n"/>
      <c r="BC263" s="14" t="n"/>
      <c r="BD263" s="14" t="n"/>
      <c r="BE263" s="14" t="n"/>
    </row>
    <row r="264" hidden="1" ht="15.75" customHeight="1" thickTop="1">
      <c r="A264" s="113" t="inlineStr">
        <is>
          <t>VTTRS-MCC1</t>
        </is>
      </c>
      <c r="B264" s="29" t="inlineStr">
        <is>
          <t>03F</t>
        </is>
      </c>
      <c r="C264" s="24" t="inlineStr">
        <is>
          <t>HTX-102</t>
        </is>
      </c>
      <c r="D264" s="28" t="inlineStr">
        <is>
          <t>VOTATOR 2</t>
        </is>
      </c>
      <c r="E264" s="29" t="inlineStr">
        <is>
          <t>VFD</t>
        </is>
      </c>
      <c r="F264" s="8" t="n">
        <v>30</v>
      </c>
      <c r="G264" s="8" t="n">
        <v>30</v>
      </c>
      <c r="H264" s="82" t="n"/>
      <c r="I264" s="8" t="n"/>
      <c r="J264" s="80">
        <f>IF(ISNUMBER(MCC_Table[[#This Row],[SIZE]]), MCC_Table[[#This Row],[SIZE]]/12, 0)</f>
        <v/>
      </c>
      <c r="K264" s="82" t="n">
        <v>100</v>
      </c>
      <c r="L264" s="82" t="n">
        <v>125</v>
      </c>
      <c r="M264" s="82" t="inlineStr">
        <is>
          <t>N/A</t>
        </is>
      </c>
      <c r="N264" s="82" t="inlineStr">
        <is>
          <t>3/C #6 VFD CABLE</t>
        </is>
      </c>
      <c r="O264" s="77" t="n"/>
      <c r="P264" s="110" t="n"/>
      <c r="Q264" s="79" t="n"/>
      <c r="R264" s="79" t="n"/>
      <c r="S264" s="79" t="n"/>
      <c r="T264" s="79" t="n"/>
      <c r="U264" s="79" t="n"/>
      <c r="V264" s="79" t="n"/>
      <c r="W264" s="79" t="n"/>
      <c r="X264" s="79" t="n"/>
      <c r="Y264" s="79" t="n"/>
      <c r="Z264" s="79" t="n"/>
      <c r="AA264" s="79" t="n"/>
      <c r="AB264" s="225" t="n"/>
      <c r="AC264" s="225" t="n"/>
      <c r="AD264" s="225" t="n"/>
      <c r="AE264" s="29">
        <f>_xlfn.NUMBERVALUE(LEFT(MCC_Table[[#This Row],[BUCKET]],LEN(MCC_Table[[#This Row],[BUCKET]])-1))</f>
        <v/>
      </c>
      <c r="AF264" s="29">
        <f>RIGHT(MCC_Table[[#This Row],[BUCKET]],1)</f>
        <v/>
      </c>
      <c r="AG264" s="29">
        <f>VLOOKUP(MCC_Table[[#This Row],[START UNIT]],UnitMap[],2,FALSE)</f>
        <v/>
      </c>
      <c r="AH264" s="29">
        <f t="array" ref="AH26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64" s="29">
        <f>IF(ISNUMBER(MCC_Table[[#This Row],[SIZE]]), MCC_Table[[#This Row],[SIZE]]/6, 0)</f>
        <v/>
      </c>
      <c r="AJ264" s="29">
        <f>MCC_Table[[#This Row],[START INDEX]]+MCC_Table[[#This Row],[UNITS USED]]-1</f>
        <v/>
      </c>
      <c r="AK264" s="14" t="n"/>
      <c r="AL264" s="14" t="n"/>
      <c r="AM264" s="14" t="n"/>
      <c r="AN264" s="14" t="n"/>
      <c r="AO264" s="14" t="n"/>
      <c r="AP264" s="14" t="n"/>
      <c r="AQ264" s="14" t="n"/>
      <c r="AR264" s="14" t="n"/>
      <c r="AS264" s="14" t="n"/>
      <c r="AT264" s="14" t="n"/>
      <c r="AU264" s="14" t="n"/>
      <c r="AV264" s="14" t="n"/>
      <c r="AW264" s="14" t="n"/>
      <c r="AX264" s="14" t="n"/>
      <c r="AY264" s="14" t="n"/>
      <c r="AZ264" s="14" t="n"/>
      <c r="BA264" s="14" t="n"/>
      <c r="BB264" s="14" t="n"/>
      <c r="BC264" s="14" t="n"/>
      <c r="BD264" s="14" t="n"/>
      <c r="BE264" s="14" t="n"/>
    </row>
    <row r="265" hidden="1" ht="15.75" customHeight="1" thickTop="1">
      <c r="A265" s="113" t="inlineStr">
        <is>
          <t>VTTRS-MCC1</t>
        </is>
      </c>
      <c r="B265" s="29" t="inlineStr">
        <is>
          <t>04A</t>
        </is>
      </c>
      <c r="C265" s="24" t="inlineStr">
        <is>
          <t>PMP-102</t>
        </is>
      </c>
      <c r="D265" s="28" t="inlineStr">
        <is>
          <t>BOOSTER PUMP</t>
        </is>
      </c>
      <c r="E265" s="29" t="inlineStr">
        <is>
          <t>VFD</t>
        </is>
      </c>
      <c r="F265" s="8" t="n">
        <v>15</v>
      </c>
      <c r="G265" s="8" t="n">
        <v>15</v>
      </c>
      <c r="H265" s="82" t="n"/>
      <c r="I265" s="8" t="n"/>
      <c r="J265" s="80">
        <f>IF(ISNUMBER(MCC_Table[[#This Row],[SIZE]]), MCC_Table[[#This Row],[SIZE]]/12, 0)</f>
        <v/>
      </c>
      <c r="K265" s="82" t="n">
        <v>60</v>
      </c>
      <c r="L265" s="82" t="n">
        <v>125</v>
      </c>
      <c r="M265" s="82" t="n">
        <v>40</v>
      </c>
      <c r="N265" s="82" t="inlineStr">
        <is>
          <t>3/C #10 VFD CABLE</t>
        </is>
      </c>
      <c r="O265" s="77" t="n"/>
      <c r="P265" s="110" t="n"/>
      <c r="Q265" s="79" t="n"/>
      <c r="R265" s="79" t="n"/>
      <c r="S265" s="79" t="n"/>
      <c r="T265" s="79" t="n"/>
      <c r="U265" s="79" t="n"/>
      <c r="V265" s="79" t="n"/>
      <c r="W265" s="79" t="n"/>
      <c r="X265" s="79" t="n"/>
      <c r="Y265" s="79" t="n"/>
      <c r="Z265" s="79" t="n"/>
      <c r="AA265" s="79" t="n"/>
      <c r="AB265" s="225" t="n"/>
      <c r="AC265" s="225" t="n"/>
      <c r="AD265" s="225" t="n"/>
      <c r="AE265" s="29">
        <f>_xlfn.NUMBERVALUE(LEFT(MCC_Table[[#This Row],[BUCKET]],LEN(MCC_Table[[#This Row],[BUCKET]])-1))</f>
        <v/>
      </c>
      <c r="AF265" s="29">
        <f>RIGHT(MCC_Table[[#This Row],[BUCKET]],1)</f>
        <v/>
      </c>
      <c r="AG265" s="29">
        <f>VLOOKUP(MCC_Table[[#This Row],[START UNIT]],UnitMap[],2,FALSE)</f>
        <v/>
      </c>
      <c r="AH265" s="29">
        <f t="array" ref="AH26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65" s="29">
        <f>IF(ISNUMBER(MCC_Table[[#This Row],[SIZE]]), MCC_Table[[#This Row],[SIZE]]/6, 0)</f>
        <v/>
      </c>
      <c r="AJ265" s="29">
        <f>MCC_Table[[#This Row],[START INDEX]]+MCC_Table[[#This Row],[UNITS USED]]-1</f>
        <v/>
      </c>
      <c r="AK265" s="14" t="n"/>
      <c r="AL265" s="14" t="n"/>
      <c r="AM265" s="14" t="n"/>
      <c r="AN265" s="14" t="n"/>
      <c r="AO265" s="14" t="n"/>
      <c r="AP265" s="14" t="n"/>
      <c r="AQ265" s="14" t="n"/>
      <c r="AR265" s="14" t="n"/>
      <c r="AS265" s="14" t="n"/>
      <c r="AT265" s="14" t="n"/>
      <c r="AU265" s="14" t="n"/>
      <c r="AV265" s="14" t="n"/>
      <c r="AW265" s="14" t="n"/>
      <c r="AX265" s="14" t="n"/>
      <c r="AY265" s="14" t="n"/>
      <c r="AZ265" s="14" t="n"/>
      <c r="BA265" s="14" t="n"/>
      <c r="BB265" s="14" t="n"/>
      <c r="BC265" s="14" t="n"/>
      <c r="BD265" s="14" t="n"/>
      <c r="BE265" s="14" t="n"/>
    </row>
    <row r="266" hidden="1" ht="15.75" customHeight="1" thickTop="1">
      <c r="A266" s="113" t="inlineStr">
        <is>
          <t>VTTRS-MCC1</t>
        </is>
      </c>
      <c r="B266" s="29" t="inlineStr">
        <is>
          <t>04F</t>
        </is>
      </c>
      <c r="C266" s="24" t="inlineStr">
        <is>
          <t>HTX-103</t>
        </is>
      </c>
      <c r="D266" s="28" t="inlineStr">
        <is>
          <t>VOTATOR 3</t>
        </is>
      </c>
      <c r="E266" s="29" t="inlineStr">
        <is>
          <t>VFD</t>
        </is>
      </c>
      <c r="F266" s="8" t="n">
        <v>30</v>
      </c>
      <c r="G266" s="8" t="n">
        <v>30</v>
      </c>
      <c r="H266" s="82" t="n"/>
      <c r="I266" s="8" t="n"/>
      <c r="J266" s="80">
        <f>IF(ISNUMBER(MCC_Table[[#This Row],[SIZE]]), MCC_Table[[#This Row],[SIZE]]/12, 0)</f>
        <v/>
      </c>
      <c r="K266" s="82" t="n">
        <v>100</v>
      </c>
      <c r="L266" s="82" t="n">
        <v>125</v>
      </c>
      <c r="M266" s="82" t="inlineStr">
        <is>
          <t>N/A</t>
        </is>
      </c>
      <c r="N266" s="82" t="inlineStr">
        <is>
          <t>3/C #6 VFD CABLE</t>
        </is>
      </c>
      <c r="O266" s="77" t="n"/>
      <c r="P266" s="110" t="n"/>
      <c r="Q266" s="79" t="n"/>
      <c r="R266" s="79" t="n"/>
      <c r="S266" s="79" t="n"/>
      <c r="T266" s="79" t="n"/>
      <c r="U266" s="79" t="n"/>
      <c r="V266" s="79" t="n"/>
      <c r="W266" s="79" t="n"/>
      <c r="X266" s="79" t="n"/>
      <c r="Y266" s="79" t="n"/>
      <c r="Z266" s="79" t="n"/>
      <c r="AA266" s="79" t="n"/>
      <c r="AB266" s="225" t="n"/>
      <c r="AC266" s="225" t="n"/>
      <c r="AD266" s="225" t="n"/>
      <c r="AE266" s="29">
        <f>_xlfn.NUMBERVALUE(LEFT(MCC_Table[[#This Row],[BUCKET]],LEN(MCC_Table[[#This Row],[BUCKET]])-1))</f>
        <v/>
      </c>
      <c r="AF266" s="29">
        <f>RIGHT(MCC_Table[[#This Row],[BUCKET]],1)</f>
        <v/>
      </c>
      <c r="AG266" s="29">
        <f>VLOOKUP(MCC_Table[[#This Row],[START UNIT]],UnitMap[],2,FALSE)</f>
        <v/>
      </c>
      <c r="AH266" s="29">
        <f t="array" ref="AH26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66" s="29">
        <f>IF(ISNUMBER(MCC_Table[[#This Row],[SIZE]]), MCC_Table[[#This Row],[SIZE]]/6, 0)</f>
        <v/>
      </c>
      <c r="AJ266" s="29">
        <f>MCC_Table[[#This Row],[START INDEX]]+MCC_Table[[#This Row],[UNITS USED]]-1</f>
        <v/>
      </c>
      <c r="AK266" s="14" t="n"/>
      <c r="AL266" s="14" t="n"/>
      <c r="AM266" s="14" t="n"/>
      <c r="AN266" s="14" t="n"/>
      <c r="AO266" s="14" t="n"/>
      <c r="AP266" s="14" t="n"/>
      <c r="AQ266" s="14" t="n"/>
      <c r="AR266" s="14" t="n"/>
      <c r="AS266" s="14" t="n"/>
      <c r="AT266" s="14" t="n"/>
      <c r="AU266" s="14" t="n"/>
      <c r="AV266" s="14" t="n"/>
      <c r="AW266" s="14" t="n"/>
      <c r="AX266" s="14" t="n"/>
      <c r="AY266" s="14" t="n"/>
      <c r="AZ266" s="14" t="n"/>
      <c r="BA266" s="14" t="n"/>
      <c r="BB266" s="14" t="n"/>
      <c r="BC266" s="14" t="n"/>
      <c r="BD266" s="14" t="n"/>
      <c r="BE266" s="14" t="n"/>
    </row>
    <row r="267" hidden="1" ht="15.75" customHeight="1" thickTop="1">
      <c r="A267" s="113" t="inlineStr">
        <is>
          <t>VTTRS-MCC1</t>
        </is>
      </c>
      <c r="B267" s="29" t="inlineStr">
        <is>
          <t>05A</t>
        </is>
      </c>
      <c r="C267" s="24" t="inlineStr">
        <is>
          <t>RM5-MCC1-5A.SW1</t>
        </is>
      </c>
      <c r="D267" s="62" t="inlineStr">
        <is>
          <t>ETHERNET SWITCH (20-PORT)</t>
        </is>
      </c>
      <c r="E267" s="24" t="inlineStr">
        <is>
          <t>ENET_20</t>
        </is>
      </c>
      <c r="F267" s="8" t="n"/>
      <c r="G267" s="8" t="n"/>
      <c r="H267" s="87" t="n"/>
      <c r="I267" s="8" t="n"/>
      <c r="J267" s="80">
        <f>IF(ISNUMBER(MCC_Table[[#This Row],[SIZE]]), MCC_Table[[#This Row],[SIZE]]/12, 0)</f>
        <v/>
      </c>
      <c r="K267" s="87" t="n"/>
      <c r="L267" s="82" t="n"/>
      <c r="M267" s="87" t="n"/>
      <c r="N267" s="87" t="n"/>
      <c r="O267" s="77" t="n"/>
      <c r="P267" s="105" t="n"/>
      <c r="Q267" s="79" t="n"/>
      <c r="R267" s="79" t="n"/>
      <c r="S267" s="79" t="n"/>
      <c r="T267" s="79" t="n"/>
      <c r="U267" s="79" t="n"/>
      <c r="V267" s="79" t="n"/>
      <c r="W267" s="79" t="n"/>
      <c r="X267" s="79" t="n"/>
      <c r="Y267" s="79" t="n"/>
      <c r="Z267" s="79" t="n"/>
      <c r="AA267" s="79" t="n"/>
      <c r="AB267" s="225" t="n"/>
      <c r="AC267" s="225" t="n"/>
      <c r="AD267" s="225" t="n"/>
      <c r="AE267" s="29">
        <f>_xlfn.NUMBERVALUE(LEFT(MCC_Table[[#This Row],[BUCKET]],LEN(MCC_Table[[#This Row],[BUCKET]])-1))</f>
        <v/>
      </c>
      <c r="AF267" s="29">
        <f>RIGHT(MCC_Table[[#This Row],[BUCKET]],1)</f>
        <v/>
      </c>
      <c r="AG267" s="29">
        <f>VLOOKUP(MCC_Table[[#This Row],[START UNIT]],UnitMap[],2,FALSE)</f>
        <v/>
      </c>
      <c r="AH267" s="29">
        <f t="array" ref="AH26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67" s="29">
        <f>IF(ISNUMBER(MCC_Table[[#This Row],[SIZE]]), MCC_Table[[#This Row],[SIZE]]/6, 0)</f>
        <v/>
      </c>
      <c r="AJ267" s="29">
        <f>MCC_Table[[#This Row],[START INDEX]]+MCC_Table[[#This Row],[UNITS USED]]-1</f>
        <v/>
      </c>
      <c r="AK267" s="14" t="n"/>
      <c r="AL267" s="14" t="n"/>
      <c r="AM267" s="14" t="n"/>
      <c r="AN267" s="14" t="n"/>
      <c r="AO267" s="14" t="n"/>
      <c r="AP267" s="14" t="n"/>
      <c r="AQ267" s="14" t="n"/>
      <c r="AR267" s="14" t="n"/>
      <c r="AS267" s="14" t="n"/>
      <c r="AT267" s="14" t="n"/>
      <c r="AU267" s="14" t="n"/>
      <c r="AV267" s="14" t="n"/>
      <c r="AW267" s="14" t="n"/>
      <c r="AX267" s="14" t="n"/>
      <c r="AY267" s="14" t="n"/>
      <c r="AZ267" s="14" t="n"/>
      <c r="BA267" s="14" t="n"/>
      <c r="BB267" s="14" t="n"/>
      <c r="BC267" s="14" t="n"/>
      <c r="BD267" s="14" t="n"/>
      <c r="BE267" s="14" t="n"/>
    </row>
    <row r="268" hidden="1" ht="15.75" customHeight="1" thickTop="1">
      <c r="A268" s="113" t="inlineStr">
        <is>
          <t>VTTRS-MCC1</t>
        </is>
      </c>
      <c r="B268" s="29" t="inlineStr">
        <is>
          <t>05C</t>
        </is>
      </c>
      <c r="C268" s="24" t="inlineStr">
        <is>
          <t>SPACE</t>
        </is>
      </c>
      <c r="D268" s="62" t="inlineStr">
        <is>
          <t>12" SPACE</t>
        </is>
      </c>
      <c r="E268" s="29" t="inlineStr">
        <is>
          <t>SPACE</t>
        </is>
      </c>
      <c r="F268" s="8" t="n"/>
      <c r="G268" s="8" t="n"/>
      <c r="H268" s="82" t="n"/>
      <c r="I268" s="8" t="n"/>
      <c r="J268" s="80">
        <f>IF(ISNUMBER(MCC_Table[[#This Row],[SIZE]]), MCC_Table[[#This Row],[SIZE]]/12, 0)</f>
        <v/>
      </c>
      <c r="K268" s="82" t="n"/>
      <c r="L268" s="82" t="n"/>
      <c r="M268" s="82" t="n"/>
      <c r="N268" s="82" t="n"/>
      <c r="O268" s="77" t="n"/>
      <c r="P268" s="110" t="n"/>
      <c r="Q268" s="79" t="n"/>
      <c r="R268" s="79" t="n"/>
      <c r="S268" s="79" t="n"/>
      <c r="T268" s="79" t="n"/>
      <c r="U268" s="79" t="n"/>
      <c r="V268" s="79" t="n"/>
      <c r="W268" s="79" t="n"/>
      <c r="X268" s="79" t="n"/>
      <c r="Y268" s="79" t="n"/>
      <c r="Z268" s="79" t="n"/>
      <c r="AA268" s="79" t="n"/>
      <c r="AB268" s="225" t="n"/>
      <c r="AC268" s="225" t="n"/>
      <c r="AD268" s="225" t="n"/>
      <c r="AE268" s="29">
        <f>_xlfn.NUMBERVALUE(LEFT(MCC_Table[[#This Row],[BUCKET]],LEN(MCC_Table[[#This Row],[BUCKET]])-1))</f>
        <v/>
      </c>
      <c r="AF268" s="29">
        <f>RIGHT(MCC_Table[[#This Row],[BUCKET]],1)</f>
        <v/>
      </c>
      <c r="AG268" s="29">
        <f>VLOOKUP(MCC_Table[[#This Row],[START UNIT]],UnitMap[],2,FALSE)</f>
        <v/>
      </c>
      <c r="AH268" s="29">
        <f t="array" ref="AH26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68" s="29">
        <f>IF(ISNUMBER(MCC_Table[[#This Row],[SIZE]]), MCC_Table[[#This Row],[SIZE]]/6, 0)</f>
        <v/>
      </c>
      <c r="AJ268" s="29">
        <f>MCC_Table[[#This Row],[START INDEX]]+MCC_Table[[#This Row],[UNITS USED]]-1</f>
        <v/>
      </c>
      <c r="AK268" s="14" t="n"/>
      <c r="AL268" s="14" t="n"/>
      <c r="AM268" s="14" t="n"/>
      <c r="AN268" s="14" t="n"/>
      <c r="AO268" s="14" t="n"/>
      <c r="AP268" s="14" t="n"/>
      <c r="AQ268" s="14" t="n"/>
      <c r="AR268" s="14" t="n"/>
      <c r="AS268" s="14" t="n"/>
      <c r="AT268" s="14" t="n"/>
      <c r="AU268" s="14" t="n"/>
      <c r="AV268" s="14" t="n"/>
      <c r="AW268" s="14" t="n"/>
      <c r="AX268" s="14" t="n"/>
      <c r="AY268" s="14" t="n"/>
      <c r="AZ268" s="14" t="n"/>
      <c r="BA268" s="14" t="n"/>
      <c r="BB268" s="14" t="n"/>
      <c r="BC268" s="14" t="n"/>
      <c r="BD268" s="14" t="n"/>
      <c r="BE268" s="14" t="n"/>
    </row>
    <row r="269" hidden="1" ht="15.75" customHeight="1" thickTop="1">
      <c r="A269" s="113" t="inlineStr">
        <is>
          <t>VTTRS-MCC1</t>
        </is>
      </c>
      <c r="B269" s="29" t="inlineStr">
        <is>
          <t>05E</t>
        </is>
      </c>
      <c r="C269" s="24" t="inlineStr">
        <is>
          <t>SPACE</t>
        </is>
      </c>
      <c r="D269" s="62" t="inlineStr">
        <is>
          <t>12" SPACE</t>
        </is>
      </c>
      <c r="E269" s="29" t="inlineStr">
        <is>
          <t>SPACE</t>
        </is>
      </c>
      <c r="F269" s="8" t="n"/>
      <c r="G269" s="8" t="n"/>
      <c r="H269" s="82" t="n"/>
      <c r="I269" s="8" t="n"/>
      <c r="J269" s="80">
        <f>IF(ISNUMBER(MCC_Table[[#This Row],[SIZE]]), MCC_Table[[#This Row],[SIZE]]/12, 0)</f>
        <v/>
      </c>
      <c r="K269" s="82" t="n"/>
      <c r="L269" s="82" t="n"/>
      <c r="M269" s="82" t="n"/>
      <c r="N269" s="82" t="n"/>
      <c r="O269" s="77" t="n"/>
      <c r="P269" s="110" t="n"/>
      <c r="Q269" s="79" t="n"/>
      <c r="R269" s="79" t="n"/>
      <c r="S269" s="79" t="n"/>
      <c r="T269" s="79" t="n"/>
      <c r="U269" s="79" t="n"/>
      <c r="V269" s="79" t="n"/>
      <c r="W269" s="79" t="n"/>
      <c r="X269" s="79" t="n"/>
      <c r="Y269" s="79" t="n"/>
      <c r="Z269" s="79" t="n"/>
      <c r="AA269" s="79" t="n"/>
      <c r="AB269" s="225" t="n"/>
      <c r="AC269" s="225" t="n"/>
      <c r="AD269" s="225" t="n"/>
      <c r="AE269" s="29">
        <f>_xlfn.NUMBERVALUE(LEFT(MCC_Table[[#This Row],[BUCKET]],LEN(MCC_Table[[#This Row],[BUCKET]])-1))</f>
        <v/>
      </c>
      <c r="AF269" s="29">
        <f>RIGHT(MCC_Table[[#This Row],[BUCKET]],1)</f>
        <v/>
      </c>
      <c r="AG269" s="29">
        <f>VLOOKUP(MCC_Table[[#This Row],[START UNIT]],UnitMap[],2,FALSE)</f>
        <v/>
      </c>
      <c r="AH269" s="29">
        <f t="array" ref="AH26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69" s="29">
        <f>IF(ISNUMBER(MCC_Table[[#This Row],[SIZE]]), MCC_Table[[#This Row],[SIZE]]/6, 0)</f>
        <v/>
      </c>
      <c r="AJ269" s="29">
        <f>MCC_Table[[#This Row],[START INDEX]]+MCC_Table[[#This Row],[UNITS USED]]-1</f>
        <v/>
      </c>
      <c r="AK269" s="14" t="n"/>
      <c r="AL269" s="14" t="n"/>
      <c r="AM269" s="14" t="n"/>
      <c r="AN269" s="14" t="n"/>
      <c r="AO269" s="14" t="n"/>
      <c r="AP269" s="14" t="n"/>
      <c r="AQ269" s="14" t="n"/>
      <c r="AR269" s="14" t="n"/>
      <c r="AS269" s="14" t="n"/>
      <c r="AT269" s="14" t="n"/>
      <c r="AU269" s="14" t="n"/>
      <c r="AV269" s="14" t="n"/>
      <c r="AW269" s="14" t="n"/>
      <c r="AX269" s="14" t="n"/>
      <c r="AY269" s="14" t="n"/>
      <c r="AZ269" s="14" t="n"/>
      <c r="BA269" s="14" t="n"/>
      <c r="BB269" s="14" t="n"/>
      <c r="BC269" s="14" t="n"/>
      <c r="BD269" s="14" t="n"/>
      <c r="BE269" s="14" t="n"/>
    </row>
    <row r="270" hidden="1" ht="15.75" customHeight="1" thickTop="1">
      <c r="A270" s="113" t="inlineStr">
        <is>
          <t>VTTRS-MCC1</t>
        </is>
      </c>
      <c r="B270" s="29" t="inlineStr">
        <is>
          <t>05G</t>
        </is>
      </c>
      <c r="C270" s="24" t="inlineStr">
        <is>
          <t>SPACE</t>
        </is>
      </c>
      <c r="D270" s="62" t="inlineStr">
        <is>
          <t>12" SPACE</t>
        </is>
      </c>
      <c r="E270" s="29" t="inlineStr">
        <is>
          <t>SPACE</t>
        </is>
      </c>
      <c r="F270" s="8" t="n"/>
      <c r="G270" s="8" t="n"/>
      <c r="H270" s="82" t="n"/>
      <c r="I270" s="8" t="n"/>
      <c r="J270" s="80">
        <f>IF(ISNUMBER(MCC_Table[[#This Row],[SIZE]]), MCC_Table[[#This Row],[SIZE]]/12, 0)</f>
        <v/>
      </c>
      <c r="K270" s="82" t="n"/>
      <c r="L270" s="82" t="n"/>
      <c r="M270" s="82" t="n"/>
      <c r="N270" s="82" t="n"/>
      <c r="O270" s="77" t="n"/>
      <c r="P270" s="110" t="n"/>
      <c r="Q270" s="79" t="n"/>
      <c r="R270" s="79" t="n"/>
      <c r="S270" s="79" t="n"/>
      <c r="T270" s="79" t="n"/>
      <c r="U270" s="79" t="n"/>
      <c r="V270" s="79" t="n"/>
      <c r="W270" s="79" t="n"/>
      <c r="X270" s="79" t="n"/>
      <c r="Y270" s="79" t="n"/>
      <c r="Z270" s="79" t="n"/>
      <c r="AA270" s="79" t="n"/>
      <c r="AB270" s="225" t="n"/>
      <c r="AC270" s="225" t="n"/>
      <c r="AD270" s="225" t="n"/>
      <c r="AE270" s="29">
        <f>_xlfn.NUMBERVALUE(LEFT(MCC_Table[[#This Row],[BUCKET]],LEN(MCC_Table[[#This Row],[BUCKET]])-1))</f>
        <v/>
      </c>
      <c r="AF270" s="29">
        <f>RIGHT(MCC_Table[[#This Row],[BUCKET]],1)</f>
        <v/>
      </c>
      <c r="AG270" s="29">
        <f>VLOOKUP(MCC_Table[[#This Row],[START UNIT]],UnitMap[],2,FALSE)</f>
        <v/>
      </c>
      <c r="AH270" s="29">
        <f t="array" ref="AH27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70" s="29">
        <f>IF(ISNUMBER(MCC_Table[[#This Row],[SIZE]]), MCC_Table[[#This Row],[SIZE]]/6, 0)</f>
        <v/>
      </c>
      <c r="AJ270" s="29">
        <f>MCC_Table[[#This Row],[START INDEX]]+MCC_Table[[#This Row],[UNITS USED]]-1</f>
        <v/>
      </c>
      <c r="AK270" s="14" t="n"/>
      <c r="AL270" s="14" t="n"/>
      <c r="AM270" s="14" t="n"/>
      <c r="AN270" s="14" t="n"/>
      <c r="AO270" s="14" t="n"/>
      <c r="AP270" s="14" t="n"/>
      <c r="AQ270" s="14" t="n"/>
      <c r="AR270" s="14" t="n"/>
      <c r="AS270" s="14" t="n"/>
      <c r="AT270" s="14" t="n"/>
      <c r="AU270" s="14" t="n"/>
      <c r="AV270" s="14" t="n"/>
      <c r="AW270" s="14" t="n"/>
      <c r="AX270" s="14" t="n"/>
      <c r="AY270" s="14" t="n"/>
      <c r="AZ270" s="14" t="n"/>
      <c r="BA270" s="14" t="n"/>
      <c r="BB270" s="14" t="n"/>
      <c r="BC270" s="14" t="n"/>
      <c r="BD270" s="14" t="n"/>
      <c r="BE270" s="14" t="n"/>
    </row>
    <row r="271" hidden="1" ht="15.75" customHeight="1" thickTop="1">
      <c r="A271" s="113" t="inlineStr">
        <is>
          <t>VTTRS-MCC1</t>
        </is>
      </c>
      <c r="B271" s="29" t="inlineStr">
        <is>
          <t>05J</t>
        </is>
      </c>
      <c r="C271" s="24" t="inlineStr">
        <is>
          <t>SPACE</t>
        </is>
      </c>
      <c r="D271" s="62" t="inlineStr">
        <is>
          <t>12" SPACE</t>
        </is>
      </c>
      <c r="E271" s="29" t="inlineStr">
        <is>
          <t>SPACE</t>
        </is>
      </c>
      <c r="F271" s="8" t="n"/>
      <c r="G271" s="8" t="n"/>
      <c r="H271" s="82" t="n"/>
      <c r="I271" s="8" t="n"/>
      <c r="J271" s="80">
        <f>IF(ISNUMBER(MCC_Table[[#This Row],[SIZE]]), MCC_Table[[#This Row],[SIZE]]/12, 0)</f>
        <v/>
      </c>
      <c r="K271" s="82" t="n"/>
      <c r="L271" s="82" t="n"/>
      <c r="M271" s="82" t="n"/>
      <c r="N271" s="82" t="n"/>
      <c r="O271" s="77" t="n"/>
      <c r="P271" s="110" t="n"/>
      <c r="Q271" s="79" t="n"/>
      <c r="R271" s="79" t="n"/>
      <c r="S271" s="79" t="n"/>
      <c r="T271" s="79" t="n"/>
      <c r="U271" s="79" t="n"/>
      <c r="V271" s="79" t="n"/>
      <c r="W271" s="79" t="n"/>
      <c r="X271" s="79" t="n"/>
      <c r="Y271" s="79" t="n"/>
      <c r="Z271" s="79" t="n"/>
      <c r="AA271" s="79" t="n"/>
      <c r="AB271" s="225" t="n"/>
      <c r="AC271" s="225" t="n"/>
      <c r="AD271" s="225" t="n"/>
      <c r="AE271" s="29">
        <f>_xlfn.NUMBERVALUE(LEFT(MCC_Table[[#This Row],[BUCKET]],LEN(MCC_Table[[#This Row],[BUCKET]])-1))</f>
        <v/>
      </c>
      <c r="AF271" s="29">
        <f>RIGHT(MCC_Table[[#This Row],[BUCKET]],1)</f>
        <v/>
      </c>
      <c r="AG271" s="29">
        <f>VLOOKUP(MCC_Table[[#This Row],[START UNIT]],UnitMap[],2,FALSE)</f>
        <v/>
      </c>
      <c r="AH271" s="29">
        <f t="array" ref="AH27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71" s="29">
        <f>IF(ISNUMBER(MCC_Table[[#This Row],[SIZE]]), MCC_Table[[#This Row],[SIZE]]/6, 0)</f>
        <v/>
      </c>
      <c r="AJ271" s="29">
        <f>MCC_Table[[#This Row],[START INDEX]]+MCC_Table[[#This Row],[UNITS USED]]-1</f>
        <v/>
      </c>
      <c r="AK271" s="14" t="n"/>
      <c r="AL271" s="14" t="n"/>
      <c r="AM271" s="14" t="n"/>
      <c r="AN271" s="14" t="n"/>
      <c r="AO271" s="14" t="n"/>
      <c r="AP271" s="14" t="n"/>
      <c r="AQ271" s="14" t="n"/>
      <c r="AR271" s="14" t="n"/>
      <c r="AS271" s="14" t="n"/>
      <c r="AT271" s="14" t="n"/>
      <c r="AU271" s="14" t="n"/>
      <c r="AV271" s="14" t="n"/>
      <c r="AW271" s="14" t="n"/>
      <c r="AX271" s="14" t="n"/>
      <c r="AY271" s="14" t="n"/>
      <c r="AZ271" s="14" t="n"/>
      <c r="BA271" s="14" t="n"/>
      <c r="BB271" s="14" t="n"/>
      <c r="BC271" s="14" t="n"/>
      <c r="BD271" s="14" t="n"/>
      <c r="BE271" s="14" t="n"/>
    </row>
    <row r="272" hidden="1" ht="15.75" customHeight="1" thickTop="1">
      <c r="A272" s="113" t="inlineStr">
        <is>
          <t>VTTRS-MCC1</t>
        </is>
      </c>
      <c r="B272" s="29" t="inlineStr">
        <is>
          <t>05L</t>
        </is>
      </c>
      <c r="C272" s="24" t="inlineStr">
        <is>
          <t>RM5-MCC1-5L.ENPS</t>
        </is>
      </c>
      <c r="D272" s="62" t="inlineStr">
        <is>
          <t>ETHERNET SWITCH POWER SUPPLY</t>
        </is>
      </c>
      <c r="E272" s="24" t="inlineStr">
        <is>
          <t>ENET_PS</t>
        </is>
      </c>
      <c r="F272" s="8" t="n"/>
      <c r="G272" s="8" t="n"/>
      <c r="H272" s="82" t="n"/>
      <c r="I272" s="8" t="n"/>
      <c r="J272" s="80">
        <f>IF(ISNUMBER(MCC_Table[[#This Row],[SIZE]]), MCC_Table[[#This Row],[SIZE]]/12, 0)</f>
        <v/>
      </c>
      <c r="K272" s="82" t="n"/>
      <c r="L272" s="82" t="n"/>
      <c r="M272" s="82" t="n"/>
      <c r="N272" s="82" t="n"/>
      <c r="O272" s="77" t="n"/>
      <c r="P272" s="78" t="n"/>
      <c r="Q272" s="79" t="n"/>
      <c r="R272" s="79" t="n"/>
      <c r="S272" s="79" t="n"/>
      <c r="T272" s="79" t="n"/>
      <c r="U272" s="79" t="n"/>
      <c r="V272" s="79" t="n"/>
      <c r="W272" s="79" t="n"/>
      <c r="X272" s="79" t="n"/>
      <c r="Y272" s="79" t="n"/>
      <c r="Z272" s="79" t="n"/>
      <c r="AA272" s="79" t="n"/>
      <c r="AB272" s="225" t="n"/>
      <c r="AC272" s="225" t="n"/>
      <c r="AD272" s="225" t="n"/>
      <c r="AE272" s="29">
        <f>_xlfn.NUMBERVALUE(LEFT(MCC_Table[[#This Row],[BUCKET]],LEN(MCC_Table[[#This Row],[BUCKET]])-1))</f>
        <v/>
      </c>
      <c r="AF272" s="29">
        <f>RIGHT(MCC_Table[[#This Row],[BUCKET]],1)</f>
        <v/>
      </c>
      <c r="AG272" s="29">
        <f>VLOOKUP(MCC_Table[[#This Row],[START UNIT]],UnitMap[],2,FALSE)</f>
        <v/>
      </c>
      <c r="AH272" s="29">
        <f t="array" ref="AH27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72" s="29">
        <f>IF(ISNUMBER(MCC_Table[[#This Row],[SIZE]]), MCC_Table[[#This Row],[SIZE]]/6, 0)</f>
        <v/>
      </c>
      <c r="AJ272" s="29">
        <f>MCC_Table[[#This Row],[START INDEX]]+MCC_Table[[#This Row],[UNITS USED]]-1</f>
        <v/>
      </c>
      <c r="AK272" s="14" t="n"/>
      <c r="AL272" s="14" t="n"/>
      <c r="AM272" s="14" t="n"/>
      <c r="AN272" s="14" t="n"/>
      <c r="AO272" s="14" t="n"/>
      <c r="AP272" s="14" t="n"/>
      <c r="AQ272" s="14" t="n"/>
      <c r="AR272" s="14" t="n"/>
      <c r="AS272" s="14" t="n"/>
      <c r="AT272" s="14" t="n"/>
      <c r="AU272" s="14" t="n"/>
      <c r="AV272" s="14" t="n"/>
      <c r="AW272" s="14" t="n"/>
      <c r="AX272" s="14" t="n"/>
      <c r="AY272" s="14" t="n"/>
      <c r="AZ272" s="14" t="n"/>
      <c r="BA272" s="14" t="n"/>
      <c r="BB272" s="14" t="n"/>
      <c r="BC272" s="14" t="n"/>
      <c r="BD272" s="14" t="n"/>
      <c r="BE272" s="14" t="n"/>
    </row>
    <row r="273" hidden="1" ht="15.75" customHeight="1" thickTop="1">
      <c r="A273" s="113" t="inlineStr">
        <is>
          <t>VTTRS-MCC1</t>
        </is>
      </c>
      <c r="B273" s="29" t="inlineStr">
        <is>
          <t>06A</t>
        </is>
      </c>
      <c r="C273" s="24" t="inlineStr">
        <is>
          <t>PMP-106</t>
        </is>
      </c>
      <c r="D273" s="28" t="inlineStr">
        <is>
          <t>CHILLED WATER PUMP 2</t>
        </is>
      </c>
      <c r="E273" s="29" t="inlineStr">
        <is>
          <t>VFD</t>
        </is>
      </c>
      <c r="F273" s="8" t="n">
        <v>15</v>
      </c>
      <c r="G273" s="8" t="n">
        <v>15</v>
      </c>
      <c r="H273" s="82" t="n"/>
      <c r="I273" s="8" t="n"/>
      <c r="J273" s="80">
        <f>IF(ISNUMBER(MCC_Table[[#This Row],[SIZE]]), MCC_Table[[#This Row],[SIZE]]/12, 0)</f>
        <v/>
      </c>
      <c r="K273" s="82" t="n">
        <v>60</v>
      </c>
      <c r="L273" s="82" t="n">
        <v>125</v>
      </c>
      <c r="M273" s="82" t="n">
        <v>40</v>
      </c>
      <c r="N273" s="82" t="inlineStr">
        <is>
          <t>3/C #10 VFD CABLE</t>
        </is>
      </c>
      <c r="O273" s="77" t="n"/>
      <c r="P273" s="110" t="n"/>
      <c r="Q273" s="79" t="n"/>
      <c r="R273" s="79" t="n"/>
      <c r="S273" s="79" t="n"/>
      <c r="T273" s="79" t="n"/>
      <c r="U273" s="79" t="n"/>
      <c r="V273" s="79" t="n"/>
      <c r="W273" s="79" t="n"/>
      <c r="X273" s="79" t="n"/>
      <c r="Y273" s="79" t="n"/>
      <c r="Z273" s="79" t="n"/>
      <c r="AA273" s="79" t="n"/>
      <c r="AB273" s="225" t="n"/>
      <c r="AC273" s="225" t="n"/>
      <c r="AD273" s="225" t="n"/>
      <c r="AE273" s="29">
        <f>_xlfn.NUMBERVALUE(LEFT(MCC_Table[[#This Row],[BUCKET]],LEN(MCC_Table[[#This Row],[BUCKET]])-1))</f>
        <v/>
      </c>
      <c r="AF273" s="29">
        <f>RIGHT(MCC_Table[[#This Row],[BUCKET]],1)</f>
        <v/>
      </c>
      <c r="AG273" s="29">
        <f>VLOOKUP(MCC_Table[[#This Row],[START UNIT]],UnitMap[],2,FALSE)</f>
        <v/>
      </c>
      <c r="AH273" s="29">
        <f t="array" ref="AH27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73" s="29">
        <f>IF(ISNUMBER(MCC_Table[[#This Row],[SIZE]]), MCC_Table[[#This Row],[SIZE]]/6, 0)</f>
        <v/>
      </c>
      <c r="AJ273" s="29">
        <f>MCC_Table[[#This Row],[START INDEX]]+MCC_Table[[#This Row],[UNITS USED]]-1</f>
        <v/>
      </c>
      <c r="AK273" s="14" t="n"/>
      <c r="AL273" s="14" t="n"/>
      <c r="AM273" s="14" t="n"/>
      <c r="AN273" s="14" t="n"/>
      <c r="AO273" s="14" t="n"/>
      <c r="AP273" s="14" t="n"/>
      <c r="AQ273" s="14" t="n"/>
      <c r="AR273" s="14" t="n"/>
      <c r="AS273" s="14" t="n"/>
      <c r="AT273" s="14" t="n"/>
      <c r="AU273" s="14" t="n"/>
      <c r="AV273" s="14" t="n"/>
      <c r="AW273" s="14" t="n"/>
      <c r="AX273" s="14" t="n"/>
      <c r="AY273" s="14" t="n"/>
      <c r="AZ273" s="14" t="n"/>
      <c r="BA273" s="14" t="n"/>
      <c r="BB273" s="14" t="n"/>
      <c r="BC273" s="14" t="n"/>
      <c r="BD273" s="14" t="n"/>
      <c r="BE273" s="14" t="n"/>
    </row>
    <row r="274" hidden="1" ht="15.75" customHeight="1" thickTop="1">
      <c r="A274" s="113" t="inlineStr">
        <is>
          <t>VTTRS-MCC1</t>
        </is>
      </c>
      <c r="B274" s="29" t="inlineStr">
        <is>
          <t>06F</t>
        </is>
      </c>
      <c r="C274" s="24" t="inlineStr">
        <is>
          <t>HTX-105</t>
        </is>
      </c>
      <c r="D274" s="28" t="inlineStr">
        <is>
          <t>VOTATOR 5</t>
        </is>
      </c>
      <c r="E274" s="29" t="inlineStr">
        <is>
          <t>VFD</t>
        </is>
      </c>
      <c r="F274" s="8" t="n">
        <v>30</v>
      </c>
      <c r="G274" s="8" t="n">
        <v>30</v>
      </c>
      <c r="H274" s="82" t="n"/>
      <c r="I274" s="8" t="n"/>
      <c r="J274" s="80">
        <f>IF(ISNUMBER(MCC_Table[[#This Row],[SIZE]]), MCC_Table[[#This Row],[SIZE]]/12, 0)</f>
        <v/>
      </c>
      <c r="K274" s="82" t="n">
        <v>100</v>
      </c>
      <c r="L274" s="82" t="n">
        <v>125</v>
      </c>
      <c r="M274" s="82" t="inlineStr">
        <is>
          <t>N/A</t>
        </is>
      </c>
      <c r="N274" s="82" t="inlineStr">
        <is>
          <t>3/C #6 VFD CABLE</t>
        </is>
      </c>
      <c r="O274" s="77" t="n"/>
      <c r="P274" s="110" t="n"/>
      <c r="Q274" s="79" t="n"/>
      <c r="R274" s="79" t="n"/>
      <c r="S274" s="79" t="n"/>
      <c r="T274" s="79" t="n"/>
      <c r="U274" s="79" t="n"/>
      <c r="V274" s="79" t="n"/>
      <c r="W274" s="79" t="n"/>
      <c r="X274" s="79" t="n"/>
      <c r="Y274" s="79" t="n"/>
      <c r="Z274" s="79" t="n"/>
      <c r="AA274" s="79" t="n"/>
      <c r="AB274" s="225" t="n"/>
      <c r="AC274" s="225" t="n"/>
      <c r="AD274" s="225" t="n"/>
      <c r="AE274" s="29">
        <f>_xlfn.NUMBERVALUE(LEFT(MCC_Table[[#This Row],[BUCKET]],LEN(MCC_Table[[#This Row],[BUCKET]])-1))</f>
        <v/>
      </c>
      <c r="AF274" s="29">
        <f>RIGHT(MCC_Table[[#This Row],[BUCKET]],1)</f>
        <v/>
      </c>
      <c r="AG274" s="29">
        <f>VLOOKUP(MCC_Table[[#This Row],[START UNIT]],UnitMap[],2,FALSE)</f>
        <v/>
      </c>
      <c r="AH274" s="29">
        <f t="array" ref="AH27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74" s="29">
        <f>IF(ISNUMBER(MCC_Table[[#This Row],[SIZE]]), MCC_Table[[#This Row],[SIZE]]/6, 0)</f>
        <v/>
      </c>
      <c r="AJ274" s="29">
        <f>MCC_Table[[#This Row],[START INDEX]]+MCC_Table[[#This Row],[UNITS USED]]-1</f>
        <v/>
      </c>
      <c r="AK274" s="14" t="n"/>
      <c r="AL274" s="14" t="n"/>
      <c r="AM274" s="14" t="n"/>
      <c r="AN274" s="14" t="n"/>
      <c r="AO274" s="14" t="n"/>
      <c r="AP274" s="14" t="n"/>
      <c r="AQ274" s="14" t="n"/>
      <c r="AR274" s="14" t="n"/>
      <c r="AS274" s="14" t="n"/>
      <c r="AT274" s="14" t="n"/>
      <c r="AU274" s="14" t="n"/>
      <c r="AV274" s="14" t="n"/>
      <c r="AW274" s="14" t="n"/>
      <c r="AX274" s="14" t="n"/>
      <c r="AY274" s="14" t="n"/>
      <c r="AZ274" s="14" t="n"/>
      <c r="BA274" s="14" t="n"/>
      <c r="BB274" s="14" t="n"/>
      <c r="BC274" s="14" t="n"/>
      <c r="BD274" s="14" t="n"/>
      <c r="BE274" s="14" t="n"/>
    </row>
    <row r="275" hidden="1" ht="15.75" customHeight="1" thickTop="1">
      <c r="A275" s="113" t="inlineStr">
        <is>
          <t>VTTRS-MCC1</t>
        </is>
      </c>
      <c r="B275" s="29" t="inlineStr">
        <is>
          <t>07A</t>
        </is>
      </c>
      <c r="C275" s="24" t="inlineStr">
        <is>
          <t>PMP-103</t>
        </is>
      </c>
      <c r="D275" s="28" t="inlineStr">
        <is>
          <t>CHILLED WATER PUMP 1</t>
        </is>
      </c>
      <c r="E275" s="29" t="inlineStr">
        <is>
          <t>VFD</t>
        </is>
      </c>
      <c r="F275" s="8" t="n">
        <v>15</v>
      </c>
      <c r="G275" s="8" t="n">
        <v>15</v>
      </c>
      <c r="H275" s="82" t="n"/>
      <c r="I275" s="8" t="n"/>
      <c r="J275" s="80">
        <f>IF(ISNUMBER(MCC_Table[[#This Row],[SIZE]]), MCC_Table[[#This Row],[SIZE]]/12, 0)</f>
        <v/>
      </c>
      <c r="K275" s="82" t="n">
        <v>60</v>
      </c>
      <c r="L275" s="82" t="n">
        <v>125</v>
      </c>
      <c r="M275" s="82" t="n">
        <v>40</v>
      </c>
      <c r="N275" s="82" t="inlineStr">
        <is>
          <t>3/C #10 VFD CABLE</t>
        </is>
      </c>
      <c r="O275" s="77" t="n"/>
      <c r="P275" s="110" t="n"/>
      <c r="Q275" s="79" t="n"/>
      <c r="R275" s="79" t="n"/>
      <c r="S275" s="79" t="n"/>
      <c r="T275" s="79" t="n"/>
      <c r="U275" s="79" t="n"/>
      <c r="V275" s="79" t="n"/>
      <c r="W275" s="79" t="n"/>
      <c r="X275" s="79" t="n"/>
      <c r="Y275" s="79" t="n"/>
      <c r="Z275" s="79" t="n"/>
      <c r="AA275" s="79" t="n"/>
      <c r="AB275" s="225" t="n"/>
      <c r="AC275" s="225" t="n"/>
      <c r="AD275" s="225" t="n"/>
      <c r="AE275" s="29">
        <f>_xlfn.NUMBERVALUE(LEFT(MCC_Table[[#This Row],[BUCKET]],LEN(MCC_Table[[#This Row],[BUCKET]])-1))</f>
        <v/>
      </c>
      <c r="AF275" s="29">
        <f>RIGHT(MCC_Table[[#This Row],[BUCKET]],1)</f>
        <v/>
      </c>
      <c r="AG275" s="29">
        <f>VLOOKUP(MCC_Table[[#This Row],[START UNIT]],UnitMap[],2,FALSE)</f>
        <v/>
      </c>
      <c r="AH275" s="29">
        <f t="array" ref="AH27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75" s="29">
        <f>IF(ISNUMBER(MCC_Table[[#This Row],[SIZE]]), MCC_Table[[#This Row],[SIZE]]/6, 0)</f>
        <v/>
      </c>
      <c r="AJ275" s="29">
        <f>MCC_Table[[#This Row],[START INDEX]]+MCC_Table[[#This Row],[UNITS USED]]-1</f>
        <v/>
      </c>
      <c r="AK275" s="14" t="n"/>
      <c r="AL275" s="14" t="n"/>
      <c r="AM275" s="14" t="n"/>
      <c r="AN275" s="14" t="n"/>
      <c r="AO275" s="14" t="n"/>
      <c r="AP275" s="14" t="n"/>
      <c r="AQ275" s="14" t="n"/>
      <c r="AR275" s="14" t="n"/>
      <c r="AS275" s="14" t="n"/>
      <c r="AT275" s="14" t="n"/>
      <c r="AU275" s="14" t="n"/>
      <c r="AV275" s="14" t="n"/>
      <c r="AW275" s="14" t="n"/>
      <c r="AX275" s="14" t="n"/>
      <c r="AY275" s="14" t="n"/>
      <c r="AZ275" s="14" t="n"/>
      <c r="BA275" s="14" t="n"/>
      <c r="BB275" s="14" t="n"/>
      <c r="BC275" s="14" t="n"/>
      <c r="BD275" s="14" t="n"/>
      <c r="BE275" s="14" t="n"/>
    </row>
    <row r="276" hidden="1" ht="15.75" customHeight="1" thickTop="1">
      <c r="A276" s="113" t="inlineStr">
        <is>
          <t>VTTRS-MCC1</t>
        </is>
      </c>
      <c r="B276" s="29" t="inlineStr">
        <is>
          <t>07F</t>
        </is>
      </c>
      <c r="C276" s="24" t="inlineStr">
        <is>
          <t>HTX-104</t>
        </is>
      </c>
      <c r="D276" s="28" t="inlineStr">
        <is>
          <t>VOTATOR 4</t>
        </is>
      </c>
      <c r="E276" s="29" t="inlineStr">
        <is>
          <t>VFD</t>
        </is>
      </c>
      <c r="F276" s="8" t="n">
        <v>30</v>
      </c>
      <c r="G276" s="8" t="n">
        <v>30</v>
      </c>
      <c r="H276" s="82" t="n"/>
      <c r="I276" s="8" t="n"/>
      <c r="J276" s="80">
        <f>IF(ISNUMBER(MCC_Table[[#This Row],[SIZE]]), MCC_Table[[#This Row],[SIZE]]/12, 0)</f>
        <v/>
      </c>
      <c r="K276" s="82" t="n">
        <v>100</v>
      </c>
      <c r="L276" s="82" t="n">
        <v>125</v>
      </c>
      <c r="M276" s="82" t="inlineStr">
        <is>
          <t>N/A</t>
        </is>
      </c>
      <c r="N276" s="82" t="inlineStr">
        <is>
          <t>3/C #6 VFD CABLE</t>
        </is>
      </c>
      <c r="O276" s="77" t="n"/>
      <c r="P276" s="110" t="n"/>
      <c r="Q276" s="79" t="n"/>
      <c r="R276" s="79" t="n"/>
      <c r="S276" s="79" t="n"/>
      <c r="T276" s="79" t="n"/>
      <c r="U276" s="79" t="n"/>
      <c r="V276" s="79" t="n"/>
      <c r="W276" s="79" t="n"/>
      <c r="X276" s="79" t="n"/>
      <c r="Y276" s="79" t="n"/>
      <c r="Z276" s="79" t="n"/>
      <c r="AA276" s="79" t="n"/>
      <c r="AB276" s="225" t="n"/>
      <c r="AC276" s="225" t="n"/>
      <c r="AD276" s="225" t="n"/>
      <c r="AE276" s="29">
        <f>_xlfn.NUMBERVALUE(LEFT(MCC_Table[[#This Row],[BUCKET]],LEN(MCC_Table[[#This Row],[BUCKET]])-1))</f>
        <v/>
      </c>
      <c r="AF276" s="29">
        <f>RIGHT(MCC_Table[[#This Row],[BUCKET]],1)</f>
        <v/>
      </c>
      <c r="AG276" s="29">
        <f>VLOOKUP(MCC_Table[[#This Row],[START UNIT]],UnitMap[],2,FALSE)</f>
        <v/>
      </c>
      <c r="AH276" s="29">
        <f t="array" ref="AH27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76" s="29">
        <f>IF(ISNUMBER(MCC_Table[[#This Row],[SIZE]]), MCC_Table[[#This Row],[SIZE]]/6, 0)</f>
        <v/>
      </c>
      <c r="AJ276" s="29">
        <f>MCC_Table[[#This Row],[START INDEX]]+MCC_Table[[#This Row],[UNITS USED]]-1</f>
        <v/>
      </c>
      <c r="AK276" s="14" t="n"/>
      <c r="AL276" s="14" t="n"/>
      <c r="AM276" s="14" t="n"/>
      <c r="AN276" s="14" t="n"/>
      <c r="AO276" s="14" t="n"/>
      <c r="AP276" s="14" t="n"/>
      <c r="AQ276" s="14" t="n"/>
      <c r="AR276" s="14" t="n"/>
      <c r="AS276" s="14" t="n"/>
      <c r="AT276" s="14" t="n"/>
      <c r="AU276" s="14" t="n"/>
      <c r="AV276" s="14" t="n"/>
      <c r="AW276" s="14" t="n"/>
      <c r="AX276" s="14" t="n"/>
      <c r="AY276" s="14" t="n"/>
      <c r="AZ276" s="14" t="n"/>
      <c r="BA276" s="14" t="n"/>
      <c r="BB276" s="14" t="n"/>
      <c r="BC276" s="14" t="n"/>
      <c r="BD276" s="14" t="n"/>
      <c r="BE276" s="14" t="n"/>
    </row>
    <row r="277" hidden="1" ht="15.75" customHeight="1" thickTop="1">
      <c r="A277" s="113" t="inlineStr">
        <is>
          <t>VTTRS-MCC1</t>
        </is>
      </c>
      <c r="B277" s="29" t="inlineStr">
        <is>
          <t>08A</t>
        </is>
      </c>
      <c r="C277" s="24" t="inlineStr">
        <is>
          <t>SPACE</t>
        </is>
      </c>
      <c r="D277" s="62" t="inlineStr">
        <is>
          <t>6" SPACE</t>
        </is>
      </c>
      <c r="E277" s="29" t="inlineStr">
        <is>
          <t>SPACE</t>
        </is>
      </c>
      <c r="F277" s="8" t="n"/>
      <c r="G277" s="8" t="n"/>
      <c r="H277" s="82" t="n"/>
      <c r="I277" s="8" t="n"/>
      <c r="J277" s="80">
        <f>IF(ISNUMBER(MCC_Table[[#This Row],[SIZE]]), MCC_Table[[#This Row],[SIZE]]/12, 0)</f>
        <v/>
      </c>
      <c r="K277" s="82" t="n"/>
      <c r="L277" s="82" t="n"/>
      <c r="M277" s="82" t="n"/>
      <c r="N277" s="82" t="n"/>
      <c r="O277" s="77" t="n"/>
      <c r="P277" s="110" t="n"/>
      <c r="Q277" s="79" t="n"/>
      <c r="R277" s="79" t="n"/>
      <c r="S277" s="79" t="n"/>
      <c r="T277" s="79" t="n"/>
      <c r="U277" s="79" t="n"/>
      <c r="V277" s="79" t="n"/>
      <c r="W277" s="79" t="n"/>
      <c r="X277" s="79" t="n"/>
      <c r="Y277" s="79" t="n"/>
      <c r="Z277" s="79" t="n"/>
      <c r="AA277" s="79" t="n"/>
      <c r="AB277" s="225" t="n"/>
      <c r="AC277" s="225" t="n"/>
      <c r="AD277" s="225" t="n"/>
      <c r="AE277" s="29">
        <f>_xlfn.NUMBERVALUE(LEFT(MCC_Table[[#This Row],[BUCKET]],LEN(MCC_Table[[#This Row],[BUCKET]])-1))</f>
        <v/>
      </c>
      <c r="AF277" s="29">
        <f>RIGHT(MCC_Table[[#This Row],[BUCKET]],1)</f>
        <v/>
      </c>
      <c r="AG277" s="29">
        <f>VLOOKUP(MCC_Table[[#This Row],[START UNIT]],UnitMap[],2,FALSE)</f>
        <v/>
      </c>
      <c r="AH277" s="29">
        <f t="array" ref="AH27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77" s="29">
        <f>IF(ISNUMBER(MCC_Table[[#This Row],[SIZE]]), MCC_Table[[#This Row],[SIZE]]/6, 0)</f>
        <v/>
      </c>
      <c r="AJ277" s="29">
        <f>MCC_Table[[#This Row],[START INDEX]]+MCC_Table[[#This Row],[UNITS USED]]-1</f>
        <v/>
      </c>
      <c r="AK277" s="14" t="n"/>
      <c r="AL277" s="14" t="n"/>
      <c r="AM277" s="14" t="n"/>
      <c r="AN277" s="14" t="n"/>
      <c r="AO277" s="14" t="n"/>
      <c r="AP277" s="14" t="n"/>
      <c r="AQ277" s="14" t="n"/>
      <c r="AR277" s="14" t="n"/>
      <c r="AS277" s="14" t="n"/>
      <c r="AT277" s="14" t="n"/>
      <c r="AU277" s="14" t="n"/>
      <c r="AV277" s="14" t="n"/>
      <c r="AW277" s="14" t="n"/>
      <c r="AX277" s="14" t="n"/>
      <c r="AY277" s="14" t="n"/>
      <c r="AZ277" s="14" t="n"/>
      <c r="BA277" s="14" t="n"/>
      <c r="BB277" s="14" t="n"/>
      <c r="BC277" s="14" t="n"/>
      <c r="BD277" s="14" t="n"/>
      <c r="BE277" s="14" t="n"/>
    </row>
    <row r="278" hidden="1" ht="15.75" customHeight="1" thickTop="1">
      <c r="A278" s="113" t="inlineStr">
        <is>
          <t>VTTRS-MCC1</t>
        </is>
      </c>
      <c r="B278" s="8" t="inlineStr">
        <is>
          <t>08B</t>
        </is>
      </c>
      <c r="C278" s="24" t="inlineStr">
        <is>
          <t>SPARE</t>
        </is>
      </c>
      <c r="D278" s="28" t="inlineStr">
        <is>
          <t>VFD - 10HP</t>
        </is>
      </c>
      <c r="E278" s="29" t="inlineStr">
        <is>
          <t>VFD</t>
        </is>
      </c>
      <c r="F278" s="29" t="n"/>
      <c r="G278" s="8" t="n">
        <v>10</v>
      </c>
      <c r="H278" s="82" t="n"/>
      <c r="I278" s="8" t="n"/>
      <c r="J278" s="83">
        <f>IF(ISNUMBER(MCC_Table[[#This Row],[SIZE]]), MCC_Table[[#This Row],[SIZE]]/12, 0)</f>
        <v/>
      </c>
      <c r="K278" s="82" t="n">
        <v>30</v>
      </c>
      <c r="L278" s="82" t="n">
        <v>125</v>
      </c>
      <c r="M278" s="82" t="n">
        <v>25</v>
      </c>
      <c r="N278" s="82" t="n"/>
      <c r="O278" s="77" t="n"/>
      <c r="P278" s="85" t="n"/>
      <c r="Q278" s="79" t="n"/>
      <c r="R278" s="79" t="n"/>
      <c r="S278" s="79" t="n"/>
      <c r="T278" s="79" t="n"/>
      <c r="U278" s="79" t="n"/>
      <c r="V278" s="79" t="n"/>
      <c r="W278" s="79" t="n"/>
      <c r="X278" s="79" t="n"/>
      <c r="Y278" s="79" t="n"/>
      <c r="Z278" s="79" t="n"/>
      <c r="AA278" s="79" t="n"/>
      <c r="AB278" s="225" t="n"/>
      <c r="AC278" s="225" t="n"/>
      <c r="AD278" s="225" t="n"/>
      <c r="AE278" s="8">
        <f>_xlfn.NUMBERVALUE(LEFT(MCC_Table[[#This Row],[BUCKET]],LEN(MCC_Table[[#This Row],[BUCKET]])-1))</f>
        <v/>
      </c>
      <c r="AF278" s="8">
        <f>RIGHT(MCC_Table[[#This Row],[BUCKET]],1)</f>
        <v/>
      </c>
      <c r="AG278" s="8">
        <f>VLOOKUP(MCC_Table[[#This Row],[START UNIT]],UnitMap[],2,FALSE)</f>
        <v/>
      </c>
      <c r="AH278" s="8">
        <f t="array" ref="AH27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78" s="8">
        <f>IF(ISNUMBER(MCC_Table[[#This Row],[SIZE]]), MCC_Table[[#This Row],[SIZE]]/6, 0)</f>
        <v/>
      </c>
      <c r="AJ278" s="8">
        <f>MCC_Table[[#This Row],[START INDEX]]+MCC_Table[[#This Row],[UNITS USED]]-1</f>
        <v/>
      </c>
      <c r="AK278" s="14" t="n"/>
      <c r="AL278" s="14" t="n"/>
      <c r="AM278" s="14" t="n"/>
      <c r="AN278" s="14" t="n"/>
      <c r="AO278" s="14" t="n"/>
      <c r="AP278" s="14" t="n"/>
      <c r="AQ278" s="14" t="n"/>
      <c r="AR278" s="14" t="n"/>
      <c r="AS278" s="14" t="n"/>
      <c r="AT278" s="14" t="n"/>
      <c r="AU278" s="14" t="n"/>
      <c r="AV278" s="14" t="n"/>
      <c r="AW278" s="14" t="n"/>
      <c r="AX278" s="14" t="n"/>
      <c r="AY278" s="14" t="n"/>
      <c r="AZ278" s="14" t="n"/>
      <c r="BA278" s="14" t="n"/>
      <c r="BB278" s="14" t="n"/>
      <c r="BC278" s="14" t="n"/>
      <c r="BD278" s="14" t="n"/>
      <c r="BE278" s="14" t="n"/>
    </row>
    <row r="279" hidden="1" ht="15.75" customHeight="1" thickTop="1">
      <c r="A279" s="113" t="inlineStr">
        <is>
          <t>VTTRS-MCC1</t>
        </is>
      </c>
      <c r="B279" s="29" t="inlineStr">
        <is>
          <t>08F</t>
        </is>
      </c>
      <c r="C279" s="24" t="inlineStr">
        <is>
          <t>HTX-106</t>
        </is>
      </c>
      <c r="D279" s="28" t="inlineStr">
        <is>
          <t>VOTATOR 6</t>
        </is>
      </c>
      <c r="E279" s="29" t="inlineStr">
        <is>
          <t>VFD</t>
        </is>
      </c>
      <c r="F279" s="8" t="n">
        <v>30</v>
      </c>
      <c r="G279" s="8" t="n">
        <v>30</v>
      </c>
      <c r="H279" s="82" t="n"/>
      <c r="I279" s="8" t="n"/>
      <c r="J279" s="80">
        <f>IF(ISNUMBER(MCC_Table[[#This Row],[SIZE]]), MCC_Table[[#This Row],[SIZE]]/12, 0)</f>
        <v/>
      </c>
      <c r="K279" s="82" t="n">
        <v>100</v>
      </c>
      <c r="L279" s="82" t="n">
        <v>125</v>
      </c>
      <c r="M279" s="82" t="inlineStr">
        <is>
          <t>N/A</t>
        </is>
      </c>
      <c r="N279" s="82" t="inlineStr">
        <is>
          <t>3/C #6 VFD CABLE</t>
        </is>
      </c>
      <c r="O279" s="77" t="n"/>
      <c r="P279" s="110" t="n"/>
      <c r="Q279" s="79" t="n"/>
      <c r="R279" s="79" t="n"/>
      <c r="S279" s="79" t="n"/>
      <c r="T279" s="79" t="n"/>
      <c r="U279" s="79" t="n"/>
      <c r="V279" s="79" t="n"/>
      <c r="W279" s="79" t="n"/>
      <c r="X279" s="79" t="n"/>
      <c r="Y279" s="79" t="n"/>
      <c r="Z279" s="79" t="n"/>
      <c r="AA279" s="79" t="n"/>
      <c r="AB279" s="225" t="n"/>
      <c r="AC279" s="225" t="n"/>
      <c r="AD279" s="225" t="n"/>
      <c r="AE279" s="29">
        <f>_xlfn.NUMBERVALUE(LEFT(MCC_Table[[#This Row],[BUCKET]],LEN(MCC_Table[[#This Row],[BUCKET]])-1))</f>
        <v/>
      </c>
      <c r="AF279" s="29">
        <f>RIGHT(MCC_Table[[#This Row],[BUCKET]],1)</f>
        <v/>
      </c>
      <c r="AG279" s="29">
        <f>VLOOKUP(MCC_Table[[#This Row],[START UNIT]],UnitMap[],2,FALSE)</f>
        <v/>
      </c>
      <c r="AH279" s="29">
        <f t="array" ref="AH27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79" s="29">
        <f>IF(ISNUMBER(MCC_Table[[#This Row],[SIZE]]), MCC_Table[[#This Row],[SIZE]]/6, 0)</f>
        <v/>
      </c>
      <c r="AJ279" s="29">
        <f>MCC_Table[[#This Row],[START INDEX]]+MCC_Table[[#This Row],[UNITS USED]]-1</f>
        <v/>
      </c>
      <c r="AK279" s="14" t="n"/>
      <c r="AL279" s="14" t="n"/>
      <c r="AM279" s="14" t="n"/>
      <c r="AN279" s="14" t="n"/>
      <c r="AO279" s="14" t="n"/>
      <c r="AP279" s="14" t="n"/>
      <c r="AQ279" s="14" t="n"/>
      <c r="AR279" s="14" t="n"/>
      <c r="AS279" s="14" t="n"/>
      <c r="AT279" s="14" t="n"/>
      <c r="AU279" s="14" t="n"/>
      <c r="AV279" s="14" t="n"/>
      <c r="AW279" s="14" t="n"/>
      <c r="AX279" s="14" t="n"/>
      <c r="AY279" s="14" t="n"/>
      <c r="AZ279" s="14" t="n"/>
      <c r="BA279" s="14" t="n"/>
      <c r="BB279" s="14" t="n"/>
      <c r="BC279" s="14" t="n"/>
      <c r="BD279" s="14" t="n"/>
      <c r="BE279" s="14" t="n"/>
    </row>
    <row r="280" hidden="1" ht="15.75" customHeight="1" thickTop="1">
      <c r="A280" s="113" t="inlineStr">
        <is>
          <t>VTTRS-MCC1</t>
        </is>
      </c>
      <c r="B280" s="29" t="inlineStr">
        <is>
          <t>09A</t>
        </is>
      </c>
      <c r="C280" s="24" t="inlineStr">
        <is>
          <t>SPACE</t>
        </is>
      </c>
      <c r="D280" s="62" t="inlineStr">
        <is>
          <t>6" SPACE</t>
        </is>
      </c>
      <c r="E280" s="29" t="inlineStr">
        <is>
          <t>SPACE</t>
        </is>
      </c>
      <c r="F280" s="8" t="n"/>
      <c r="G280" s="8" t="n"/>
      <c r="H280" s="82" t="n"/>
      <c r="I280" s="8" t="n"/>
      <c r="J280" s="80">
        <f>IF(ISNUMBER(MCC_Table[[#This Row],[SIZE]]), MCC_Table[[#This Row],[SIZE]]/12, 0)</f>
        <v/>
      </c>
      <c r="K280" s="82" t="n"/>
      <c r="L280" s="82" t="n"/>
      <c r="M280" s="82" t="n"/>
      <c r="N280" s="82" t="n"/>
      <c r="O280" s="77" t="n"/>
      <c r="P280" s="110" t="n"/>
      <c r="Q280" s="79" t="n"/>
      <c r="R280" s="79" t="n"/>
      <c r="S280" s="79" t="n"/>
      <c r="T280" s="79" t="n"/>
      <c r="U280" s="79" t="n"/>
      <c r="V280" s="79" t="n"/>
      <c r="W280" s="79" t="n"/>
      <c r="X280" s="79" t="n"/>
      <c r="Y280" s="79" t="n"/>
      <c r="Z280" s="79" t="n"/>
      <c r="AA280" s="79" t="n"/>
      <c r="AB280" s="225" t="n"/>
      <c r="AC280" s="225" t="n"/>
      <c r="AD280" s="225" t="n"/>
      <c r="AE280" s="29">
        <f>_xlfn.NUMBERVALUE(LEFT(MCC_Table[[#This Row],[BUCKET]],LEN(MCC_Table[[#This Row],[BUCKET]])-1))</f>
        <v/>
      </c>
      <c r="AF280" s="29">
        <f>RIGHT(MCC_Table[[#This Row],[BUCKET]],1)</f>
        <v/>
      </c>
      <c r="AG280" s="29">
        <f>VLOOKUP(MCC_Table[[#This Row],[START UNIT]],UnitMap[],2,FALSE)</f>
        <v/>
      </c>
      <c r="AH280" s="29">
        <f t="array" ref="AH28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80" s="29">
        <f>IF(ISNUMBER(MCC_Table[[#This Row],[SIZE]]), MCC_Table[[#This Row],[SIZE]]/6, 0)</f>
        <v/>
      </c>
      <c r="AJ280" s="29">
        <f>MCC_Table[[#This Row],[START INDEX]]+MCC_Table[[#This Row],[UNITS USED]]-1</f>
        <v/>
      </c>
      <c r="AK280" s="14" t="n"/>
      <c r="AL280" s="14" t="n"/>
      <c r="AM280" s="14" t="n"/>
      <c r="AN280" s="14" t="n"/>
      <c r="AO280" s="14" t="n"/>
      <c r="AP280" s="14" t="n"/>
      <c r="AQ280" s="14" t="n"/>
      <c r="AR280" s="14" t="n"/>
      <c r="AS280" s="14" t="n"/>
      <c r="AT280" s="14" t="n"/>
      <c r="AU280" s="14" t="n"/>
      <c r="AV280" s="14" t="n"/>
      <c r="AW280" s="14" t="n"/>
      <c r="AX280" s="14" t="n"/>
      <c r="AY280" s="14" t="n"/>
      <c r="AZ280" s="14" t="n"/>
      <c r="BA280" s="14" t="n"/>
      <c r="BB280" s="14" t="n"/>
      <c r="BC280" s="14" t="n"/>
      <c r="BD280" s="14" t="n"/>
      <c r="BE280" s="14" t="n"/>
    </row>
    <row r="281" hidden="1" ht="15.75" customHeight="1" thickTop="1">
      <c r="A281" s="113" t="inlineStr">
        <is>
          <t>VTTRS-MCC1</t>
        </is>
      </c>
      <c r="B281" s="29" t="inlineStr">
        <is>
          <t>09B</t>
        </is>
      </c>
      <c r="C281" s="24" t="inlineStr">
        <is>
          <t>FHD-101</t>
        </is>
      </c>
      <c r="D281" s="28" t="inlineStr">
        <is>
          <t>FORMING HEAD</t>
        </is>
      </c>
      <c r="E281" s="29" t="inlineStr">
        <is>
          <t>VFD</t>
        </is>
      </c>
      <c r="F281" s="8" t="n">
        <v>7.5</v>
      </c>
      <c r="G281" s="8" t="n">
        <v>7.5</v>
      </c>
      <c r="H281" s="82" t="n"/>
      <c r="I281" s="8" t="n"/>
      <c r="J281" s="80">
        <f>IF(ISNUMBER(MCC_Table[[#This Row],[SIZE]]), MCC_Table[[#This Row],[SIZE]]/12, 0)</f>
        <v/>
      </c>
      <c r="K281" s="82" t="n">
        <v>30</v>
      </c>
      <c r="L281" s="82" t="n">
        <v>125</v>
      </c>
      <c r="M281" s="82" t="n">
        <v>25</v>
      </c>
      <c r="N281" s="82" t="inlineStr">
        <is>
          <t>3/C #12 VFD CABLE</t>
        </is>
      </c>
      <c r="O281" s="77" t="n"/>
      <c r="P281" s="110" t="n"/>
      <c r="Q281" s="79" t="n"/>
      <c r="R281" s="79" t="n"/>
      <c r="S281" s="79" t="n"/>
      <c r="T281" s="79" t="n"/>
      <c r="U281" s="79" t="n"/>
      <c r="V281" s="79" t="n"/>
      <c r="W281" s="79" t="n"/>
      <c r="X281" s="79" t="n"/>
      <c r="Y281" s="79" t="n"/>
      <c r="Z281" s="79" t="n"/>
      <c r="AA281" s="79" t="n"/>
      <c r="AB281" s="225" t="n"/>
      <c r="AC281" s="225" t="n"/>
      <c r="AD281" s="225" t="n"/>
      <c r="AE281" s="29">
        <f>_xlfn.NUMBERVALUE(LEFT(MCC_Table[[#This Row],[BUCKET]],LEN(MCC_Table[[#This Row],[BUCKET]])-1))</f>
        <v/>
      </c>
      <c r="AF281" s="29">
        <f>RIGHT(MCC_Table[[#This Row],[BUCKET]],1)</f>
        <v/>
      </c>
      <c r="AG281" s="29">
        <f>VLOOKUP(MCC_Table[[#This Row],[START UNIT]],UnitMap[],2,FALSE)</f>
        <v/>
      </c>
      <c r="AH281" s="29">
        <f t="array" ref="AH28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81" s="29">
        <f>IF(ISNUMBER(MCC_Table[[#This Row],[SIZE]]), MCC_Table[[#This Row],[SIZE]]/6, 0)</f>
        <v/>
      </c>
      <c r="AJ281" s="29">
        <f>MCC_Table[[#This Row],[START INDEX]]+MCC_Table[[#This Row],[UNITS USED]]-1</f>
        <v/>
      </c>
      <c r="AK281" s="14" t="n"/>
      <c r="AL281" s="14" t="n"/>
      <c r="AM281" s="14" t="n"/>
      <c r="AN281" s="14" t="n"/>
      <c r="AO281" s="14" t="n"/>
      <c r="AP281" s="14" t="n"/>
      <c r="AQ281" s="14" t="n"/>
      <c r="AR281" s="14" t="n"/>
      <c r="AS281" s="14" t="n"/>
      <c r="AT281" s="14" t="n"/>
      <c r="AU281" s="14" t="n"/>
      <c r="AV281" s="14" t="n"/>
      <c r="AW281" s="14" t="n"/>
      <c r="AX281" s="14" t="n"/>
      <c r="AY281" s="14" t="n"/>
      <c r="AZ281" s="14" t="n"/>
      <c r="BA281" s="14" t="n"/>
      <c r="BB281" s="14" t="n"/>
      <c r="BC281" s="14" t="n"/>
      <c r="BD281" s="14" t="n"/>
      <c r="BE281" s="14" t="n"/>
    </row>
    <row r="282" hidden="1" ht="15.75" customHeight="1" thickTop="1">
      <c r="A282" s="113" t="inlineStr">
        <is>
          <t>VTTRS-MCC1</t>
        </is>
      </c>
      <c r="B282" s="29" t="inlineStr">
        <is>
          <t>09F</t>
        </is>
      </c>
      <c r="C282" s="24" t="inlineStr">
        <is>
          <t>HTX-107</t>
        </is>
      </c>
      <c r="D282" s="28" t="inlineStr">
        <is>
          <t>VOTATOR 7</t>
        </is>
      </c>
      <c r="E282" s="29" t="inlineStr">
        <is>
          <t>VFD</t>
        </is>
      </c>
      <c r="F282" s="8" t="n">
        <v>30</v>
      </c>
      <c r="G282" s="8" t="n">
        <v>30</v>
      </c>
      <c r="H282" s="82" t="n"/>
      <c r="I282" s="8" t="n"/>
      <c r="J282" s="80">
        <f>IF(ISNUMBER(MCC_Table[[#This Row],[SIZE]]), MCC_Table[[#This Row],[SIZE]]/12, 0)</f>
        <v/>
      </c>
      <c r="K282" s="82" t="n">
        <v>100</v>
      </c>
      <c r="L282" s="82" t="n">
        <v>125</v>
      </c>
      <c r="M282" s="82" t="inlineStr">
        <is>
          <t>N/A</t>
        </is>
      </c>
      <c r="N282" s="82" t="inlineStr">
        <is>
          <t>3/C #6 VFD CABLE</t>
        </is>
      </c>
      <c r="O282" s="77" t="n"/>
      <c r="P282" s="110" t="n"/>
      <c r="Q282" s="79" t="n"/>
      <c r="R282" s="79" t="n"/>
      <c r="S282" s="79" t="n"/>
      <c r="T282" s="79" t="n"/>
      <c r="U282" s="79" t="n"/>
      <c r="V282" s="79" t="n"/>
      <c r="W282" s="79" t="n"/>
      <c r="X282" s="79" t="n"/>
      <c r="Y282" s="79" t="n"/>
      <c r="Z282" s="79" t="n"/>
      <c r="AA282" s="79" t="n"/>
      <c r="AB282" s="225" t="n"/>
      <c r="AC282" s="225" t="n"/>
      <c r="AD282" s="225" t="n"/>
      <c r="AE282" s="29">
        <f>_xlfn.NUMBERVALUE(LEFT(MCC_Table[[#This Row],[BUCKET]],LEN(MCC_Table[[#This Row],[BUCKET]])-1))</f>
        <v/>
      </c>
      <c r="AF282" s="29">
        <f>RIGHT(MCC_Table[[#This Row],[BUCKET]],1)</f>
        <v/>
      </c>
      <c r="AG282" s="29">
        <f>VLOOKUP(MCC_Table[[#This Row],[START UNIT]],UnitMap[],2,FALSE)</f>
        <v/>
      </c>
      <c r="AH282" s="29">
        <f t="array" ref="AH28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82" s="29">
        <f>IF(ISNUMBER(MCC_Table[[#This Row],[SIZE]]), MCC_Table[[#This Row],[SIZE]]/6, 0)</f>
        <v/>
      </c>
      <c r="AJ282" s="29">
        <f>MCC_Table[[#This Row],[START INDEX]]+MCC_Table[[#This Row],[UNITS USED]]-1</f>
        <v/>
      </c>
      <c r="AK282" s="14" t="n"/>
      <c r="AL282" s="14" t="n"/>
      <c r="AM282" s="14" t="n"/>
      <c r="AN282" s="14" t="n"/>
      <c r="AO282" s="14" t="n"/>
      <c r="AP282" s="14" t="n"/>
      <c r="AQ282" s="14" t="n"/>
      <c r="AR282" s="14" t="n"/>
      <c r="AS282" s="14" t="n"/>
      <c r="AT282" s="14" t="n"/>
      <c r="AU282" s="14" t="n"/>
      <c r="AV282" s="14" t="n"/>
      <c r="AW282" s="14" t="n"/>
      <c r="AX282" s="14" t="n"/>
      <c r="AY282" s="14" t="n"/>
      <c r="AZ282" s="14" t="n"/>
      <c r="BA282" s="14" t="n"/>
      <c r="BB282" s="14" t="n"/>
      <c r="BC282" s="14" t="n"/>
      <c r="BD282" s="14" t="n"/>
      <c r="BE282" s="14" t="n"/>
    </row>
    <row r="283" hidden="1" ht="15.75" customHeight="1" thickTop="1">
      <c r="A283" s="113" t="inlineStr">
        <is>
          <t>VTTRS-MCC1</t>
        </is>
      </c>
      <c r="B283" s="29" t="inlineStr">
        <is>
          <t>10A</t>
        </is>
      </c>
      <c r="C283" s="24" t="inlineStr">
        <is>
          <t>SPACE</t>
        </is>
      </c>
      <c r="D283" s="62" t="inlineStr">
        <is>
          <t>6" SPACE</t>
        </is>
      </c>
      <c r="E283" s="29" t="inlineStr">
        <is>
          <t>SPACE</t>
        </is>
      </c>
      <c r="F283" s="8" t="n"/>
      <c r="G283" s="8" t="n"/>
      <c r="H283" s="82" t="n"/>
      <c r="I283" s="8" t="n"/>
      <c r="J283" s="80">
        <f>IF(ISNUMBER(MCC_Table[[#This Row],[SIZE]]), MCC_Table[[#This Row],[SIZE]]/12, 0)</f>
        <v/>
      </c>
      <c r="K283" s="82" t="n"/>
      <c r="L283" s="82" t="n"/>
      <c r="M283" s="82" t="n"/>
      <c r="N283" s="82" t="n"/>
      <c r="O283" s="77" t="n"/>
      <c r="P283" s="110" t="n"/>
      <c r="Q283" s="79" t="n"/>
      <c r="R283" s="79" t="n"/>
      <c r="S283" s="79" t="n"/>
      <c r="T283" s="79" t="n"/>
      <c r="U283" s="79" t="n"/>
      <c r="V283" s="79" t="n"/>
      <c r="W283" s="79" t="n"/>
      <c r="X283" s="79" t="n"/>
      <c r="Y283" s="79" t="n"/>
      <c r="Z283" s="79" t="n"/>
      <c r="AA283" s="79" t="n"/>
      <c r="AB283" s="225" t="n"/>
      <c r="AC283" s="225" t="n"/>
      <c r="AD283" s="225" t="n"/>
      <c r="AE283" s="29">
        <f>_xlfn.NUMBERVALUE(LEFT(MCC_Table[[#This Row],[BUCKET]],LEN(MCC_Table[[#This Row],[BUCKET]])-1))</f>
        <v/>
      </c>
      <c r="AF283" s="29">
        <f>RIGHT(MCC_Table[[#This Row],[BUCKET]],1)</f>
        <v/>
      </c>
      <c r="AG283" s="29">
        <f>VLOOKUP(MCC_Table[[#This Row],[START UNIT]],UnitMap[],2,FALSE)</f>
        <v/>
      </c>
      <c r="AH283" s="29">
        <f t="array" ref="AH28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83" s="29">
        <f>IF(ISNUMBER(MCC_Table[[#This Row],[SIZE]]), MCC_Table[[#This Row],[SIZE]]/6, 0)</f>
        <v/>
      </c>
      <c r="AJ283" s="29">
        <f>MCC_Table[[#This Row],[START INDEX]]+MCC_Table[[#This Row],[UNITS USED]]-1</f>
        <v/>
      </c>
      <c r="AK283" s="14" t="n"/>
      <c r="AL283" s="14" t="n"/>
      <c r="AM283" s="14" t="n"/>
      <c r="AN283" s="14" t="n"/>
      <c r="AO283" s="14" t="n"/>
      <c r="AP283" s="14" t="n"/>
      <c r="AQ283" s="14" t="n"/>
      <c r="AR283" s="14" t="n"/>
      <c r="AS283" s="14" t="n"/>
      <c r="AT283" s="14" t="n"/>
      <c r="AU283" s="14" t="n"/>
      <c r="AV283" s="14" t="n"/>
      <c r="AW283" s="14" t="n"/>
      <c r="AX283" s="14" t="n"/>
      <c r="AY283" s="14" t="n"/>
      <c r="AZ283" s="14" t="n"/>
      <c r="BA283" s="14" t="n"/>
      <c r="BB283" s="14" t="n"/>
      <c r="BC283" s="14" t="n"/>
      <c r="BD283" s="14" t="n"/>
      <c r="BE283" s="14" t="n"/>
    </row>
    <row r="284" hidden="1" ht="15.75" customHeight="1" thickTop="1">
      <c r="A284" s="113" t="inlineStr">
        <is>
          <t>VTTRS-MCC1</t>
        </is>
      </c>
      <c r="B284" s="29" t="inlineStr">
        <is>
          <t>10B</t>
        </is>
      </c>
      <c r="C284" s="24" t="inlineStr">
        <is>
          <t>PMP-10x</t>
        </is>
      </c>
      <c r="D284" s="28" t="inlineStr">
        <is>
          <t>VOTATOR SKID HW CIRC PUMP</t>
        </is>
      </c>
      <c r="E284" s="29" t="inlineStr">
        <is>
          <t>VFD</t>
        </is>
      </c>
      <c r="F284" s="8" t="n"/>
      <c r="G284" s="8" t="n"/>
      <c r="H284" s="82" t="n"/>
      <c r="I284" s="8" t="n"/>
      <c r="J284" s="80">
        <f>IF(ISNUMBER(MCC_Table[[#This Row],[SIZE]]), MCC_Table[[#This Row],[SIZE]]/12, 0)</f>
        <v/>
      </c>
      <c r="K284" s="82" t="n"/>
      <c r="L284" s="82" t="n"/>
      <c r="M284" s="82" t="n"/>
      <c r="N284" s="82" t="n"/>
      <c r="O284" s="77" t="n"/>
      <c r="P284" s="110" t="n"/>
      <c r="Q284" s="79" t="n"/>
      <c r="R284" s="79" t="n"/>
      <c r="S284" s="79" t="n"/>
      <c r="T284" s="79" t="n"/>
      <c r="U284" s="79" t="n"/>
      <c r="V284" s="79" t="n"/>
      <c r="W284" s="79" t="n"/>
      <c r="X284" s="79" t="n"/>
      <c r="Y284" s="79" t="n"/>
      <c r="Z284" s="79" t="n"/>
      <c r="AA284" s="79" t="n"/>
      <c r="AB284" s="225" t="n"/>
      <c r="AC284" s="225" t="n"/>
      <c r="AD284" s="225" t="n"/>
      <c r="AE284" s="29">
        <f>_xlfn.NUMBERVALUE(LEFT(MCC_Table[[#This Row],[BUCKET]],LEN(MCC_Table[[#This Row],[BUCKET]])-1))</f>
        <v/>
      </c>
      <c r="AF284" s="29">
        <f>RIGHT(MCC_Table[[#This Row],[BUCKET]],1)</f>
        <v/>
      </c>
      <c r="AG284" s="29">
        <f>VLOOKUP(MCC_Table[[#This Row],[START UNIT]],UnitMap[],2,FALSE)</f>
        <v/>
      </c>
      <c r="AH284" s="29">
        <f t="array" ref="AH28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84" s="29">
        <f>IF(ISNUMBER(MCC_Table[[#This Row],[SIZE]]), MCC_Table[[#This Row],[SIZE]]/6, 0)</f>
        <v/>
      </c>
      <c r="AJ284" s="29">
        <f>MCC_Table[[#This Row],[START INDEX]]+MCC_Table[[#This Row],[UNITS USED]]-1</f>
        <v/>
      </c>
      <c r="AK284" s="14" t="n"/>
      <c r="AL284" s="14" t="n"/>
      <c r="AM284" s="14" t="n"/>
      <c r="AN284" s="14" t="n"/>
      <c r="AO284" s="14" t="n"/>
      <c r="AP284" s="14" t="n"/>
      <c r="AQ284" s="14" t="n"/>
      <c r="AR284" s="14" t="n"/>
      <c r="AS284" s="14" t="n"/>
      <c r="AT284" s="14" t="n"/>
      <c r="AU284" s="14" t="n"/>
      <c r="AV284" s="14" t="n"/>
      <c r="AW284" s="14" t="n"/>
      <c r="AX284" s="14" t="n"/>
      <c r="AY284" s="14" t="n"/>
      <c r="AZ284" s="14" t="n"/>
      <c r="BA284" s="14" t="n"/>
      <c r="BB284" s="14" t="n"/>
      <c r="BC284" s="14" t="n"/>
      <c r="BD284" s="14" t="n"/>
      <c r="BE284" s="14" t="n"/>
    </row>
    <row r="285" hidden="1" ht="15.75" customHeight="1" thickTop="1">
      <c r="A285" s="113" t="inlineStr">
        <is>
          <t>VTTRS-MCC1</t>
        </is>
      </c>
      <c r="B285" s="29" t="inlineStr">
        <is>
          <t>10F</t>
        </is>
      </c>
      <c r="C285" s="24" t="inlineStr">
        <is>
          <t>HTX-108</t>
        </is>
      </c>
      <c r="D285" s="28" t="inlineStr">
        <is>
          <t>VOTATOR 8</t>
        </is>
      </c>
      <c r="E285" s="29" t="inlineStr">
        <is>
          <t>VFD</t>
        </is>
      </c>
      <c r="F285" s="8" t="n">
        <v>30</v>
      </c>
      <c r="G285" s="8" t="n">
        <v>30</v>
      </c>
      <c r="H285" s="82" t="n"/>
      <c r="I285" s="8" t="n"/>
      <c r="J285" s="80">
        <f>IF(ISNUMBER(MCC_Table[[#This Row],[SIZE]]), MCC_Table[[#This Row],[SIZE]]/12, 0)</f>
        <v/>
      </c>
      <c r="K285" s="82" t="n">
        <v>100</v>
      </c>
      <c r="L285" s="82" t="n">
        <v>125</v>
      </c>
      <c r="M285" s="82" t="inlineStr">
        <is>
          <t>N/A</t>
        </is>
      </c>
      <c r="N285" s="82" t="inlineStr">
        <is>
          <t>3/C #6 VFD CABLE</t>
        </is>
      </c>
      <c r="O285" s="77" t="n"/>
      <c r="P285" s="110" t="n"/>
      <c r="Q285" s="79" t="n"/>
      <c r="R285" s="79" t="n"/>
      <c r="S285" s="79" t="n"/>
      <c r="T285" s="79" t="n"/>
      <c r="U285" s="79" t="n"/>
      <c r="V285" s="79" t="n"/>
      <c r="W285" s="79" t="n"/>
      <c r="X285" s="79" t="n"/>
      <c r="Y285" s="79" t="n"/>
      <c r="Z285" s="79" t="n"/>
      <c r="AA285" s="79" t="n"/>
      <c r="AB285" s="225" t="n"/>
      <c r="AC285" s="225" t="n"/>
      <c r="AD285" s="225" t="n"/>
      <c r="AE285" s="29">
        <f>_xlfn.NUMBERVALUE(LEFT(MCC_Table[[#This Row],[BUCKET]],LEN(MCC_Table[[#This Row],[BUCKET]])-1))</f>
        <v/>
      </c>
      <c r="AF285" s="29">
        <f>RIGHT(MCC_Table[[#This Row],[BUCKET]],1)</f>
        <v/>
      </c>
      <c r="AG285" s="29">
        <f>VLOOKUP(MCC_Table[[#This Row],[START UNIT]],UnitMap[],2,FALSE)</f>
        <v/>
      </c>
      <c r="AH285" s="29">
        <f t="array" ref="AH28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85" s="29">
        <f>IF(ISNUMBER(MCC_Table[[#This Row],[SIZE]]), MCC_Table[[#This Row],[SIZE]]/6, 0)</f>
        <v/>
      </c>
      <c r="AJ285" s="29">
        <f>MCC_Table[[#This Row],[START INDEX]]+MCC_Table[[#This Row],[UNITS USED]]-1</f>
        <v/>
      </c>
      <c r="AK285" s="14" t="n"/>
      <c r="AL285" s="14" t="n"/>
      <c r="AM285" s="14" t="n"/>
      <c r="AN285" s="14" t="n"/>
      <c r="AO285" s="14" t="n"/>
      <c r="AP285" s="14" t="n"/>
      <c r="AQ285" s="14" t="n"/>
      <c r="AR285" s="14" t="n"/>
      <c r="AS285" s="14" t="n"/>
      <c r="AT285" s="14" t="n"/>
      <c r="AU285" s="14" t="n"/>
      <c r="AV285" s="14" t="n"/>
      <c r="AW285" s="14" t="n"/>
      <c r="AX285" s="14" t="n"/>
      <c r="AY285" s="14" t="n"/>
      <c r="AZ285" s="14" t="n"/>
      <c r="BA285" s="14" t="n"/>
      <c r="BB285" s="14" t="n"/>
      <c r="BC285" s="14" t="n"/>
      <c r="BD285" s="14" t="n"/>
      <c r="BE285" s="14" t="n"/>
    </row>
    <row r="286" hidden="1" ht="15.75" customHeight="1" thickTop="1">
      <c r="A286" s="113" t="inlineStr">
        <is>
          <t>VTTRS-MCC1</t>
        </is>
      </c>
      <c r="B286" s="29" t="inlineStr">
        <is>
          <t>11A</t>
        </is>
      </c>
      <c r="C286" s="24" t="inlineStr">
        <is>
          <t>SPACE</t>
        </is>
      </c>
      <c r="D286" s="62" t="inlineStr">
        <is>
          <t>12" SPACE</t>
        </is>
      </c>
      <c r="E286" s="29" t="inlineStr">
        <is>
          <t>SPACE</t>
        </is>
      </c>
      <c r="F286" s="8" t="n"/>
      <c r="G286" s="8" t="n"/>
      <c r="H286" s="82" t="n"/>
      <c r="I286" s="8" t="n"/>
      <c r="J286" s="80">
        <f>IF(ISNUMBER(MCC_Table[[#This Row],[SIZE]]), MCC_Table[[#This Row],[SIZE]]/12, 0)</f>
        <v/>
      </c>
      <c r="K286" s="82" t="n"/>
      <c r="L286" s="82" t="n"/>
      <c r="M286" s="82" t="n"/>
      <c r="N286" s="82" t="n"/>
      <c r="O286" s="77" t="n"/>
      <c r="P286" s="110" t="n"/>
      <c r="Q286" s="79" t="n"/>
      <c r="R286" s="79" t="n"/>
      <c r="S286" s="79" t="n"/>
      <c r="T286" s="79" t="n"/>
      <c r="U286" s="79" t="n"/>
      <c r="V286" s="79" t="n"/>
      <c r="W286" s="79" t="n"/>
      <c r="X286" s="79" t="n"/>
      <c r="Y286" s="79" t="n"/>
      <c r="Z286" s="79" t="n"/>
      <c r="AA286" s="79" t="n"/>
      <c r="AB286" s="225" t="n"/>
      <c r="AC286" s="225" t="n"/>
      <c r="AD286" s="225" t="n"/>
      <c r="AE286" s="29">
        <f>_xlfn.NUMBERVALUE(LEFT(MCC_Table[[#This Row],[BUCKET]],LEN(MCC_Table[[#This Row],[BUCKET]])-1))</f>
        <v/>
      </c>
      <c r="AF286" s="29">
        <f>RIGHT(MCC_Table[[#This Row],[BUCKET]],1)</f>
        <v/>
      </c>
      <c r="AG286" s="29">
        <f>VLOOKUP(MCC_Table[[#This Row],[START UNIT]],UnitMap[],2,FALSE)</f>
        <v/>
      </c>
      <c r="AH286" s="29">
        <f t="array" ref="AH28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86" s="29">
        <f>IF(ISNUMBER(MCC_Table[[#This Row],[SIZE]]), MCC_Table[[#This Row],[SIZE]]/6, 0)</f>
        <v/>
      </c>
      <c r="AJ286" s="29">
        <f>MCC_Table[[#This Row],[START INDEX]]+MCC_Table[[#This Row],[UNITS USED]]-1</f>
        <v/>
      </c>
      <c r="AK286" s="14" t="n"/>
      <c r="AL286" s="14" t="n"/>
      <c r="AM286" s="14" t="n"/>
      <c r="AN286" s="14" t="n"/>
      <c r="AO286" s="14" t="n"/>
      <c r="AP286" s="14" t="n"/>
      <c r="AQ286" s="14" t="n"/>
      <c r="AR286" s="14" t="n"/>
      <c r="AS286" s="14" t="n"/>
      <c r="AT286" s="14" t="n"/>
      <c r="AU286" s="14" t="n"/>
      <c r="AV286" s="14" t="n"/>
      <c r="AW286" s="14" t="n"/>
      <c r="AX286" s="14" t="n"/>
      <c r="AY286" s="14" t="n"/>
      <c r="AZ286" s="14" t="n"/>
      <c r="BA286" s="14" t="n"/>
      <c r="BB286" s="14" t="n"/>
      <c r="BC286" s="14" t="n"/>
      <c r="BD286" s="14" t="n"/>
      <c r="BE286" s="14" t="n"/>
    </row>
    <row r="287" hidden="1" ht="15.75" customHeight="1" thickTop="1">
      <c r="A287" s="113" t="inlineStr">
        <is>
          <t>VTTRS-MCC1</t>
        </is>
      </c>
      <c r="B287" s="8" t="inlineStr">
        <is>
          <t>11C</t>
        </is>
      </c>
      <c r="C287" s="24" t="inlineStr">
        <is>
          <t>PMP-104</t>
        </is>
      </c>
      <c r="D287" s="28" t="inlineStr">
        <is>
          <t>INJECTION PUMP 1</t>
        </is>
      </c>
      <c r="E287" s="29" t="inlineStr">
        <is>
          <t>VFD</t>
        </is>
      </c>
      <c r="F287" s="29" t="n">
        <v>5</v>
      </c>
      <c r="G287" s="8" t="n">
        <v>5</v>
      </c>
      <c r="H287" s="82" t="n"/>
      <c r="I287" s="8" t="n"/>
      <c r="J287" s="83">
        <f>IF(ISNUMBER(MCC_Table[[#This Row],[SIZE]]), MCC_Table[[#This Row],[SIZE]]/12, 0)</f>
        <v/>
      </c>
      <c r="K287" s="82" t="n">
        <v>20</v>
      </c>
      <c r="L287" s="82" t="n">
        <v>125</v>
      </c>
      <c r="M287" s="82" t="n">
        <v>12</v>
      </c>
      <c r="N287" s="82" t="inlineStr">
        <is>
          <t>3/C #12 VFD CABLE</t>
        </is>
      </c>
      <c r="O287" s="77" t="n"/>
      <c r="P287" s="85" t="n"/>
      <c r="Q287" s="79" t="n"/>
      <c r="R287" s="79" t="n"/>
      <c r="S287" s="79" t="n"/>
      <c r="T287" s="79" t="n"/>
      <c r="U287" s="79" t="n"/>
      <c r="V287" s="79" t="n"/>
      <c r="W287" s="79" t="n"/>
      <c r="X287" s="79" t="n"/>
      <c r="Y287" s="79" t="n"/>
      <c r="Z287" s="79" t="n"/>
      <c r="AA287" s="79" t="n"/>
      <c r="AB287" s="225" t="n"/>
      <c r="AC287" s="225" t="n"/>
      <c r="AD287" s="225" t="n"/>
      <c r="AE287" s="8">
        <f>_xlfn.NUMBERVALUE(LEFT(MCC_Table[[#This Row],[BUCKET]],LEN(MCC_Table[[#This Row],[BUCKET]])-1))</f>
        <v/>
      </c>
      <c r="AF287" s="8">
        <f>RIGHT(MCC_Table[[#This Row],[BUCKET]],1)</f>
        <v/>
      </c>
      <c r="AG287" s="8">
        <f>VLOOKUP(MCC_Table[[#This Row],[START UNIT]],UnitMap[],2,FALSE)</f>
        <v/>
      </c>
      <c r="AH287" s="8">
        <f t="array" ref="AH28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87" s="8">
        <f>IF(ISNUMBER(MCC_Table[[#This Row],[SIZE]]), MCC_Table[[#This Row],[SIZE]]/6, 0)</f>
        <v/>
      </c>
      <c r="AJ287" s="8">
        <f>MCC_Table[[#This Row],[START INDEX]]+MCC_Table[[#This Row],[UNITS USED]]-1</f>
        <v/>
      </c>
      <c r="AK287" s="14" t="n"/>
      <c r="AL287" s="14" t="n"/>
      <c r="AM287" s="14" t="n"/>
      <c r="AN287" s="14" t="n"/>
      <c r="AO287" s="14" t="n"/>
      <c r="AP287" s="14" t="n"/>
      <c r="AQ287" s="14" t="n"/>
      <c r="AR287" s="14" t="n"/>
      <c r="AS287" s="14" t="n"/>
      <c r="AT287" s="14" t="n"/>
      <c r="AU287" s="14" t="n"/>
      <c r="AV287" s="14" t="n"/>
      <c r="AW287" s="14" t="n"/>
      <c r="AX287" s="14" t="n"/>
      <c r="AY287" s="14" t="n"/>
      <c r="AZ287" s="14" t="n"/>
      <c r="BA287" s="14" t="n"/>
      <c r="BB287" s="14" t="n"/>
      <c r="BC287" s="14" t="n"/>
      <c r="BD287" s="14" t="n"/>
      <c r="BE287" s="14" t="n"/>
    </row>
    <row r="288" hidden="1" ht="15.75" customHeight="1" thickTop="1">
      <c r="A288" s="113" t="inlineStr">
        <is>
          <t>VTTRS-MCC1</t>
        </is>
      </c>
      <c r="B288" s="29" t="inlineStr">
        <is>
          <t>11F</t>
        </is>
      </c>
      <c r="C288" s="24" t="inlineStr">
        <is>
          <t>HTX-109</t>
        </is>
      </c>
      <c r="D288" s="28" t="inlineStr">
        <is>
          <t>VOTATOR 9</t>
        </is>
      </c>
      <c r="E288" s="29" t="inlineStr">
        <is>
          <t>VFD</t>
        </is>
      </c>
      <c r="F288" s="8" t="n">
        <v>30</v>
      </c>
      <c r="G288" s="8" t="n">
        <v>30</v>
      </c>
      <c r="H288" s="82" t="n"/>
      <c r="I288" s="8" t="n"/>
      <c r="J288" s="80">
        <f>IF(ISNUMBER(MCC_Table[[#This Row],[SIZE]]), MCC_Table[[#This Row],[SIZE]]/12, 0)</f>
        <v/>
      </c>
      <c r="K288" s="82" t="n">
        <v>100</v>
      </c>
      <c r="L288" s="82" t="n">
        <v>125</v>
      </c>
      <c r="M288" s="82" t="inlineStr">
        <is>
          <t>N/A</t>
        </is>
      </c>
      <c r="N288" s="82" t="inlineStr">
        <is>
          <t>3/C #6 VFD CABLE</t>
        </is>
      </c>
      <c r="O288" s="77" t="n"/>
      <c r="P288" s="110" t="n"/>
      <c r="Q288" s="79" t="n"/>
      <c r="R288" s="79" t="n"/>
      <c r="S288" s="79" t="n"/>
      <c r="T288" s="79" t="n"/>
      <c r="U288" s="79" t="n"/>
      <c r="V288" s="79" t="n"/>
      <c r="W288" s="79" t="n"/>
      <c r="X288" s="79" t="n"/>
      <c r="Y288" s="79" t="n"/>
      <c r="Z288" s="79" t="n"/>
      <c r="AA288" s="79" t="n"/>
      <c r="AB288" s="225" t="n"/>
      <c r="AC288" s="225" t="n"/>
      <c r="AD288" s="225" t="n"/>
      <c r="AE288" s="29">
        <f>_xlfn.NUMBERVALUE(LEFT(MCC_Table[[#This Row],[BUCKET]],LEN(MCC_Table[[#This Row],[BUCKET]])-1))</f>
        <v/>
      </c>
      <c r="AF288" s="29">
        <f>RIGHT(MCC_Table[[#This Row],[BUCKET]],1)</f>
        <v/>
      </c>
      <c r="AG288" s="29">
        <f>VLOOKUP(MCC_Table[[#This Row],[START UNIT]],UnitMap[],2,FALSE)</f>
        <v/>
      </c>
      <c r="AH288" s="29">
        <f t="array" ref="AH28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88" s="29">
        <f>IF(ISNUMBER(MCC_Table[[#This Row],[SIZE]]), MCC_Table[[#This Row],[SIZE]]/6, 0)</f>
        <v/>
      </c>
      <c r="AJ288" s="29">
        <f>MCC_Table[[#This Row],[START INDEX]]+MCC_Table[[#This Row],[UNITS USED]]-1</f>
        <v/>
      </c>
      <c r="AK288" s="14" t="n"/>
      <c r="AL288" s="14" t="n"/>
      <c r="AM288" s="14" t="n"/>
      <c r="AN288" s="14" t="n"/>
      <c r="AO288" s="14" t="n"/>
      <c r="AP288" s="14" t="n"/>
      <c r="AQ288" s="14" t="n"/>
      <c r="AR288" s="14" t="n"/>
      <c r="AS288" s="14" t="n"/>
      <c r="AT288" s="14" t="n"/>
      <c r="AU288" s="14" t="n"/>
      <c r="AV288" s="14" t="n"/>
      <c r="AW288" s="14" t="n"/>
      <c r="AX288" s="14" t="n"/>
      <c r="AY288" s="14" t="n"/>
      <c r="AZ288" s="14" t="n"/>
      <c r="BA288" s="14" t="n"/>
      <c r="BB288" s="14" t="n"/>
      <c r="BC288" s="14" t="n"/>
      <c r="BD288" s="14" t="n"/>
      <c r="BE288" s="14" t="n"/>
    </row>
    <row r="289" hidden="1" ht="15.75" customHeight="1" thickTop="1">
      <c r="A289" s="113" t="inlineStr">
        <is>
          <t>VTTRS-MCC1</t>
        </is>
      </c>
      <c r="B289" s="29" t="inlineStr">
        <is>
          <t>12A</t>
        </is>
      </c>
      <c r="C289" s="24" t="inlineStr">
        <is>
          <t>SPACE</t>
        </is>
      </c>
      <c r="D289" s="62" t="inlineStr">
        <is>
          <t>12" SPACE</t>
        </is>
      </c>
      <c r="E289" s="29" t="inlineStr">
        <is>
          <t>SPACE</t>
        </is>
      </c>
      <c r="F289" s="8" t="n"/>
      <c r="G289" s="8" t="n"/>
      <c r="H289" s="82" t="n"/>
      <c r="I289" s="8" t="n"/>
      <c r="J289" s="80">
        <f>IF(ISNUMBER(MCC_Table[[#This Row],[SIZE]]), MCC_Table[[#This Row],[SIZE]]/12, 0)</f>
        <v/>
      </c>
      <c r="K289" s="82" t="n"/>
      <c r="L289" s="82" t="n"/>
      <c r="M289" s="82" t="n"/>
      <c r="N289" s="82" t="n"/>
      <c r="O289" s="77" t="n"/>
      <c r="P289" s="110" t="n"/>
      <c r="Q289" s="79" t="n"/>
      <c r="R289" s="79" t="n"/>
      <c r="S289" s="79" t="n"/>
      <c r="T289" s="79" t="n"/>
      <c r="U289" s="79" t="n"/>
      <c r="V289" s="79" t="n"/>
      <c r="W289" s="79" t="n"/>
      <c r="X289" s="79" t="n"/>
      <c r="Y289" s="79" t="n"/>
      <c r="Z289" s="79" t="n"/>
      <c r="AA289" s="79" t="n"/>
      <c r="AB289" s="225" t="n"/>
      <c r="AC289" s="225" t="n"/>
      <c r="AD289" s="225" t="n"/>
      <c r="AE289" s="29">
        <f>_xlfn.NUMBERVALUE(LEFT(MCC_Table[[#This Row],[BUCKET]],LEN(MCC_Table[[#This Row],[BUCKET]])-1))</f>
        <v/>
      </c>
      <c r="AF289" s="29">
        <f>RIGHT(MCC_Table[[#This Row],[BUCKET]],1)</f>
        <v/>
      </c>
      <c r="AG289" s="29">
        <f>VLOOKUP(MCC_Table[[#This Row],[START UNIT]],UnitMap[],2,FALSE)</f>
        <v/>
      </c>
      <c r="AH289" s="29">
        <f t="array" ref="AH28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89" s="29">
        <f>IF(ISNUMBER(MCC_Table[[#This Row],[SIZE]]), MCC_Table[[#This Row],[SIZE]]/6, 0)</f>
        <v/>
      </c>
      <c r="AJ289" s="29">
        <f>MCC_Table[[#This Row],[START INDEX]]+MCC_Table[[#This Row],[UNITS USED]]-1</f>
        <v/>
      </c>
      <c r="AK289" s="14" t="n"/>
      <c r="AL289" s="14" t="n"/>
      <c r="AM289" s="14" t="n"/>
      <c r="AN289" s="14" t="n"/>
      <c r="AO289" s="14" t="n"/>
      <c r="AP289" s="14" t="n"/>
      <c r="AQ289" s="14" t="n"/>
      <c r="AR289" s="14" t="n"/>
      <c r="AS289" s="14" t="n"/>
      <c r="AT289" s="14" t="n"/>
      <c r="AU289" s="14" t="n"/>
      <c r="AV289" s="14" t="n"/>
      <c r="AW289" s="14" t="n"/>
      <c r="AX289" s="14" t="n"/>
      <c r="AY289" s="14" t="n"/>
      <c r="AZ289" s="14" t="n"/>
      <c r="BA289" s="14" t="n"/>
      <c r="BB289" s="14" t="n"/>
      <c r="BC289" s="14" t="n"/>
      <c r="BD289" s="14" t="n"/>
      <c r="BE289" s="14" t="n"/>
    </row>
    <row r="290" hidden="1" ht="15.75" customHeight="1" thickTop="1">
      <c r="A290" s="113" t="inlineStr">
        <is>
          <t>VTTRS-MCC1</t>
        </is>
      </c>
      <c r="B290" s="8" t="inlineStr">
        <is>
          <t>12C</t>
        </is>
      </c>
      <c r="C290" s="24" t="inlineStr">
        <is>
          <t>SPARE</t>
        </is>
      </c>
      <c r="D290" s="28" t="inlineStr">
        <is>
          <t>VFD - 5HP</t>
        </is>
      </c>
      <c r="E290" s="29" t="inlineStr">
        <is>
          <t>VFD</t>
        </is>
      </c>
      <c r="F290" s="29" t="n"/>
      <c r="G290" s="8" t="n">
        <v>5</v>
      </c>
      <c r="H290" s="82" t="n"/>
      <c r="I290" s="8" t="n"/>
      <c r="J290" s="83">
        <f>IF(ISNUMBER(MCC_Table[[#This Row],[SIZE]]), MCC_Table[[#This Row],[SIZE]]/12, 0)</f>
        <v/>
      </c>
      <c r="K290" s="82" t="n">
        <v>20</v>
      </c>
      <c r="L290" s="82" t="n">
        <v>125</v>
      </c>
      <c r="M290" s="82" t="n">
        <v>12</v>
      </c>
      <c r="N290" s="82" t="n"/>
      <c r="O290" s="77" t="n"/>
      <c r="P290" s="85" t="n"/>
      <c r="Q290" s="79" t="n"/>
      <c r="R290" s="79" t="n"/>
      <c r="S290" s="79" t="n"/>
      <c r="T290" s="79" t="n"/>
      <c r="U290" s="79" t="n"/>
      <c r="V290" s="79" t="n"/>
      <c r="W290" s="79" t="n"/>
      <c r="X290" s="79" t="n"/>
      <c r="Y290" s="79" t="n"/>
      <c r="Z290" s="79" t="n"/>
      <c r="AA290" s="79" t="n"/>
      <c r="AB290" s="225" t="n"/>
      <c r="AC290" s="225" t="n"/>
      <c r="AD290" s="225" t="n"/>
      <c r="AE290" s="8">
        <f>_xlfn.NUMBERVALUE(LEFT(MCC_Table[[#This Row],[BUCKET]],LEN(MCC_Table[[#This Row],[BUCKET]])-1))</f>
        <v/>
      </c>
      <c r="AF290" s="8">
        <f>RIGHT(MCC_Table[[#This Row],[BUCKET]],1)</f>
        <v/>
      </c>
      <c r="AG290" s="8">
        <f>VLOOKUP(MCC_Table[[#This Row],[START UNIT]],UnitMap[],2,FALSE)</f>
        <v/>
      </c>
      <c r="AH290" s="8">
        <f t="array" ref="AH29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90" s="8">
        <f>IF(ISNUMBER(MCC_Table[[#This Row],[SIZE]]), MCC_Table[[#This Row],[SIZE]]/6, 0)</f>
        <v/>
      </c>
      <c r="AJ290" s="8">
        <f>MCC_Table[[#This Row],[START INDEX]]+MCC_Table[[#This Row],[UNITS USED]]-1</f>
        <v/>
      </c>
      <c r="AK290" s="14" t="n"/>
      <c r="AL290" s="14" t="n"/>
      <c r="AM290" s="14" t="n"/>
      <c r="AN290" s="14" t="n"/>
      <c r="AO290" s="14" t="n"/>
      <c r="AP290" s="14" t="n"/>
      <c r="AQ290" s="14" t="n"/>
      <c r="AR290" s="14" t="n"/>
      <c r="AS290" s="14" t="n"/>
      <c r="AT290" s="14" t="n"/>
      <c r="AU290" s="14" t="n"/>
      <c r="AV290" s="14" t="n"/>
      <c r="AW290" s="14" t="n"/>
      <c r="AX290" s="14" t="n"/>
      <c r="AY290" s="14" t="n"/>
      <c r="AZ290" s="14" t="n"/>
      <c r="BA290" s="14" t="n"/>
      <c r="BB290" s="14" t="n"/>
      <c r="BC290" s="14" t="n"/>
      <c r="BD290" s="14" t="n"/>
      <c r="BE290" s="14" t="n"/>
    </row>
    <row r="291" hidden="1" ht="15.75" customHeight="1" thickTop="1">
      <c r="A291" s="113" t="inlineStr">
        <is>
          <t>VTTRS-MCC1</t>
        </is>
      </c>
      <c r="B291" s="29" t="inlineStr">
        <is>
          <t>12F</t>
        </is>
      </c>
      <c r="C291" s="24" t="inlineStr">
        <is>
          <t>HTX-110</t>
        </is>
      </c>
      <c r="D291" s="28" t="inlineStr">
        <is>
          <t>VOTATOR 10</t>
        </is>
      </c>
      <c r="E291" s="29" t="inlineStr">
        <is>
          <t>VFD</t>
        </is>
      </c>
      <c r="F291" s="8" t="n">
        <v>30</v>
      </c>
      <c r="G291" s="8" t="n">
        <v>30</v>
      </c>
      <c r="H291" s="82" t="n"/>
      <c r="I291" s="8" t="n"/>
      <c r="J291" s="80">
        <f>IF(ISNUMBER(MCC_Table[[#This Row],[SIZE]]), MCC_Table[[#This Row],[SIZE]]/12, 0)</f>
        <v/>
      </c>
      <c r="K291" s="82" t="n">
        <v>100</v>
      </c>
      <c r="L291" s="82" t="n">
        <v>125</v>
      </c>
      <c r="M291" s="82" t="inlineStr">
        <is>
          <t>N/A</t>
        </is>
      </c>
      <c r="N291" s="82" t="inlineStr">
        <is>
          <t>3/C #6 VFD CABLE</t>
        </is>
      </c>
      <c r="O291" s="77" t="n"/>
      <c r="P291" s="110" t="n"/>
      <c r="Q291" s="79" t="n"/>
      <c r="R291" s="79" t="n"/>
      <c r="S291" s="79" t="n"/>
      <c r="T291" s="79" t="n"/>
      <c r="U291" s="79" t="n"/>
      <c r="V291" s="79" t="n"/>
      <c r="W291" s="79" t="n"/>
      <c r="X291" s="79" t="n"/>
      <c r="Y291" s="79" t="n"/>
      <c r="Z291" s="79" t="n"/>
      <c r="AA291" s="79" t="n"/>
      <c r="AB291" s="225" t="n"/>
      <c r="AC291" s="225" t="n"/>
      <c r="AD291" s="225" t="n"/>
      <c r="AE291" s="29">
        <f>_xlfn.NUMBERVALUE(LEFT(MCC_Table[[#This Row],[BUCKET]],LEN(MCC_Table[[#This Row],[BUCKET]])-1))</f>
        <v/>
      </c>
      <c r="AF291" s="29">
        <f>RIGHT(MCC_Table[[#This Row],[BUCKET]],1)</f>
        <v/>
      </c>
      <c r="AG291" s="29">
        <f>VLOOKUP(MCC_Table[[#This Row],[START UNIT]],UnitMap[],2,FALSE)</f>
        <v/>
      </c>
      <c r="AH291" s="29">
        <f t="array" ref="AH29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91" s="29">
        <f>IF(ISNUMBER(MCC_Table[[#This Row],[SIZE]]), MCC_Table[[#This Row],[SIZE]]/6, 0)</f>
        <v/>
      </c>
      <c r="AJ291" s="29">
        <f>MCC_Table[[#This Row],[START INDEX]]+MCC_Table[[#This Row],[UNITS USED]]-1</f>
        <v/>
      </c>
      <c r="AK291" s="14" t="n"/>
      <c r="AL291" s="14" t="n"/>
      <c r="AM291" s="14" t="n"/>
      <c r="AN291" s="14" t="n"/>
      <c r="AO291" s="14" t="n"/>
      <c r="AP291" s="14" t="n"/>
      <c r="AQ291" s="14" t="n"/>
      <c r="AR291" s="14" t="n"/>
      <c r="AS291" s="14" t="n"/>
      <c r="AT291" s="14" t="n"/>
      <c r="AU291" s="14" t="n"/>
      <c r="AV291" s="14" t="n"/>
      <c r="AW291" s="14" t="n"/>
      <c r="AX291" s="14" t="n"/>
      <c r="AY291" s="14" t="n"/>
      <c r="AZ291" s="14" t="n"/>
      <c r="BA291" s="14" t="n"/>
      <c r="BB291" s="14" t="n"/>
      <c r="BC291" s="14" t="n"/>
      <c r="BD291" s="14" t="n"/>
      <c r="BE291" s="14" t="n"/>
    </row>
    <row r="292" hidden="1" ht="30.75" customHeight="1" thickTop="1">
      <c r="A292" s="113" t="inlineStr">
        <is>
          <t>VTTRS-MCC1</t>
        </is>
      </c>
      <c r="B292" s="29" t="inlineStr">
        <is>
          <t>13A</t>
        </is>
      </c>
      <c r="C292" s="24" t="inlineStr">
        <is>
          <t>RM5-MCC1-13A.ENPS</t>
        </is>
      </c>
      <c r="D292" s="62" t="inlineStr">
        <is>
          <t>ETHERNET SWITCH POWER SUPPLY</t>
        </is>
      </c>
      <c r="E292" s="24" t="inlineStr">
        <is>
          <t>ENET_PS</t>
        </is>
      </c>
      <c r="F292" s="8" t="n"/>
      <c r="G292" s="8" t="n"/>
      <c r="H292" s="82" t="n"/>
      <c r="I292" s="8" t="n"/>
      <c r="J292" s="80">
        <f>IF(ISNUMBER(MCC_Table[[#This Row],[SIZE]]), MCC_Table[[#This Row],[SIZE]]/12, 0)</f>
        <v/>
      </c>
      <c r="K292" s="82" t="n"/>
      <c r="L292" s="82" t="n"/>
      <c r="M292" s="82" t="n"/>
      <c r="N292" s="82" t="n"/>
      <c r="O292" s="77" t="n"/>
      <c r="P292" s="78" t="n"/>
      <c r="Q292" s="79" t="n"/>
      <c r="R292" s="79" t="n"/>
      <c r="S292" s="79" t="n"/>
      <c r="T292" s="79" t="n"/>
      <c r="U292" s="79" t="n"/>
      <c r="V292" s="79" t="n"/>
      <c r="W292" s="79" t="n"/>
      <c r="X292" s="79" t="n"/>
      <c r="Y292" s="79" t="n"/>
      <c r="Z292" s="79" t="n"/>
      <c r="AA292" s="79" t="n"/>
      <c r="AB292" s="225" t="n"/>
      <c r="AC292" s="225" t="n"/>
      <c r="AD292" s="225" t="n"/>
      <c r="AE292" s="29">
        <f>_xlfn.NUMBERVALUE(LEFT(MCC_Table[[#This Row],[BUCKET]],LEN(MCC_Table[[#This Row],[BUCKET]])-1))</f>
        <v/>
      </c>
      <c r="AF292" s="29">
        <f>RIGHT(MCC_Table[[#This Row],[BUCKET]],1)</f>
        <v/>
      </c>
      <c r="AG292" s="29">
        <f>VLOOKUP(MCC_Table[[#This Row],[START UNIT]],UnitMap[],2,FALSE)</f>
        <v/>
      </c>
      <c r="AH292" s="29">
        <f t="array" ref="AH29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92" s="29">
        <f>IF(ISNUMBER(MCC_Table[[#This Row],[SIZE]]), MCC_Table[[#This Row],[SIZE]]/6, 0)</f>
        <v/>
      </c>
      <c r="AJ292" s="29">
        <f>MCC_Table[[#This Row],[START INDEX]]+MCC_Table[[#This Row],[UNITS USED]]-1</f>
        <v/>
      </c>
      <c r="AK292" s="14" t="n"/>
      <c r="AL292" s="14" t="n"/>
      <c r="AM292" s="14" t="n"/>
      <c r="AN292" s="14" t="n"/>
      <c r="AO292" s="14" t="n"/>
      <c r="AP292" s="14" t="n"/>
      <c r="AQ292" s="14" t="n"/>
      <c r="AR292" s="14" t="n"/>
      <c r="AS292" s="14" t="n"/>
      <c r="AT292" s="14" t="n"/>
      <c r="AU292" s="14" t="n"/>
      <c r="AV292" s="14" t="n"/>
      <c r="AW292" s="14" t="n"/>
      <c r="AX292" s="14" t="n"/>
      <c r="AY292" s="14" t="n"/>
      <c r="AZ292" s="14" t="n"/>
      <c r="BA292" s="14" t="n"/>
      <c r="BB292" s="14" t="n"/>
      <c r="BC292" s="14" t="n"/>
      <c r="BD292" s="14" t="n"/>
      <c r="BE292" s="14" t="n"/>
    </row>
    <row r="293" hidden="1" ht="15.75" customHeight="1" thickTop="1">
      <c r="A293" s="113" t="inlineStr">
        <is>
          <t>VTTRS-MCC1</t>
        </is>
      </c>
      <c r="B293" s="29" t="inlineStr">
        <is>
          <t>13C</t>
        </is>
      </c>
      <c r="C293" s="24" t="inlineStr">
        <is>
          <t>SPACE</t>
        </is>
      </c>
      <c r="D293" s="62" t="inlineStr">
        <is>
          <t>12" SPACE</t>
        </is>
      </c>
      <c r="E293" s="29" t="inlineStr">
        <is>
          <t>SPACE</t>
        </is>
      </c>
      <c r="F293" s="8" t="n"/>
      <c r="G293" s="8" t="n"/>
      <c r="H293" s="82" t="n"/>
      <c r="I293" s="8" t="n"/>
      <c r="J293" s="80">
        <f>IF(ISNUMBER(MCC_Table[[#This Row],[SIZE]]), MCC_Table[[#This Row],[SIZE]]/12, 0)</f>
        <v/>
      </c>
      <c r="K293" s="82" t="n"/>
      <c r="L293" s="82" t="n"/>
      <c r="M293" s="82" t="n"/>
      <c r="N293" s="82" t="n"/>
      <c r="O293" s="77" t="n"/>
      <c r="P293" s="110" t="n"/>
      <c r="Q293" s="79" t="n"/>
      <c r="R293" s="79" t="n"/>
      <c r="S293" s="79" t="n"/>
      <c r="T293" s="79" t="n"/>
      <c r="U293" s="79" t="n"/>
      <c r="V293" s="79" t="n"/>
      <c r="W293" s="79" t="n"/>
      <c r="X293" s="79" t="n"/>
      <c r="Y293" s="79" t="n"/>
      <c r="Z293" s="79" t="n"/>
      <c r="AA293" s="79" t="n"/>
      <c r="AB293" s="225" t="n"/>
      <c r="AC293" s="225" t="n"/>
      <c r="AD293" s="225" t="n"/>
      <c r="AE293" s="29">
        <f>_xlfn.NUMBERVALUE(LEFT(MCC_Table[[#This Row],[BUCKET]],LEN(MCC_Table[[#This Row],[BUCKET]])-1))</f>
        <v/>
      </c>
      <c r="AF293" s="29">
        <f>RIGHT(MCC_Table[[#This Row],[BUCKET]],1)</f>
        <v/>
      </c>
      <c r="AG293" s="29">
        <f>VLOOKUP(MCC_Table[[#This Row],[START UNIT]],UnitMap[],2,FALSE)</f>
        <v/>
      </c>
      <c r="AH293" s="29">
        <f t="array" ref="AH29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93" s="29">
        <f>IF(ISNUMBER(MCC_Table[[#This Row],[SIZE]]), MCC_Table[[#This Row],[SIZE]]/6, 0)</f>
        <v/>
      </c>
      <c r="AJ293" s="29">
        <f>MCC_Table[[#This Row],[START INDEX]]+MCC_Table[[#This Row],[UNITS USED]]-1</f>
        <v/>
      </c>
      <c r="AK293" s="14" t="n"/>
      <c r="AL293" s="14" t="n"/>
      <c r="AM293" s="14" t="n"/>
      <c r="AN293" s="14" t="n"/>
      <c r="AO293" s="14" t="n"/>
      <c r="AP293" s="14" t="n"/>
      <c r="AQ293" s="14" t="n"/>
      <c r="AR293" s="14" t="n"/>
      <c r="AS293" s="14" t="n"/>
      <c r="AT293" s="14" t="n"/>
      <c r="AU293" s="14" t="n"/>
      <c r="AV293" s="14" t="n"/>
      <c r="AW293" s="14" t="n"/>
      <c r="AX293" s="14" t="n"/>
      <c r="AY293" s="14" t="n"/>
      <c r="AZ293" s="14" t="n"/>
      <c r="BA293" s="14" t="n"/>
      <c r="BB293" s="14" t="n"/>
      <c r="BC293" s="14" t="n"/>
      <c r="BD293" s="14" t="n"/>
      <c r="BE293" s="14" t="n"/>
    </row>
    <row r="294" hidden="1" ht="15.75" customHeight="1" thickTop="1">
      <c r="A294" s="113" t="inlineStr">
        <is>
          <t>VTTRS-MCC1</t>
        </is>
      </c>
      <c r="B294" s="29" t="inlineStr">
        <is>
          <t>13E</t>
        </is>
      </c>
      <c r="C294" s="24" t="inlineStr">
        <is>
          <t>SPACE</t>
        </is>
      </c>
      <c r="D294" s="62" t="inlineStr">
        <is>
          <t>6" SPACE</t>
        </is>
      </c>
      <c r="E294" s="29" t="inlineStr">
        <is>
          <t>SPACE</t>
        </is>
      </c>
      <c r="F294" s="8" t="n"/>
      <c r="G294" s="8" t="n"/>
      <c r="H294" s="82" t="n"/>
      <c r="I294" s="8" t="n"/>
      <c r="J294" s="80">
        <f>IF(ISNUMBER(MCC_Table[[#This Row],[SIZE]]), MCC_Table[[#This Row],[SIZE]]/12, 0)</f>
        <v/>
      </c>
      <c r="K294" s="82" t="n"/>
      <c r="L294" s="82" t="n"/>
      <c r="M294" s="82" t="n"/>
      <c r="N294" s="82" t="n"/>
      <c r="O294" s="77" t="n"/>
      <c r="P294" s="110" t="n"/>
      <c r="Q294" s="79" t="n"/>
      <c r="R294" s="79" t="n"/>
      <c r="S294" s="79" t="n"/>
      <c r="T294" s="79" t="n"/>
      <c r="U294" s="79" t="n"/>
      <c r="V294" s="79" t="n"/>
      <c r="W294" s="79" t="n"/>
      <c r="X294" s="79" t="n"/>
      <c r="Y294" s="79" t="n"/>
      <c r="Z294" s="79" t="n"/>
      <c r="AA294" s="79" t="n"/>
      <c r="AB294" s="225" t="n"/>
      <c r="AC294" s="225" t="n"/>
      <c r="AD294" s="225" t="n"/>
      <c r="AE294" s="29">
        <f>_xlfn.NUMBERVALUE(LEFT(MCC_Table[[#This Row],[BUCKET]],LEN(MCC_Table[[#This Row],[BUCKET]])-1))</f>
        <v/>
      </c>
      <c r="AF294" s="29">
        <f>RIGHT(MCC_Table[[#This Row],[BUCKET]],1)</f>
        <v/>
      </c>
      <c r="AG294" s="29">
        <f>VLOOKUP(MCC_Table[[#This Row],[START UNIT]],UnitMap[],2,FALSE)</f>
        <v/>
      </c>
      <c r="AH294" s="29">
        <f t="array" ref="AH29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94" s="29">
        <f>IF(ISNUMBER(MCC_Table[[#This Row],[SIZE]]), MCC_Table[[#This Row],[SIZE]]/6, 0)</f>
        <v/>
      </c>
      <c r="AJ294" s="29">
        <f>MCC_Table[[#This Row],[START INDEX]]+MCC_Table[[#This Row],[UNITS USED]]-1</f>
        <v/>
      </c>
      <c r="AK294" s="14" t="n"/>
      <c r="AL294" s="14" t="n"/>
      <c r="AM294" s="14" t="n"/>
      <c r="AN294" s="14" t="n"/>
      <c r="AO294" s="14" t="n"/>
      <c r="AP294" s="14" t="n"/>
      <c r="AQ294" s="14" t="n"/>
      <c r="AR294" s="14" t="n"/>
      <c r="AS294" s="14" t="n"/>
      <c r="AT294" s="14" t="n"/>
      <c r="AU294" s="14" t="n"/>
      <c r="AV294" s="14" t="n"/>
      <c r="AW294" s="14" t="n"/>
      <c r="AX294" s="14" t="n"/>
      <c r="AY294" s="14" t="n"/>
      <c r="AZ294" s="14" t="n"/>
      <c r="BA294" s="14" t="n"/>
      <c r="BB294" s="14" t="n"/>
      <c r="BC294" s="14" t="n"/>
      <c r="BD294" s="14" t="n"/>
      <c r="BE294" s="14" t="n"/>
    </row>
    <row r="295" hidden="1" ht="15.75" customHeight="1" thickTop="1">
      <c r="A295" s="113" t="inlineStr">
        <is>
          <t>VTTRS-MCC1</t>
        </is>
      </c>
      <c r="B295" s="8" t="inlineStr">
        <is>
          <t>13F</t>
        </is>
      </c>
      <c r="C295" s="24" t="inlineStr">
        <is>
          <t>CNV-101</t>
        </is>
      </c>
      <c r="D295" s="28" t="inlineStr">
        <is>
          <t>BATH CONVEYOR 1</t>
        </is>
      </c>
      <c r="E295" s="29" t="inlineStr">
        <is>
          <t>VFD</t>
        </is>
      </c>
      <c r="F295" s="29" t="n">
        <v>5</v>
      </c>
      <c r="G295" s="8" t="n">
        <v>5</v>
      </c>
      <c r="H295" s="82" t="n"/>
      <c r="I295" s="8" t="n"/>
      <c r="J295" s="83">
        <f>IF(ISNUMBER(MCC_Table[[#This Row],[SIZE]]), MCC_Table[[#This Row],[SIZE]]/12, 0)</f>
        <v/>
      </c>
      <c r="K295" s="82" t="n">
        <v>20</v>
      </c>
      <c r="L295" s="82" t="n">
        <v>125</v>
      </c>
      <c r="M295" s="82" t="n">
        <v>12</v>
      </c>
      <c r="N295" s="82" t="inlineStr">
        <is>
          <t>3/C #12 VFD CABLE</t>
        </is>
      </c>
      <c r="O295" s="77" t="n"/>
      <c r="P295" s="85" t="n"/>
      <c r="Q295" s="79" t="n"/>
      <c r="R295" s="79" t="n"/>
      <c r="S295" s="79" t="n"/>
      <c r="T295" s="79" t="n"/>
      <c r="U295" s="79" t="n"/>
      <c r="V295" s="79" t="n"/>
      <c r="W295" s="79" t="n"/>
      <c r="X295" s="79" t="n"/>
      <c r="Y295" s="79" t="n"/>
      <c r="Z295" s="79" t="n"/>
      <c r="AA295" s="79" t="n"/>
      <c r="AB295" s="225" t="n"/>
      <c r="AC295" s="225" t="n"/>
      <c r="AD295" s="225" t="n"/>
      <c r="AE295" s="8">
        <f>_xlfn.NUMBERVALUE(LEFT(MCC_Table[[#This Row],[BUCKET]],LEN(MCC_Table[[#This Row],[BUCKET]])-1))</f>
        <v/>
      </c>
      <c r="AF295" s="8">
        <f>RIGHT(MCC_Table[[#This Row],[BUCKET]],1)</f>
        <v/>
      </c>
      <c r="AG295" s="8">
        <f>VLOOKUP(MCC_Table[[#This Row],[START UNIT]],UnitMap[],2,FALSE)</f>
        <v/>
      </c>
      <c r="AH295" s="8">
        <f t="array" ref="AH29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95" s="8">
        <f>IF(ISNUMBER(MCC_Table[[#This Row],[SIZE]]), MCC_Table[[#This Row],[SIZE]]/6, 0)</f>
        <v/>
      </c>
      <c r="AJ295" s="8">
        <f>MCC_Table[[#This Row],[START INDEX]]+MCC_Table[[#This Row],[UNITS USED]]-1</f>
        <v/>
      </c>
      <c r="AK295" s="14" t="n"/>
      <c r="AL295" s="14" t="n"/>
      <c r="AM295" s="14" t="n"/>
      <c r="AN295" s="14" t="n"/>
      <c r="AO295" s="14" t="n"/>
      <c r="AP295" s="14" t="n"/>
      <c r="AQ295" s="14" t="n"/>
      <c r="AR295" s="14" t="n"/>
      <c r="AS295" s="14" t="n"/>
      <c r="AT295" s="14" t="n"/>
      <c r="AU295" s="14" t="n"/>
      <c r="AV295" s="14" t="n"/>
      <c r="AW295" s="14" t="n"/>
      <c r="AX295" s="14" t="n"/>
      <c r="AY295" s="14" t="n"/>
      <c r="AZ295" s="14" t="n"/>
      <c r="BA295" s="14" t="n"/>
      <c r="BB295" s="14" t="n"/>
      <c r="BC295" s="14" t="n"/>
      <c r="BD295" s="14" t="n"/>
      <c r="BE295" s="14" t="n"/>
    </row>
    <row r="296" hidden="1" ht="15.75" customHeight="1" thickTop="1">
      <c r="A296" s="113" t="inlineStr">
        <is>
          <t>VTTRS-MCC1</t>
        </is>
      </c>
      <c r="B296" s="8" t="inlineStr">
        <is>
          <t>13K</t>
        </is>
      </c>
      <c r="C296" s="8" t="inlineStr">
        <is>
          <t>PMP-106</t>
        </is>
      </c>
      <c r="D296" s="103" t="inlineStr">
        <is>
          <t>VOTATOR SKID MAKEUP WATER PUMP</t>
        </is>
      </c>
      <c r="E296" s="29" t="inlineStr">
        <is>
          <t>VFD</t>
        </is>
      </c>
      <c r="F296" s="8" t="n">
        <v>1</v>
      </c>
      <c r="G296" s="8" t="n">
        <v>2</v>
      </c>
      <c r="H296" s="82" t="n"/>
      <c r="I296" s="8" t="n"/>
      <c r="J296" s="83">
        <f>IF(ISNUMBER(MCC_Table[[#This Row],[SIZE]]), MCC_Table[[#This Row],[SIZE]]/12, 0)</f>
        <v/>
      </c>
      <c r="K296" s="82" t="n">
        <v>15</v>
      </c>
      <c r="L296" s="82" t="n">
        <v>125</v>
      </c>
      <c r="M296" s="82" t="n">
        <v>6</v>
      </c>
      <c r="N296" s="82" t="inlineStr">
        <is>
          <t>3/C #12 VFD CABLE</t>
        </is>
      </c>
      <c r="O296" s="77" t="n"/>
      <c r="P296" s="85" t="n"/>
      <c r="Q296" s="79" t="n"/>
      <c r="R296" s="79" t="n"/>
      <c r="S296" s="79" t="n"/>
      <c r="T296" s="79" t="n"/>
      <c r="U296" s="79" t="n"/>
      <c r="V296" s="79" t="n"/>
      <c r="W296" s="79" t="n"/>
      <c r="X296" s="79" t="n"/>
      <c r="Y296" s="79" t="n"/>
      <c r="Z296" s="79" t="n"/>
      <c r="AA296" s="79" t="n"/>
      <c r="AB296" s="225" t="n"/>
      <c r="AC296" s="225" t="n"/>
      <c r="AD296" s="225" t="n"/>
      <c r="AE296" s="8">
        <f>_xlfn.NUMBERVALUE(LEFT(MCC_Table[[#This Row],[BUCKET]],LEN(MCC_Table[[#This Row],[BUCKET]])-1))</f>
        <v/>
      </c>
      <c r="AF296" s="8">
        <f>RIGHT(MCC_Table[[#This Row],[BUCKET]],1)</f>
        <v/>
      </c>
      <c r="AG296" s="8">
        <f>VLOOKUP(MCC_Table[[#This Row],[START UNIT]],UnitMap[],2,FALSE)</f>
        <v/>
      </c>
      <c r="AH296" s="8">
        <f t="array" ref="AH29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96" s="8">
        <f>IF(ISNUMBER(MCC_Table[[#This Row],[SIZE]]), MCC_Table[[#This Row],[SIZE]]/6, 0)</f>
        <v/>
      </c>
      <c r="AJ296" s="8">
        <f>MCC_Table[[#This Row],[START INDEX]]+MCC_Table[[#This Row],[UNITS USED]]-1</f>
        <v/>
      </c>
      <c r="AK296" s="14" t="n"/>
      <c r="AL296" s="14" t="n"/>
      <c r="AM296" s="14" t="n"/>
      <c r="AN296" s="14" t="n"/>
      <c r="AO296" s="14" t="n"/>
      <c r="AP296" s="14" t="n"/>
      <c r="AQ296" s="14" t="n"/>
      <c r="AR296" s="14" t="n"/>
      <c r="AS296" s="14" t="n"/>
      <c r="AT296" s="14" t="n"/>
      <c r="AU296" s="14" t="n"/>
      <c r="AV296" s="14" t="n"/>
      <c r="AW296" s="14" t="n"/>
      <c r="AX296" s="14" t="n"/>
      <c r="AY296" s="14" t="n"/>
      <c r="AZ296" s="14" t="n"/>
      <c r="BA296" s="14" t="n"/>
      <c r="BB296" s="14" t="n"/>
      <c r="BC296" s="14" t="n"/>
      <c r="BD296" s="14" t="n"/>
      <c r="BE296" s="14" t="n"/>
    </row>
    <row r="297" hidden="1" ht="15.75" customHeight="1" thickTop="1">
      <c r="A297" s="113" t="inlineStr">
        <is>
          <t>VTTRS-MCC1</t>
        </is>
      </c>
      <c r="B297" s="8" t="inlineStr">
        <is>
          <t>14A</t>
        </is>
      </c>
      <c r="C297" s="8" t="inlineStr">
        <is>
          <t>SPARE</t>
        </is>
      </c>
      <c r="D297" s="28" t="inlineStr">
        <is>
          <t>VFD - 2HP</t>
        </is>
      </c>
      <c r="E297" s="29" t="inlineStr">
        <is>
          <t>VFD</t>
        </is>
      </c>
      <c r="F297" s="8" t="n"/>
      <c r="G297" s="8" t="n">
        <v>2</v>
      </c>
      <c r="H297" s="82" t="n"/>
      <c r="I297" s="8" t="n"/>
      <c r="J297" s="83">
        <f>IF(ISNUMBER(MCC_Table[[#This Row],[SIZE]]), MCC_Table[[#This Row],[SIZE]]/12, 0)</f>
        <v/>
      </c>
      <c r="K297" s="82" t="n">
        <v>15</v>
      </c>
      <c r="L297" s="82" t="n">
        <v>125</v>
      </c>
      <c r="M297" s="82" t="n">
        <v>6</v>
      </c>
      <c r="N297" s="82" t="n"/>
      <c r="O297" s="77" t="n"/>
      <c r="P297" s="85" t="n"/>
      <c r="Q297" s="79" t="n"/>
      <c r="R297" s="79" t="n"/>
      <c r="S297" s="79" t="n"/>
      <c r="T297" s="79" t="n"/>
      <c r="U297" s="79" t="n"/>
      <c r="V297" s="79" t="n"/>
      <c r="W297" s="79" t="n"/>
      <c r="X297" s="79" t="n"/>
      <c r="Y297" s="79" t="n"/>
      <c r="Z297" s="79" t="n"/>
      <c r="AA297" s="79" t="n"/>
      <c r="AB297" s="225" t="n"/>
      <c r="AC297" s="225" t="n"/>
      <c r="AD297" s="225" t="n"/>
      <c r="AE297" s="8">
        <f>_xlfn.NUMBERVALUE(LEFT(MCC_Table[[#This Row],[BUCKET]],LEN(MCC_Table[[#This Row],[BUCKET]])-1))</f>
        <v/>
      </c>
      <c r="AF297" s="8">
        <f>RIGHT(MCC_Table[[#This Row],[BUCKET]],1)</f>
        <v/>
      </c>
      <c r="AG297" s="8">
        <f>VLOOKUP(MCC_Table[[#This Row],[START UNIT]],UnitMap[],2,FALSE)</f>
        <v/>
      </c>
      <c r="AH297" s="8">
        <f t="array" ref="AH29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97" s="8">
        <f>IF(ISNUMBER(MCC_Table[[#This Row],[SIZE]]), MCC_Table[[#This Row],[SIZE]]/6, 0)</f>
        <v/>
      </c>
      <c r="AJ297" s="8">
        <f>MCC_Table[[#This Row],[START INDEX]]+MCC_Table[[#This Row],[UNITS USED]]-1</f>
        <v/>
      </c>
      <c r="AK297" s="14" t="n"/>
      <c r="AL297" s="14" t="n"/>
      <c r="AM297" s="14" t="n"/>
      <c r="AN297" s="14" t="n"/>
      <c r="AO297" s="14" t="n"/>
      <c r="AP297" s="14" t="n"/>
      <c r="AQ297" s="14" t="n"/>
      <c r="AR297" s="14" t="n"/>
      <c r="AS297" s="14" t="n"/>
      <c r="AT297" s="14" t="n"/>
      <c r="AU297" s="14" t="n"/>
      <c r="AV297" s="14" t="n"/>
      <c r="AW297" s="14" t="n"/>
      <c r="AX297" s="14" t="n"/>
      <c r="AY297" s="14" t="n"/>
      <c r="AZ297" s="14" t="n"/>
      <c r="BA297" s="14" t="n"/>
      <c r="BB297" s="14" t="n"/>
      <c r="BC297" s="14" t="n"/>
      <c r="BD297" s="14" t="n"/>
      <c r="BE297" s="14" t="n"/>
    </row>
    <row r="298" hidden="1" ht="15.75" customHeight="1" thickTop="1">
      <c r="A298" s="113" t="inlineStr">
        <is>
          <t>VTTRS-MCC1</t>
        </is>
      </c>
      <c r="B298" s="8" t="inlineStr">
        <is>
          <t>14D</t>
        </is>
      </c>
      <c r="C298" s="8" t="inlineStr">
        <is>
          <t>SPARE</t>
        </is>
      </c>
      <c r="D298" s="28" t="inlineStr">
        <is>
          <t>VFD - 2HP</t>
        </is>
      </c>
      <c r="E298" s="29" t="inlineStr">
        <is>
          <t>VFD</t>
        </is>
      </c>
      <c r="F298" s="8" t="n"/>
      <c r="G298" s="8" t="n">
        <v>2</v>
      </c>
      <c r="H298" s="82" t="n"/>
      <c r="I298" s="8" t="n"/>
      <c r="J298" s="83">
        <f>IF(ISNUMBER(MCC_Table[[#This Row],[SIZE]]), MCC_Table[[#This Row],[SIZE]]/12, 0)</f>
        <v/>
      </c>
      <c r="K298" s="82" t="n">
        <v>15</v>
      </c>
      <c r="L298" s="82" t="n">
        <v>125</v>
      </c>
      <c r="M298" s="82" t="n">
        <v>6</v>
      </c>
      <c r="N298" s="82" t="n"/>
      <c r="O298" s="77" t="n"/>
      <c r="P298" s="85" t="n"/>
      <c r="Q298" s="79" t="n"/>
      <c r="R298" s="79" t="n"/>
      <c r="S298" s="79" t="n"/>
      <c r="T298" s="79" t="n"/>
      <c r="U298" s="79" t="n"/>
      <c r="V298" s="79" t="n"/>
      <c r="W298" s="79" t="n"/>
      <c r="X298" s="79" t="n"/>
      <c r="Y298" s="79" t="n"/>
      <c r="Z298" s="79" t="n"/>
      <c r="AA298" s="79" t="n"/>
      <c r="AB298" s="225" t="n"/>
      <c r="AC298" s="225" t="n"/>
      <c r="AD298" s="225" t="n"/>
      <c r="AE298" s="8">
        <f>_xlfn.NUMBERVALUE(LEFT(MCC_Table[[#This Row],[BUCKET]],LEN(MCC_Table[[#This Row],[BUCKET]])-1))</f>
        <v/>
      </c>
      <c r="AF298" s="8">
        <f>RIGHT(MCC_Table[[#This Row],[BUCKET]],1)</f>
        <v/>
      </c>
      <c r="AG298" s="8">
        <f>VLOOKUP(MCC_Table[[#This Row],[START UNIT]],UnitMap[],2,FALSE)</f>
        <v/>
      </c>
      <c r="AH298" s="8">
        <f t="array" ref="AH29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98" s="8">
        <f>IF(ISNUMBER(MCC_Table[[#This Row],[SIZE]]), MCC_Table[[#This Row],[SIZE]]/6, 0)</f>
        <v/>
      </c>
      <c r="AJ298" s="8">
        <f>MCC_Table[[#This Row],[START INDEX]]+MCC_Table[[#This Row],[UNITS USED]]-1</f>
        <v/>
      </c>
      <c r="AK298" s="14" t="n"/>
      <c r="AL298" s="14" t="n"/>
      <c r="AM298" s="14" t="n"/>
      <c r="AN298" s="14" t="n"/>
      <c r="AO298" s="14" t="n"/>
      <c r="AP298" s="14" t="n"/>
      <c r="AQ298" s="14" t="n"/>
      <c r="AR298" s="14" t="n"/>
      <c r="AS298" s="14" t="n"/>
      <c r="AT298" s="14" t="n"/>
      <c r="AU298" s="14" t="n"/>
      <c r="AV298" s="14" t="n"/>
      <c r="AW298" s="14" t="n"/>
      <c r="AX298" s="14" t="n"/>
      <c r="AY298" s="14" t="n"/>
      <c r="AZ298" s="14" t="n"/>
      <c r="BA298" s="14" t="n"/>
      <c r="BB298" s="14" t="n"/>
      <c r="BC298" s="14" t="n"/>
      <c r="BD298" s="14" t="n"/>
      <c r="BE298" s="14" t="n"/>
    </row>
    <row r="299" hidden="1" ht="15.75" customHeight="1" thickTop="1">
      <c r="A299" s="113" t="inlineStr">
        <is>
          <t>VTTRS-MCC1</t>
        </is>
      </c>
      <c r="B299" s="8" t="inlineStr">
        <is>
          <t>14G</t>
        </is>
      </c>
      <c r="C299" s="24" t="inlineStr">
        <is>
          <t>SPARE</t>
        </is>
      </c>
      <c r="D299" s="28" t="inlineStr">
        <is>
          <t>VFD - 5HP</t>
        </is>
      </c>
      <c r="E299" s="29" t="inlineStr">
        <is>
          <t>VFD</t>
        </is>
      </c>
      <c r="F299" s="29" t="n"/>
      <c r="G299" s="8" t="n">
        <v>5</v>
      </c>
      <c r="H299" s="82" t="n"/>
      <c r="I299" s="8" t="n"/>
      <c r="J299" s="83">
        <f>IF(ISNUMBER(MCC_Table[[#This Row],[SIZE]]), MCC_Table[[#This Row],[SIZE]]/12, 0)</f>
        <v/>
      </c>
      <c r="K299" s="82" t="n">
        <v>20</v>
      </c>
      <c r="L299" s="82" t="n">
        <v>125</v>
      </c>
      <c r="M299" s="82" t="n">
        <v>12</v>
      </c>
      <c r="N299" s="82" t="n"/>
      <c r="O299" s="77" t="n"/>
      <c r="P299" s="85" t="n"/>
      <c r="Q299" s="79" t="n"/>
      <c r="R299" s="79" t="n"/>
      <c r="S299" s="79" t="n"/>
      <c r="T299" s="79" t="n"/>
      <c r="U299" s="79" t="n"/>
      <c r="V299" s="79" t="n"/>
      <c r="W299" s="79" t="n"/>
      <c r="X299" s="79" t="n"/>
      <c r="Y299" s="79" t="n"/>
      <c r="Z299" s="79" t="n"/>
      <c r="AA299" s="79" t="n"/>
      <c r="AB299" s="225" t="n"/>
      <c r="AC299" s="225" t="n"/>
      <c r="AD299" s="225" t="n"/>
      <c r="AE299" s="8">
        <f>_xlfn.NUMBERVALUE(LEFT(MCC_Table[[#This Row],[BUCKET]],LEN(MCC_Table[[#This Row],[BUCKET]])-1))</f>
        <v/>
      </c>
      <c r="AF299" s="8">
        <f>RIGHT(MCC_Table[[#This Row],[BUCKET]],1)</f>
        <v/>
      </c>
      <c r="AG299" s="8">
        <f>VLOOKUP(MCC_Table[[#This Row],[START UNIT]],UnitMap[],2,FALSE)</f>
        <v/>
      </c>
      <c r="AH299" s="8">
        <f t="array" ref="AH29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299" s="8">
        <f>IF(ISNUMBER(MCC_Table[[#This Row],[SIZE]]), MCC_Table[[#This Row],[SIZE]]/6, 0)</f>
        <v/>
      </c>
      <c r="AJ299" s="8">
        <f>MCC_Table[[#This Row],[START INDEX]]+MCC_Table[[#This Row],[UNITS USED]]-1</f>
        <v/>
      </c>
      <c r="AK299" s="14" t="n"/>
      <c r="AL299" s="14" t="n"/>
      <c r="AM299" s="14" t="n"/>
      <c r="AN299" s="14" t="n"/>
      <c r="AO299" s="14" t="n"/>
      <c r="AP299" s="14" t="n"/>
      <c r="AQ299" s="14" t="n"/>
      <c r="AR299" s="14" t="n"/>
      <c r="AS299" s="14" t="n"/>
      <c r="AT299" s="14" t="n"/>
      <c r="AU299" s="14" t="n"/>
      <c r="AV299" s="14" t="n"/>
      <c r="AW299" s="14" t="n"/>
      <c r="AX299" s="14" t="n"/>
      <c r="AY299" s="14" t="n"/>
      <c r="AZ299" s="14" t="n"/>
      <c r="BA299" s="14" t="n"/>
      <c r="BB299" s="14" t="n"/>
      <c r="BC299" s="14" t="n"/>
      <c r="BD299" s="14" t="n"/>
      <c r="BE299" s="14" t="n"/>
    </row>
    <row r="300" hidden="1" ht="15.75" customHeight="1" thickTop="1">
      <c r="A300" s="113" t="inlineStr">
        <is>
          <t>VTTRS-MCC1</t>
        </is>
      </c>
      <c r="B300" s="8" t="inlineStr">
        <is>
          <t>14K</t>
        </is>
      </c>
      <c r="C300" s="24" t="inlineStr">
        <is>
          <t>SPARE</t>
        </is>
      </c>
      <c r="D300" s="28" t="inlineStr">
        <is>
          <t>VFD - 5HP</t>
        </is>
      </c>
      <c r="E300" s="29" t="inlineStr">
        <is>
          <t>VFD</t>
        </is>
      </c>
      <c r="F300" s="29" t="n"/>
      <c r="G300" s="8" t="n">
        <v>5</v>
      </c>
      <c r="H300" s="82" t="n"/>
      <c r="I300" s="8" t="n"/>
      <c r="J300" s="83">
        <f>IF(ISNUMBER(MCC_Table[[#This Row],[SIZE]]), MCC_Table[[#This Row],[SIZE]]/12, 0)</f>
        <v/>
      </c>
      <c r="K300" s="82" t="n">
        <v>20</v>
      </c>
      <c r="L300" s="82" t="n">
        <v>125</v>
      </c>
      <c r="M300" s="82" t="n">
        <v>12</v>
      </c>
      <c r="N300" s="82" t="n"/>
      <c r="O300" s="77" t="n"/>
      <c r="P300" s="85" t="n"/>
      <c r="Q300" s="79" t="n"/>
      <c r="R300" s="79" t="n"/>
      <c r="S300" s="79" t="n"/>
      <c r="T300" s="79" t="n"/>
      <c r="U300" s="79" t="n"/>
      <c r="V300" s="79" t="n"/>
      <c r="W300" s="79" t="n"/>
      <c r="X300" s="79" t="n"/>
      <c r="Y300" s="79" t="n"/>
      <c r="Z300" s="79" t="n"/>
      <c r="AA300" s="79" t="n"/>
      <c r="AB300" s="225" t="n"/>
      <c r="AC300" s="225" t="n"/>
      <c r="AD300" s="225" t="n"/>
      <c r="AE300" s="8">
        <f>_xlfn.NUMBERVALUE(LEFT(MCC_Table[[#This Row],[BUCKET]],LEN(MCC_Table[[#This Row],[BUCKET]])-1))</f>
        <v/>
      </c>
      <c r="AF300" s="8">
        <f>RIGHT(MCC_Table[[#This Row],[BUCKET]],1)</f>
        <v/>
      </c>
      <c r="AG300" s="8">
        <f>VLOOKUP(MCC_Table[[#This Row],[START UNIT]],UnitMap[],2,FALSE)</f>
        <v/>
      </c>
      <c r="AH300" s="8">
        <f t="array" ref="AH30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00" s="8">
        <f>IF(ISNUMBER(MCC_Table[[#This Row],[SIZE]]), MCC_Table[[#This Row],[SIZE]]/6, 0)</f>
        <v/>
      </c>
      <c r="AJ300" s="8">
        <f>MCC_Table[[#This Row],[START INDEX]]+MCC_Table[[#This Row],[UNITS USED]]-1</f>
        <v/>
      </c>
      <c r="AK300" s="14" t="n"/>
      <c r="AL300" s="14" t="n"/>
      <c r="AM300" s="14" t="n"/>
      <c r="AN300" s="14" t="n"/>
      <c r="AO300" s="14" t="n"/>
      <c r="AP300" s="14" t="n"/>
      <c r="AQ300" s="14" t="n"/>
      <c r="AR300" s="14" t="n"/>
      <c r="AS300" s="14" t="n"/>
      <c r="AT300" s="14" t="n"/>
      <c r="AU300" s="14" t="n"/>
      <c r="AV300" s="14" t="n"/>
      <c r="AW300" s="14" t="n"/>
      <c r="AX300" s="14" t="n"/>
      <c r="AY300" s="14" t="n"/>
      <c r="AZ300" s="14" t="n"/>
      <c r="BA300" s="14" t="n"/>
      <c r="BB300" s="14" t="n"/>
      <c r="BC300" s="14" t="n"/>
      <c r="BD300" s="14" t="n"/>
      <c r="BE300" s="14" t="n"/>
    </row>
    <row r="301" hidden="1" ht="15.75" customHeight="1" thickTop="1">
      <c r="A301" s="113" t="inlineStr">
        <is>
          <t>VTTRS-MCC1</t>
        </is>
      </c>
      <c r="B301" s="8" t="inlineStr">
        <is>
          <t>15A</t>
        </is>
      </c>
      <c r="C301" s="8" t="inlineStr">
        <is>
          <t>SPARE</t>
        </is>
      </c>
      <c r="D301" s="28" t="inlineStr">
        <is>
          <t>VFD - 2HP</t>
        </is>
      </c>
      <c r="E301" s="29" t="inlineStr">
        <is>
          <t>VFD</t>
        </is>
      </c>
      <c r="F301" s="8" t="n"/>
      <c r="G301" s="8" t="n">
        <v>2</v>
      </c>
      <c r="H301" s="82" t="n"/>
      <c r="I301" s="8" t="n"/>
      <c r="J301" s="83">
        <f>IF(ISNUMBER(MCC_Table[[#This Row],[SIZE]]), MCC_Table[[#This Row],[SIZE]]/12, 0)</f>
        <v/>
      </c>
      <c r="K301" s="82" t="n">
        <v>15</v>
      </c>
      <c r="L301" s="82" t="n">
        <v>125</v>
      </c>
      <c r="M301" s="82" t="n">
        <v>6</v>
      </c>
      <c r="N301" s="82" t="n"/>
      <c r="O301" s="77" t="n"/>
      <c r="P301" s="85" t="n"/>
      <c r="Q301" s="79" t="n"/>
      <c r="R301" s="79" t="n"/>
      <c r="S301" s="79" t="n"/>
      <c r="T301" s="79" t="n"/>
      <c r="U301" s="79" t="n"/>
      <c r="V301" s="79" t="n"/>
      <c r="W301" s="79" t="n"/>
      <c r="X301" s="79" t="n"/>
      <c r="Y301" s="79" t="n"/>
      <c r="Z301" s="79" t="n"/>
      <c r="AA301" s="79" t="n"/>
      <c r="AB301" s="225" t="n"/>
      <c r="AC301" s="225" t="n"/>
      <c r="AD301" s="225" t="n"/>
      <c r="AE301" s="8">
        <f>_xlfn.NUMBERVALUE(LEFT(MCC_Table[[#This Row],[BUCKET]],LEN(MCC_Table[[#This Row],[BUCKET]])-1))</f>
        <v/>
      </c>
      <c r="AF301" s="8">
        <f>RIGHT(MCC_Table[[#This Row],[BUCKET]],1)</f>
        <v/>
      </c>
      <c r="AG301" s="8">
        <f>VLOOKUP(MCC_Table[[#This Row],[START UNIT]],UnitMap[],2,FALSE)</f>
        <v/>
      </c>
      <c r="AH301" s="8">
        <f t="array" ref="AH30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01" s="8">
        <f>IF(ISNUMBER(MCC_Table[[#This Row],[SIZE]]), MCC_Table[[#This Row],[SIZE]]/6, 0)</f>
        <v/>
      </c>
      <c r="AJ301" s="8">
        <f>MCC_Table[[#This Row],[START INDEX]]+MCC_Table[[#This Row],[UNITS USED]]-1</f>
        <v/>
      </c>
      <c r="AK301" s="14" t="n"/>
      <c r="AL301" s="14" t="n"/>
      <c r="AM301" s="14" t="n"/>
      <c r="AN301" s="14" t="n"/>
      <c r="AO301" s="14" t="n"/>
      <c r="AP301" s="14" t="n"/>
      <c r="AQ301" s="14" t="n"/>
      <c r="AR301" s="14" t="n"/>
      <c r="AS301" s="14" t="n"/>
      <c r="AT301" s="14" t="n"/>
      <c r="AU301" s="14" t="n"/>
      <c r="AV301" s="14" t="n"/>
      <c r="AW301" s="14" t="n"/>
      <c r="AX301" s="14" t="n"/>
      <c r="AY301" s="14" t="n"/>
      <c r="AZ301" s="14" t="n"/>
      <c r="BA301" s="14" t="n"/>
      <c r="BB301" s="14" t="n"/>
      <c r="BC301" s="14" t="n"/>
      <c r="BD301" s="14" t="n"/>
      <c r="BE301" s="14" t="n"/>
    </row>
    <row r="302" hidden="1" ht="15.75" customHeight="1" thickTop="1">
      <c r="A302" s="113" t="inlineStr">
        <is>
          <t>VTTRS-MCC1</t>
        </is>
      </c>
      <c r="B302" s="8" t="inlineStr">
        <is>
          <t>15D</t>
        </is>
      </c>
      <c r="C302" s="8" t="inlineStr">
        <is>
          <t>SPARE</t>
        </is>
      </c>
      <c r="D302" s="28" t="inlineStr">
        <is>
          <t>VFD - 2HP</t>
        </is>
      </c>
      <c r="E302" s="29" t="inlineStr">
        <is>
          <t>VFD</t>
        </is>
      </c>
      <c r="F302" s="8" t="n"/>
      <c r="G302" s="8" t="n">
        <v>2</v>
      </c>
      <c r="H302" s="82" t="n"/>
      <c r="I302" s="8" t="n"/>
      <c r="J302" s="83">
        <f>IF(ISNUMBER(MCC_Table[[#This Row],[SIZE]]), MCC_Table[[#This Row],[SIZE]]/12, 0)</f>
        <v/>
      </c>
      <c r="K302" s="82" t="n">
        <v>15</v>
      </c>
      <c r="L302" s="82" t="n">
        <v>125</v>
      </c>
      <c r="M302" s="82" t="n">
        <v>6</v>
      </c>
      <c r="N302" s="82" t="n"/>
      <c r="O302" s="77" t="n"/>
      <c r="P302" s="85" t="n"/>
      <c r="Q302" s="79" t="n"/>
      <c r="R302" s="79" t="n"/>
      <c r="S302" s="79" t="n"/>
      <c r="T302" s="79" t="n"/>
      <c r="U302" s="79" t="n"/>
      <c r="V302" s="79" t="n"/>
      <c r="W302" s="79" t="n"/>
      <c r="X302" s="79" t="n"/>
      <c r="Y302" s="79" t="n"/>
      <c r="Z302" s="79" t="n"/>
      <c r="AA302" s="79" t="n"/>
      <c r="AB302" s="225" t="n"/>
      <c r="AC302" s="225" t="n"/>
      <c r="AD302" s="225" t="n"/>
      <c r="AE302" s="8">
        <f>_xlfn.NUMBERVALUE(LEFT(MCC_Table[[#This Row],[BUCKET]],LEN(MCC_Table[[#This Row],[BUCKET]])-1))</f>
        <v/>
      </c>
      <c r="AF302" s="8">
        <f>RIGHT(MCC_Table[[#This Row],[BUCKET]],1)</f>
        <v/>
      </c>
      <c r="AG302" s="8">
        <f>VLOOKUP(MCC_Table[[#This Row],[START UNIT]],UnitMap[],2,FALSE)</f>
        <v/>
      </c>
      <c r="AH302" s="8">
        <f t="array" ref="AH30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02" s="8">
        <f>IF(ISNUMBER(MCC_Table[[#This Row],[SIZE]]), MCC_Table[[#This Row],[SIZE]]/6, 0)</f>
        <v/>
      </c>
      <c r="AJ302" s="8">
        <f>MCC_Table[[#This Row],[START INDEX]]+MCC_Table[[#This Row],[UNITS USED]]-1</f>
        <v/>
      </c>
      <c r="AK302" s="14" t="n"/>
      <c r="AL302" s="14" t="n"/>
      <c r="AM302" s="14" t="n"/>
      <c r="AN302" s="14" t="n"/>
      <c r="AO302" s="14" t="n"/>
      <c r="AP302" s="14" t="n"/>
      <c r="AQ302" s="14" t="n"/>
      <c r="AR302" s="14" t="n"/>
      <c r="AS302" s="14" t="n"/>
      <c r="AT302" s="14" t="n"/>
      <c r="AU302" s="14" t="n"/>
      <c r="AV302" s="14" t="n"/>
      <c r="AW302" s="14" t="n"/>
      <c r="AX302" s="14" t="n"/>
      <c r="AY302" s="14" t="n"/>
      <c r="AZ302" s="14" t="n"/>
      <c r="BA302" s="14" t="n"/>
      <c r="BB302" s="14" t="n"/>
      <c r="BC302" s="14" t="n"/>
      <c r="BD302" s="14" t="n"/>
      <c r="BE302" s="14" t="n"/>
    </row>
    <row r="303" hidden="1" ht="15.75" customHeight="1" thickTop="1">
      <c r="A303" s="113" t="inlineStr">
        <is>
          <t>VTTRS-MCC1</t>
        </is>
      </c>
      <c r="B303" s="8" t="inlineStr">
        <is>
          <t>15G</t>
        </is>
      </c>
      <c r="C303" s="8" t="inlineStr">
        <is>
          <t>PMP-109</t>
        </is>
      </c>
      <c r="D303" s="28" t="inlineStr">
        <is>
          <t>BATH 1 CIRCULATION PUMP</t>
        </is>
      </c>
      <c r="E303" s="29" t="inlineStr">
        <is>
          <t>VFD</t>
        </is>
      </c>
      <c r="F303" s="8" t="n">
        <v>1</v>
      </c>
      <c r="G303" s="8" t="n">
        <v>2</v>
      </c>
      <c r="H303" s="82" t="n"/>
      <c r="I303" s="8" t="n"/>
      <c r="J303" s="83">
        <f>IF(ISNUMBER(MCC_Table[[#This Row],[SIZE]]), MCC_Table[[#This Row],[SIZE]]/12, 0)</f>
        <v/>
      </c>
      <c r="K303" s="82" t="n">
        <v>15</v>
      </c>
      <c r="L303" s="82" t="n">
        <v>125</v>
      </c>
      <c r="M303" s="82" t="n">
        <v>6</v>
      </c>
      <c r="N303" s="82" t="inlineStr">
        <is>
          <t>3/C #12 VFD CABLE</t>
        </is>
      </c>
      <c r="O303" s="77" t="n"/>
      <c r="P303" s="85" t="n"/>
      <c r="Q303" s="79" t="n"/>
      <c r="R303" s="79" t="n"/>
      <c r="S303" s="79" t="n"/>
      <c r="T303" s="79" t="n"/>
      <c r="U303" s="79" t="n"/>
      <c r="V303" s="79" t="n"/>
      <c r="W303" s="79" t="n"/>
      <c r="X303" s="79" t="n"/>
      <c r="Y303" s="79" t="n"/>
      <c r="Z303" s="79" t="n"/>
      <c r="AA303" s="79" t="n"/>
      <c r="AB303" s="225" t="n"/>
      <c r="AC303" s="225" t="n"/>
      <c r="AD303" s="225" t="n"/>
      <c r="AE303" s="8">
        <f>_xlfn.NUMBERVALUE(LEFT(MCC_Table[[#This Row],[BUCKET]],LEN(MCC_Table[[#This Row],[BUCKET]])-1))</f>
        <v/>
      </c>
      <c r="AF303" s="8">
        <f>RIGHT(MCC_Table[[#This Row],[BUCKET]],1)</f>
        <v/>
      </c>
      <c r="AG303" s="8">
        <f>VLOOKUP(MCC_Table[[#This Row],[START UNIT]],UnitMap[],2,FALSE)</f>
        <v/>
      </c>
      <c r="AH303" s="8">
        <f t="array" ref="AH30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03" s="8">
        <f>IF(ISNUMBER(MCC_Table[[#This Row],[SIZE]]), MCC_Table[[#This Row],[SIZE]]/6, 0)</f>
        <v/>
      </c>
      <c r="AJ303" s="8">
        <f>MCC_Table[[#This Row],[START INDEX]]+MCC_Table[[#This Row],[UNITS USED]]-1</f>
        <v/>
      </c>
      <c r="AK303" s="14" t="n"/>
      <c r="AL303" s="14" t="n"/>
      <c r="AM303" s="14" t="n"/>
      <c r="AN303" s="14" t="n"/>
      <c r="AO303" s="14" t="n"/>
      <c r="AP303" s="14" t="n"/>
      <c r="AQ303" s="14" t="n"/>
      <c r="AR303" s="14" t="n"/>
      <c r="AS303" s="14" t="n"/>
      <c r="AT303" s="14" t="n"/>
      <c r="AU303" s="14" t="n"/>
      <c r="AV303" s="14" t="n"/>
      <c r="AW303" s="14" t="n"/>
      <c r="AX303" s="14" t="n"/>
      <c r="AY303" s="14" t="n"/>
      <c r="AZ303" s="14" t="n"/>
      <c r="BA303" s="14" t="n"/>
      <c r="BB303" s="14" t="n"/>
      <c r="BC303" s="14" t="n"/>
      <c r="BD303" s="14" t="n"/>
      <c r="BE303" s="14" t="n"/>
    </row>
    <row r="304" hidden="1" ht="15.75" customHeight="1" thickTop="1">
      <c r="A304" s="113" t="inlineStr">
        <is>
          <t>VTTRS-MCC1</t>
        </is>
      </c>
      <c r="B304" s="8" t="inlineStr">
        <is>
          <t>15K</t>
        </is>
      </c>
      <c r="C304" s="24" t="inlineStr">
        <is>
          <t>SPARE</t>
        </is>
      </c>
      <c r="D304" s="28" t="inlineStr">
        <is>
          <t>VFD - 5HP</t>
        </is>
      </c>
      <c r="E304" s="29" t="inlineStr">
        <is>
          <t>VFD</t>
        </is>
      </c>
      <c r="F304" s="29" t="n"/>
      <c r="G304" s="8" t="n">
        <v>5</v>
      </c>
      <c r="H304" s="82" t="n"/>
      <c r="I304" s="8" t="n"/>
      <c r="J304" s="83">
        <f>IF(ISNUMBER(MCC_Table[[#This Row],[SIZE]]), MCC_Table[[#This Row],[SIZE]]/12, 0)</f>
        <v/>
      </c>
      <c r="K304" s="82" t="n">
        <v>20</v>
      </c>
      <c r="L304" s="82" t="n">
        <v>125</v>
      </c>
      <c r="M304" s="82" t="n">
        <v>12</v>
      </c>
      <c r="N304" s="82" t="n"/>
      <c r="O304" s="77" t="n"/>
      <c r="P304" s="85" t="n"/>
      <c r="Q304" s="79" t="n"/>
      <c r="R304" s="79" t="n"/>
      <c r="S304" s="79" t="n"/>
      <c r="T304" s="79" t="n"/>
      <c r="U304" s="79" t="n"/>
      <c r="V304" s="79" t="n"/>
      <c r="W304" s="79" t="n"/>
      <c r="X304" s="79" t="n"/>
      <c r="Y304" s="79" t="n"/>
      <c r="Z304" s="79" t="n"/>
      <c r="AA304" s="79" t="n"/>
      <c r="AB304" s="225" t="n"/>
      <c r="AC304" s="225" t="n"/>
      <c r="AD304" s="225" t="n"/>
      <c r="AE304" s="8">
        <f>_xlfn.NUMBERVALUE(LEFT(MCC_Table[[#This Row],[BUCKET]],LEN(MCC_Table[[#This Row],[BUCKET]])-1))</f>
        <v/>
      </c>
      <c r="AF304" s="8">
        <f>RIGHT(MCC_Table[[#This Row],[BUCKET]],1)</f>
        <v/>
      </c>
      <c r="AG304" s="8">
        <f>VLOOKUP(MCC_Table[[#This Row],[START UNIT]],UnitMap[],2,FALSE)</f>
        <v/>
      </c>
      <c r="AH304" s="8">
        <f t="array" ref="AH30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04" s="8">
        <f>IF(ISNUMBER(MCC_Table[[#This Row],[SIZE]]), MCC_Table[[#This Row],[SIZE]]/6, 0)</f>
        <v/>
      </c>
      <c r="AJ304" s="8">
        <f>MCC_Table[[#This Row],[START INDEX]]+MCC_Table[[#This Row],[UNITS USED]]-1</f>
        <v/>
      </c>
      <c r="AK304" s="14" t="n"/>
      <c r="AL304" s="14" t="n"/>
      <c r="AM304" s="14" t="n"/>
      <c r="AN304" s="14" t="n"/>
      <c r="AO304" s="14" t="n"/>
      <c r="AP304" s="14" t="n"/>
      <c r="AQ304" s="14" t="n"/>
      <c r="AR304" s="14" t="n"/>
      <c r="AS304" s="14" t="n"/>
      <c r="AT304" s="14" t="n"/>
      <c r="AU304" s="14" t="n"/>
      <c r="AV304" s="14" t="n"/>
      <c r="AW304" s="14" t="n"/>
      <c r="AX304" s="14" t="n"/>
      <c r="AY304" s="14" t="n"/>
      <c r="AZ304" s="14" t="n"/>
      <c r="BA304" s="14" t="n"/>
      <c r="BB304" s="14" t="n"/>
      <c r="BC304" s="14" t="n"/>
      <c r="BD304" s="14" t="n"/>
      <c r="BE304" s="14" t="n"/>
    </row>
    <row r="305" hidden="1" ht="15.75" customHeight="1" thickTop="1">
      <c r="A305" s="113" t="inlineStr">
        <is>
          <t>VTTRS-MCC1</t>
        </is>
      </c>
      <c r="B305" s="29" t="inlineStr">
        <is>
          <t>16A</t>
        </is>
      </c>
      <c r="C305" s="24" t="inlineStr">
        <is>
          <t>SPACE</t>
        </is>
      </c>
      <c r="D305" s="62" t="inlineStr">
        <is>
          <t>6" SPACE</t>
        </is>
      </c>
      <c r="E305" s="29" t="inlineStr">
        <is>
          <t>SPACE</t>
        </is>
      </c>
      <c r="F305" s="8" t="n"/>
      <c r="G305" s="8" t="n"/>
      <c r="H305" s="82" t="n"/>
      <c r="I305" s="8" t="n"/>
      <c r="J305" s="80">
        <f>IF(ISNUMBER(MCC_Table[[#This Row],[SIZE]]), MCC_Table[[#This Row],[SIZE]]/12, 0)</f>
        <v/>
      </c>
      <c r="K305" s="82" t="n"/>
      <c r="L305" s="82" t="n"/>
      <c r="M305" s="82" t="n"/>
      <c r="N305" s="82" t="n"/>
      <c r="O305" s="77" t="n"/>
      <c r="P305" s="110" t="n"/>
      <c r="Q305" s="79" t="n"/>
      <c r="R305" s="79" t="n"/>
      <c r="S305" s="79" t="n"/>
      <c r="T305" s="79" t="n"/>
      <c r="U305" s="79" t="n"/>
      <c r="V305" s="79" t="n"/>
      <c r="W305" s="79" t="n"/>
      <c r="X305" s="79" t="n"/>
      <c r="Y305" s="79" t="n"/>
      <c r="Z305" s="79" t="n"/>
      <c r="AA305" s="79" t="n"/>
      <c r="AB305" s="225" t="n"/>
      <c r="AC305" s="225" t="n"/>
      <c r="AD305" s="225" t="n"/>
      <c r="AE305" s="29">
        <f>_xlfn.NUMBERVALUE(LEFT(MCC_Table[[#This Row],[BUCKET]],LEN(MCC_Table[[#This Row],[BUCKET]])-1))</f>
        <v/>
      </c>
      <c r="AF305" s="29">
        <f>RIGHT(MCC_Table[[#This Row],[BUCKET]],1)</f>
        <v/>
      </c>
      <c r="AG305" s="29">
        <f>VLOOKUP(MCC_Table[[#This Row],[START UNIT]],UnitMap[],2,FALSE)</f>
        <v/>
      </c>
      <c r="AH305" s="29">
        <f t="array" ref="AH30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05" s="29">
        <f>IF(ISNUMBER(MCC_Table[[#This Row],[SIZE]]), MCC_Table[[#This Row],[SIZE]]/6, 0)</f>
        <v/>
      </c>
      <c r="AJ305" s="29">
        <f>MCC_Table[[#This Row],[START INDEX]]+MCC_Table[[#This Row],[UNITS USED]]-1</f>
        <v/>
      </c>
      <c r="AK305" s="14" t="n"/>
      <c r="AL305" s="14" t="n"/>
      <c r="AM305" s="14" t="n"/>
      <c r="AN305" s="14" t="n"/>
      <c r="AO305" s="14" t="n"/>
      <c r="AP305" s="14" t="n"/>
      <c r="AQ305" s="14" t="n"/>
      <c r="AR305" s="14" t="n"/>
      <c r="AS305" s="14" t="n"/>
      <c r="AT305" s="14" t="n"/>
      <c r="AU305" s="14" t="n"/>
      <c r="AV305" s="14" t="n"/>
      <c r="AW305" s="14" t="n"/>
      <c r="AX305" s="14" t="n"/>
      <c r="AY305" s="14" t="n"/>
      <c r="AZ305" s="14" t="n"/>
      <c r="BA305" s="14" t="n"/>
      <c r="BB305" s="14" t="n"/>
      <c r="BC305" s="14" t="n"/>
      <c r="BD305" s="14" t="n"/>
      <c r="BE305" s="14" t="n"/>
    </row>
    <row r="306" hidden="1" ht="15.75" customHeight="1" thickTop="1">
      <c r="A306" s="113" t="inlineStr">
        <is>
          <t>VTTRS-MCC1</t>
        </is>
      </c>
      <c r="B306" s="8" t="inlineStr">
        <is>
          <t>16B</t>
        </is>
      </c>
      <c r="C306" s="24" t="inlineStr">
        <is>
          <t>CNV-102</t>
        </is>
      </c>
      <c r="D306" s="28" t="inlineStr">
        <is>
          <t>BATH CONVEYOR 2</t>
        </is>
      </c>
      <c r="E306" s="29" t="inlineStr">
        <is>
          <t>VFD</t>
        </is>
      </c>
      <c r="F306" s="29" t="n">
        <v>5</v>
      </c>
      <c r="G306" s="8" t="n">
        <v>5</v>
      </c>
      <c r="H306" s="82" t="n"/>
      <c r="I306" s="8" t="n"/>
      <c r="J306" s="83">
        <f>IF(ISNUMBER(MCC_Table[[#This Row],[SIZE]]), MCC_Table[[#This Row],[SIZE]]/12, 0)</f>
        <v/>
      </c>
      <c r="K306" s="82" t="n">
        <v>20</v>
      </c>
      <c r="L306" s="82" t="n">
        <v>125</v>
      </c>
      <c r="M306" s="82" t="n">
        <v>12</v>
      </c>
      <c r="N306" s="82" t="inlineStr">
        <is>
          <t>3/C #12 VFD CABLE</t>
        </is>
      </c>
      <c r="O306" s="77" t="n"/>
      <c r="P306" s="85" t="n"/>
      <c r="Q306" s="79" t="n"/>
      <c r="R306" s="79" t="n"/>
      <c r="S306" s="79" t="n"/>
      <c r="T306" s="79" t="n"/>
      <c r="U306" s="79" t="n"/>
      <c r="V306" s="79" t="n"/>
      <c r="W306" s="79" t="n"/>
      <c r="X306" s="79" t="n"/>
      <c r="Y306" s="79" t="n"/>
      <c r="Z306" s="79" t="n"/>
      <c r="AA306" s="79" t="n"/>
      <c r="AB306" s="225" t="n"/>
      <c r="AC306" s="225" t="n"/>
      <c r="AD306" s="225" t="n"/>
      <c r="AE306" s="8">
        <f>_xlfn.NUMBERVALUE(LEFT(MCC_Table[[#This Row],[BUCKET]],LEN(MCC_Table[[#This Row],[BUCKET]])-1))</f>
        <v/>
      </c>
      <c r="AF306" s="8">
        <f>RIGHT(MCC_Table[[#This Row],[BUCKET]],1)</f>
        <v/>
      </c>
      <c r="AG306" s="8">
        <f>VLOOKUP(MCC_Table[[#This Row],[START UNIT]],UnitMap[],2,FALSE)</f>
        <v/>
      </c>
      <c r="AH306" s="8">
        <f t="array" ref="AH30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06" s="8">
        <f>IF(ISNUMBER(MCC_Table[[#This Row],[SIZE]]), MCC_Table[[#This Row],[SIZE]]/6, 0)</f>
        <v/>
      </c>
      <c r="AJ306" s="8">
        <f>MCC_Table[[#This Row],[START INDEX]]+MCC_Table[[#This Row],[UNITS USED]]-1</f>
        <v/>
      </c>
      <c r="AK306" s="14" t="n"/>
      <c r="AL306" s="14" t="n"/>
      <c r="AM306" s="14" t="n"/>
      <c r="AN306" s="14" t="n"/>
      <c r="AO306" s="14" t="n"/>
      <c r="AP306" s="14" t="n"/>
      <c r="AQ306" s="14" t="n"/>
      <c r="AR306" s="14" t="n"/>
      <c r="AS306" s="14" t="n"/>
      <c r="AT306" s="14" t="n"/>
      <c r="AU306" s="14" t="n"/>
      <c r="AV306" s="14" t="n"/>
      <c r="AW306" s="14" t="n"/>
      <c r="AX306" s="14" t="n"/>
      <c r="AY306" s="14" t="n"/>
      <c r="AZ306" s="14" t="n"/>
      <c r="BA306" s="14" t="n"/>
      <c r="BB306" s="14" t="n"/>
      <c r="BC306" s="14" t="n"/>
      <c r="BD306" s="14" t="n"/>
      <c r="BE306" s="14" t="n"/>
    </row>
    <row r="307" hidden="1" ht="15.75" customHeight="1" thickTop="1">
      <c r="A307" s="113" t="inlineStr">
        <is>
          <t>VTTRS-MCC1</t>
        </is>
      </c>
      <c r="B307" s="29" t="inlineStr">
        <is>
          <t>16F</t>
        </is>
      </c>
      <c r="C307" s="24" t="inlineStr">
        <is>
          <t>SPARE</t>
        </is>
      </c>
      <c r="D307" s="28" t="inlineStr">
        <is>
          <t>VFD - 30HP</t>
        </is>
      </c>
      <c r="E307" s="29" t="inlineStr">
        <is>
          <t>VFD</t>
        </is>
      </c>
      <c r="F307" s="8" t="n"/>
      <c r="G307" s="8" t="n">
        <v>30</v>
      </c>
      <c r="H307" s="82" t="n"/>
      <c r="I307" s="8" t="n"/>
      <c r="J307" s="80">
        <f>IF(ISNUMBER(MCC_Table[[#This Row],[SIZE]]), MCC_Table[[#This Row],[SIZE]]/12, 0)</f>
        <v/>
      </c>
      <c r="K307" s="82" t="n">
        <v>100</v>
      </c>
      <c r="L307" s="82" t="n">
        <v>125</v>
      </c>
      <c r="M307" s="82" t="inlineStr">
        <is>
          <t>N/A</t>
        </is>
      </c>
      <c r="N307" s="82" t="n"/>
      <c r="O307" s="77" t="n"/>
      <c r="P307" s="110" t="n"/>
      <c r="Q307" s="79" t="n"/>
      <c r="R307" s="79" t="n"/>
      <c r="S307" s="79" t="n"/>
      <c r="T307" s="79" t="n"/>
      <c r="U307" s="79" t="n"/>
      <c r="V307" s="79" t="n"/>
      <c r="W307" s="79" t="n"/>
      <c r="X307" s="79" t="n"/>
      <c r="Y307" s="79" t="n"/>
      <c r="Z307" s="79" t="n"/>
      <c r="AA307" s="79" t="n"/>
      <c r="AB307" s="225" t="n"/>
      <c r="AC307" s="225" t="n"/>
      <c r="AD307" s="225" t="n"/>
      <c r="AE307" s="29">
        <f>_xlfn.NUMBERVALUE(LEFT(MCC_Table[[#This Row],[BUCKET]],LEN(MCC_Table[[#This Row],[BUCKET]])-1))</f>
        <v/>
      </c>
      <c r="AF307" s="29">
        <f>RIGHT(MCC_Table[[#This Row],[BUCKET]],1)</f>
        <v/>
      </c>
      <c r="AG307" s="29">
        <f>VLOOKUP(MCC_Table[[#This Row],[START UNIT]],UnitMap[],2,FALSE)</f>
        <v/>
      </c>
      <c r="AH307" s="29">
        <f t="array" ref="AH30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07" s="29">
        <f>IF(ISNUMBER(MCC_Table[[#This Row],[SIZE]]), MCC_Table[[#This Row],[SIZE]]/6, 0)</f>
        <v/>
      </c>
      <c r="AJ307" s="29">
        <f>MCC_Table[[#This Row],[START INDEX]]+MCC_Table[[#This Row],[UNITS USED]]-1</f>
        <v/>
      </c>
      <c r="AK307" s="14" t="n"/>
      <c r="AL307" s="14" t="n"/>
      <c r="AM307" s="14" t="n"/>
      <c r="AN307" s="14" t="n"/>
      <c r="AO307" s="14" t="n"/>
      <c r="AP307" s="14" t="n"/>
      <c r="AQ307" s="14" t="n"/>
      <c r="AR307" s="14" t="n"/>
      <c r="AS307" s="14" t="n"/>
      <c r="AT307" s="14" t="n"/>
      <c r="AU307" s="14" t="n"/>
      <c r="AV307" s="14" t="n"/>
      <c r="AW307" s="14" t="n"/>
      <c r="AX307" s="14" t="n"/>
      <c r="AY307" s="14" t="n"/>
      <c r="AZ307" s="14" t="n"/>
      <c r="BA307" s="14" t="n"/>
      <c r="BB307" s="14" t="n"/>
      <c r="BC307" s="14" t="n"/>
      <c r="BD307" s="14" t="n"/>
      <c r="BE307" s="14" t="n"/>
    </row>
    <row r="308" hidden="1" ht="15.75" customHeight="1" thickTop="1">
      <c r="A308" s="113" t="inlineStr">
        <is>
          <t>VTTRS-MCC1</t>
        </is>
      </c>
      <c r="B308" s="29" t="inlineStr">
        <is>
          <t>17A</t>
        </is>
      </c>
      <c r="C308" s="24" t="inlineStr">
        <is>
          <t>RM5-MCC1-5A.SW1</t>
        </is>
      </c>
      <c r="D308" s="62" t="inlineStr">
        <is>
          <t>ETHERNET SWITCH (20-PORT)</t>
        </is>
      </c>
      <c r="E308" s="24" t="inlineStr">
        <is>
          <t>ENET_20</t>
        </is>
      </c>
      <c r="F308" s="8" t="n"/>
      <c r="G308" s="8" t="n"/>
      <c r="H308" s="87" t="n"/>
      <c r="I308" s="8" t="n"/>
      <c r="J308" s="80">
        <f>IF(ISNUMBER(MCC_Table[[#This Row],[SIZE]]), MCC_Table[[#This Row],[SIZE]]/12, 0)</f>
        <v/>
      </c>
      <c r="K308" s="87" t="n"/>
      <c r="L308" s="82" t="n"/>
      <c r="M308" s="87" t="n"/>
      <c r="N308" s="87" t="n"/>
      <c r="O308" s="77" t="n"/>
      <c r="P308" s="105" t="n"/>
      <c r="Q308" s="79" t="n"/>
      <c r="R308" s="79" t="n"/>
      <c r="S308" s="79" t="n"/>
      <c r="T308" s="79" t="n"/>
      <c r="U308" s="79" t="n"/>
      <c r="V308" s="79" t="n"/>
      <c r="W308" s="79" t="n"/>
      <c r="X308" s="79" t="n"/>
      <c r="Y308" s="79" t="n"/>
      <c r="Z308" s="79" t="n"/>
      <c r="AA308" s="79" t="n"/>
      <c r="AB308" s="225" t="n"/>
      <c r="AC308" s="225" t="n"/>
      <c r="AD308" s="225" t="n"/>
      <c r="AE308" s="29">
        <f>_xlfn.NUMBERVALUE(LEFT(MCC_Table[[#This Row],[BUCKET]],LEN(MCC_Table[[#This Row],[BUCKET]])-1))</f>
        <v/>
      </c>
      <c r="AF308" s="29">
        <f>RIGHT(MCC_Table[[#This Row],[BUCKET]],1)</f>
        <v/>
      </c>
      <c r="AG308" s="29">
        <f>VLOOKUP(MCC_Table[[#This Row],[START UNIT]],UnitMap[],2,FALSE)</f>
        <v/>
      </c>
      <c r="AH308" s="29">
        <f t="array" ref="AH30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08" s="29">
        <f>IF(ISNUMBER(MCC_Table[[#This Row],[SIZE]]), MCC_Table[[#This Row],[SIZE]]/6, 0)</f>
        <v/>
      </c>
      <c r="AJ308" s="29">
        <f>MCC_Table[[#This Row],[START INDEX]]+MCC_Table[[#This Row],[UNITS USED]]-1</f>
        <v/>
      </c>
      <c r="AK308" s="14" t="n"/>
      <c r="AL308" s="14" t="n"/>
      <c r="AM308" s="14" t="n"/>
      <c r="AN308" s="14" t="n"/>
      <c r="AO308" s="14" t="n"/>
      <c r="AP308" s="14" t="n"/>
      <c r="AQ308" s="14" t="n"/>
      <c r="AR308" s="14" t="n"/>
      <c r="AS308" s="14" t="n"/>
      <c r="AT308" s="14" t="n"/>
      <c r="AU308" s="14" t="n"/>
      <c r="AV308" s="14" t="n"/>
      <c r="AW308" s="14" t="n"/>
      <c r="AX308" s="14" t="n"/>
      <c r="AY308" s="14" t="n"/>
      <c r="AZ308" s="14" t="n"/>
      <c r="BA308" s="14" t="n"/>
      <c r="BB308" s="14" t="n"/>
      <c r="BC308" s="14" t="n"/>
      <c r="BD308" s="14" t="n"/>
      <c r="BE308" s="14" t="n"/>
    </row>
    <row r="309" hidden="1" ht="15.75" customHeight="1" thickTop="1">
      <c r="A309" s="113" t="inlineStr">
        <is>
          <t>VTTRS-MCC1</t>
        </is>
      </c>
      <c r="B309" s="29" t="inlineStr">
        <is>
          <t>17C</t>
        </is>
      </c>
      <c r="C309" s="24" t="inlineStr">
        <is>
          <t>SPACE</t>
        </is>
      </c>
      <c r="D309" s="62" t="inlineStr">
        <is>
          <t>6" SPACE</t>
        </is>
      </c>
      <c r="E309" s="29" t="inlineStr">
        <is>
          <t>SPACE</t>
        </is>
      </c>
      <c r="F309" s="8" t="n"/>
      <c r="G309" s="8" t="n"/>
      <c r="H309" s="82" t="n"/>
      <c r="I309" s="8" t="n"/>
      <c r="J309" s="80">
        <f>IF(ISNUMBER(MCC_Table[[#This Row],[SIZE]]), MCC_Table[[#This Row],[SIZE]]/12, 0)</f>
        <v/>
      </c>
      <c r="K309" s="82" t="n"/>
      <c r="L309" s="82" t="n"/>
      <c r="M309" s="82" t="n"/>
      <c r="N309" s="82" t="n"/>
      <c r="O309" s="77" t="n"/>
      <c r="P309" s="110" t="n"/>
      <c r="Q309" s="79" t="n"/>
      <c r="R309" s="79" t="n"/>
      <c r="S309" s="79" t="n"/>
      <c r="T309" s="79" t="n"/>
      <c r="U309" s="79" t="n"/>
      <c r="V309" s="79" t="n"/>
      <c r="W309" s="79" t="n"/>
      <c r="X309" s="79" t="n"/>
      <c r="Y309" s="79" t="n"/>
      <c r="Z309" s="79" t="n"/>
      <c r="AA309" s="79" t="n"/>
      <c r="AB309" s="225" t="n"/>
      <c r="AC309" s="225" t="n"/>
      <c r="AD309" s="225" t="n"/>
      <c r="AE309" s="29">
        <f>_xlfn.NUMBERVALUE(LEFT(MCC_Table[[#This Row],[BUCKET]],LEN(MCC_Table[[#This Row],[BUCKET]])-1))</f>
        <v/>
      </c>
      <c r="AF309" s="29">
        <f>RIGHT(MCC_Table[[#This Row],[BUCKET]],1)</f>
        <v/>
      </c>
      <c r="AG309" s="29">
        <f>VLOOKUP(MCC_Table[[#This Row],[START UNIT]],UnitMap[],2,FALSE)</f>
        <v/>
      </c>
      <c r="AH309" s="29">
        <f t="array" ref="AH30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09" s="29">
        <f>IF(ISNUMBER(MCC_Table[[#This Row],[SIZE]]), MCC_Table[[#This Row],[SIZE]]/6, 0)</f>
        <v/>
      </c>
      <c r="AJ309" s="29">
        <f>MCC_Table[[#This Row],[START INDEX]]+MCC_Table[[#This Row],[UNITS USED]]-1</f>
        <v/>
      </c>
      <c r="AK309" s="14" t="n"/>
      <c r="AL309" s="14" t="n"/>
      <c r="AM309" s="14" t="n"/>
      <c r="AN309" s="14" t="n"/>
      <c r="AO309" s="14" t="n"/>
      <c r="AP309" s="14" t="n"/>
      <c r="AQ309" s="14" t="n"/>
      <c r="AR309" s="14" t="n"/>
      <c r="AS309" s="14" t="n"/>
      <c r="AT309" s="14" t="n"/>
      <c r="AU309" s="14" t="n"/>
      <c r="AV309" s="14" t="n"/>
      <c r="AW309" s="14" t="n"/>
      <c r="AX309" s="14" t="n"/>
      <c r="AY309" s="14" t="n"/>
      <c r="AZ309" s="14" t="n"/>
      <c r="BA309" s="14" t="n"/>
      <c r="BB309" s="14" t="n"/>
      <c r="BC309" s="14" t="n"/>
      <c r="BD309" s="14" t="n"/>
      <c r="BE309" s="14" t="n"/>
    </row>
    <row r="310" hidden="1" ht="15.75" customHeight="1" thickTop="1">
      <c r="A310" s="113" t="inlineStr">
        <is>
          <t>VTTRS-MCC1</t>
        </is>
      </c>
      <c r="B310" s="8" t="inlineStr">
        <is>
          <t>17D</t>
        </is>
      </c>
      <c r="C310" s="24" t="inlineStr">
        <is>
          <t>SPARE</t>
        </is>
      </c>
      <c r="D310" s="28" t="inlineStr">
        <is>
          <t>VFD - 5HP</t>
        </is>
      </c>
      <c r="E310" s="29" t="inlineStr">
        <is>
          <t>VFD</t>
        </is>
      </c>
      <c r="F310" s="29" t="n"/>
      <c r="G310" s="8" t="n">
        <v>5</v>
      </c>
      <c r="H310" s="82" t="n"/>
      <c r="I310" s="8" t="n"/>
      <c r="J310" s="83">
        <f>IF(ISNUMBER(MCC_Table[[#This Row],[SIZE]]), MCC_Table[[#This Row],[SIZE]]/12, 0)</f>
        <v/>
      </c>
      <c r="K310" s="82" t="n">
        <v>20</v>
      </c>
      <c r="L310" s="82" t="n">
        <v>125</v>
      </c>
      <c r="M310" s="82" t="n">
        <v>12</v>
      </c>
      <c r="N310" s="82" t="n"/>
      <c r="O310" s="77" t="n"/>
      <c r="P310" s="85" t="n"/>
      <c r="Q310" s="79" t="n"/>
      <c r="R310" s="79" t="n"/>
      <c r="S310" s="79" t="n"/>
      <c r="T310" s="79" t="n"/>
      <c r="U310" s="79" t="n"/>
      <c r="V310" s="79" t="n"/>
      <c r="W310" s="79" t="n"/>
      <c r="X310" s="79" t="n"/>
      <c r="Y310" s="79" t="n"/>
      <c r="Z310" s="79" t="n"/>
      <c r="AA310" s="79" t="n"/>
      <c r="AB310" s="225" t="n"/>
      <c r="AC310" s="225" t="n"/>
      <c r="AD310" s="225" t="n"/>
      <c r="AE310" s="8">
        <f>_xlfn.NUMBERVALUE(LEFT(MCC_Table[[#This Row],[BUCKET]],LEN(MCC_Table[[#This Row],[BUCKET]])-1))</f>
        <v/>
      </c>
      <c r="AF310" s="8">
        <f>RIGHT(MCC_Table[[#This Row],[BUCKET]],1)</f>
        <v/>
      </c>
      <c r="AG310" s="8">
        <f>VLOOKUP(MCC_Table[[#This Row],[START UNIT]],UnitMap[],2,FALSE)</f>
        <v/>
      </c>
      <c r="AH310" s="8">
        <f t="array" ref="AH31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10" s="8">
        <f>IF(ISNUMBER(MCC_Table[[#This Row],[SIZE]]), MCC_Table[[#This Row],[SIZE]]/6, 0)</f>
        <v/>
      </c>
      <c r="AJ310" s="8">
        <f>MCC_Table[[#This Row],[START INDEX]]+MCC_Table[[#This Row],[UNITS USED]]-1</f>
        <v/>
      </c>
      <c r="AK310" s="14" t="n"/>
      <c r="AL310" s="14" t="n"/>
      <c r="AM310" s="14" t="n"/>
      <c r="AN310" s="14" t="n"/>
      <c r="AO310" s="14" t="n"/>
      <c r="AP310" s="14" t="n"/>
      <c r="AQ310" s="14" t="n"/>
      <c r="AR310" s="14" t="n"/>
      <c r="AS310" s="14" t="n"/>
      <c r="AT310" s="14" t="n"/>
      <c r="AU310" s="14" t="n"/>
      <c r="AV310" s="14" t="n"/>
      <c r="AW310" s="14" t="n"/>
      <c r="AX310" s="14" t="n"/>
      <c r="AY310" s="14" t="n"/>
      <c r="AZ310" s="14" t="n"/>
      <c r="BA310" s="14" t="n"/>
      <c r="BB310" s="14" t="n"/>
      <c r="BC310" s="14" t="n"/>
      <c r="BD310" s="14" t="n"/>
      <c r="BE310" s="14" t="n"/>
    </row>
    <row r="311" hidden="1" ht="15.75" customHeight="1" thickTop="1">
      <c r="A311" s="113" t="inlineStr">
        <is>
          <t>VTTRS-MCC1</t>
        </is>
      </c>
      <c r="B311" s="8" t="inlineStr">
        <is>
          <t>17G</t>
        </is>
      </c>
      <c r="C311" s="24" t="inlineStr">
        <is>
          <t>SPARE</t>
        </is>
      </c>
      <c r="D311" s="28" t="inlineStr">
        <is>
          <t>VFD - 5HP</t>
        </is>
      </c>
      <c r="E311" s="29" t="inlineStr">
        <is>
          <t>VFD</t>
        </is>
      </c>
      <c r="F311" s="29" t="n"/>
      <c r="G311" s="8" t="n">
        <v>5</v>
      </c>
      <c r="H311" s="82" t="n"/>
      <c r="I311" s="8" t="n"/>
      <c r="J311" s="83">
        <f>IF(ISNUMBER(MCC_Table[[#This Row],[SIZE]]), MCC_Table[[#This Row],[SIZE]]/12, 0)</f>
        <v/>
      </c>
      <c r="K311" s="82" t="n">
        <v>20</v>
      </c>
      <c r="L311" s="82" t="n">
        <v>125</v>
      </c>
      <c r="M311" s="82" t="n">
        <v>12</v>
      </c>
      <c r="N311" s="82" t="n"/>
      <c r="O311" s="77" t="n"/>
      <c r="P311" s="85" t="n"/>
      <c r="Q311" s="79" t="n"/>
      <c r="R311" s="79" t="n"/>
      <c r="S311" s="79" t="n"/>
      <c r="T311" s="79" t="n"/>
      <c r="U311" s="79" t="n"/>
      <c r="V311" s="79" t="n"/>
      <c r="W311" s="79" t="n"/>
      <c r="X311" s="79" t="n"/>
      <c r="Y311" s="79" t="n"/>
      <c r="Z311" s="79" t="n"/>
      <c r="AA311" s="79" t="n"/>
      <c r="AB311" s="225" t="n"/>
      <c r="AC311" s="225" t="n"/>
      <c r="AD311" s="225" t="n"/>
      <c r="AE311" s="8">
        <f>_xlfn.NUMBERVALUE(LEFT(MCC_Table[[#This Row],[BUCKET]],LEN(MCC_Table[[#This Row],[BUCKET]])-1))</f>
        <v/>
      </c>
      <c r="AF311" s="8">
        <f>RIGHT(MCC_Table[[#This Row],[BUCKET]],1)</f>
        <v/>
      </c>
      <c r="AG311" s="8">
        <f>VLOOKUP(MCC_Table[[#This Row],[START UNIT]],UnitMap[],2,FALSE)</f>
        <v/>
      </c>
      <c r="AH311" s="8">
        <f t="array" ref="AH31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11" s="8">
        <f>IF(ISNUMBER(MCC_Table[[#This Row],[SIZE]]), MCC_Table[[#This Row],[SIZE]]/6, 0)</f>
        <v/>
      </c>
      <c r="AJ311" s="8">
        <f>MCC_Table[[#This Row],[START INDEX]]+MCC_Table[[#This Row],[UNITS USED]]-1</f>
        <v/>
      </c>
      <c r="AK311" s="14" t="n"/>
      <c r="AL311" s="14" t="n"/>
      <c r="AM311" s="14" t="n"/>
      <c r="AN311" s="14" t="n"/>
      <c r="AO311" s="14" t="n"/>
      <c r="AP311" s="14" t="n"/>
      <c r="AQ311" s="14" t="n"/>
      <c r="AR311" s="14" t="n"/>
      <c r="AS311" s="14" t="n"/>
      <c r="AT311" s="14" t="n"/>
      <c r="AU311" s="14" t="n"/>
      <c r="AV311" s="14" t="n"/>
      <c r="AW311" s="14" t="n"/>
      <c r="AX311" s="14" t="n"/>
      <c r="AY311" s="14" t="n"/>
      <c r="AZ311" s="14" t="n"/>
      <c r="BA311" s="14" t="n"/>
      <c r="BB311" s="14" t="n"/>
      <c r="BC311" s="14" t="n"/>
      <c r="BD311" s="14" t="n"/>
      <c r="BE311" s="14" t="n"/>
    </row>
    <row r="312" hidden="1" ht="15.75" customHeight="1" thickTop="1">
      <c r="A312" s="113" t="inlineStr">
        <is>
          <t>VTTRS-MCC1</t>
        </is>
      </c>
      <c r="B312" s="29" t="inlineStr">
        <is>
          <t>17K</t>
        </is>
      </c>
      <c r="C312" s="111" t="inlineStr">
        <is>
          <t>SCR-101</t>
        </is>
      </c>
      <c r="D312" s="28" t="inlineStr">
        <is>
          <t>WASTE SEPARATOR DRUM</t>
        </is>
      </c>
      <c r="E312" s="112" t="inlineStr">
        <is>
          <t>VFD</t>
        </is>
      </c>
      <c r="F312" s="29" t="n">
        <v>5</v>
      </c>
      <c r="G312" s="8" t="n">
        <v>5</v>
      </c>
      <c r="H312" s="82" t="n"/>
      <c r="I312" s="8" t="n"/>
      <c r="J312" s="80">
        <f>IF(ISNUMBER(MCC_Table[[#This Row],[SIZE]]), MCC_Table[[#This Row],[SIZE]]/12, 0)</f>
        <v/>
      </c>
      <c r="K312" s="82" t="n">
        <v>20</v>
      </c>
      <c r="L312" s="82" t="n">
        <v>125</v>
      </c>
      <c r="M312" s="82" t="n">
        <v>12</v>
      </c>
      <c r="N312" s="82" t="inlineStr">
        <is>
          <t>3/C #12 VFD CABLE</t>
        </is>
      </c>
      <c r="O312" s="77" t="n"/>
      <c r="P312" s="110" t="n"/>
      <c r="Q312" s="79" t="n"/>
      <c r="R312" s="79" t="n"/>
      <c r="S312" s="79" t="n"/>
      <c r="T312" s="79" t="n"/>
      <c r="U312" s="79" t="n"/>
      <c r="V312" s="79" t="n"/>
      <c r="W312" s="79" t="n"/>
      <c r="X312" s="79" t="n"/>
      <c r="Y312" s="79" t="n"/>
      <c r="Z312" s="79" t="n"/>
      <c r="AA312" s="79" t="n"/>
      <c r="AB312" s="225" t="n"/>
      <c r="AC312" s="225" t="n"/>
      <c r="AD312" s="225" t="n"/>
      <c r="AE312" s="29">
        <f>_xlfn.NUMBERVALUE(LEFT(MCC_Table[[#This Row],[BUCKET]],LEN(MCC_Table[[#This Row],[BUCKET]])-1))</f>
        <v/>
      </c>
      <c r="AF312" s="29">
        <f>RIGHT(MCC_Table[[#This Row],[BUCKET]],1)</f>
        <v/>
      </c>
      <c r="AG312" s="29">
        <f>VLOOKUP(MCC_Table[[#This Row],[START UNIT]],UnitMap[],2,FALSE)</f>
        <v/>
      </c>
      <c r="AH312" s="29">
        <f t="array" ref="AH31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12" s="29">
        <f>IF(ISNUMBER(MCC_Table[[#This Row],[SIZE]]), MCC_Table[[#This Row],[SIZE]]/6, 0)</f>
        <v/>
      </c>
      <c r="AJ312" s="29">
        <f>MCC_Table[[#This Row],[START INDEX]]+MCC_Table[[#This Row],[UNITS USED]]-1</f>
        <v/>
      </c>
      <c r="AK312" s="14" t="n"/>
      <c r="AL312" s="14" t="n"/>
      <c r="AM312" s="14" t="n"/>
      <c r="AN312" s="14" t="n"/>
      <c r="AO312" s="14" t="n"/>
      <c r="AP312" s="14" t="n"/>
      <c r="AQ312" s="14" t="n"/>
      <c r="AR312" s="14" t="n"/>
      <c r="AS312" s="14" t="n"/>
      <c r="AT312" s="14" t="n"/>
      <c r="AU312" s="14" t="n"/>
      <c r="AV312" s="14" t="n"/>
      <c r="AW312" s="14" t="n"/>
      <c r="AX312" s="14" t="n"/>
      <c r="AY312" s="14" t="n"/>
      <c r="AZ312" s="14" t="n"/>
      <c r="BA312" s="14" t="n"/>
      <c r="BB312" s="14" t="n"/>
      <c r="BC312" s="14" t="n"/>
      <c r="BD312" s="14" t="n"/>
      <c r="BE312" s="14" t="n"/>
    </row>
    <row r="313" hidden="1" ht="15.75" customHeight="1" thickTop="1">
      <c r="A313" s="113" t="inlineStr">
        <is>
          <t>VTTRS-MCC1</t>
        </is>
      </c>
      <c r="B313" s="29" t="inlineStr">
        <is>
          <t>18A</t>
        </is>
      </c>
      <c r="C313" s="24" t="inlineStr">
        <is>
          <t>SPACE</t>
        </is>
      </c>
      <c r="D313" s="62" t="inlineStr">
        <is>
          <t>12" SPACE</t>
        </is>
      </c>
      <c r="E313" s="29" t="inlineStr">
        <is>
          <t>SPACE</t>
        </is>
      </c>
      <c r="F313" s="8" t="n"/>
      <c r="G313" s="8" t="n"/>
      <c r="H313" s="82" t="n"/>
      <c r="I313" s="8" t="n"/>
      <c r="J313" s="80">
        <f>IF(ISNUMBER(MCC_Table[[#This Row],[SIZE]]), MCC_Table[[#This Row],[SIZE]]/12, 0)</f>
        <v/>
      </c>
      <c r="K313" s="82" t="n"/>
      <c r="L313" s="82" t="n"/>
      <c r="M313" s="82" t="n"/>
      <c r="N313" s="82" t="n"/>
      <c r="O313" s="77" t="n"/>
      <c r="P313" s="110" t="n"/>
      <c r="Q313" s="79" t="n"/>
      <c r="R313" s="79" t="n"/>
      <c r="S313" s="79" t="n"/>
      <c r="T313" s="79" t="n"/>
      <c r="U313" s="79" t="n"/>
      <c r="V313" s="79" t="n"/>
      <c r="W313" s="79" t="n"/>
      <c r="X313" s="79" t="n"/>
      <c r="Y313" s="79" t="n"/>
      <c r="Z313" s="79" t="n"/>
      <c r="AA313" s="79" t="n"/>
      <c r="AB313" s="225" t="n"/>
      <c r="AC313" s="225" t="n"/>
      <c r="AD313" s="225" t="n"/>
      <c r="AE313" s="29">
        <f>_xlfn.NUMBERVALUE(LEFT(MCC_Table[[#This Row],[BUCKET]],LEN(MCC_Table[[#This Row],[BUCKET]])-1))</f>
        <v/>
      </c>
      <c r="AF313" s="29">
        <f>RIGHT(MCC_Table[[#This Row],[BUCKET]],1)</f>
        <v/>
      </c>
      <c r="AG313" s="29">
        <f>VLOOKUP(MCC_Table[[#This Row],[START UNIT]],UnitMap[],2,FALSE)</f>
        <v/>
      </c>
      <c r="AH313" s="29">
        <f t="array" ref="AH31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13" s="29">
        <f>IF(ISNUMBER(MCC_Table[[#This Row],[SIZE]]), MCC_Table[[#This Row],[SIZE]]/6, 0)</f>
        <v/>
      </c>
      <c r="AJ313" s="29">
        <f>MCC_Table[[#This Row],[START INDEX]]+MCC_Table[[#This Row],[UNITS USED]]-1</f>
        <v/>
      </c>
      <c r="AK313" s="14" t="n"/>
      <c r="AL313" s="14" t="n"/>
      <c r="AM313" s="14" t="n"/>
      <c r="AN313" s="14" t="n"/>
      <c r="AO313" s="14" t="n"/>
      <c r="AP313" s="14" t="n"/>
      <c r="AQ313" s="14" t="n"/>
      <c r="AR313" s="14" t="n"/>
      <c r="AS313" s="14" t="n"/>
      <c r="AT313" s="14" t="n"/>
      <c r="AU313" s="14" t="n"/>
      <c r="AV313" s="14" t="n"/>
      <c r="AW313" s="14" t="n"/>
      <c r="AX313" s="14" t="n"/>
      <c r="AY313" s="14" t="n"/>
      <c r="AZ313" s="14" t="n"/>
      <c r="BA313" s="14" t="n"/>
      <c r="BB313" s="14" t="n"/>
      <c r="BC313" s="14" t="n"/>
      <c r="BD313" s="14" t="n"/>
      <c r="BE313" s="14" t="n"/>
    </row>
    <row r="314" hidden="1" ht="15.75" customHeight="1" thickTop="1">
      <c r="A314" s="113" t="inlineStr">
        <is>
          <t>VTTRS-MCC1</t>
        </is>
      </c>
      <c r="B314" s="29" t="inlineStr">
        <is>
          <t>18C</t>
        </is>
      </c>
      <c r="C314" s="24" t="inlineStr">
        <is>
          <t>SPACE</t>
        </is>
      </c>
      <c r="D314" s="62" t="inlineStr">
        <is>
          <t>12" SPACE</t>
        </is>
      </c>
      <c r="E314" s="29" t="inlineStr">
        <is>
          <t>SPACE</t>
        </is>
      </c>
      <c r="F314" s="8" t="n"/>
      <c r="G314" s="8" t="n"/>
      <c r="H314" s="82" t="n"/>
      <c r="I314" s="8" t="n"/>
      <c r="J314" s="80">
        <f>IF(ISNUMBER(MCC_Table[[#This Row],[SIZE]]), MCC_Table[[#This Row],[SIZE]]/12, 0)</f>
        <v/>
      </c>
      <c r="K314" s="82" t="n"/>
      <c r="L314" s="82" t="n"/>
      <c r="M314" s="82" t="n"/>
      <c r="N314" s="82" t="n"/>
      <c r="O314" s="77" t="n"/>
      <c r="P314" s="110" t="n"/>
      <c r="Q314" s="79" t="n"/>
      <c r="R314" s="79" t="n"/>
      <c r="S314" s="79" t="n"/>
      <c r="T314" s="79" t="n"/>
      <c r="U314" s="79" t="n"/>
      <c r="V314" s="79" t="n"/>
      <c r="W314" s="79" t="n"/>
      <c r="X314" s="79" t="n"/>
      <c r="Y314" s="79" t="n"/>
      <c r="Z314" s="79" t="n"/>
      <c r="AA314" s="79" t="n"/>
      <c r="AB314" s="225" t="n"/>
      <c r="AC314" s="225" t="n"/>
      <c r="AD314" s="225" t="n"/>
      <c r="AE314" s="29">
        <f>_xlfn.NUMBERVALUE(LEFT(MCC_Table[[#This Row],[BUCKET]],LEN(MCC_Table[[#This Row],[BUCKET]])-1))</f>
        <v/>
      </c>
      <c r="AF314" s="29">
        <f>RIGHT(MCC_Table[[#This Row],[BUCKET]],1)</f>
        <v/>
      </c>
      <c r="AG314" s="29">
        <f>VLOOKUP(MCC_Table[[#This Row],[START UNIT]],UnitMap[],2,FALSE)</f>
        <v/>
      </c>
      <c r="AH314" s="29">
        <f t="array" ref="AH31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14" s="29">
        <f>IF(ISNUMBER(MCC_Table[[#This Row],[SIZE]]), MCC_Table[[#This Row],[SIZE]]/6, 0)</f>
        <v/>
      </c>
      <c r="AJ314" s="29">
        <f>MCC_Table[[#This Row],[START INDEX]]+MCC_Table[[#This Row],[UNITS USED]]-1</f>
        <v/>
      </c>
      <c r="AK314" s="14" t="n"/>
      <c r="AL314" s="14" t="n"/>
      <c r="AM314" s="14" t="n"/>
      <c r="AN314" s="14" t="n"/>
      <c r="AO314" s="14" t="n"/>
      <c r="AP314" s="14" t="n"/>
      <c r="AQ314" s="14" t="n"/>
      <c r="AR314" s="14" t="n"/>
      <c r="AS314" s="14" t="n"/>
      <c r="AT314" s="14" t="n"/>
      <c r="AU314" s="14" t="n"/>
      <c r="AV314" s="14" t="n"/>
      <c r="AW314" s="14" t="n"/>
      <c r="AX314" s="14" t="n"/>
      <c r="AY314" s="14" t="n"/>
      <c r="AZ314" s="14" t="n"/>
      <c r="BA314" s="14" t="n"/>
      <c r="BB314" s="14" t="n"/>
      <c r="BC314" s="14" t="n"/>
      <c r="BD314" s="14" t="n"/>
      <c r="BE314" s="14" t="n"/>
    </row>
    <row r="315" hidden="1" ht="15.75" customHeight="1" thickTop="1">
      <c r="A315" s="113" t="inlineStr">
        <is>
          <t>VTTRS-MCC1</t>
        </is>
      </c>
      <c r="B315" s="29" t="inlineStr">
        <is>
          <t>18E</t>
        </is>
      </c>
      <c r="C315" s="24" t="inlineStr">
        <is>
          <t>SPACE</t>
        </is>
      </c>
      <c r="D315" s="62" t="inlineStr">
        <is>
          <t>12" SPACE</t>
        </is>
      </c>
      <c r="E315" s="29" t="inlineStr">
        <is>
          <t>SPACE</t>
        </is>
      </c>
      <c r="F315" s="8" t="n"/>
      <c r="G315" s="8" t="n"/>
      <c r="H315" s="82" t="n"/>
      <c r="I315" s="8" t="n"/>
      <c r="J315" s="80">
        <f>IF(ISNUMBER(MCC_Table[[#This Row],[SIZE]]), MCC_Table[[#This Row],[SIZE]]/12, 0)</f>
        <v/>
      </c>
      <c r="K315" s="82" t="n"/>
      <c r="L315" s="82" t="n"/>
      <c r="M315" s="82" t="n"/>
      <c r="N315" s="82" t="n"/>
      <c r="O315" s="77" t="n"/>
      <c r="P315" s="110" t="n"/>
      <c r="Q315" s="79" t="n"/>
      <c r="R315" s="79" t="n"/>
      <c r="S315" s="79" t="n"/>
      <c r="T315" s="79" t="n"/>
      <c r="U315" s="79" t="n"/>
      <c r="V315" s="79" t="n"/>
      <c r="W315" s="79" t="n"/>
      <c r="X315" s="79" t="n"/>
      <c r="Y315" s="79" t="n"/>
      <c r="Z315" s="79" t="n"/>
      <c r="AA315" s="79" t="n"/>
      <c r="AB315" s="225" t="n"/>
      <c r="AC315" s="225" t="n"/>
      <c r="AD315" s="225" t="n"/>
      <c r="AE315" s="29">
        <f>_xlfn.NUMBERVALUE(LEFT(MCC_Table[[#This Row],[BUCKET]],LEN(MCC_Table[[#This Row],[BUCKET]])-1))</f>
        <v/>
      </c>
      <c r="AF315" s="29">
        <f>RIGHT(MCC_Table[[#This Row],[BUCKET]],1)</f>
        <v/>
      </c>
      <c r="AG315" s="29">
        <f>VLOOKUP(MCC_Table[[#This Row],[START UNIT]],UnitMap[],2,FALSE)</f>
        <v/>
      </c>
      <c r="AH315" s="29">
        <f t="array" ref="AH31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15" s="29">
        <f>IF(ISNUMBER(MCC_Table[[#This Row],[SIZE]]), MCC_Table[[#This Row],[SIZE]]/6, 0)</f>
        <v/>
      </c>
      <c r="AJ315" s="29">
        <f>MCC_Table[[#This Row],[START INDEX]]+MCC_Table[[#This Row],[UNITS USED]]-1</f>
        <v/>
      </c>
      <c r="AK315" s="14" t="n"/>
      <c r="AL315" s="14" t="n"/>
      <c r="AM315" s="14" t="n"/>
      <c r="AN315" s="14" t="n"/>
      <c r="AO315" s="14" t="n"/>
      <c r="AP315" s="14" t="n"/>
      <c r="AQ315" s="14" t="n"/>
      <c r="AR315" s="14" t="n"/>
      <c r="AS315" s="14" t="n"/>
      <c r="AT315" s="14" t="n"/>
      <c r="AU315" s="14" t="n"/>
      <c r="AV315" s="14" t="n"/>
      <c r="AW315" s="14" t="n"/>
      <c r="AX315" s="14" t="n"/>
      <c r="AY315" s="14" t="n"/>
      <c r="AZ315" s="14" t="n"/>
      <c r="BA315" s="14" t="n"/>
      <c r="BB315" s="14" t="n"/>
      <c r="BC315" s="14" t="n"/>
      <c r="BD315" s="14" t="n"/>
      <c r="BE315" s="14" t="n"/>
    </row>
    <row r="316" hidden="1" ht="15.75" customHeight="1" thickTop="1">
      <c r="A316" s="113" t="inlineStr">
        <is>
          <t>VTTRS-MCC1</t>
        </is>
      </c>
      <c r="B316" s="29" t="inlineStr">
        <is>
          <t>18G</t>
        </is>
      </c>
      <c r="C316" s="24" t="inlineStr">
        <is>
          <t>SPACE</t>
        </is>
      </c>
      <c r="D316" s="62" t="inlineStr">
        <is>
          <t>12" SPACE</t>
        </is>
      </c>
      <c r="E316" s="29" t="inlineStr">
        <is>
          <t>SPACE</t>
        </is>
      </c>
      <c r="F316" s="8" t="n"/>
      <c r="G316" s="8" t="n"/>
      <c r="H316" s="82" t="n"/>
      <c r="I316" s="8" t="n"/>
      <c r="J316" s="80">
        <f>IF(ISNUMBER(MCC_Table[[#This Row],[SIZE]]), MCC_Table[[#This Row],[SIZE]]/12, 0)</f>
        <v/>
      </c>
      <c r="K316" s="82" t="n"/>
      <c r="L316" s="82" t="n"/>
      <c r="M316" s="82" t="n"/>
      <c r="N316" s="82" t="n"/>
      <c r="O316" s="77" t="n"/>
      <c r="P316" s="110" t="n"/>
      <c r="Q316" s="79" t="n"/>
      <c r="R316" s="79" t="n"/>
      <c r="S316" s="79" t="n"/>
      <c r="T316" s="79" t="n"/>
      <c r="U316" s="79" t="n"/>
      <c r="V316" s="79" t="n"/>
      <c r="W316" s="79" t="n"/>
      <c r="X316" s="79" t="n"/>
      <c r="Y316" s="79" t="n"/>
      <c r="Z316" s="79" t="n"/>
      <c r="AA316" s="79" t="n"/>
      <c r="AB316" s="225" t="n"/>
      <c r="AC316" s="225" t="n"/>
      <c r="AD316" s="225" t="n"/>
      <c r="AE316" s="29">
        <f>_xlfn.NUMBERVALUE(LEFT(MCC_Table[[#This Row],[BUCKET]],LEN(MCC_Table[[#This Row],[BUCKET]])-1))</f>
        <v/>
      </c>
      <c r="AF316" s="29">
        <f>RIGHT(MCC_Table[[#This Row],[BUCKET]],1)</f>
        <v/>
      </c>
      <c r="AG316" s="29">
        <f>VLOOKUP(MCC_Table[[#This Row],[START UNIT]],UnitMap[],2,FALSE)</f>
        <v/>
      </c>
      <c r="AH316" s="29">
        <f t="array" ref="AH31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16" s="29">
        <f>IF(ISNUMBER(MCC_Table[[#This Row],[SIZE]]), MCC_Table[[#This Row],[SIZE]]/6, 0)</f>
        <v/>
      </c>
      <c r="AJ316" s="29">
        <f>MCC_Table[[#This Row],[START INDEX]]+MCC_Table[[#This Row],[UNITS USED]]-1</f>
        <v/>
      </c>
      <c r="AK316" s="14" t="n"/>
      <c r="AL316" s="14" t="n"/>
      <c r="AM316" s="14" t="n"/>
      <c r="AN316" s="14" t="n"/>
      <c r="AO316" s="14" t="n"/>
      <c r="AP316" s="14" t="n"/>
      <c r="AQ316" s="14" t="n"/>
      <c r="AR316" s="14" t="n"/>
      <c r="AS316" s="14" t="n"/>
      <c r="AT316" s="14" t="n"/>
      <c r="AU316" s="14" t="n"/>
      <c r="AV316" s="14" t="n"/>
      <c r="AW316" s="14" t="n"/>
      <c r="AX316" s="14" t="n"/>
      <c r="AY316" s="14" t="n"/>
      <c r="AZ316" s="14" t="n"/>
      <c r="BA316" s="14" t="n"/>
      <c r="BB316" s="14" t="n"/>
      <c r="BC316" s="14" t="n"/>
      <c r="BD316" s="14" t="n"/>
      <c r="BE316" s="14" t="n"/>
    </row>
    <row r="317" hidden="1" ht="15.75" customHeight="1" thickTop="1">
      <c r="A317" s="113" t="inlineStr">
        <is>
          <t>VTTRS-MCC1</t>
        </is>
      </c>
      <c r="B317" s="29" t="inlineStr">
        <is>
          <t>18J</t>
        </is>
      </c>
      <c r="C317" s="24" t="inlineStr">
        <is>
          <t>SPACE</t>
        </is>
      </c>
      <c r="D317" s="62" t="inlineStr">
        <is>
          <t>12" SPACE</t>
        </is>
      </c>
      <c r="E317" s="29" t="inlineStr">
        <is>
          <t>SPACE</t>
        </is>
      </c>
      <c r="F317" s="8" t="n"/>
      <c r="G317" s="8" t="n"/>
      <c r="H317" s="82" t="n"/>
      <c r="I317" s="8" t="n"/>
      <c r="J317" s="80">
        <f>IF(ISNUMBER(MCC_Table[[#This Row],[SIZE]]), MCC_Table[[#This Row],[SIZE]]/12, 0)</f>
        <v/>
      </c>
      <c r="K317" s="82" t="n"/>
      <c r="L317" s="82" t="n"/>
      <c r="M317" s="82" t="n"/>
      <c r="N317" s="82" t="n"/>
      <c r="O317" s="77" t="n"/>
      <c r="P317" s="110" t="n"/>
      <c r="Q317" s="79" t="n"/>
      <c r="R317" s="79" t="n"/>
      <c r="S317" s="79" t="n"/>
      <c r="T317" s="79" t="n"/>
      <c r="U317" s="79" t="n"/>
      <c r="V317" s="79" t="n"/>
      <c r="W317" s="79" t="n"/>
      <c r="X317" s="79" t="n"/>
      <c r="Y317" s="79" t="n"/>
      <c r="Z317" s="79" t="n"/>
      <c r="AA317" s="79" t="n"/>
      <c r="AB317" s="225" t="n"/>
      <c r="AC317" s="225" t="n"/>
      <c r="AD317" s="225" t="n"/>
      <c r="AE317" s="29">
        <f>_xlfn.NUMBERVALUE(LEFT(MCC_Table[[#This Row],[BUCKET]],LEN(MCC_Table[[#This Row],[BUCKET]])-1))</f>
        <v/>
      </c>
      <c r="AF317" s="29">
        <f>RIGHT(MCC_Table[[#This Row],[BUCKET]],1)</f>
        <v/>
      </c>
      <c r="AG317" s="29">
        <f>VLOOKUP(MCC_Table[[#This Row],[START UNIT]],UnitMap[],2,FALSE)</f>
        <v/>
      </c>
      <c r="AH317" s="29">
        <f t="array" ref="AH31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17" s="29">
        <f>IF(ISNUMBER(MCC_Table[[#This Row],[SIZE]]), MCC_Table[[#This Row],[SIZE]]/6, 0)</f>
        <v/>
      </c>
      <c r="AJ317" s="29">
        <f>MCC_Table[[#This Row],[START INDEX]]+MCC_Table[[#This Row],[UNITS USED]]-1</f>
        <v/>
      </c>
      <c r="AK317" s="14" t="n"/>
      <c r="AL317" s="14" t="n"/>
      <c r="AM317" s="14" t="n"/>
      <c r="AN317" s="14" t="n"/>
      <c r="AO317" s="14" t="n"/>
      <c r="AP317" s="14" t="n"/>
      <c r="AQ317" s="14" t="n"/>
      <c r="AR317" s="14" t="n"/>
      <c r="AS317" s="14" t="n"/>
      <c r="AT317" s="14" t="n"/>
      <c r="AU317" s="14" t="n"/>
      <c r="AV317" s="14" t="n"/>
      <c r="AW317" s="14" t="n"/>
      <c r="AX317" s="14" t="n"/>
      <c r="AY317" s="14" t="n"/>
      <c r="AZ317" s="14" t="n"/>
      <c r="BA317" s="14" t="n"/>
      <c r="BB317" s="14" t="n"/>
      <c r="BC317" s="14" t="n"/>
      <c r="BD317" s="14" t="n"/>
      <c r="BE317" s="14" t="n"/>
    </row>
    <row r="318" hidden="1" ht="16.5" customHeight="1" thickBot="1" thickTop="1">
      <c r="A318" s="108" t="inlineStr">
        <is>
          <t>VTTRS-MCC1</t>
        </is>
      </c>
      <c r="B318" s="94" t="inlineStr">
        <is>
          <t>18L</t>
        </is>
      </c>
      <c r="C318" s="92" t="inlineStr">
        <is>
          <t>SPACE</t>
        </is>
      </c>
      <c r="D318" s="116" t="inlineStr">
        <is>
          <t>12" SPACE</t>
        </is>
      </c>
      <c r="E318" s="94" t="inlineStr">
        <is>
          <t>SPACE</t>
        </is>
      </c>
      <c r="F318" s="91" t="n"/>
      <c r="G318" s="91" t="n"/>
      <c r="H318" s="97" t="n"/>
      <c r="I318" s="91" t="n"/>
      <c r="J318" s="109">
        <f>IF(ISNUMBER(MCC_Table[[#This Row],[SIZE]]), MCC_Table[[#This Row],[SIZE]]/12, 0)</f>
        <v/>
      </c>
      <c r="K318" s="97" t="n"/>
      <c r="L318" s="97" t="n"/>
      <c r="M318" s="97" t="n"/>
      <c r="N318" s="97" t="n"/>
      <c r="O318" s="117" t="n"/>
      <c r="P318" s="110" t="n"/>
      <c r="Q318" s="79" t="n"/>
      <c r="R318" s="79" t="n"/>
      <c r="S318" s="79" t="n"/>
      <c r="T318" s="79" t="n"/>
      <c r="U318" s="79" t="n"/>
      <c r="V318" s="79" t="n"/>
      <c r="W318" s="79" t="n"/>
      <c r="X318" s="79" t="n"/>
      <c r="Y318" s="79" t="n"/>
      <c r="Z318" s="79" t="n"/>
      <c r="AA318" s="79" t="n"/>
      <c r="AB318" s="226" t="n"/>
      <c r="AC318" s="226" t="n"/>
      <c r="AD318" s="226" t="n"/>
      <c r="AE318" s="94">
        <f>_xlfn.NUMBERVALUE(LEFT(MCC_Table[[#This Row],[BUCKET]],LEN(MCC_Table[[#This Row],[BUCKET]])-1))</f>
        <v/>
      </c>
      <c r="AF318" s="94">
        <f>RIGHT(MCC_Table[[#This Row],[BUCKET]],1)</f>
        <v/>
      </c>
      <c r="AG318" s="94">
        <f>VLOOKUP(MCC_Table[[#This Row],[START UNIT]],UnitMap[],2,FALSE)</f>
        <v/>
      </c>
      <c r="AH318" s="94">
        <f t="array" ref="AH31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18" s="94">
        <f>IF(ISNUMBER(MCC_Table[[#This Row],[SIZE]]), MCC_Table[[#This Row],[SIZE]]/6, 0)</f>
        <v/>
      </c>
      <c r="AJ318" s="94">
        <f>MCC_Table[[#This Row],[START INDEX]]+MCC_Table[[#This Row],[UNITS USED]]-1</f>
        <v/>
      </c>
      <c r="AK318" s="14" t="n"/>
      <c r="AL318" s="14" t="n"/>
      <c r="AM318" s="14" t="n"/>
      <c r="AN318" s="14" t="n"/>
      <c r="AO318" s="14" t="n"/>
      <c r="AP318" s="14" t="n"/>
      <c r="AQ318" s="14" t="n"/>
      <c r="AR318" s="14" t="n"/>
      <c r="AS318" s="14" t="n"/>
      <c r="AT318" s="14" t="n"/>
      <c r="AU318" s="14" t="n"/>
      <c r="AV318" s="14" t="n"/>
      <c r="AW318" s="14" t="n"/>
      <c r="AX318" s="14" t="n"/>
      <c r="AY318" s="14" t="n"/>
      <c r="AZ318" s="14" t="n"/>
      <c r="BA318" s="14" t="n"/>
      <c r="BB318" s="14" t="n"/>
      <c r="BC318" s="14" t="n"/>
      <c r="BD318" s="14" t="n"/>
      <c r="BE318" s="14" t="n"/>
    </row>
    <row r="319" hidden="1" ht="15.75" customHeight="1" thickTop="1">
      <c r="A319" s="115" t="inlineStr">
        <is>
          <t>VTTRS-MCC2</t>
        </is>
      </c>
      <c r="B319" s="98" t="inlineStr">
        <is>
          <t>01A</t>
        </is>
      </c>
      <c r="C319" s="99" t="inlineStr">
        <is>
          <t>MAIN</t>
        </is>
      </c>
      <c r="D319" s="100" t="inlineStr">
        <is>
          <t>INCOMING MCB</t>
        </is>
      </c>
      <c r="E319" s="99" t="inlineStr">
        <is>
          <t>MAIN</t>
        </is>
      </c>
      <c r="F319" s="10" t="n"/>
      <c r="G319" s="10" t="n"/>
      <c r="H319" s="76" t="n"/>
      <c r="I319" s="10" t="n"/>
      <c r="J319" s="101">
        <f>IF(ISNUMBER(MCC_Table[[#This Row],[SIZE]]), MCC_Table[[#This Row],[SIZE]]/12, 0)</f>
        <v/>
      </c>
      <c r="K319" s="76" t="n">
        <v>1200</v>
      </c>
      <c r="L319" s="76" t="n">
        <v>1200</v>
      </c>
      <c r="M319" s="76" t="inlineStr">
        <is>
          <t>N/A</t>
        </is>
      </c>
      <c r="N319" s="76" t="n"/>
      <c r="O319" s="84" t="n"/>
      <c r="P319" s="110" t="n"/>
      <c r="Q319" s="79" t="n"/>
      <c r="R319" s="79" t="n"/>
      <c r="S319" s="79" t="n"/>
      <c r="T319" s="79" t="n"/>
      <c r="U319" s="79" t="n"/>
      <c r="V319" s="79" t="n"/>
      <c r="W319" s="79" t="n"/>
      <c r="X319" s="79" t="n"/>
      <c r="Y319" s="79" t="n"/>
      <c r="Z319" s="79" t="n"/>
      <c r="AA319" s="79" t="n"/>
      <c r="AB319" s="224" t="n"/>
      <c r="AC319" s="224" t="n"/>
      <c r="AD319" s="224" t="n"/>
      <c r="AE319" s="98">
        <f>_xlfn.NUMBERVALUE(LEFT(MCC_Table[[#This Row],[BUCKET]],LEN(MCC_Table[[#This Row],[BUCKET]])-1))</f>
        <v/>
      </c>
      <c r="AF319" s="98">
        <f>RIGHT(MCC_Table[[#This Row],[BUCKET]],1)</f>
        <v/>
      </c>
      <c r="AG319" s="98">
        <f>VLOOKUP(MCC_Table[[#This Row],[START UNIT]],UnitMap[],2,FALSE)</f>
        <v/>
      </c>
      <c r="AH319" s="98">
        <f t="array" ref="AH31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19" s="98">
        <f>IF(ISNUMBER(MCC_Table[[#This Row],[SIZE]]), MCC_Table[[#This Row],[SIZE]]/6, 0)</f>
        <v/>
      </c>
      <c r="AJ319" s="98">
        <f>MCC_Table[[#This Row],[START INDEX]]+MCC_Table[[#This Row],[UNITS USED]]-1</f>
        <v/>
      </c>
      <c r="AK319" s="14" t="n"/>
      <c r="AL319" s="14" t="n"/>
      <c r="AM319" s="14" t="n"/>
      <c r="AN319" s="14" t="n"/>
      <c r="AO319" s="14" t="n"/>
      <c r="AP319" s="14" t="n"/>
      <c r="AQ319" s="14" t="n"/>
      <c r="AR319" s="14" t="n"/>
      <c r="AS319" s="14" t="n"/>
      <c r="AT319" s="14" t="n"/>
      <c r="AU319" s="14" t="n"/>
      <c r="AV319" s="14" t="n"/>
      <c r="AW319" s="14" t="n"/>
      <c r="AX319" s="14" t="n"/>
      <c r="AY319" s="14" t="n"/>
      <c r="AZ319" s="14" t="n"/>
      <c r="BA319" s="14" t="n"/>
      <c r="BB319" s="14" t="n"/>
      <c r="BC319" s="14" t="n"/>
      <c r="BD319" s="14" t="n"/>
      <c r="BE319" s="14" t="n"/>
    </row>
    <row r="320" hidden="1" ht="15.75" customHeight="1" thickTop="1">
      <c r="A320" s="113" t="inlineStr">
        <is>
          <t>VTTRS-MCC2</t>
        </is>
      </c>
      <c r="B320" s="29" t="inlineStr">
        <is>
          <t>01H</t>
        </is>
      </c>
      <c r="C320" s="24" t="inlineStr">
        <is>
          <t>RL7-MCC1-PM</t>
        </is>
      </c>
      <c r="D320" s="62" t="inlineStr">
        <is>
          <t>POWERMONITOR 5000 W/ ETHERNET</t>
        </is>
      </c>
      <c r="E320" s="24" t="inlineStr">
        <is>
          <t>PM</t>
        </is>
      </c>
      <c r="F320" s="8" t="n"/>
      <c r="G320" s="8" t="n"/>
      <c r="H320" s="81" t="n"/>
      <c r="I320" s="8" t="n"/>
      <c r="J320" s="80">
        <f>IF(ISNUMBER(MCC_Table[[#This Row],[SIZE]]), MCC_Table[[#This Row],[SIZE]]/12, 0)</f>
        <v/>
      </c>
      <c r="K320" s="81" t="inlineStr">
        <is>
          <t>N/A</t>
        </is>
      </c>
      <c r="L320" s="82" t="inlineStr">
        <is>
          <t>N/A</t>
        </is>
      </c>
      <c r="M320" s="81" t="n">
        <v>0.75</v>
      </c>
      <c r="N320" s="81" t="n"/>
      <c r="O320" s="77" t="n"/>
      <c r="P320" s="110" t="n"/>
      <c r="Q320" s="79" t="n"/>
      <c r="R320" s="79" t="n"/>
      <c r="S320" s="79" t="n"/>
      <c r="T320" s="79" t="n"/>
      <c r="U320" s="79" t="n"/>
      <c r="V320" s="79" t="n"/>
      <c r="W320" s="79" t="n"/>
      <c r="X320" s="79" t="n"/>
      <c r="Y320" s="79" t="n"/>
      <c r="Z320" s="79" t="n"/>
      <c r="AA320" s="79" t="n"/>
      <c r="AB320" s="225" t="n"/>
      <c r="AC320" s="225" t="n"/>
      <c r="AD320" s="225" t="n"/>
      <c r="AE320" s="29">
        <f>_xlfn.NUMBERVALUE(LEFT(MCC_Table[[#This Row],[BUCKET]],LEN(MCC_Table[[#This Row],[BUCKET]])-1))</f>
        <v/>
      </c>
      <c r="AF320" s="29">
        <f>RIGHT(MCC_Table[[#This Row],[BUCKET]],1)</f>
        <v/>
      </c>
      <c r="AG320" s="29">
        <f>VLOOKUP(MCC_Table[[#This Row],[START UNIT]],UnitMap[],2,FALSE)</f>
        <v/>
      </c>
      <c r="AH320" s="29">
        <f t="array" ref="AH32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20" s="29">
        <f>IF(ISNUMBER(MCC_Table[[#This Row],[SIZE]]), MCC_Table[[#This Row],[SIZE]]/6, 0)</f>
        <v/>
      </c>
      <c r="AJ320" s="29">
        <f>MCC_Table[[#This Row],[START INDEX]]+MCC_Table[[#This Row],[UNITS USED]]-1</f>
        <v/>
      </c>
      <c r="AK320" s="14" t="n"/>
      <c r="AL320" s="14" t="n"/>
      <c r="AM320" s="14" t="n"/>
      <c r="AN320" s="14" t="n"/>
      <c r="AO320" s="14" t="n"/>
      <c r="AP320" s="14" t="n"/>
      <c r="AQ320" s="14" t="n"/>
      <c r="AR320" s="14" t="n"/>
      <c r="AS320" s="14" t="n"/>
      <c r="AT320" s="14" t="n"/>
      <c r="AU320" s="14" t="n"/>
      <c r="AV320" s="14" t="n"/>
      <c r="AW320" s="14" t="n"/>
      <c r="AX320" s="14" t="n"/>
      <c r="AY320" s="14" t="n"/>
      <c r="AZ320" s="14" t="n"/>
      <c r="BA320" s="14" t="n"/>
      <c r="BB320" s="14" t="n"/>
      <c r="BC320" s="14" t="n"/>
      <c r="BD320" s="14" t="n"/>
      <c r="BE320" s="14" t="n"/>
    </row>
    <row r="321" hidden="1" ht="15.75" customHeight="1" thickTop="1">
      <c r="A321" s="113" t="inlineStr">
        <is>
          <t>VTTRS-MCC2</t>
        </is>
      </c>
      <c r="B321" s="29" t="inlineStr">
        <is>
          <t>01L</t>
        </is>
      </c>
      <c r="C321" s="24" t="inlineStr">
        <is>
          <t>SPACE</t>
        </is>
      </c>
      <c r="D321" s="62" t="inlineStr">
        <is>
          <t>12" SPACE</t>
        </is>
      </c>
      <c r="E321" s="29" t="inlineStr">
        <is>
          <t>SPACE</t>
        </is>
      </c>
      <c r="F321" s="8" t="n"/>
      <c r="G321" s="8" t="n"/>
      <c r="H321" s="82" t="n"/>
      <c r="I321" s="8" t="n"/>
      <c r="J321" s="80">
        <f>IF(ISNUMBER(MCC_Table[[#This Row],[SIZE]]), MCC_Table[[#This Row],[SIZE]]/12, 0)</f>
        <v/>
      </c>
      <c r="K321" s="82" t="n"/>
      <c r="L321" s="82" t="n"/>
      <c r="M321" s="82" t="n"/>
      <c r="N321" s="82" t="n"/>
      <c r="O321" s="77" t="n"/>
      <c r="P321" s="110" t="n"/>
      <c r="Q321" s="79" t="n"/>
      <c r="R321" s="79" t="n"/>
      <c r="S321" s="79" t="n"/>
      <c r="T321" s="79" t="n"/>
      <c r="U321" s="79" t="n"/>
      <c r="V321" s="79" t="n"/>
      <c r="W321" s="79" t="n"/>
      <c r="X321" s="79" t="n"/>
      <c r="Y321" s="79" t="n"/>
      <c r="Z321" s="79" t="n"/>
      <c r="AA321" s="79" t="n"/>
      <c r="AB321" s="225" t="n"/>
      <c r="AC321" s="225" t="n"/>
      <c r="AD321" s="225" t="n"/>
      <c r="AE321" s="29">
        <f>_xlfn.NUMBERVALUE(LEFT(MCC_Table[[#This Row],[BUCKET]],LEN(MCC_Table[[#This Row],[BUCKET]])-1))</f>
        <v/>
      </c>
      <c r="AF321" s="29">
        <f>RIGHT(MCC_Table[[#This Row],[BUCKET]],1)</f>
        <v/>
      </c>
      <c r="AG321" s="29">
        <f>VLOOKUP(MCC_Table[[#This Row],[START UNIT]],UnitMap[],2,FALSE)</f>
        <v/>
      </c>
      <c r="AH321" s="29">
        <f t="array" ref="AH32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21" s="29">
        <f>IF(ISNUMBER(MCC_Table[[#This Row],[SIZE]]), MCC_Table[[#This Row],[SIZE]]/6, 0)</f>
        <v/>
      </c>
      <c r="AJ321" s="29">
        <f>MCC_Table[[#This Row],[START INDEX]]+MCC_Table[[#This Row],[UNITS USED]]-1</f>
        <v/>
      </c>
      <c r="AK321" s="14" t="n"/>
      <c r="AL321" s="14" t="n"/>
      <c r="AM321" s="14" t="n"/>
      <c r="AN321" s="14" t="n"/>
      <c r="AO321" s="14" t="n"/>
      <c r="AP321" s="14" t="n"/>
      <c r="AQ321" s="14" t="n"/>
      <c r="AR321" s="14" t="n"/>
      <c r="AS321" s="14" t="n"/>
      <c r="AT321" s="14" t="n"/>
      <c r="AU321" s="14" t="n"/>
      <c r="AV321" s="14" t="n"/>
      <c r="AW321" s="14" t="n"/>
      <c r="AX321" s="14" t="n"/>
      <c r="AY321" s="14" t="n"/>
      <c r="AZ321" s="14" t="n"/>
      <c r="BA321" s="14" t="n"/>
      <c r="BB321" s="14" t="n"/>
      <c r="BC321" s="14" t="n"/>
      <c r="BD321" s="14" t="n"/>
      <c r="BE321" s="14" t="n"/>
    </row>
    <row r="322" hidden="1" ht="15.75" customHeight="1" thickTop="1">
      <c r="A322" s="113" t="inlineStr">
        <is>
          <t>VTTRS-MCC2</t>
        </is>
      </c>
      <c r="B322" s="29" t="inlineStr">
        <is>
          <t>02A</t>
        </is>
      </c>
      <c r="C322" s="24" t="inlineStr">
        <is>
          <t>SPACE</t>
        </is>
      </c>
      <c r="D322" s="62" t="inlineStr">
        <is>
          <t>12" SPACE</t>
        </is>
      </c>
      <c r="E322" s="29" t="inlineStr">
        <is>
          <t>SPACE</t>
        </is>
      </c>
      <c r="F322" s="8" t="n"/>
      <c r="G322" s="8" t="n"/>
      <c r="H322" s="82" t="n"/>
      <c r="I322" s="8" t="n"/>
      <c r="J322" s="80">
        <f>IF(ISNUMBER(MCC_Table[[#This Row],[SIZE]]), MCC_Table[[#This Row],[SIZE]]/12, 0)</f>
        <v/>
      </c>
      <c r="K322" s="82" t="n"/>
      <c r="L322" s="82" t="n"/>
      <c r="M322" s="82" t="n"/>
      <c r="N322" s="82" t="n"/>
      <c r="O322" s="77" t="n"/>
      <c r="P322" s="110" t="n"/>
      <c r="Q322" s="79" t="n"/>
      <c r="R322" s="79" t="n"/>
      <c r="S322" s="79" t="n"/>
      <c r="T322" s="79" t="n"/>
      <c r="U322" s="79" t="n"/>
      <c r="V322" s="79" t="n"/>
      <c r="W322" s="79" t="n"/>
      <c r="X322" s="79" t="n"/>
      <c r="Y322" s="79" t="n"/>
      <c r="Z322" s="79" t="n"/>
      <c r="AA322" s="79" t="n"/>
      <c r="AB322" s="225" t="n"/>
      <c r="AC322" s="225" t="n"/>
      <c r="AD322" s="225" t="n"/>
      <c r="AE322" s="29">
        <f>_xlfn.NUMBERVALUE(LEFT(MCC_Table[[#This Row],[BUCKET]],LEN(MCC_Table[[#This Row],[BUCKET]])-1))</f>
        <v/>
      </c>
      <c r="AF322" s="29">
        <f>RIGHT(MCC_Table[[#This Row],[BUCKET]],1)</f>
        <v/>
      </c>
      <c r="AG322" s="29">
        <f>VLOOKUP(MCC_Table[[#This Row],[START UNIT]],UnitMap[],2,FALSE)</f>
        <v/>
      </c>
      <c r="AH322" s="29">
        <f t="array" ref="AH32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22" s="29">
        <f>IF(ISNUMBER(MCC_Table[[#This Row],[SIZE]]), MCC_Table[[#This Row],[SIZE]]/6, 0)</f>
        <v/>
      </c>
      <c r="AJ322" s="29">
        <f>MCC_Table[[#This Row],[START INDEX]]+MCC_Table[[#This Row],[UNITS USED]]-1</f>
        <v/>
      </c>
      <c r="AK322" s="14" t="n"/>
      <c r="AL322" s="14" t="n"/>
      <c r="AM322" s="14" t="n"/>
      <c r="AN322" s="14" t="n"/>
      <c r="AO322" s="14" t="n"/>
      <c r="AP322" s="14" t="n"/>
      <c r="AQ322" s="14" t="n"/>
      <c r="AR322" s="14" t="n"/>
      <c r="AS322" s="14" t="n"/>
      <c r="AT322" s="14" t="n"/>
      <c r="AU322" s="14" t="n"/>
      <c r="AV322" s="14" t="n"/>
      <c r="AW322" s="14" t="n"/>
      <c r="AX322" s="14" t="n"/>
      <c r="AY322" s="14" t="n"/>
      <c r="AZ322" s="14" t="n"/>
      <c r="BA322" s="14" t="n"/>
      <c r="BB322" s="14" t="n"/>
      <c r="BC322" s="14" t="n"/>
      <c r="BD322" s="14" t="n"/>
      <c r="BE322" s="14" t="n"/>
    </row>
    <row r="323" hidden="1" ht="15.75" customHeight="1" thickTop="1">
      <c r="A323" s="113" t="inlineStr">
        <is>
          <t>VTTRS-MCC2</t>
        </is>
      </c>
      <c r="B323" s="8" t="inlineStr">
        <is>
          <t>02C</t>
        </is>
      </c>
      <c r="C323" s="24" t="inlineStr">
        <is>
          <t>MGR-001</t>
        </is>
      </c>
      <c r="D323" s="28" t="inlineStr">
        <is>
          <t>LEFT / RIGHT AUGER</t>
        </is>
      </c>
      <c r="E323" s="29" t="inlineStr">
        <is>
          <t>VFD</t>
        </is>
      </c>
      <c r="F323" s="8" t="inlineStr">
        <is>
          <t>(2) 20</t>
        </is>
      </c>
      <c r="G323" s="8" t="n">
        <v>50</v>
      </c>
      <c r="H323" s="87" t="n"/>
      <c r="I323" s="8" t="n"/>
      <c r="J323" s="83">
        <f>IF(ISNUMBER(MCC_Table[[#This Row],[SIZE]]), MCC_Table[[#This Row],[SIZE]]/12, 0)</f>
        <v/>
      </c>
      <c r="K323" s="87" t="n">
        <v>125</v>
      </c>
      <c r="L323" s="82" t="n">
        <v>125</v>
      </c>
      <c r="M323" s="87" t="n">
        <v>100</v>
      </c>
      <c r="N323" s="82" t="inlineStr">
        <is>
          <t>3/C #10 VFD CABLE</t>
        </is>
      </c>
      <c r="O323" s="77" t="n"/>
      <c r="P323" s="88" t="n"/>
      <c r="Q323" s="79" t="n"/>
      <c r="R323" s="79" t="n"/>
      <c r="S323" s="79" t="n"/>
      <c r="T323" s="79" t="n"/>
      <c r="U323" s="79" t="n"/>
      <c r="V323" s="79" t="n"/>
      <c r="W323" s="79" t="n"/>
      <c r="X323" s="79" t="n"/>
      <c r="Y323" s="79" t="n"/>
      <c r="Z323" s="79" t="n"/>
      <c r="AA323" s="79" t="n"/>
      <c r="AB323" s="225" t="n"/>
      <c r="AC323" s="225" t="n"/>
      <c r="AD323" s="225" t="n"/>
      <c r="AE323" s="8">
        <f>_xlfn.NUMBERVALUE(LEFT(MCC_Table[[#This Row],[BUCKET]],LEN(MCC_Table[[#This Row],[BUCKET]])-1))</f>
        <v/>
      </c>
      <c r="AF323" s="8">
        <f>RIGHT(MCC_Table[[#This Row],[BUCKET]],1)</f>
        <v/>
      </c>
      <c r="AG323" s="8">
        <f>VLOOKUP(MCC_Table[[#This Row],[START UNIT]],UnitMap[],2,FALSE)</f>
        <v/>
      </c>
      <c r="AH323" s="8">
        <f t="array" ref="AH32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23" s="8">
        <f>IF(ISNUMBER(MCC_Table[[#This Row],[SIZE]]), MCC_Table[[#This Row],[SIZE]]/6, 0)</f>
        <v/>
      </c>
      <c r="AJ323" s="8">
        <f>MCC_Table[[#This Row],[START INDEX]]+MCC_Table[[#This Row],[UNITS USED]]-1</f>
        <v/>
      </c>
      <c r="AK323" s="14" t="n"/>
      <c r="AL323" s="14" t="n"/>
      <c r="AM323" s="14" t="n"/>
      <c r="AN323" s="14" t="n"/>
      <c r="AO323" s="14" t="n"/>
      <c r="AP323" s="14" t="n"/>
      <c r="AQ323" s="14" t="n"/>
      <c r="AR323" s="14" t="n"/>
      <c r="AS323" s="14" t="n"/>
      <c r="AT323" s="14" t="n"/>
      <c r="AU323" s="14" t="n"/>
      <c r="AV323" s="14" t="n"/>
      <c r="AW323" s="14" t="n"/>
      <c r="AX323" s="14" t="n"/>
      <c r="AY323" s="14" t="n"/>
      <c r="AZ323" s="14" t="n"/>
      <c r="BA323" s="14" t="n"/>
      <c r="BB323" s="14" t="n"/>
      <c r="BC323" s="14" t="n"/>
      <c r="BD323" s="14" t="n"/>
      <c r="BE323" s="14" t="n"/>
    </row>
    <row r="324" hidden="1" ht="15.75" customHeight="1" thickTop="1">
      <c r="A324" s="113" t="inlineStr">
        <is>
          <t>VTTRS-MCC2</t>
        </is>
      </c>
      <c r="B324" s="29" t="inlineStr">
        <is>
          <t>03A</t>
        </is>
      </c>
      <c r="C324" s="24" t="inlineStr">
        <is>
          <t>SPARE</t>
        </is>
      </c>
      <c r="D324" s="28" t="inlineStr">
        <is>
          <t>VFD - 15HP</t>
        </is>
      </c>
      <c r="E324" s="29" t="inlineStr">
        <is>
          <t>VFD</t>
        </is>
      </c>
      <c r="F324" s="8" t="n"/>
      <c r="G324" s="8" t="n">
        <v>15</v>
      </c>
      <c r="H324" s="82" t="n"/>
      <c r="I324" s="8" t="n"/>
      <c r="J324" s="80">
        <f>IF(ISNUMBER(MCC_Table[[#This Row],[SIZE]]), MCC_Table[[#This Row],[SIZE]]/12, 0)</f>
        <v/>
      </c>
      <c r="K324" s="82" t="n">
        <v>60</v>
      </c>
      <c r="L324" s="82" t="n">
        <v>125</v>
      </c>
      <c r="M324" s="82" t="n">
        <v>40</v>
      </c>
      <c r="N324" s="82" t="n"/>
      <c r="O324" s="77" t="n"/>
      <c r="P324" s="110" t="n"/>
      <c r="Q324" s="79" t="n"/>
      <c r="R324" s="79" t="n"/>
      <c r="S324" s="79" t="n"/>
      <c r="T324" s="79" t="n"/>
      <c r="U324" s="79" t="n"/>
      <c r="V324" s="79" t="n"/>
      <c r="W324" s="79" t="n"/>
      <c r="X324" s="79" t="n"/>
      <c r="Y324" s="79" t="n"/>
      <c r="Z324" s="79" t="n"/>
      <c r="AA324" s="79" t="n"/>
      <c r="AB324" s="225" t="n"/>
      <c r="AC324" s="225" t="n"/>
      <c r="AD324" s="225" t="n"/>
      <c r="AE324" s="29">
        <f>_xlfn.NUMBERVALUE(LEFT(MCC_Table[[#This Row],[BUCKET]],LEN(MCC_Table[[#This Row],[BUCKET]])-1))</f>
        <v/>
      </c>
      <c r="AF324" s="29">
        <f>RIGHT(MCC_Table[[#This Row],[BUCKET]],1)</f>
        <v/>
      </c>
      <c r="AG324" s="29">
        <f>VLOOKUP(MCC_Table[[#This Row],[START UNIT]],UnitMap[],2,FALSE)</f>
        <v/>
      </c>
      <c r="AH324" s="29">
        <f t="array" ref="AH32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24" s="29">
        <f>IF(ISNUMBER(MCC_Table[[#This Row],[SIZE]]), MCC_Table[[#This Row],[SIZE]]/6, 0)</f>
        <v/>
      </c>
      <c r="AJ324" s="29">
        <f>MCC_Table[[#This Row],[START INDEX]]+MCC_Table[[#This Row],[UNITS USED]]-1</f>
        <v/>
      </c>
      <c r="AK324" s="14" t="n"/>
      <c r="AL324" s="14" t="n"/>
      <c r="AM324" s="14" t="n"/>
      <c r="AN324" s="14" t="n"/>
      <c r="AO324" s="14" t="n"/>
      <c r="AP324" s="14" t="n"/>
      <c r="AQ324" s="14" t="n"/>
      <c r="AR324" s="14" t="n"/>
      <c r="AS324" s="14" t="n"/>
      <c r="AT324" s="14" t="n"/>
      <c r="AU324" s="14" t="n"/>
      <c r="AV324" s="14" t="n"/>
      <c r="AW324" s="14" t="n"/>
      <c r="AX324" s="14" t="n"/>
      <c r="AY324" s="14" t="n"/>
      <c r="AZ324" s="14" t="n"/>
      <c r="BA324" s="14" t="n"/>
      <c r="BB324" s="14" t="n"/>
      <c r="BC324" s="14" t="n"/>
      <c r="BD324" s="14" t="n"/>
      <c r="BE324" s="14" t="n"/>
    </row>
    <row r="325" hidden="1" ht="15.75" customHeight="1" thickTop="1">
      <c r="A325" s="113" t="inlineStr">
        <is>
          <t>VTTRS-MCC2</t>
        </is>
      </c>
      <c r="B325" s="29" t="inlineStr">
        <is>
          <t>03F</t>
        </is>
      </c>
      <c r="C325" s="24" t="inlineStr">
        <is>
          <t>SPARE</t>
        </is>
      </c>
      <c r="D325" s="28" t="inlineStr">
        <is>
          <t>VFD - 30HP</t>
        </is>
      </c>
      <c r="E325" s="29" t="inlineStr">
        <is>
          <t>VFD</t>
        </is>
      </c>
      <c r="F325" s="8" t="n"/>
      <c r="G325" s="8" t="n">
        <v>30</v>
      </c>
      <c r="H325" s="82" t="n"/>
      <c r="I325" s="8" t="n"/>
      <c r="J325" s="80">
        <f>IF(ISNUMBER(MCC_Table[[#This Row],[SIZE]]), MCC_Table[[#This Row],[SIZE]]/12, 0)</f>
        <v/>
      </c>
      <c r="K325" s="82" t="n">
        <v>100</v>
      </c>
      <c r="L325" s="82" t="n">
        <v>125</v>
      </c>
      <c r="M325" s="82" t="inlineStr">
        <is>
          <t>N/A</t>
        </is>
      </c>
      <c r="N325" s="82" t="n"/>
      <c r="O325" s="77" t="n"/>
      <c r="P325" s="110" t="n"/>
      <c r="Q325" s="79" t="n"/>
      <c r="R325" s="79" t="n"/>
      <c r="S325" s="79" t="n"/>
      <c r="T325" s="79" t="n"/>
      <c r="U325" s="79" t="n"/>
      <c r="V325" s="79" t="n"/>
      <c r="W325" s="79" t="n"/>
      <c r="X325" s="79" t="n"/>
      <c r="Y325" s="79" t="n"/>
      <c r="Z325" s="79" t="n"/>
      <c r="AA325" s="79" t="n"/>
      <c r="AB325" s="225" t="n"/>
      <c r="AC325" s="225" t="n"/>
      <c r="AD325" s="225" t="n"/>
      <c r="AE325" s="29">
        <f>_xlfn.NUMBERVALUE(LEFT(MCC_Table[[#This Row],[BUCKET]],LEN(MCC_Table[[#This Row],[BUCKET]])-1))</f>
        <v/>
      </c>
      <c r="AF325" s="29">
        <f>RIGHT(MCC_Table[[#This Row],[BUCKET]],1)</f>
        <v/>
      </c>
      <c r="AG325" s="29">
        <f>VLOOKUP(MCC_Table[[#This Row],[START UNIT]],UnitMap[],2,FALSE)</f>
        <v/>
      </c>
      <c r="AH325" s="29">
        <f t="array" ref="AH32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25" s="29">
        <f>IF(ISNUMBER(MCC_Table[[#This Row],[SIZE]]), MCC_Table[[#This Row],[SIZE]]/6, 0)</f>
        <v/>
      </c>
      <c r="AJ325" s="29">
        <f>MCC_Table[[#This Row],[START INDEX]]+MCC_Table[[#This Row],[UNITS USED]]-1</f>
        <v/>
      </c>
      <c r="AK325" s="14" t="n"/>
      <c r="AL325" s="14" t="n"/>
      <c r="AM325" s="14" t="n"/>
      <c r="AN325" s="14" t="n"/>
      <c r="AO325" s="14" t="n"/>
      <c r="AP325" s="14" t="n"/>
      <c r="AQ325" s="14" t="n"/>
      <c r="AR325" s="14" t="n"/>
      <c r="AS325" s="14" t="n"/>
      <c r="AT325" s="14" t="n"/>
      <c r="AU325" s="14" t="n"/>
      <c r="AV325" s="14" t="n"/>
      <c r="AW325" s="14" t="n"/>
      <c r="AX325" s="14" t="n"/>
      <c r="AY325" s="14" t="n"/>
      <c r="AZ325" s="14" t="n"/>
      <c r="BA325" s="14" t="n"/>
      <c r="BB325" s="14" t="n"/>
      <c r="BC325" s="14" t="n"/>
      <c r="BD325" s="14" t="n"/>
      <c r="BE325" s="14" t="n"/>
    </row>
    <row r="326" hidden="1" ht="15.75" customHeight="1" thickTop="1">
      <c r="A326" s="113" t="inlineStr">
        <is>
          <t>VTTRS-MCC2</t>
        </is>
      </c>
      <c r="B326" s="8" t="inlineStr">
        <is>
          <t>04A</t>
        </is>
      </c>
      <c r="C326" s="24" t="inlineStr">
        <is>
          <t>GRR-001</t>
        </is>
      </c>
      <c r="D326" s="28" t="inlineStr">
        <is>
          <t>FROZEN GRINDER</t>
        </is>
      </c>
      <c r="E326" s="29" t="inlineStr">
        <is>
          <t>VFD</t>
        </is>
      </c>
      <c r="F326" s="8" t="n">
        <v>100</v>
      </c>
      <c r="G326" s="8" t="n">
        <v>100</v>
      </c>
      <c r="H326" s="87" t="n"/>
      <c r="I326" s="8" t="n"/>
      <c r="J326" s="83">
        <f>IF(ISNUMBER(MCC_Table[[#This Row],[SIZE]]), MCC_Table[[#This Row],[SIZE]]/12, 0)</f>
        <v/>
      </c>
      <c r="K326" s="87" t="n">
        <v>250</v>
      </c>
      <c r="L326" s="82" t="n">
        <v>250</v>
      </c>
      <c r="M326" s="87" t="n">
        <v>225</v>
      </c>
      <c r="N326" s="82" t="inlineStr">
        <is>
          <t>3/C #2/0 VFD CABLE</t>
        </is>
      </c>
      <c r="O326" s="77" t="n"/>
      <c r="P326" s="88" t="n"/>
      <c r="Q326" s="79" t="n"/>
      <c r="R326" s="79" t="n"/>
      <c r="S326" s="79" t="n"/>
      <c r="T326" s="79" t="n"/>
      <c r="U326" s="79" t="n"/>
      <c r="V326" s="79" t="n"/>
      <c r="W326" s="79" t="n"/>
      <c r="X326" s="79" t="n"/>
      <c r="Y326" s="79" t="n"/>
      <c r="Z326" s="79" t="n"/>
      <c r="AA326" s="79" t="n"/>
      <c r="AB326" s="225" t="n"/>
      <c r="AC326" s="225" t="n"/>
      <c r="AD326" s="225" t="n"/>
      <c r="AE326" s="8">
        <f>_xlfn.NUMBERVALUE(LEFT(MCC_Table[[#This Row],[BUCKET]],LEN(MCC_Table[[#This Row],[BUCKET]])-1))</f>
        <v/>
      </c>
      <c r="AF326" s="8">
        <f>RIGHT(MCC_Table[[#This Row],[BUCKET]],1)</f>
        <v/>
      </c>
      <c r="AG326" s="8">
        <f>VLOOKUP(MCC_Table[[#This Row],[START UNIT]],UnitMap[],2,FALSE)</f>
        <v/>
      </c>
      <c r="AH326" s="8">
        <f t="array" ref="AH32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26" s="8">
        <f>IF(ISNUMBER(MCC_Table[[#This Row],[SIZE]]), MCC_Table[[#This Row],[SIZE]]/6, 0)</f>
        <v/>
      </c>
      <c r="AJ326" s="8">
        <f>MCC_Table[[#This Row],[START INDEX]]+MCC_Table[[#This Row],[UNITS USED]]-1</f>
        <v/>
      </c>
      <c r="AK326" s="14" t="n"/>
      <c r="AL326" s="14" t="n"/>
      <c r="AM326" s="14" t="n"/>
      <c r="AN326" s="14" t="n"/>
      <c r="AO326" s="14" t="n"/>
      <c r="AP326" s="14" t="n"/>
      <c r="AQ326" s="14" t="n"/>
      <c r="AR326" s="14" t="n"/>
      <c r="AS326" s="14" t="n"/>
      <c r="AT326" s="14" t="n"/>
      <c r="AU326" s="14" t="n"/>
      <c r="AV326" s="14" t="n"/>
      <c r="AW326" s="14" t="n"/>
      <c r="AX326" s="14" t="n"/>
      <c r="AY326" s="14" t="n"/>
      <c r="AZ326" s="14" t="n"/>
      <c r="BA326" s="14" t="n"/>
      <c r="BB326" s="14" t="n"/>
      <c r="BC326" s="14" t="n"/>
      <c r="BD326" s="14" t="n"/>
      <c r="BE326" s="14" t="n"/>
    </row>
    <row r="327" hidden="1" ht="15.75" customHeight="1" thickTop="1">
      <c r="A327" s="113" t="inlineStr">
        <is>
          <t>VTTRS-MCC2</t>
        </is>
      </c>
      <c r="B327" s="29" t="inlineStr">
        <is>
          <t>05A</t>
        </is>
      </c>
      <c r="C327" s="24" t="inlineStr">
        <is>
          <t>RM5-MCC2-5A.SW1</t>
        </is>
      </c>
      <c r="D327" s="62" t="inlineStr">
        <is>
          <t>ETHERNET SWITCH (20-PORT)</t>
        </is>
      </c>
      <c r="E327" s="24" t="inlineStr">
        <is>
          <t>ENET_20</t>
        </is>
      </c>
      <c r="F327" s="8" t="n"/>
      <c r="G327" s="8" t="n"/>
      <c r="H327" s="87" t="n"/>
      <c r="I327" s="8" t="n"/>
      <c r="J327" s="80">
        <f>IF(ISNUMBER(MCC_Table[[#This Row],[SIZE]]), MCC_Table[[#This Row],[SIZE]]/12, 0)</f>
        <v/>
      </c>
      <c r="K327" s="87" t="n"/>
      <c r="L327" s="82" t="n"/>
      <c r="M327" s="87" t="n"/>
      <c r="N327" s="87" t="n"/>
      <c r="O327" s="77" t="n"/>
      <c r="P327" s="105" t="n"/>
      <c r="Q327" s="79" t="n"/>
      <c r="R327" s="79" t="n"/>
      <c r="S327" s="79" t="n"/>
      <c r="T327" s="79" t="n"/>
      <c r="U327" s="79" t="n"/>
      <c r="V327" s="79" t="n"/>
      <c r="W327" s="79" t="n"/>
      <c r="X327" s="79" t="n"/>
      <c r="Y327" s="79" t="n"/>
      <c r="Z327" s="79" t="n"/>
      <c r="AA327" s="79" t="n"/>
      <c r="AB327" s="225" t="n"/>
      <c r="AC327" s="225" t="n"/>
      <c r="AD327" s="225" t="n"/>
      <c r="AE327" s="29">
        <f>_xlfn.NUMBERVALUE(LEFT(MCC_Table[[#This Row],[BUCKET]],LEN(MCC_Table[[#This Row],[BUCKET]])-1))</f>
        <v/>
      </c>
      <c r="AF327" s="29">
        <f>RIGHT(MCC_Table[[#This Row],[BUCKET]],1)</f>
        <v/>
      </c>
      <c r="AG327" s="29">
        <f>VLOOKUP(MCC_Table[[#This Row],[START UNIT]],UnitMap[],2,FALSE)</f>
        <v/>
      </c>
      <c r="AH327" s="29">
        <f t="array" ref="AH32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27" s="29">
        <f>IF(ISNUMBER(MCC_Table[[#This Row],[SIZE]]), MCC_Table[[#This Row],[SIZE]]/6, 0)</f>
        <v/>
      </c>
      <c r="AJ327" s="29">
        <f>MCC_Table[[#This Row],[START INDEX]]+MCC_Table[[#This Row],[UNITS USED]]-1</f>
        <v/>
      </c>
      <c r="AK327" s="14" t="n"/>
      <c r="AL327" s="14" t="n"/>
      <c r="AM327" s="14" t="n"/>
      <c r="AN327" s="14" t="n"/>
      <c r="AO327" s="14" t="n"/>
      <c r="AP327" s="14" t="n"/>
      <c r="AQ327" s="14" t="n"/>
      <c r="AR327" s="14" t="n"/>
      <c r="AS327" s="14" t="n"/>
      <c r="AT327" s="14" t="n"/>
      <c r="AU327" s="14" t="n"/>
      <c r="AV327" s="14" t="n"/>
      <c r="AW327" s="14" t="n"/>
      <c r="AX327" s="14" t="n"/>
      <c r="AY327" s="14" t="n"/>
      <c r="AZ327" s="14" t="n"/>
      <c r="BA327" s="14" t="n"/>
      <c r="BB327" s="14" t="n"/>
      <c r="BC327" s="14" t="n"/>
      <c r="BD327" s="14" t="n"/>
      <c r="BE327" s="14" t="n"/>
    </row>
    <row r="328" hidden="1" ht="15.75" customHeight="1" thickTop="1">
      <c r="A328" s="113" t="inlineStr">
        <is>
          <t>VTTRS-MCC2</t>
        </is>
      </c>
      <c r="B328" s="29" t="inlineStr">
        <is>
          <t>05C</t>
        </is>
      </c>
      <c r="C328" s="24" t="inlineStr">
        <is>
          <t>SPACE</t>
        </is>
      </c>
      <c r="D328" s="62" t="inlineStr">
        <is>
          <t>12" SPACE</t>
        </is>
      </c>
      <c r="E328" s="29" t="inlineStr">
        <is>
          <t>SPACE</t>
        </is>
      </c>
      <c r="F328" s="8" t="n"/>
      <c r="G328" s="8" t="n"/>
      <c r="H328" s="82" t="n"/>
      <c r="I328" s="8" t="n"/>
      <c r="J328" s="80">
        <f>IF(ISNUMBER(MCC_Table[[#This Row],[SIZE]]), MCC_Table[[#This Row],[SIZE]]/12, 0)</f>
        <v/>
      </c>
      <c r="K328" s="82" t="n"/>
      <c r="L328" s="82" t="n"/>
      <c r="M328" s="82" t="n"/>
      <c r="N328" s="82" t="n"/>
      <c r="O328" s="77" t="n"/>
      <c r="P328" s="110" t="n"/>
      <c r="Q328" s="79" t="n"/>
      <c r="R328" s="79" t="n"/>
      <c r="S328" s="79" t="n"/>
      <c r="T328" s="79" t="n"/>
      <c r="U328" s="79" t="n"/>
      <c r="V328" s="79" t="n"/>
      <c r="W328" s="79" t="n"/>
      <c r="X328" s="79" t="n"/>
      <c r="Y328" s="79" t="n"/>
      <c r="Z328" s="79" t="n"/>
      <c r="AA328" s="79" t="n"/>
      <c r="AB328" s="225" t="n"/>
      <c r="AC328" s="225" t="n"/>
      <c r="AD328" s="225" t="n"/>
      <c r="AE328" s="29">
        <f>_xlfn.NUMBERVALUE(LEFT(MCC_Table[[#This Row],[BUCKET]],LEN(MCC_Table[[#This Row],[BUCKET]])-1))</f>
        <v/>
      </c>
      <c r="AF328" s="29">
        <f>RIGHT(MCC_Table[[#This Row],[BUCKET]],1)</f>
        <v/>
      </c>
      <c r="AG328" s="29">
        <f>VLOOKUP(MCC_Table[[#This Row],[START UNIT]],UnitMap[],2,FALSE)</f>
        <v/>
      </c>
      <c r="AH328" s="29">
        <f t="array" ref="AH32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28" s="29">
        <f>IF(ISNUMBER(MCC_Table[[#This Row],[SIZE]]), MCC_Table[[#This Row],[SIZE]]/6, 0)</f>
        <v/>
      </c>
      <c r="AJ328" s="29">
        <f>MCC_Table[[#This Row],[START INDEX]]+MCC_Table[[#This Row],[UNITS USED]]-1</f>
        <v/>
      </c>
      <c r="AK328" s="14" t="n"/>
      <c r="AL328" s="14" t="n"/>
      <c r="AM328" s="14" t="n"/>
      <c r="AN328" s="14" t="n"/>
      <c r="AO328" s="14" t="n"/>
      <c r="AP328" s="14" t="n"/>
      <c r="AQ328" s="14" t="n"/>
      <c r="AR328" s="14" t="n"/>
      <c r="AS328" s="14" t="n"/>
      <c r="AT328" s="14" t="n"/>
      <c r="AU328" s="14" t="n"/>
      <c r="AV328" s="14" t="n"/>
      <c r="AW328" s="14" t="n"/>
      <c r="AX328" s="14" t="n"/>
      <c r="AY328" s="14" t="n"/>
      <c r="AZ328" s="14" t="n"/>
      <c r="BA328" s="14" t="n"/>
      <c r="BB328" s="14" t="n"/>
      <c r="BC328" s="14" t="n"/>
      <c r="BD328" s="14" t="n"/>
      <c r="BE328" s="14" t="n"/>
    </row>
    <row r="329" hidden="1" ht="15.75" customHeight="1" thickTop="1">
      <c r="A329" s="113" t="inlineStr">
        <is>
          <t>VTTRS-MCC2</t>
        </is>
      </c>
      <c r="B329" s="29" t="inlineStr">
        <is>
          <t>05E</t>
        </is>
      </c>
      <c r="C329" s="24" t="inlineStr">
        <is>
          <t>SPACE</t>
        </is>
      </c>
      <c r="D329" s="62" t="inlineStr">
        <is>
          <t>12" SPACE</t>
        </is>
      </c>
      <c r="E329" s="29" t="inlineStr">
        <is>
          <t>SPACE</t>
        </is>
      </c>
      <c r="F329" s="8" t="n"/>
      <c r="G329" s="8" t="n"/>
      <c r="H329" s="82" t="n"/>
      <c r="I329" s="8" t="n"/>
      <c r="J329" s="80">
        <f>IF(ISNUMBER(MCC_Table[[#This Row],[SIZE]]), MCC_Table[[#This Row],[SIZE]]/12, 0)</f>
        <v/>
      </c>
      <c r="K329" s="82" t="n"/>
      <c r="L329" s="82" t="n"/>
      <c r="M329" s="82" t="n"/>
      <c r="N329" s="82" t="n"/>
      <c r="O329" s="77" t="n"/>
      <c r="P329" s="110" t="n"/>
      <c r="Q329" s="79" t="n"/>
      <c r="R329" s="79" t="n"/>
      <c r="S329" s="79" t="n"/>
      <c r="T329" s="79" t="n"/>
      <c r="U329" s="79" t="n"/>
      <c r="V329" s="79" t="n"/>
      <c r="W329" s="79" t="n"/>
      <c r="X329" s="79" t="n"/>
      <c r="Y329" s="79" t="n"/>
      <c r="Z329" s="79" t="n"/>
      <c r="AA329" s="79" t="n"/>
      <c r="AB329" s="225" t="n"/>
      <c r="AC329" s="225" t="n"/>
      <c r="AD329" s="225" t="n"/>
      <c r="AE329" s="29">
        <f>_xlfn.NUMBERVALUE(LEFT(MCC_Table[[#This Row],[BUCKET]],LEN(MCC_Table[[#This Row],[BUCKET]])-1))</f>
        <v/>
      </c>
      <c r="AF329" s="29">
        <f>RIGHT(MCC_Table[[#This Row],[BUCKET]],1)</f>
        <v/>
      </c>
      <c r="AG329" s="29">
        <f>VLOOKUP(MCC_Table[[#This Row],[START UNIT]],UnitMap[],2,FALSE)</f>
        <v/>
      </c>
      <c r="AH329" s="29">
        <f t="array" ref="AH32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29" s="29">
        <f>IF(ISNUMBER(MCC_Table[[#This Row],[SIZE]]), MCC_Table[[#This Row],[SIZE]]/6, 0)</f>
        <v/>
      </c>
      <c r="AJ329" s="29">
        <f>MCC_Table[[#This Row],[START INDEX]]+MCC_Table[[#This Row],[UNITS USED]]-1</f>
        <v/>
      </c>
      <c r="AK329" s="14" t="n"/>
      <c r="AL329" s="14" t="n"/>
      <c r="AM329" s="14" t="n"/>
      <c r="AN329" s="14" t="n"/>
      <c r="AO329" s="14" t="n"/>
      <c r="AP329" s="14" t="n"/>
      <c r="AQ329" s="14" t="n"/>
      <c r="AR329" s="14" t="n"/>
      <c r="AS329" s="14" t="n"/>
      <c r="AT329" s="14" t="n"/>
      <c r="AU329" s="14" t="n"/>
      <c r="AV329" s="14" t="n"/>
      <c r="AW329" s="14" t="n"/>
      <c r="AX329" s="14" t="n"/>
      <c r="AY329" s="14" t="n"/>
      <c r="AZ329" s="14" t="n"/>
      <c r="BA329" s="14" t="n"/>
      <c r="BB329" s="14" t="n"/>
      <c r="BC329" s="14" t="n"/>
      <c r="BD329" s="14" t="n"/>
      <c r="BE329" s="14" t="n"/>
    </row>
    <row r="330" hidden="1" ht="15.75" customHeight="1" thickTop="1">
      <c r="A330" s="113" t="inlineStr">
        <is>
          <t>VTTRS-MCC2</t>
        </is>
      </c>
      <c r="B330" s="29" t="inlineStr">
        <is>
          <t>05G</t>
        </is>
      </c>
      <c r="C330" s="24" t="inlineStr">
        <is>
          <t>SPACE</t>
        </is>
      </c>
      <c r="D330" s="62" t="inlineStr">
        <is>
          <t>12" SPACE</t>
        </is>
      </c>
      <c r="E330" s="29" t="inlineStr">
        <is>
          <t>SPACE</t>
        </is>
      </c>
      <c r="F330" s="8" t="n"/>
      <c r="G330" s="8" t="n"/>
      <c r="H330" s="82" t="n"/>
      <c r="I330" s="8" t="n"/>
      <c r="J330" s="80">
        <f>IF(ISNUMBER(MCC_Table[[#This Row],[SIZE]]), MCC_Table[[#This Row],[SIZE]]/12, 0)</f>
        <v/>
      </c>
      <c r="K330" s="82" t="n"/>
      <c r="L330" s="82" t="n"/>
      <c r="M330" s="82" t="n"/>
      <c r="N330" s="82" t="n"/>
      <c r="O330" s="77" t="n"/>
      <c r="P330" s="110" t="n"/>
      <c r="Q330" s="79" t="n"/>
      <c r="R330" s="79" t="n"/>
      <c r="S330" s="79" t="n"/>
      <c r="T330" s="79" t="n"/>
      <c r="U330" s="79" t="n"/>
      <c r="V330" s="79" t="n"/>
      <c r="W330" s="79" t="n"/>
      <c r="X330" s="79" t="n"/>
      <c r="Y330" s="79" t="n"/>
      <c r="Z330" s="79" t="n"/>
      <c r="AA330" s="79" t="n"/>
      <c r="AB330" s="225" t="n"/>
      <c r="AC330" s="225" t="n"/>
      <c r="AD330" s="225" t="n"/>
      <c r="AE330" s="29">
        <f>_xlfn.NUMBERVALUE(LEFT(MCC_Table[[#This Row],[BUCKET]],LEN(MCC_Table[[#This Row],[BUCKET]])-1))</f>
        <v/>
      </c>
      <c r="AF330" s="29">
        <f>RIGHT(MCC_Table[[#This Row],[BUCKET]],1)</f>
        <v/>
      </c>
      <c r="AG330" s="29">
        <f>VLOOKUP(MCC_Table[[#This Row],[START UNIT]],UnitMap[],2,FALSE)</f>
        <v/>
      </c>
      <c r="AH330" s="29">
        <f t="array" ref="AH33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30" s="29">
        <f>IF(ISNUMBER(MCC_Table[[#This Row],[SIZE]]), MCC_Table[[#This Row],[SIZE]]/6, 0)</f>
        <v/>
      </c>
      <c r="AJ330" s="29">
        <f>MCC_Table[[#This Row],[START INDEX]]+MCC_Table[[#This Row],[UNITS USED]]-1</f>
        <v/>
      </c>
      <c r="AK330" s="14" t="n"/>
      <c r="AL330" s="14" t="n"/>
      <c r="AM330" s="14" t="n"/>
      <c r="AN330" s="14" t="n"/>
      <c r="AO330" s="14" t="n"/>
      <c r="AP330" s="14" t="n"/>
      <c r="AQ330" s="14" t="n"/>
      <c r="AR330" s="14" t="n"/>
      <c r="AS330" s="14" t="n"/>
      <c r="AT330" s="14" t="n"/>
      <c r="AU330" s="14" t="n"/>
      <c r="AV330" s="14" t="n"/>
      <c r="AW330" s="14" t="n"/>
      <c r="AX330" s="14" t="n"/>
      <c r="AY330" s="14" t="n"/>
      <c r="AZ330" s="14" t="n"/>
      <c r="BA330" s="14" t="n"/>
      <c r="BB330" s="14" t="n"/>
      <c r="BC330" s="14" t="n"/>
      <c r="BD330" s="14" t="n"/>
      <c r="BE330" s="14" t="n"/>
    </row>
    <row r="331" hidden="1" ht="15.75" customHeight="1" thickTop="1">
      <c r="A331" s="113" t="inlineStr">
        <is>
          <t>VTTRS-MCC2</t>
        </is>
      </c>
      <c r="B331" s="29" t="inlineStr">
        <is>
          <t>05J</t>
        </is>
      </c>
      <c r="C331" s="24" t="inlineStr">
        <is>
          <t>SPACE</t>
        </is>
      </c>
      <c r="D331" s="62" t="inlineStr">
        <is>
          <t>12" SPACE</t>
        </is>
      </c>
      <c r="E331" s="29" t="inlineStr">
        <is>
          <t>SPACE</t>
        </is>
      </c>
      <c r="F331" s="8" t="n"/>
      <c r="G331" s="8" t="n"/>
      <c r="H331" s="82" t="n"/>
      <c r="I331" s="8" t="n"/>
      <c r="J331" s="80">
        <f>IF(ISNUMBER(MCC_Table[[#This Row],[SIZE]]), MCC_Table[[#This Row],[SIZE]]/12, 0)</f>
        <v/>
      </c>
      <c r="K331" s="82" t="n"/>
      <c r="L331" s="82" t="n"/>
      <c r="M331" s="82" t="n"/>
      <c r="N331" s="82" t="n"/>
      <c r="O331" s="77" t="n"/>
      <c r="P331" s="110" t="n"/>
      <c r="Q331" s="79" t="n"/>
      <c r="R331" s="79" t="n"/>
      <c r="S331" s="79" t="n"/>
      <c r="T331" s="79" t="n"/>
      <c r="U331" s="79" t="n"/>
      <c r="V331" s="79" t="n"/>
      <c r="W331" s="79" t="n"/>
      <c r="X331" s="79" t="n"/>
      <c r="Y331" s="79" t="n"/>
      <c r="Z331" s="79" t="n"/>
      <c r="AA331" s="79" t="n"/>
      <c r="AB331" s="225" t="n"/>
      <c r="AC331" s="225" t="n"/>
      <c r="AD331" s="225" t="n"/>
      <c r="AE331" s="29">
        <f>_xlfn.NUMBERVALUE(LEFT(MCC_Table[[#This Row],[BUCKET]],LEN(MCC_Table[[#This Row],[BUCKET]])-1))</f>
        <v/>
      </c>
      <c r="AF331" s="29">
        <f>RIGHT(MCC_Table[[#This Row],[BUCKET]],1)</f>
        <v/>
      </c>
      <c r="AG331" s="29">
        <f>VLOOKUP(MCC_Table[[#This Row],[START UNIT]],UnitMap[],2,FALSE)</f>
        <v/>
      </c>
      <c r="AH331" s="29">
        <f t="array" ref="AH33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31" s="29">
        <f>IF(ISNUMBER(MCC_Table[[#This Row],[SIZE]]), MCC_Table[[#This Row],[SIZE]]/6, 0)</f>
        <v/>
      </c>
      <c r="AJ331" s="29">
        <f>MCC_Table[[#This Row],[START INDEX]]+MCC_Table[[#This Row],[UNITS USED]]-1</f>
        <v/>
      </c>
      <c r="AK331" s="14" t="n"/>
      <c r="AL331" s="14" t="n"/>
      <c r="AM331" s="14" t="n"/>
      <c r="AN331" s="14" t="n"/>
      <c r="AO331" s="14" t="n"/>
      <c r="AP331" s="14" t="n"/>
      <c r="AQ331" s="14" t="n"/>
      <c r="AR331" s="14" t="n"/>
      <c r="AS331" s="14" t="n"/>
      <c r="AT331" s="14" t="n"/>
      <c r="AU331" s="14" t="n"/>
      <c r="AV331" s="14" t="n"/>
      <c r="AW331" s="14" t="n"/>
      <c r="AX331" s="14" t="n"/>
      <c r="AY331" s="14" t="n"/>
      <c r="AZ331" s="14" t="n"/>
      <c r="BA331" s="14" t="n"/>
      <c r="BB331" s="14" t="n"/>
      <c r="BC331" s="14" t="n"/>
      <c r="BD331" s="14" t="n"/>
      <c r="BE331" s="14" t="n"/>
    </row>
    <row r="332" hidden="1" ht="15.75" customHeight="1" thickTop="1">
      <c r="A332" s="113" t="inlineStr">
        <is>
          <t>VTTRS-MCC2</t>
        </is>
      </c>
      <c r="B332" s="29" t="inlineStr">
        <is>
          <t>05L</t>
        </is>
      </c>
      <c r="C332" s="24" t="inlineStr">
        <is>
          <t>RM5-MCC1-5L.ENPS</t>
        </is>
      </c>
      <c r="D332" s="62" t="inlineStr">
        <is>
          <t>ETHERNET SWITCH POWER SUPPLY</t>
        </is>
      </c>
      <c r="E332" s="24" t="inlineStr">
        <is>
          <t>ENET_PS</t>
        </is>
      </c>
      <c r="F332" s="8" t="n"/>
      <c r="G332" s="8" t="n"/>
      <c r="H332" s="82" t="n"/>
      <c r="I332" s="8" t="n"/>
      <c r="J332" s="80">
        <f>IF(ISNUMBER(MCC_Table[[#This Row],[SIZE]]), MCC_Table[[#This Row],[SIZE]]/12, 0)</f>
        <v/>
      </c>
      <c r="K332" s="82" t="n"/>
      <c r="L332" s="82" t="n"/>
      <c r="M332" s="82" t="n"/>
      <c r="N332" s="82" t="n"/>
      <c r="O332" s="77" t="n"/>
      <c r="P332" s="78" t="n"/>
      <c r="Q332" s="79" t="n"/>
      <c r="R332" s="79" t="n"/>
      <c r="S332" s="79" t="n"/>
      <c r="T332" s="79" t="n"/>
      <c r="U332" s="79" t="n"/>
      <c r="V332" s="79" t="n"/>
      <c r="W332" s="79" t="n"/>
      <c r="X332" s="79" t="n"/>
      <c r="Y332" s="79" t="n"/>
      <c r="Z332" s="79" t="n"/>
      <c r="AA332" s="79" t="n"/>
      <c r="AB332" s="225" t="n"/>
      <c r="AC332" s="225" t="n"/>
      <c r="AD332" s="225" t="n"/>
      <c r="AE332" s="29">
        <f>_xlfn.NUMBERVALUE(LEFT(MCC_Table[[#This Row],[BUCKET]],LEN(MCC_Table[[#This Row],[BUCKET]])-1))</f>
        <v/>
      </c>
      <c r="AF332" s="29">
        <f>RIGHT(MCC_Table[[#This Row],[BUCKET]],1)</f>
        <v/>
      </c>
      <c r="AG332" s="29">
        <f>VLOOKUP(MCC_Table[[#This Row],[START UNIT]],UnitMap[],2,FALSE)</f>
        <v/>
      </c>
      <c r="AH332" s="29">
        <f t="array" ref="AH33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32" s="29">
        <f>IF(ISNUMBER(MCC_Table[[#This Row],[SIZE]]), MCC_Table[[#This Row],[SIZE]]/6, 0)</f>
        <v/>
      </c>
      <c r="AJ332" s="29">
        <f>MCC_Table[[#This Row],[START INDEX]]+MCC_Table[[#This Row],[UNITS USED]]-1</f>
        <v/>
      </c>
      <c r="AK332" s="14" t="n"/>
      <c r="AL332" s="14" t="n"/>
      <c r="AM332" s="14" t="n"/>
      <c r="AN332" s="14" t="n"/>
      <c r="AO332" s="14" t="n"/>
      <c r="AP332" s="14" t="n"/>
      <c r="AQ332" s="14" t="n"/>
      <c r="AR332" s="14" t="n"/>
      <c r="AS332" s="14" t="n"/>
      <c r="AT332" s="14" t="n"/>
      <c r="AU332" s="14" t="n"/>
      <c r="AV332" s="14" t="n"/>
      <c r="AW332" s="14" t="n"/>
      <c r="AX332" s="14" t="n"/>
      <c r="AY332" s="14" t="n"/>
      <c r="AZ332" s="14" t="n"/>
      <c r="BA332" s="14" t="n"/>
      <c r="BB332" s="14" t="n"/>
      <c r="BC332" s="14" t="n"/>
      <c r="BD332" s="14" t="n"/>
      <c r="BE332" s="14" t="n"/>
    </row>
    <row r="333" hidden="1" ht="15.75" customHeight="1" thickTop="1">
      <c r="A333" s="113" t="inlineStr">
        <is>
          <t>VTTRS-MCC2</t>
        </is>
      </c>
      <c r="B333" s="8" t="inlineStr">
        <is>
          <t>06A</t>
        </is>
      </c>
      <c r="C333" s="24" t="inlineStr">
        <is>
          <t>SPARE</t>
        </is>
      </c>
      <c r="D333" s="28" t="inlineStr">
        <is>
          <t>VFD - 5HP</t>
        </is>
      </c>
      <c r="E333" s="29" t="inlineStr">
        <is>
          <t>VFD</t>
        </is>
      </c>
      <c r="F333" s="29" t="n"/>
      <c r="G333" s="8" t="n">
        <v>5</v>
      </c>
      <c r="H333" s="82" t="n"/>
      <c r="I333" s="8" t="n"/>
      <c r="J333" s="83">
        <f>IF(ISNUMBER(MCC_Table[[#This Row],[SIZE]]), MCC_Table[[#This Row],[SIZE]]/12, 0)</f>
        <v/>
      </c>
      <c r="K333" s="82" t="n">
        <v>20</v>
      </c>
      <c r="L333" s="82" t="n">
        <v>125</v>
      </c>
      <c r="M333" s="82" t="n">
        <v>12</v>
      </c>
      <c r="N333" s="82" t="n"/>
      <c r="O333" s="77" t="n"/>
      <c r="P333" s="85" t="n"/>
      <c r="Q333" s="79" t="n"/>
      <c r="R333" s="79" t="n"/>
      <c r="S333" s="79" t="n"/>
      <c r="T333" s="79" t="n"/>
      <c r="U333" s="79" t="n"/>
      <c r="V333" s="79" t="n"/>
      <c r="W333" s="79" t="n"/>
      <c r="X333" s="79" t="n"/>
      <c r="Y333" s="79" t="n"/>
      <c r="Z333" s="79" t="n"/>
      <c r="AA333" s="79" t="n"/>
      <c r="AB333" s="225" t="n"/>
      <c r="AC333" s="225" t="n"/>
      <c r="AD333" s="225" t="n"/>
      <c r="AE333" s="8">
        <f>_xlfn.NUMBERVALUE(LEFT(MCC_Table[[#This Row],[BUCKET]],LEN(MCC_Table[[#This Row],[BUCKET]])-1))</f>
        <v/>
      </c>
      <c r="AF333" s="8">
        <f>RIGHT(MCC_Table[[#This Row],[BUCKET]],1)</f>
        <v/>
      </c>
      <c r="AG333" s="8">
        <f>VLOOKUP(MCC_Table[[#This Row],[START UNIT]],UnitMap[],2,FALSE)</f>
        <v/>
      </c>
      <c r="AH333" s="8">
        <f t="array" ref="AH33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33" s="8">
        <f>IF(ISNUMBER(MCC_Table[[#This Row],[SIZE]]), MCC_Table[[#This Row],[SIZE]]/6, 0)</f>
        <v/>
      </c>
      <c r="AJ333" s="8">
        <f>MCC_Table[[#This Row],[START INDEX]]+MCC_Table[[#This Row],[UNITS USED]]-1</f>
        <v/>
      </c>
      <c r="AK333" s="14" t="n"/>
      <c r="AL333" s="14" t="n"/>
      <c r="AM333" s="14" t="n"/>
      <c r="AN333" s="14" t="n"/>
      <c r="AO333" s="14" t="n"/>
      <c r="AP333" s="14" t="n"/>
      <c r="AQ333" s="14" t="n"/>
      <c r="AR333" s="14" t="n"/>
      <c r="AS333" s="14" t="n"/>
      <c r="AT333" s="14" t="n"/>
      <c r="AU333" s="14" t="n"/>
      <c r="AV333" s="14" t="n"/>
      <c r="AW333" s="14" t="n"/>
      <c r="AX333" s="14" t="n"/>
      <c r="AY333" s="14" t="n"/>
      <c r="AZ333" s="14" t="n"/>
      <c r="BA333" s="14" t="n"/>
      <c r="BB333" s="14" t="n"/>
      <c r="BC333" s="14" t="n"/>
      <c r="BD333" s="14" t="n"/>
      <c r="BE333" s="14" t="n"/>
    </row>
    <row r="334" hidden="1" ht="13.9" customHeight="1">
      <c r="A334" s="113" t="inlineStr">
        <is>
          <t>VTTRS-MCC2</t>
        </is>
      </c>
      <c r="B334" s="29" t="inlineStr">
        <is>
          <t>06D</t>
        </is>
      </c>
      <c r="C334" s="111" t="inlineStr">
        <is>
          <t>AGC-002.M1</t>
        </is>
      </c>
      <c r="D334" s="28" t="inlineStr">
        <is>
          <t>AUGER CART LEFT AUGER</t>
        </is>
      </c>
      <c r="E334" s="112" t="inlineStr">
        <is>
          <t>VFD</t>
        </is>
      </c>
      <c r="F334" s="29" t="n">
        <v>5</v>
      </c>
      <c r="G334" s="8" t="n">
        <v>5</v>
      </c>
      <c r="H334" s="82" t="n"/>
      <c r="I334" s="8" t="n"/>
      <c r="J334" s="80">
        <f>IF(ISNUMBER(MCC_Table[[#This Row],[SIZE]]), MCC_Table[[#This Row],[SIZE]]/12, 0)</f>
        <v/>
      </c>
      <c r="K334" s="82" t="n">
        <v>20</v>
      </c>
      <c r="L334" s="82" t="n">
        <v>125</v>
      </c>
      <c r="M334" s="82" t="n">
        <v>12</v>
      </c>
      <c r="N334" s="82" t="inlineStr">
        <is>
          <t>3/C #12 VFD CABLE</t>
        </is>
      </c>
      <c r="O334" s="77" t="n"/>
      <c r="P334" s="110" t="n"/>
      <c r="Q334" s="79" t="n"/>
      <c r="R334" s="79" t="n"/>
      <c r="S334" s="79" t="n"/>
      <c r="T334" s="79" t="n"/>
      <c r="U334" s="79" t="n"/>
      <c r="V334" s="79" t="n"/>
      <c r="W334" s="79" t="n"/>
      <c r="X334" s="79" t="n"/>
      <c r="Y334" s="79" t="n"/>
      <c r="Z334" s="79" t="n"/>
      <c r="AA334" s="79" t="n"/>
      <c r="AB334" s="225" t="n"/>
      <c r="AC334" s="225" t="n"/>
      <c r="AD334" s="225" t="n"/>
      <c r="AE334" s="29">
        <f>_xlfn.NUMBERVALUE(LEFT(MCC_Table[[#This Row],[BUCKET]],LEN(MCC_Table[[#This Row],[BUCKET]])-1))</f>
        <v/>
      </c>
      <c r="AF334" s="29">
        <f>RIGHT(MCC_Table[[#This Row],[BUCKET]],1)</f>
        <v/>
      </c>
      <c r="AG334" s="29">
        <f>VLOOKUP(MCC_Table[[#This Row],[START UNIT]],UnitMap[],2,FALSE)</f>
        <v/>
      </c>
      <c r="AH334" s="29">
        <f t="array" ref="AH33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34" s="29">
        <f>IF(ISNUMBER(MCC_Table[[#This Row],[SIZE]]), MCC_Table[[#This Row],[SIZE]]/6, 0)</f>
        <v/>
      </c>
      <c r="AJ334" s="29">
        <f>MCC_Table[[#This Row],[START INDEX]]+MCC_Table[[#This Row],[UNITS USED]]-1</f>
        <v/>
      </c>
      <c r="AK334" s="14" t="n"/>
      <c r="AL334" s="14" t="n"/>
      <c r="AM334" s="14" t="n"/>
      <c r="AN334" s="14" t="n"/>
      <c r="AO334" s="14" t="n"/>
      <c r="AP334" s="14" t="n"/>
      <c r="AQ334" s="14" t="n"/>
      <c r="AR334" s="14" t="n"/>
      <c r="AS334" s="14" t="n"/>
      <c r="AT334" s="14" t="n"/>
      <c r="AU334" s="14" t="n"/>
      <c r="AV334" s="14" t="n"/>
      <c r="AW334" s="14" t="n"/>
      <c r="AX334" s="14" t="n"/>
      <c r="AY334" s="14" t="n"/>
      <c r="AZ334" s="14" t="n"/>
      <c r="BA334" s="14" t="n"/>
      <c r="BB334" s="14" t="n"/>
      <c r="BC334" s="14" t="n"/>
      <c r="BD334" s="14" t="n"/>
      <c r="BE334" s="14" t="n"/>
    </row>
    <row r="335" hidden="1" ht="15.75" customHeight="1" thickTop="1">
      <c r="A335" s="113" t="inlineStr">
        <is>
          <t>VTTRS-MCC2</t>
        </is>
      </c>
      <c r="B335" s="29" t="inlineStr">
        <is>
          <t>06G</t>
        </is>
      </c>
      <c r="C335" s="111" t="inlineStr">
        <is>
          <t>AGC-002.M2</t>
        </is>
      </c>
      <c r="D335" s="28" t="inlineStr">
        <is>
          <t>AUGER CART RIGHT AUGER</t>
        </is>
      </c>
      <c r="E335" s="112" t="inlineStr">
        <is>
          <t>VFD</t>
        </is>
      </c>
      <c r="F335" s="29" t="n">
        <v>5</v>
      </c>
      <c r="G335" s="8" t="n">
        <v>5</v>
      </c>
      <c r="H335" s="82" t="n"/>
      <c r="I335" s="8" t="n"/>
      <c r="J335" s="80">
        <f>IF(ISNUMBER(MCC_Table[[#This Row],[SIZE]]), MCC_Table[[#This Row],[SIZE]]/12, 0)</f>
        <v/>
      </c>
      <c r="K335" s="82" t="n">
        <v>20</v>
      </c>
      <c r="L335" s="82" t="n">
        <v>125</v>
      </c>
      <c r="M335" s="82" t="n">
        <v>12</v>
      </c>
      <c r="N335" s="82" t="inlineStr">
        <is>
          <t>3/C #12 VFD CABLE</t>
        </is>
      </c>
      <c r="O335" s="77" t="n"/>
      <c r="P335" s="110" t="n"/>
      <c r="Q335" s="79" t="n"/>
      <c r="R335" s="79" t="n"/>
      <c r="S335" s="79" t="n"/>
      <c r="T335" s="79" t="n"/>
      <c r="U335" s="79" t="n"/>
      <c r="V335" s="79" t="n"/>
      <c r="W335" s="79" t="n"/>
      <c r="X335" s="79" t="n"/>
      <c r="Y335" s="79" t="n"/>
      <c r="Z335" s="79" t="n"/>
      <c r="AA335" s="79" t="n"/>
      <c r="AB335" s="225" t="n"/>
      <c r="AC335" s="225" t="n"/>
      <c r="AD335" s="225" t="n"/>
      <c r="AE335" s="29">
        <f>_xlfn.NUMBERVALUE(LEFT(MCC_Table[[#This Row],[BUCKET]],LEN(MCC_Table[[#This Row],[BUCKET]])-1))</f>
        <v/>
      </c>
      <c r="AF335" s="29">
        <f>RIGHT(MCC_Table[[#This Row],[BUCKET]],1)</f>
        <v/>
      </c>
      <c r="AG335" s="29">
        <f>VLOOKUP(MCC_Table[[#This Row],[START UNIT]],UnitMap[],2,FALSE)</f>
        <v/>
      </c>
      <c r="AH335" s="29">
        <f t="array" ref="AH33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35" s="29">
        <f>IF(ISNUMBER(MCC_Table[[#This Row],[SIZE]]), MCC_Table[[#This Row],[SIZE]]/6, 0)</f>
        <v/>
      </c>
      <c r="AJ335" s="29">
        <f>MCC_Table[[#This Row],[START INDEX]]+MCC_Table[[#This Row],[UNITS USED]]-1</f>
        <v/>
      </c>
      <c r="AK335" s="14" t="n"/>
      <c r="AL335" s="14" t="n"/>
      <c r="AM335" s="14" t="n"/>
      <c r="AN335" s="14" t="n"/>
      <c r="AO335" s="14" t="n"/>
      <c r="AP335" s="14" t="n"/>
      <c r="AQ335" s="14" t="n"/>
      <c r="AR335" s="14" t="n"/>
      <c r="AS335" s="14" t="n"/>
      <c r="AT335" s="14" t="n"/>
      <c r="AU335" s="14" t="n"/>
      <c r="AV335" s="14" t="n"/>
      <c r="AW335" s="14" t="n"/>
      <c r="AX335" s="14" t="n"/>
      <c r="AY335" s="14" t="n"/>
      <c r="AZ335" s="14" t="n"/>
      <c r="BA335" s="14" t="n"/>
      <c r="BB335" s="14" t="n"/>
      <c r="BC335" s="14" t="n"/>
      <c r="BD335" s="14" t="n"/>
      <c r="BE335" s="14" t="n"/>
    </row>
    <row r="336" hidden="1" ht="15.75" customHeight="1" thickTop="1">
      <c r="A336" s="113" t="inlineStr">
        <is>
          <t>VTTRS-MCC2</t>
        </is>
      </c>
      <c r="B336" s="29" t="inlineStr">
        <is>
          <t>06K</t>
        </is>
      </c>
      <c r="C336" s="111" t="inlineStr">
        <is>
          <t>CNV-001</t>
        </is>
      </c>
      <c r="D336" s="28" t="inlineStr">
        <is>
          <t>INCLINE BELT CONVEYOR</t>
        </is>
      </c>
      <c r="E336" s="112" t="inlineStr">
        <is>
          <t>VFD</t>
        </is>
      </c>
      <c r="F336" s="29" t="n">
        <v>5</v>
      </c>
      <c r="G336" s="8" t="n">
        <v>5</v>
      </c>
      <c r="H336" s="82" t="n"/>
      <c r="I336" s="8" t="n"/>
      <c r="J336" s="80">
        <f>IF(ISNUMBER(MCC_Table[[#This Row],[SIZE]]), MCC_Table[[#This Row],[SIZE]]/12, 0)</f>
        <v/>
      </c>
      <c r="K336" s="82" t="n">
        <v>20</v>
      </c>
      <c r="L336" s="82" t="n">
        <v>125</v>
      </c>
      <c r="M336" s="82" t="n">
        <v>12</v>
      </c>
      <c r="N336" s="82" t="inlineStr">
        <is>
          <t>3/C #12 VFD CABLE</t>
        </is>
      </c>
      <c r="O336" s="77" t="n"/>
      <c r="P336" s="110" t="n"/>
      <c r="Q336" s="79" t="n"/>
      <c r="R336" s="79" t="n"/>
      <c r="S336" s="79" t="n"/>
      <c r="T336" s="79" t="n"/>
      <c r="U336" s="79" t="n"/>
      <c r="V336" s="79" t="n"/>
      <c r="W336" s="79" t="n"/>
      <c r="X336" s="79" t="n"/>
      <c r="Y336" s="79" t="n"/>
      <c r="Z336" s="79" t="n"/>
      <c r="AA336" s="79" t="n"/>
      <c r="AB336" s="225" t="n"/>
      <c r="AC336" s="225" t="n"/>
      <c r="AD336" s="225" t="n"/>
      <c r="AE336" s="29">
        <f>_xlfn.NUMBERVALUE(LEFT(MCC_Table[[#This Row],[BUCKET]],LEN(MCC_Table[[#This Row],[BUCKET]])-1))</f>
        <v/>
      </c>
      <c r="AF336" s="29">
        <f>RIGHT(MCC_Table[[#This Row],[BUCKET]],1)</f>
        <v/>
      </c>
      <c r="AG336" s="29">
        <f>VLOOKUP(MCC_Table[[#This Row],[START UNIT]],UnitMap[],2,FALSE)</f>
        <v/>
      </c>
      <c r="AH336" s="29">
        <f t="array" ref="AH33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36" s="29">
        <f>IF(ISNUMBER(MCC_Table[[#This Row],[SIZE]]), MCC_Table[[#This Row],[SIZE]]/6, 0)</f>
        <v/>
      </c>
      <c r="AJ336" s="29">
        <f>MCC_Table[[#This Row],[START INDEX]]+MCC_Table[[#This Row],[UNITS USED]]-1</f>
        <v/>
      </c>
      <c r="AK336" s="14" t="n"/>
      <c r="AL336" s="14" t="n"/>
      <c r="AM336" s="14" t="n"/>
      <c r="AN336" s="14" t="n"/>
      <c r="AO336" s="14" t="n"/>
      <c r="AP336" s="14" t="n"/>
      <c r="AQ336" s="14" t="n"/>
      <c r="AR336" s="14" t="n"/>
      <c r="AS336" s="14" t="n"/>
      <c r="AT336" s="14" t="n"/>
      <c r="AU336" s="14" t="n"/>
      <c r="AV336" s="14" t="n"/>
      <c r="AW336" s="14" t="n"/>
      <c r="AX336" s="14" t="n"/>
      <c r="AY336" s="14" t="n"/>
      <c r="AZ336" s="14" t="n"/>
      <c r="BA336" s="14" t="n"/>
      <c r="BB336" s="14" t="n"/>
      <c r="BC336" s="14" t="n"/>
      <c r="BD336" s="14" t="n"/>
      <c r="BE336" s="14" t="n"/>
    </row>
    <row r="337" hidden="1" ht="15.75" customHeight="1" thickTop="1">
      <c r="A337" s="113" t="inlineStr">
        <is>
          <t>VTTRS-MCC2</t>
        </is>
      </c>
      <c r="B337" s="29" t="inlineStr">
        <is>
          <t>07A</t>
        </is>
      </c>
      <c r="C337" s="111" t="inlineStr">
        <is>
          <t>CNV-002</t>
        </is>
      </c>
      <c r="D337" s="28" t="inlineStr">
        <is>
          <t>FB INCLINE / MD CONVEYOR</t>
        </is>
      </c>
      <c r="E337" s="112" t="inlineStr">
        <is>
          <t>VFD</t>
        </is>
      </c>
      <c r="F337" s="29" t="n">
        <v>10</v>
      </c>
      <c r="G337" s="8" t="n">
        <v>10</v>
      </c>
      <c r="H337" s="87" t="n"/>
      <c r="I337" s="8" t="n"/>
      <c r="J337" s="80">
        <f>IF(ISNUMBER(MCC_Table[[#This Row],[SIZE]]), MCC_Table[[#This Row],[SIZE]]/12, 0)</f>
        <v/>
      </c>
      <c r="K337" s="87" t="n">
        <v>30</v>
      </c>
      <c r="L337" s="82" t="n">
        <v>125</v>
      </c>
      <c r="M337" s="87" t="n">
        <v>25</v>
      </c>
      <c r="N337" s="82" t="inlineStr">
        <is>
          <t>3/C #12 VFD CABLE</t>
        </is>
      </c>
      <c r="O337" s="77" t="n"/>
      <c r="P337" s="110" t="n"/>
      <c r="Q337" s="79" t="n"/>
      <c r="R337" s="79" t="n"/>
      <c r="S337" s="79" t="n"/>
      <c r="T337" s="79" t="n"/>
      <c r="U337" s="79" t="n"/>
      <c r="V337" s="79" t="n"/>
      <c r="W337" s="79" t="n"/>
      <c r="X337" s="79" t="n"/>
      <c r="Y337" s="79" t="n"/>
      <c r="Z337" s="79" t="n"/>
      <c r="AA337" s="79" t="n"/>
      <c r="AB337" s="225" t="n"/>
      <c r="AC337" s="225" t="n"/>
      <c r="AD337" s="225" t="n"/>
      <c r="AE337" s="29">
        <f>_xlfn.NUMBERVALUE(LEFT(MCC_Table[[#This Row],[BUCKET]],LEN(MCC_Table[[#This Row],[BUCKET]])-1))</f>
        <v/>
      </c>
      <c r="AF337" s="29">
        <f>RIGHT(MCC_Table[[#This Row],[BUCKET]],1)</f>
        <v/>
      </c>
      <c r="AG337" s="29">
        <f>VLOOKUP(MCC_Table[[#This Row],[START UNIT]],UnitMap[],2,FALSE)</f>
        <v/>
      </c>
      <c r="AH337" s="29">
        <f t="array" ref="AH33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37" s="29">
        <f>IF(ISNUMBER(MCC_Table[[#This Row],[SIZE]]), MCC_Table[[#This Row],[SIZE]]/6, 0)</f>
        <v/>
      </c>
      <c r="AJ337" s="29">
        <f>MCC_Table[[#This Row],[START INDEX]]+MCC_Table[[#This Row],[UNITS USED]]-1</f>
        <v/>
      </c>
      <c r="AK337" s="14" t="n"/>
      <c r="AL337" s="14" t="n"/>
      <c r="AM337" s="14" t="n"/>
      <c r="AN337" s="14" t="n"/>
      <c r="AO337" s="14" t="n"/>
      <c r="AP337" s="14" t="n"/>
      <c r="AQ337" s="14" t="n"/>
      <c r="AR337" s="14" t="n"/>
      <c r="AS337" s="14" t="n"/>
      <c r="AT337" s="14" t="n"/>
      <c r="AU337" s="14" t="n"/>
      <c r="AV337" s="14" t="n"/>
      <c r="AW337" s="14" t="n"/>
      <c r="AX337" s="14" t="n"/>
      <c r="AY337" s="14" t="n"/>
      <c r="AZ337" s="14" t="n"/>
      <c r="BA337" s="14" t="n"/>
      <c r="BB337" s="14" t="n"/>
      <c r="BC337" s="14" t="n"/>
      <c r="BD337" s="14" t="n"/>
      <c r="BE337" s="14" t="n"/>
    </row>
    <row r="338" hidden="1" ht="15.75" customHeight="1" thickTop="1">
      <c r="A338" s="113" t="inlineStr">
        <is>
          <t>VTTRS-MCC2</t>
        </is>
      </c>
      <c r="B338" s="8" t="inlineStr">
        <is>
          <t>07E</t>
        </is>
      </c>
      <c r="C338" s="24" t="inlineStr">
        <is>
          <t>SPACE</t>
        </is>
      </c>
      <c r="D338" s="62" t="inlineStr">
        <is>
          <t>12" SPACE</t>
        </is>
      </c>
      <c r="E338" s="29" t="inlineStr">
        <is>
          <t>SPACE</t>
        </is>
      </c>
      <c r="F338" s="29" t="n"/>
      <c r="G338" s="8" t="n"/>
      <c r="H338" s="87" t="n"/>
      <c r="I338" s="8" t="n"/>
      <c r="J338" s="83">
        <f>IF(ISNUMBER(MCC_Table[[#This Row],[SIZE]]), MCC_Table[[#This Row],[SIZE]]/12, 0)</f>
        <v/>
      </c>
      <c r="K338" s="87" t="n">
        <v>30</v>
      </c>
      <c r="L338" s="82" t="n">
        <v>125</v>
      </c>
      <c r="M338" s="87" t="n">
        <v>25</v>
      </c>
      <c r="N338" s="87" t="n"/>
      <c r="O338" s="77" t="n"/>
      <c r="P338" s="85" t="n"/>
      <c r="Q338" s="79" t="n"/>
      <c r="R338" s="79" t="n"/>
      <c r="S338" s="79" t="n"/>
      <c r="T338" s="79" t="n"/>
      <c r="U338" s="79" t="n"/>
      <c r="V338" s="79" t="n"/>
      <c r="W338" s="79" t="n"/>
      <c r="X338" s="79" t="n"/>
      <c r="Y338" s="79" t="n"/>
      <c r="Z338" s="79" t="n"/>
      <c r="AA338" s="79" t="n"/>
      <c r="AB338" s="225" t="n"/>
      <c r="AC338" s="225" t="n"/>
      <c r="AD338" s="225" t="n"/>
      <c r="AE338" s="8">
        <f>_xlfn.NUMBERVALUE(LEFT(MCC_Table[[#This Row],[BUCKET]],LEN(MCC_Table[[#This Row],[BUCKET]])-1))</f>
        <v/>
      </c>
      <c r="AF338" s="8">
        <f>RIGHT(MCC_Table[[#This Row],[BUCKET]],1)</f>
        <v/>
      </c>
      <c r="AG338" s="8">
        <f>VLOOKUP(MCC_Table[[#This Row],[START UNIT]],UnitMap[],2,FALSE)</f>
        <v/>
      </c>
      <c r="AH338" s="8">
        <f t="array" ref="AH33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38" s="8">
        <f>IF(ISNUMBER(MCC_Table[[#This Row],[SIZE]]), MCC_Table[[#This Row],[SIZE]]/6, 0)</f>
        <v/>
      </c>
      <c r="AJ338" s="8">
        <f>MCC_Table[[#This Row],[START INDEX]]+MCC_Table[[#This Row],[UNITS USED]]-1</f>
        <v/>
      </c>
      <c r="AK338" s="14" t="n"/>
      <c r="AL338" s="14" t="n"/>
      <c r="AM338" s="14" t="n"/>
      <c r="AN338" s="14" t="n"/>
      <c r="AO338" s="14" t="n"/>
      <c r="AP338" s="14" t="n"/>
      <c r="AQ338" s="14" t="n"/>
      <c r="AR338" s="14" t="n"/>
      <c r="AS338" s="14" t="n"/>
      <c r="AT338" s="14" t="n"/>
      <c r="AU338" s="14" t="n"/>
      <c r="AV338" s="14" t="n"/>
      <c r="AW338" s="14" t="n"/>
      <c r="AX338" s="14" t="n"/>
      <c r="AY338" s="14" t="n"/>
      <c r="AZ338" s="14" t="n"/>
      <c r="BA338" s="14" t="n"/>
      <c r="BB338" s="14" t="n"/>
      <c r="BC338" s="14" t="n"/>
      <c r="BD338" s="14" t="n"/>
      <c r="BE338" s="14" t="n"/>
    </row>
    <row r="339" hidden="1" ht="15.75" customHeight="1" thickTop="1">
      <c r="A339" s="113" t="inlineStr">
        <is>
          <t>VTTRS-MCC2</t>
        </is>
      </c>
      <c r="B339" s="29" t="inlineStr">
        <is>
          <t>07G</t>
        </is>
      </c>
      <c r="C339" s="24" t="inlineStr">
        <is>
          <t>SPACE</t>
        </is>
      </c>
      <c r="D339" s="62" t="inlineStr">
        <is>
          <t>12" SPACE</t>
        </is>
      </c>
      <c r="E339" s="29" t="inlineStr">
        <is>
          <t>SPACE</t>
        </is>
      </c>
      <c r="F339" s="8" t="n"/>
      <c r="G339" s="8" t="n"/>
      <c r="H339" s="82" t="n"/>
      <c r="I339" s="8" t="n"/>
      <c r="J339" s="80">
        <f>IF(ISNUMBER(MCC_Table[[#This Row],[SIZE]]), MCC_Table[[#This Row],[SIZE]]/12, 0)</f>
        <v/>
      </c>
      <c r="K339" s="82" t="n"/>
      <c r="L339" s="82" t="n"/>
      <c r="M339" s="82" t="n"/>
      <c r="N339" s="82" t="n"/>
      <c r="O339" s="77" t="n"/>
      <c r="P339" s="110" t="n"/>
      <c r="Q339" s="79" t="n"/>
      <c r="R339" s="79" t="n"/>
      <c r="S339" s="79" t="n"/>
      <c r="T339" s="79" t="n"/>
      <c r="U339" s="79" t="n"/>
      <c r="V339" s="79" t="n"/>
      <c r="W339" s="79" t="n"/>
      <c r="X339" s="79" t="n"/>
      <c r="Y339" s="79" t="n"/>
      <c r="Z339" s="79" t="n"/>
      <c r="AA339" s="79" t="n"/>
      <c r="AB339" s="225" t="n"/>
      <c r="AC339" s="225" t="n"/>
      <c r="AD339" s="225" t="n"/>
      <c r="AE339" s="29">
        <f>_xlfn.NUMBERVALUE(LEFT(MCC_Table[[#This Row],[BUCKET]],LEN(MCC_Table[[#This Row],[BUCKET]])-1))</f>
        <v/>
      </c>
      <c r="AF339" s="29">
        <f>RIGHT(MCC_Table[[#This Row],[BUCKET]],1)</f>
        <v/>
      </c>
      <c r="AG339" s="29">
        <f>VLOOKUP(MCC_Table[[#This Row],[START UNIT]],UnitMap[],2,FALSE)</f>
        <v/>
      </c>
      <c r="AH339" s="29">
        <f t="array" ref="AH33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39" s="29">
        <f>IF(ISNUMBER(MCC_Table[[#This Row],[SIZE]]), MCC_Table[[#This Row],[SIZE]]/6, 0)</f>
        <v/>
      </c>
      <c r="AJ339" s="29">
        <f>MCC_Table[[#This Row],[START INDEX]]+MCC_Table[[#This Row],[UNITS USED]]-1</f>
        <v/>
      </c>
      <c r="AK339" s="14" t="n"/>
      <c r="AL339" s="14" t="n"/>
      <c r="AM339" s="14" t="n"/>
      <c r="AN339" s="14" t="n"/>
      <c r="AO339" s="14" t="n"/>
      <c r="AP339" s="14" t="n"/>
      <c r="AQ339" s="14" t="n"/>
      <c r="AR339" s="14" t="n"/>
      <c r="AS339" s="14" t="n"/>
      <c r="AT339" s="14" t="n"/>
      <c r="AU339" s="14" t="n"/>
      <c r="AV339" s="14" t="n"/>
      <c r="AW339" s="14" t="n"/>
      <c r="AX339" s="14" t="n"/>
      <c r="AY339" s="14" t="n"/>
      <c r="AZ339" s="14" t="n"/>
      <c r="BA339" s="14" t="n"/>
      <c r="BB339" s="14" t="n"/>
      <c r="BC339" s="14" t="n"/>
      <c r="BD339" s="14" t="n"/>
      <c r="BE339" s="14" t="n"/>
    </row>
    <row r="340" hidden="1" ht="15.75" customHeight="1" thickTop="1">
      <c r="A340" s="113" t="inlineStr">
        <is>
          <t>VTTRS-MCC2</t>
        </is>
      </c>
      <c r="B340" s="29" t="inlineStr">
        <is>
          <t>07J</t>
        </is>
      </c>
      <c r="C340" s="111" t="inlineStr">
        <is>
          <t>CNV-003</t>
        </is>
      </c>
      <c r="D340" s="28" t="inlineStr">
        <is>
          <t>INCLINE AUGER CONVEYOR</t>
        </is>
      </c>
      <c r="E340" s="112" t="inlineStr">
        <is>
          <t>VFD</t>
        </is>
      </c>
      <c r="F340" s="29" t="n">
        <v>10</v>
      </c>
      <c r="G340" s="8" t="n">
        <v>10</v>
      </c>
      <c r="H340" s="87" t="n"/>
      <c r="I340" s="8" t="n"/>
      <c r="J340" s="80">
        <f>IF(ISNUMBER(MCC_Table[[#This Row],[SIZE]]), MCC_Table[[#This Row],[SIZE]]/12, 0)</f>
        <v/>
      </c>
      <c r="K340" s="87" t="n">
        <v>30</v>
      </c>
      <c r="L340" s="82" t="n">
        <v>125</v>
      </c>
      <c r="M340" s="87" t="n">
        <v>25</v>
      </c>
      <c r="N340" s="82" t="inlineStr">
        <is>
          <t>3/C #12 VFD CABLE</t>
        </is>
      </c>
      <c r="O340" s="77" t="n"/>
      <c r="P340" s="110" t="n"/>
      <c r="Q340" s="79" t="n"/>
      <c r="R340" s="79" t="n"/>
      <c r="S340" s="79" t="n"/>
      <c r="T340" s="79" t="n"/>
      <c r="U340" s="79" t="n"/>
      <c r="V340" s="79" t="n"/>
      <c r="W340" s="79" t="n"/>
      <c r="X340" s="79" t="n"/>
      <c r="Y340" s="79" t="n"/>
      <c r="Z340" s="79" t="n"/>
      <c r="AA340" s="79" t="n"/>
      <c r="AB340" s="225" t="n"/>
      <c r="AC340" s="225" t="n"/>
      <c r="AD340" s="225" t="n"/>
      <c r="AE340" s="29">
        <f>_xlfn.NUMBERVALUE(LEFT(MCC_Table[[#This Row],[BUCKET]],LEN(MCC_Table[[#This Row],[BUCKET]])-1))</f>
        <v/>
      </c>
      <c r="AF340" s="29">
        <f>RIGHT(MCC_Table[[#This Row],[BUCKET]],1)</f>
        <v/>
      </c>
      <c r="AG340" s="29">
        <f>VLOOKUP(MCC_Table[[#This Row],[START UNIT]],UnitMap[],2,FALSE)</f>
        <v/>
      </c>
      <c r="AH340" s="29">
        <f t="array" ref="AH34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40" s="29">
        <f>IF(ISNUMBER(MCC_Table[[#This Row],[SIZE]]), MCC_Table[[#This Row],[SIZE]]/6, 0)</f>
        <v/>
      </c>
      <c r="AJ340" s="29">
        <f>MCC_Table[[#This Row],[START INDEX]]+MCC_Table[[#This Row],[UNITS USED]]-1</f>
        <v/>
      </c>
      <c r="AK340" s="14" t="n"/>
      <c r="AL340" s="14" t="n"/>
      <c r="AM340" s="14" t="n"/>
      <c r="AN340" s="14" t="n"/>
      <c r="AO340" s="14" t="n"/>
      <c r="AP340" s="14" t="n"/>
      <c r="AQ340" s="14" t="n"/>
      <c r="AR340" s="14" t="n"/>
      <c r="AS340" s="14" t="n"/>
      <c r="AT340" s="14" t="n"/>
      <c r="AU340" s="14" t="n"/>
      <c r="AV340" s="14" t="n"/>
      <c r="AW340" s="14" t="n"/>
      <c r="AX340" s="14" t="n"/>
      <c r="AY340" s="14" t="n"/>
      <c r="AZ340" s="14" t="n"/>
      <c r="BA340" s="14" t="n"/>
      <c r="BB340" s="14" t="n"/>
      <c r="BC340" s="14" t="n"/>
      <c r="BD340" s="14" t="n"/>
      <c r="BE340" s="14" t="n"/>
    </row>
    <row r="341" hidden="1" ht="15.75" customHeight="1" thickTop="1">
      <c r="A341" s="113" t="inlineStr">
        <is>
          <t>VTTRS-MCC2</t>
        </is>
      </c>
      <c r="B341" s="29" t="inlineStr">
        <is>
          <t>08A</t>
        </is>
      </c>
      <c r="C341" s="111" t="inlineStr">
        <is>
          <t>MGR-001</t>
        </is>
      </c>
      <c r="D341" s="28" t="inlineStr">
        <is>
          <t>DISCHARGE SCREW</t>
        </is>
      </c>
      <c r="E341" s="112" t="inlineStr">
        <is>
          <t>VFD</t>
        </is>
      </c>
      <c r="F341" s="8" t="n">
        <v>15</v>
      </c>
      <c r="G341" s="8" t="n">
        <v>15</v>
      </c>
      <c r="H341" s="82" t="n"/>
      <c r="I341" s="8" t="n"/>
      <c r="J341" s="80">
        <f>IF(ISNUMBER(MCC_Table[[#This Row],[SIZE]]), MCC_Table[[#This Row],[SIZE]]/12, 0)</f>
        <v/>
      </c>
      <c r="K341" s="82" t="n">
        <v>60</v>
      </c>
      <c r="L341" s="82" t="n">
        <v>125</v>
      </c>
      <c r="M341" s="82" t="n">
        <v>40</v>
      </c>
      <c r="N341" s="82" t="inlineStr">
        <is>
          <t>3/C #10 VFD CABLE</t>
        </is>
      </c>
      <c r="O341" s="77" t="n"/>
      <c r="P341" s="110" t="n"/>
      <c r="Q341" s="79" t="n"/>
      <c r="R341" s="79" t="n"/>
      <c r="S341" s="79" t="n"/>
      <c r="T341" s="79" t="n"/>
      <c r="U341" s="79" t="n"/>
      <c r="V341" s="79" t="n"/>
      <c r="W341" s="79" t="n"/>
      <c r="X341" s="79" t="n"/>
      <c r="Y341" s="79" t="n"/>
      <c r="Z341" s="79" t="n"/>
      <c r="AA341" s="79" t="n"/>
      <c r="AB341" s="225" t="n"/>
      <c r="AC341" s="225" t="n"/>
      <c r="AD341" s="225" t="n"/>
      <c r="AE341" s="29">
        <f>_xlfn.NUMBERVALUE(LEFT(MCC_Table[[#This Row],[BUCKET]],LEN(MCC_Table[[#This Row],[BUCKET]])-1))</f>
        <v/>
      </c>
      <c r="AF341" s="29">
        <f>RIGHT(MCC_Table[[#This Row],[BUCKET]],1)</f>
        <v/>
      </c>
      <c r="AG341" s="29">
        <f>VLOOKUP(MCC_Table[[#This Row],[START UNIT]],UnitMap[],2,FALSE)</f>
        <v/>
      </c>
      <c r="AH341" s="29">
        <f t="array" ref="AH34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41" s="29">
        <f>IF(ISNUMBER(MCC_Table[[#This Row],[SIZE]]), MCC_Table[[#This Row],[SIZE]]/6, 0)</f>
        <v/>
      </c>
      <c r="AJ341" s="29">
        <f>MCC_Table[[#This Row],[START INDEX]]+MCC_Table[[#This Row],[UNITS USED]]-1</f>
        <v/>
      </c>
      <c r="AK341" s="14" t="n"/>
      <c r="AL341" s="14" t="n"/>
      <c r="AM341" s="14" t="n"/>
      <c r="AN341" s="14" t="n"/>
      <c r="AO341" s="14" t="n"/>
      <c r="AP341" s="14" t="n"/>
      <c r="AQ341" s="14" t="n"/>
      <c r="AR341" s="14" t="n"/>
      <c r="AS341" s="14" t="n"/>
      <c r="AT341" s="14" t="n"/>
      <c r="AU341" s="14" t="n"/>
      <c r="AV341" s="14" t="n"/>
      <c r="AW341" s="14" t="n"/>
      <c r="AX341" s="14" t="n"/>
      <c r="AY341" s="14" t="n"/>
      <c r="AZ341" s="14" t="n"/>
      <c r="BA341" s="14" t="n"/>
      <c r="BB341" s="14" t="n"/>
      <c r="BC341" s="14" t="n"/>
      <c r="BD341" s="14" t="n"/>
      <c r="BE341" s="14" t="n"/>
    </row>
    <row r="342" hidden="1" ht="15.75" customHeight="1" thickTop="1">
      <c r="A342" s="113" t="inlineStr">
        <is>
          <t>VTTRS-MCC2</t>
        </is>
      </c>
      <c r="B342" s="29" t="inlineStr">
        <is>
          <t>08F</t>
        </is>
      </c>
      <c r="C342" s="111" t="inlineStr">
        <is>
          <t>GRR-002</t>
        </is>
      </c>
      <c r="D342" s="28" t="inlineStr">
        <is>
          <t>FROZEN GRINDER SCREW</t>
        </is>
      </c>
      <c r="E342" s="112" t="inlineStr">
        <is>
          <t>VFD</t>
        </is>
      </c>
      <c r="F342" s="8" t="n">
        <v>40</v>
      </c>
      <c r="G342" s="8" t="n">
        <v>40</v>
      </c>
      <c r="H342" s="87" t="n"/>
      <c r="I342" s="8" t="n"/>
      <c r="J342" s="80">
        <f>IF(ISNUMBER(MCC_Table[[#This Row],[SIZE]]), MCC_Table[[#This Row],[SIZE]]/12, 0)</f>
        <v/>
      </c>
      <c r="K342" s="87" t="n">
        <v>125</v>
      </c>
      <c r="L342" s="82" t="n">
        <v>125</v>
      </c>
      <c r="M342" s="87" t="n">
        <v>100</v>
      </c>
      <c r="N342" s="82" t="inlineStr">
        <is>
          <t>3/C #4 VFD CABLE</t>
        </is>
      </c>
      <c r="O342" s="77" t="n"/>
      <c r="P342" s="110" t="n"/>
      <c r="Q342" s="79" t="n"/>
      <c r="R342" s="79" t="n"/>
      <c r="S342" s="79" t="n"/>
      <c r="T342" s="79" t="n"/>
      <c r="U342" s="79" t="n"/>
      <c r="V342" s="79" t="n"/>
      <c r="W342" s="79" t="n"/>
      <c r="X342" s="79" t="n"/>
      <c r="Y342" s="79" t="n"/>
      <c r="Z342" s="79" t="n"/>
      <c r="AA342" s="79" t="n"/>
      <c r="AB342" s="225" t="n"/>
      <c r="AC342" s="225" t="n"/>
      <c r="AD342" s="225" t="n"/>
      <c r="AE342" s="29">
        <f>_xlfn.NUMBERVALUE(LEFT(MCC_Table[[#This Row],[BUCKET]],LEN(MCC_Table[[#This Row],[BUCKET]])-1))</f>
        <v/>
      </c>
      <c r="AF342" s="29">
        <f>RIGHT(MCC_Table[[#This Row],[BUCKET]],1)</f>
        <v/>
      </c>
      <c r="AG342" s="29">
        <f>VLOOKUP(MCC_Table[[#This Row],[START UNIT]],UnitMap[],2,FALSE)</f>
        <v/>
      </c>
      <c r="AH342" s="29">
        <f t="array" ref="AH34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42" s="29">
        <f>IF(ISNUMBER(MCC_Table[[#This Row],[SIZE]]), MCC_Table[[#This Row],[SIZE]]/6, 0)</f>
        <v/>
      </c>
      <c r="AJ342" s="29">
        <f>MCC_Table[[#This Row],[START INDEX]]+MCC_Table[[#This Row],[UNITS USED]]-1</f>
        <v/>
      </c>
      <c r="AK342" s="14" t="n"/>
      <c r="AL342" s="14" t="n"/>
      <c r="AM342" s="14" t="n"/>
      <c r="AN342" s="14" t="n"/>
      <c r="AO342" s="14" t="n"/>
      <c r="AP342" s="14" t="n"/>
      <c r="AQ342" s="14" t="n"/>
      <c r="AR342" s="14" t="n"/>
      <c r="AS342" s="14" t="n"/>
      <c r="AT342" s="14" t="n"/>
      <c r="AU342" s="14" t="n"/>
      <c r="AV342" s="14" t="n"/>
      <c r="AW342" s="14" t="n"/>
      <c r="AX342" s="14" t="n"/>
      <c r="AY342" s="14" t="n"/>
      <c r="AZ342" s="14" t="n"/>
      <c r="BA342" s="14" t="n"/>
      <c r="BB342" s="14" t="n"/>
      <c r="BC342" s="14" t="n"/>
      <c r="BD342" s="14" t="n"/>
      <c r="BE342" s="14" t="n"/>
    </row>
    <row r="343" hidden="1" ht="15.75" customHeight="1" thickTop="1">
      <c r="A343" s="113" t="inlineStr">
        <is>
          <t>VTTRS-MCC2</t>
        </is>
      </c>
      <c r="B343" s="8" t="inlineStr">
        <is>
          <t>09A</t>
        </is>
      </c>
      <c r="C343" s="24" t="inlineStr">
        <is>
          <t>MLT-004</t>
        </is>
      </c>
      <c r="D343" s="89" t="inlineStr">
        <is>
          <t>COLUMN DUMPER</t>
        </is>
      </c>
      <c r="E343" s="29" t="inlineStr">
        <is>
          <t>FVR</t>
        </is>
      </c>
      <c r="F343" s="29" t="n">
        <v>3</v>
      </c>
      <c r="G343" s="8" t="n">
        <v>3</v>
      </c>
      <c r="H343" s="87" t="n"/>
      <c r="I343" s="8" t="n">
        <v>1</v>
      </c>
      <c r="J343" s="83">
        <f>IF(ISNUMBER(MCC_Table[[#This Row],[SIZE]]), MCC_Table[[#This Row],[SIZE]]/12, 0)</f>
        <v/>
      </c>
      <c r="K343" s="87" t="n">
        <v>15</v>
      </c>
      <c r="L343" s="82" t="n">
        <v>125</v>
      </c>
      <c r="M343" s="87" t="inlineStr">
        <is>
          <t>N/A</t>
        </is>
      </c>
      <c r="N343" s="82" t="inlineStr">
        <is>
          <t>3/C #12 W/ GND</t>
        </is>
      </c>
      <c r="O343" s="77" t="n"/>
      <c r="P343" s="85" t="n"/>
      <c r="Q343" s="79" t="n"/>
      <c r="R343" s="79" t="n"/>
      <c r="S343" s="79" t="n"/>
      <c r="T343" s="79" t="n"/>
      <c r="U343" s="79" t="n"/>
      <c r="V343" s="79" t="n"/>
      <c r="W343" s="79" t="n"/>
      <c r="X343" s="79" t="n"/>
      <c r="Y343" s="79" t="n"/>
      <c r="Z343" s="79" t="n"/>
      <c r="AA343" s="79" t="n"/>
      <c r="AB343" s="225" t="n"/>
      <c r="AC343" s="225" t="n"/>
      <c r="AD343" s="225" t="n"/>
      <c r="AE343" s="8">
        <f>_xlfn.NUMBERVALUE(LEFT(MCC_Table[[#This Row],[BUCKET]],LEN(MCC_Table[[#This Row],[BUCKET]])-1))</f>
        <v/>
      </c>
      <c r="AF343" s="8">
        <f>RIGHT(MCC_Table[[#This Row],[BUCKET]],1)</f>
        <v/>
      </c>
      <c r="AG343" s="8">
        <f>VLOOKUP(MCC_Table[[#This Row],[START UNIT]],UnitMap[],2,FALSE)</f>
        <v/>
      </c>
      <c r="AH343" s="8">
        <f t="array" ref="AH34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43" s="8">
        <f>IF(ISNUMBER(MCC_Table[[#This Row],[SIZE]]), MCC_Table[[#This Row],[SIZE]]/6, 0)</f>
        <v/>
      </c>
      <c r="AJ343" s="8">
        <f>MCC_Table[[#This Row],[START INDEX]]+MCC_Table[[#This Row],[UNITS USED]]-1</f>
        <v/>
      </c>
      <c r="AK343" s="14" t="n"/>
      <c r="AL343" s="14" t="n"/>
      <c r="AM343" s="14" t="n"/>
      <c r="AN343" s="14" t="n"/>
      <c r="AO343" s="14" t="n"/>
      <c r="AP343" s="14" t="n"/>
      <c r="AQ343" s="14" t="n"/>
      <c r="AR343" s="14" t="n"/>
      <c r="AS343" s="14" t="n"/>
      <c r="AT343" s="14" t="n"/>
      <c r="AU343" s="14" t="n"/>
      <c r="AV343" s="14" t="n"/>
      <c r="AW343" s="14" t="n"/>
      <c r="AX343" s="14" t="n"/>
      <c r="AY343" s="14" t="n"/>
      <c r="AZ343" s="14" t="n"/>
      <c r="BA343" s="14" t="n"/>
      <c r="BB343" s="14" t="n"/>
      <c r="BC343" s="14" t="n"/>
      <c r="BD343" s="14" t="n"/>
      <c r="BE343" s="14" t="n"/>
    </row>
    <row r="344" hidden="1" ht="15.75" customHeight="1" thickTop="1">
      <c r="A344" s="113" t="inlineStr">
        <is>
          <t>VTTRS-MCC2</t>
        </is>
      </c>
      <c r="B344" s="29" t="inlineStr">
        <is>
          <t>09D</t>
        </is>
      </c>
      <c r="C344" s="111" t="inlineStr">
        <is>
          <t>CNV-002</t>
        </is>
      </c>
      <c r="D344" s="28" t="inlineStr">
        <is>
          <t>INCLINE PIVOT AUGER</t>
        </is>
      </c>
      <c r="E344" s="112" t="inlineStr">
        <is>
          <t>VFD</t>
        </is>
      </c>
      <c r="F344" s="8" t="n">
        <v>2</v>
      </c>
      <c r="G344" s="8" t="n">
        <v>2</v>
      </c>
      <c r="H344" s="82" t="n"/>
      <c r="I344" s="8" t="n"/>
      <c r="J344" s="80">
        <f>IF(ISNUMBER(MCC_Table[[#This Row],[SIZE]]), MCC_Table[[#This Row],[SIZE]]/12, 0)</f>
        <v/>
      </c>
      <c r="K344" s="82" t="n">
        <v>15</v>
      </c>
      <c r="L344" s="82" t="n">
        <v>125</v>
      </c>
      <c r="M344" s="82" t="n">
        <v>6</v>
      </c>
      <c r="N344" s="82" t="inlineStr">
        <is>
          <t>3/C #12 VFD CABLE</t>
        </is>
      </c>
      <c r="O344" s="77" t="n"/>
      <c r="P344" s="110" t="n"/>
      <c r="Q344" s="79" t="n"/>
      <c r="R344" s="79" t="n"/>
      <c r="S344" s="79" t="n"/>
      <c r="T344" s="79" t="n"/>
      <c r="U344" s="79" t="n"/>
      <c r="V344" s="79" t="n"/>
      <c r="W344" s="79" t="n"/>
      <c r="X344" s="79" t="n"/>
      <c r="Y344" s="79" t="n"/>
      <c r="Z344" s="79" t="n"/>
      <c r="AA344" s="79" t="n"/>
      <c r="AB344" s="225" t="n"/>
      <c r="AC344" s="225" t="n"/>
      <c r="AD344" s="225" t="n"/>
      <c r="AE344" s="29">
        <f>_xlfn.NUMBERVALUE(LEFT(MCC_Table[[#This Row],[BUCKET]],LEN(MCC_Table[[#This Row],[BUCKET]])-1))</f>
        <v/>
      </c>
      <c r="AF344" s="29">
        <f>RIGHT(MCC_Table[[#This Row],[BUCKET]],1)</f>
        <v/>
      </c>
      <c r="AG344" s="29">
        <f>VLOOKUP(MCC_Table[[#This Row],[START UNIT]],UnitMap[],2,FALSE)</f>
        <v/>
      </c>
      <c r="AH344" s="29">
        <f t="array" ref="AH34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44" s="29">
        <f>IF(ISNUMBER(MCC_Table[[#This Row],[SIZE]]), MCC_Table[[#This Row],[SIZE]]/6, 0)</f>
        <v/>
      </c>
      <c r="AJ344" s="29">
        <f>MCC_Table[[#This Row],[START INDEX]]+MCC_Table[[#This Row],[UNITS USED]]-1</f>
        <v/>
      </c>
      <c r="AK344" s="14" t="n"/>
      <c r="AL344" s="14" t="n"/>
      <c r="AM344" s="14" t="n"/>
      <c r="AN344" s="14" t="n"/>
      <c r="AO344" s="14" t="n"/>
      <c r="AP344" s="14" t="n"/>
      <c r="AQ344" s="14" t="n"/>
      <c r="AR344" s="14" t="n"/>
      <c r="AS344" s="14" t="n"/>
      <c r="AT344" s="14" t="n"/>
      <c r="AU344" s="14" t="n"/>
      <c r="AV344" s="14" t="n"/>
      <c r="AW344" s="14" t="n"/>
      <c r="AX344" s="14" t="n"/>
      <c r="AY344" s="14" t="n"/>
      <c r="AZ344" s="14" t="n"/>
      <c r="BA344" s="14" t="n"/>
      <c r="BB344" s="14" t="n"/>
      <c r="BC344" s="14" t="n"/>
      <c r="BD344" s="14" t="n"/>
      <c r="BE344" s="14" t="n"/>
    </row>
    <row r="345" hidden="1" ht="15.75" customHeight="1" thickTop="1">
      <c r="A345" s="113" t="inlineStr">
        <is>
          <t>VTTRS-MCC2</t>
        </is>
      </c>
      <c r="B345" s="29" t="inlineStr">
        <is>
          <t>09G</t>
        </is>
      </c>
      <c r="C345" s="111" t="inlineStr">
        <is>
          <t>TNK-001</t>
        </is>
      </c>
      <c r="D345" s="28" t="inlineStr">
        <is>
          <t>COOKING KETTLE MIXER</t>
        </is>
      </c>
      <c r="E345" s="112" t="inlineStr">
        <is>
          <t>VFD</t>
        </is>
      </c>
      <c r="F345" s="29" t="n">
        <v>5</v>
      </c>
      <c r="G345" s="8" t="n">
        <v>5</v>
      </c>
      <c r="H345" s="82" t="n"/>
      <c r="I345" s="8" t="n"/>
      <c r="J345" s="80">
        <f>IF(ISNUMBER(MCC_Table[[#This Row],[SIZE]]), MCC_Table[[#This Row],[SIZE]]/12, 0)</f>
        <v/>
      </c>
      <c r="K345" s="82" t="n">
        <v>20</v>
      </c>
      <c r="L345" s="82" t="n">
        <v>125</v>
      </c>
      <c r="M345" s="82" t="n">
        <v>12</v>
      </c>
      <c r="N345" s="82" t="inlineStr">
        <is>
          <t>3/C #12 VFD CABLE</t>
        </is>
      </c>
      <c r="O345" s="77" t="n"/>
      <c r="P345" s="110" t="n"/>
      <c r="Q345" s="79" t="n"/>
      <c r="R345" s="79" t="n"/>
      <c r="S345" s="79" t="n"/>
      <c r="T345" s="79" t="n"/>
      <c r="U345" s="79" t="n"/>
      <c r="V345" s="79" t="n"/>
      <c r="W345" s="79" t="n"/>
      <c r="X345" s="79" t="n"/>
      <c r="Y345" s="79" t="n"/>
      <c r="Z345" s="79" t="n"/>
      <c r="AA345" s="79" t="n"/>
      <c r="AB345" s="225" t="n"/>
      <c r="AC345" s="225" t="n"/>
      <c r="AD345" s="225" t="n"/>
      <c r="AE345" s="29">
        <f>_xlfn.NUMBERVALUE(LEFT(MCC_Table[[#This Row],[BUCKET]],LEN(MCC_Table[[#This Row],[BUCKET]])-1))</f>
        <v/>
      </c>
      <c r="AF345" s="29">
        <f>RIGHT(MCC_Table[[#This Row],[BUCKET]],1)</f>
        <v/>
      </c>
      <c r="AG345" s="29">
        <f>VLOOKUP(MCC_Table[[#This Row],[START UNIT]],UnitMap[],2,FALSE)</f>
        <v/>
      </c>
      <c r="AH345" s="29">
        <f t="array" ref="AH34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45" s="29">
        <f>IF(ISNUMBER(MCC_Table[[#This Row],[SIZE]]), MCC_Table[[#This Row],[SIZE]]/6, 0)</f>
        <v/>
      </c>
      <c r="AJ345" s="29">
        <f>MCC_Table[[#This Row],[START INDEX]]+MCC_Table[[#This Row],[UNITS USED]]-1</f>
        <v/>
      </c>
      <c r="AK345" s="14" t="n"/>
      <c r="AL345" s="14" t="n"/>
      <c r="AM345" s="14" t="n"/>
      <c r="AN345" s="14" t="n"/>
      <c r="AO345" s="14" t="n"/>
      <c r="AP345" s="14" t="n"/>
      <c r="AQ345" s="14" t="n"/>
      <c r="AR345" s="14" t="n"/>
      <c r="AS345" s="14" t="n"/>
      <c r="AT345" s="14" t="n"/>
      <c r="AU345" s="14" t="n"/>
      <c r="AV345" s="14" t="n"/>
      <c r="AW345" s="14" t="n"/>
      <c r="AX345" s="14" t="n"/>
      <c r="AY345" s="14" t="n"/>
      <c r="AZ345" s="14" t="n"/>
      <c r="BA345" s="14" t="n"/>
      <c r="BB345" s="14" t="n"/>
      <c r="BC345" s="14" t="n"/>
      <c r="BD345" s="14" t="n"/>
      <c r="BE345" s="14" t="n"/>
    </row>
    <row r="346" hidden="1" ht="15.75" customHeight="1" thickTop="1">
      <c r="A346" s="113" t="inlineStr">
        <is>
          <t>VTTRS-MCC2</t>
        </is>
      </c>
      <c r="B346" s="29" t="inlineStr">
        <is>
          <t>09K</t>
        </is>
      </c>
      <c r="C346" s="111" t="inlineStr">
        <is>
          <t>AGR-001</t>
        </is>
      </c>
      <c r="D346" s="28" t="inlineStr">
        <is>
          <t>CHILLING KETTLE AGITATOR</t>
        </is>
      </c>
      <c r="E346" s="112" t="inlineStr">
        <is>
          <t>VFD</t>
        </is>
      </c>
      <c r="F346" s="29" t="n">
        <v>5</v>
      </c>
      <c r="G346" s="8" t="n">
        <v>5</v>
      </c>
      <c r="H346" s="82" t="n"/>
      <c r="I346" s="8" t="n"/>
      <c r="J346" s="80">
        <f>IF(ISNUMBER(MCC_Table[[#This Row],[SIZE]]), MCC_Table[[#This Row],[SIZE]]/12, 0)</f>
        <v/>
      </c>
      <c r="K346" s="82" t="n">
        <v>20</v>
      </c>
      <c r="L346" s="82" t="n">
        <v>125</v>
      </c>
      <c r="M346" s="82" t="n">
        <v>12</v>
      </c>
      <c r="N346" s="82" t="inlineStr">
        <is>
          <t>3/C #12 VFD CABLE</t>
        </is>
      </c>
      <c r="O346" s="77" t="n"/>
      <c r="P346" s="110" t="n"/>
      <c r="Q346" s="79" t="n"/>
      <c r="R346" s="79" t="n"/>
      <c r="S346" s="79" t="n"/>
      <c r="T346" s="79" t="n"/>
      <c r="U346" s="79" t="n"/>
      <c r="V346" s="79" t="n"/>
      <c r="W346" s="79" t="n"/>
      <c r="X346" s="79" t="n"/>
      <c r="Y346" s="79" t="n"/>
      <c r="Z346" s="79" t="n"/>
      <c r="AA346" s="79" t="n"/>
      <c r="AB346" s="225" t="n"/>
      <c r="AC346" s="225" t="n"/>
      <c r="AD346" s="225" t="n"/>
      <c r="AE346" s="29">
        <f>_xlfn.NUMBERVALUE(LEFT(MCC_Table[[#This Row],[BUCKET]],LEN(MCC_Table[[#This Row],[BUCKET]])-1))</f>
        <v/>
      </c>
      <c r="AF346" s="29">
        <f>RIGHT(MCC_Table[[#This Row],[BUCKET]],1)</f>
        <v/>
      </c>
      <c r="AG346" s="29">
        <f>VLOOKUP(MCC_Table[[#This Row],[START UNIT]],UnitMap[],2,FALSE)</f>
        <v/>
      </c>
      <c r="AH346" s="29">
        <f t="array" ref="AH34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46" s="29">
        <f>IF(ISNUMBER(MCC_Table[[#This Row],[SIZE]]), MCC_Table[[#This Row],[SIZE]]/6, 0)</f>
        <v/>
      </c>
      <c r="AJ346" s="29">
        <f>MCC_Table[[#This Row],[START INDEX]]+MCC_Table[[#This Row],[UNITS USED]]-1</f>
        <v/>
      </c>
      <c r="AK346" s="14" t="n"/>
      <c r="AL346" s="14" t="n"/>
      <c r="AM346" s="14" t="n"/>
      <c r="AN346" s="14" t="n"/>
      <c r="AO346" s="14" t="n"/>
      <c r="AP346" s="14" t="n"/>
      <c r="AQ346" s="14" t="n"/>
      <c r="AR346" s="14" t="n"/>
      <c r="AS346" s="14" t="n"/>
      <c r="AT346" s="14" t="n"/>
      <c r="AU346" s="14" t="n"/>
      <c r="AV346" s="14" t="n"/>
      <c r="AW346" s="14" t="n"/>
      <c r="AX346" s="14" t="n"/>
      <c r="AY346" s="14" t="n"/>
      <c r="AZ346" s="14" t="n"/>
      <c r="BA346" s="14" t="n"/>
      <c r="BB346" s="14" t="n"/>
      <c r="BC346" s="14" t="n"/>
      <c r="BD346" s="14" t="n"/>
      <c r="BE346" s="14" t="n"/>
    </row>
    <row r="347" hidden="1" ht="15.75" customHeight="1" thickTop="1">
      <c r="A347" s="113" t="inlineStr">
        <is>
          <t>VTTRS-MCC2</t>
        </is>
      </c>
      <c r="B347" s="29" t="inlineStr">
        <is>
          <t>10A</t>
        </is>
      </c>
      <c r="C347" s="24" t="inlineStr">
        <is>
          <t>PMP-xxx</t>
        </is>
      </c>
      <c r="D347" s="28" t="inlineStr">
        <is>
          <t>INCLINE AUGER HYDRAULIC PUMP</t>
        </is>
      </c>
      <c r="E347" s="29" t="inlineStr">
        <is>
          <t>FVNR</t>
        </is>
      </c>
      <c r="F347" s="8" t="n">
        <v>2</v>
      </c>
      <c r="G347" s="8" t="n">
        <v>2</v>
      </c>
      <c r="H347" s="82" t="n"/>
      <c r="I347" s="8" t="n">
        <v>1</v>
      </c>
      <c r="J347" s="80">
        <f>IF(ISNUMBER(MCC_Table[[#This Row],[SIZE]]), MCC_Table[[#This Row],[SIZE]]/12, 0)</f>
        <v/>
      </c>
      <c r="K347" s="82" t="n">
        <v>7</v>
      </c>
      <c r="L347" s="82" t="n">
        <v>125</v>
      </c>
      <c r="M347" s="82" t="inlineStr">
        <is>
          <t>N/A</t>
        </is>
      </c>
      <c r="N347" s="82" t="inlineStr">
        <is>
          <t>3/C #12 W/ GND</t>
        </is>
      </c>
      <c r="O347" s="77" t="n"/>
      <c r="P347" s="110" t="n"/>
      <c r="Q347" s="79" t="n"/>
      <c r="R347" s="79" t="n"/>
      <c r="S347" s="79" t="n"/>
      <c r="T347" s="79" t="n"/>
      <c r="U347" s="79" t="n"/>
      <c r="V347" s="79" t="n"/>
      <c r="W347" s="79" t="n"/>
      <c r="X347" s="79" t="n"/>
      <c r="Y347" s="79" t="n"/>
      <c r="Z347" s="79" t="n"/>
      <c r="AA347" s="79" t="n"/>
      <c r="AB347" s="225" t="n"/>
      <c r="AC347" s="225" t="n"/>
      <c r="AD347" s="225" t="n"/>
      <c r="AE347" s="29">
        <f>_xlfn.NUMBERVALUE(LEFT(MCC_Table[[#This Row],[BUCKET]],LEN(MCC_Table[[#This Row],[BUCKET]])-1))</f>
        <v/>
      </c>
      <c r="AF347" s="29">
        <f>RIGHT(MCC_Table[[#This Row],[BUCKET]],1)</f>
        <v/>
      </c>
      <c r="AG347" s="29">
        <f>VLOOKUP(MCC_Table[[#This Row],[START UNIT]],UnitMap[],2,FALSE)</f>
        <v/>
      </c>
      <c r="AH347" s="29">
        <f t="array" ref="AH34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47" s="29">
        <f>IF(ISNUMBER(MCC_Table[[#This Row],[SIZE]]), MCC_Table[[#This Row],[SIZE]]/6, 0)</f>
        <v/>
      </c>
      <c r="AJ347" s="29">
        <f>MCC_Table[[#This Row],[START INDEX]]+MCC_Table[[#This Row],[UNITS USED]]-1</f>
        <v/>
      </c>
      <c r="AK347" s="14" t="n"/>
      <c r="AL347" s="14" t="n"/>
      <c r="AM347" s="14" t="n"/>
      <c r="AN347" s="14" t="n"/>
      <c r="AO347" s="14" t="n"/>
      <c r="AP347" s="14" t="n"/>
      <c r="AQ347" s="14" t="n"/>
      <c r="AR347" s="14" t="n"/>
      <c r="AS347" s="14" t="n"/>
      <c r="AT347" s="14" t="n"/>
      <c r="AU347" s="14" t="n"/>
      <c r="AV347" s="14" t="n"/>
      <c r="AW347" s="14" t="n"/>
      <c r="AX347" s="14" t="n"/>
      <c r="AY347" s="14" t="n"/>
      <c r="AZ347" s="14" t="n"/>
      <c r="BA347" s="14" t="n"/>
      <c r="BB347" s="14" t="n"/>
      <c r="BC347" s="14" t="n"/>
      <c r="BD347" s="14" t="n"/>
      <c r="BE347" s="14" t="n"/>
    </row>
    <row r="348" hidden="1" ht="15.75" customHeight="1" thickTop="1">
      <c r="A348" s="113" t="inlineStr">
        <is>
          <t>VTTRS-MCC2</t>
        </is>
      </c>
      <c r="B348" s="8" t="inlineStr">
        <is>
          <t>10C</t>
        </is>
      </c>
      <c r="C348" s="24" t="inlineStr">
        <is>
          <t>MLT-005</t>
        </is>
      </c>
      <c r="D348" s="89" t="inlineStr">
        <is>
          <t>COLUMN DUMPER</t>
        </is>
      </c>
      <c r="E348" s="29" t="inlineStr">
        <is>
          <t>FVR</t>
        </is>
      </c>
      <c r="F348" s="29" t="n">
        <v>3</v>
      </c>
      <c r="G348" s="8" t="n">
        <v>3</v>
      </c>
      <c r="H348" s="87" t="n"/>
      <c r="I348" s="8" t="n">
        <v>1</v>
      </c>
      <c r="J348" s="83">
        <f>IF(ISNUMBER(MCC_Table[[#This Row],[SIZE]]), MCC_Table[[#This Row],[SIZE]]/12, 0)</f>
        <v/>
      </c>
      <c r="K348" s="87" t="n">
        <v>15</v>
      </c>
      <c r="L348" s="82" t="n">
        <v>125</v>
      </c>
      <c r="M348" s="87" t="inlineStr">
        <is>
          <t>N/A</t>
        </is>
      </c>
      <c r="N348" s="82" t="inlineStr">
        <is>
          <t>3/C #12 W/ GND</t>
        </is>
      </c>
      <c r="O348" s="77" t="n"/>
      <c r="P348" s="85" t="n"/>
      <c r="Q348" s="79" t="n"/>
      <c r="R348" s="79" t="n"/>
      <c r="S348" s="79" t="n"/>
      <c r="T348" s="79" t="n"/>
      <c r="U348" s="79" t="n"/>
      <c r="V348" s="79" t="n"/>
      <c r="W348" s="79" t="n"/>
      <c r="X348" s="79" t="n"/>
      <c r="Y348" s="79" t="n"/>
      <c r="Z348" s="79" t="n"/>
      <c r="AA348" s="79" t="n"/>
      <c r="AB348" s="225" t="n"/>
      <c r="AC348" s="225" t="n"/>
      <c r="AD348" s="225" t="n"/>
      <c r="AE348" s="8">
        <f>_xlfn.NUMBERVALUE(LEFT(MCC_Table[[#This Row],[BUCKET]],LEN(MCC_Table[[#This Row],[BUCKET]])-1))</f>
        <v/>
      </c>
      <c r="AF348" s="8">
        <f>RIGHT(MCC_Table[[#This Row],[BUCKET]],1)</f>
        <v/>
      </c>
      <c r="AG348" s="8">
        <f>VLOOKUP(MCC_Table[[#This Row],[START UNIT]],UnitMap[],2,FALSE)</f>
        <v/>
      </c>
      <c r="AH348" s="8">
        <f t="array" ref="AH34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48" s="8">
        <f>IF(ISNUMBER(MCC_Table[[#This Row],[SIZE]]), MCC_Table[[#This Row],[SIZE]]/6, 0)</f>
        <v/>
      </c>
      <c r="AJ348" s="8">
        <f>MCC_Table[[#This Row],[START INDEX]]+MCC_Table[[#This Row],[UNITS USED]]-1</f>
        <v/>
      </c>
      <c r="AK348" s="14" t="n"/>
      <c r="AL348" s="14" t="n"/>
      <c r="AM348" s="14" t="n"/>
      <c r="AN348" s="14" t="n"/>
      <c r="AO348" s="14" t="n"/>
      <c r="AP348" s="14" t="n"/>
      <c r="AQ348" s="14" t="n"/>
      <c r="AR348" s="14" t="n"/>
      <c r="AS348" s="14" t="n"/>
      <c r="AT348" s="14" t="n"/>
      <c r="AU348" s="14" t="n"/>
      <c r="AV348" s="14" t="n"/>
      <c r="AW348" s="14" t="n"/>
      <c r="AX348" s="14" t="n"/>
      <c r="AY348" s="14" t="n"/>
      <c r="AZ348" s="14" t="n"/>
      <c r="BA348" s="14" t="n"/>
      <c r="BB348" s="14" t="n"/>
      <c r="BC348" s="14" t="n"/>
      <c r="BD348" s="14" t="n"/>
      <c r="BE348" s="14" t="n"/>
    </row>
    <row r="349" hidden="1" ht="15.75" customHeight="1" thickTop="1">
      <c r="A349" s="113" t="inlineStr">
        <is>
          <t>VTTRS-MCC2</t>
        </is>
      </c>
      <c r="B349" s="29" t="inlineStr">
        <is>
          <t>10F</t>
        </is>
      </c>
      <c r="C349" s="24" t="inlineStr">
        <is>
          <t>SPACE</t>
        </is>
      </c>
      <c r="D349" s="62" t="inlineStr">
        <is>
          <t>6" SPACE</t>
        </is>
      </c>
      <c r="E349" s="29" t="inlineStr">
        <is>
          <t>SPACE</t>
        </is>
      </c>
      <c r="F349" s="8" t="n"/>
      <c r="G349" s="8" t="n"/>
      <c r="H349" s="82" t="n"/>
      <c r="I349" s="8" t="n"/>
      <c r="J349" s="80">
        <f>IF(ISNUMBER(MCC_Table[[#This Row],[SIZE]]), MCC_Table[[#This Row],[SIZE]]/12, 0)</f>
        <v/>
      </c>
      <c r="K349" s="82" t="n"/>
      <c r="L349" s="82" t="n"/>
      <c r="M349" s="82" t="n"/>
      <c r="N349" s="82" t="n"/>
      <c r="O349" s="77" t="n"/>
      <c r="P349" s="110" t="n"/>
      <c r="Q349" s="79" t="n"/>
      <c r="R349" s="79" t="n"/>
      <c r="S349" s="79" t="n"/>
      <c r="T349" s="79" t="n"/>
      <c r="U349" s="79" t="n"/>
      <c r="V349" s="79" t="n"/>
      <c r="W349" s="79" t="n"/>
      <c r="X349" s="79" t="n"/>
      <c r="Y349" s="79" t="n"/>
      <c r="Z349" s="79" t="n"/>
      <c r="AA349" s="79" t="n"/>
      <c r="AB349" s="225" t="n"/>
      <c r="AC349" s="225" t="n"/>
      <c r="AD349" s="225" t="n"/>
      <c r="AE349" s="29">
        <f>_xlfn.NUMBERVALUE(LEFT(MCC_Table[[#This Row],[BUCKET]],LEN(MCC_Table[[#This Row],[BUCKET]])-1))</f>
        <v/>
      </c>
      <c r="AF349" s="29">
        <f>RIGHT(MCC_Table[[#This Row],[BUCKET]],1)</f>
        <v/>
      </c>
      <c r="AG349" s="29">
        <f>VLOOKUP(MCC_Table[[#This Row],[START UNIT]],UnitMap[],2,FALSE)</f>
        <v/>
      </c>
      <c r="AH349" s="29">
        <f t="array" ref="AH34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49" s="29">
        <f>IF(ISNUMBER(MCC_Table[[#This Row],[SIZE]]), MCC_Table[[#This Row],[SIZE]]/6, 0)</f>
        <v/>
      </c>
      <c r="AJ349" s="29">
        <f>MCC_Table[[#This Row],[START INDEX]]+MCC_Table[[#This Row],[UNITS USED]]-1</f>
        <v/>
      </c>
      <c r="AK349" s="14" t="n"/>
      <c r="AL349" s="14" t="n"/>
      <c r="AM349" s="14" t="n"/>
      <c r="AN349" s="14" t="n"/>
      <c r="AO349" s="14" t="n"/>
      <c r="AP349" s="14" t="n"/>
      <c r="AQ349" s="14" t="n"/>
      <c r="AR349" s="14" t="n"/>
      <c r="AS349" s="14" t="n"/>
      <c r="AT349" s="14" t="n"/>
      <c r="AU349" s="14" t="n"/>
      <c r="AV349" s="14" t="n"/>
      <c r="AW349" s="14" t="n"/>
      <c r="AX349" s="14" t="n"/>
      <c r="AY349" s="14" t="n"/>
      <c r="AZ349" s="14" t="n"/>
      <c r="BA349" s="14" t="n"/>
      <c r="BB349" s="14" t="n"/>
      <c r="BC349" s="14" t="n"/>
      <c r="BD349" s="14" t="n"/>
      <c r="BE349" s="14" t="n"/>
    </row>
    <row r="350" hidden="1" ht="15.75" customHeight="1" thickTop="1">
      <c r="A350" s="113" t="inlineStr">
        <is>
          <t>VTTRS-MCC2</t>
        </is>
      </c>
      <c r="B350" s="29" t="inlineStr">
        <is>
          <t>10G</t>
        </is>
      </c>
      <c r="C350" s="24" t="inlineStr">
        <is>
          <t>SPACE</t>
        </is>
      </c>
      <c r="D350" s="62" t="inlineStr">
        <is>
          <t>12" SPACE</t>
        </is>
      </c>
      <c r="E350" s="29" t="inlineStr">
        <is>
          <t>SPACE</t>
        </is>
      </c>
      <c r="F350" s="8" t="n"/>
      <c r="G350" s="8" t="n"/>
      <c r="H350" s="82" t="n"/>
      <c r="I350" s="8" t="n"/>
      <c r="J350" s="80">
        <f>IF(ISNUMBER(MCC_Table[[#This Row],[SIZE]]), MCC_Table[[#This Row],[SIZE]]/12, 0)</f>
        <v/>
      </c>
      <c r="K350" s="82" t="n"/>
      <c r="L350" s="82" t="n"/>
      <c r="M350" s="82" t="n"/>
      <c r="N350" s="82" t="n"/>
      <c r="O350" s="77" t="n"/>
      <c r="P350" s="110" t="n"/>
      <c r="Q350" s="79" t="n"/>
      <c r="R350" s="79" t="n"/>
      <c r="S350" s="79" t="n"/>
      <c r="T350" s="79" t="n"/>
      <c r="U350" s="79" t="n"/>
      <c r="V350" s="79" t="n"/>
      <c r="W350" s="79" t="n"/>
      <c r="X350" s="79" t="n"/>
      <c r="Y350" s="79" t="n"/>
      <c r="Z350" s="79" t="n"/>
      <c r="AA350" s="79" t="n"/>
      <c r="AB350" s="225" t="n"/>
      <c r="AC350" s="225" t="n"/>
      <c r="AD350" s="225" t="n"/>
      <c r="AE350" s="29">
        <f>_xlfn.NUMBERVALUE(LEFT(MCC_Table[[#This Row],[BUCKET]],LEN(MCC_Table[[#This Row],[BUCKET]])-1))</f>
        <v/>
      </c>
      <c r="AF350" s="29">
        <f>RIGHT(MCC_Table[[#This Row],[BUCKET]],1)</f>
        <v/>
      </c>
      <c r="AG350" s="29">
        <f>VLOOKUP(MCC_Table[[#This Row],[START UNIT]],UnitMap[],2,FALSE)</f>
        <v/>
      </c>
      <c r="AH350" s="29">
        <f t="array" ref="AH35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50" s="29">
        <f>IF(ISNUMBER(MCC_Table[[#This Row],[SIZE]]), MCC_Table[[#This Row],[SIZE]]/6, 0)</f>
        <v/>
      </c>
      <c r="AJ350" s="29">
        <f>MCC_Table[[#This Row],[START INDEX]]+MCC_Table[[#This Row],[UNITS USED]]-1</f>
        <v/>
      </c>
      <c r="AK350" s="14" t="n"/>
      <c r="AL350" s="14" t="n"/>
      <c r="AM350" s="14" t="n"/>
      <c r="AN350" s="14" t="n"/>
      <c r="AO350" s="14" t="n"/>
      <c r="AP350" s="14" t="n"/>
      <c r="AQ350" s="14" t="n"/>
      <c r="AR350" s="14" t="n"/>
      <c r="AS350" s="14" t="n"/>
      <c r="AT350" s="14" t="n"/>
      <c r="AU350" s="14" t="n"/>
      <c r="AV350" s="14" t="n"/>
      <c r="AW350" s="14" t="n"/>
      <c r="AX350" s="14" t="n"/>
      <c r="AY350" s="14" t="n"/>
      <c r="AZ350" s="14" t="n"/>
      <c r="BA350" s="14" t="n"/>
      <c r="BB350" s="14" t="n"/>
      <c r="BC350" s="14" t="n"/>
      <c r="BD350" s="14" t="n"/>
      <c r="BE350" s="14" t="n"/>
    </row>
    <row r="351" hidden="1" ht="15.75" customHeight="1" thickTop="1">
      <c r="A351" s="113" t="inlineStr">
        <is>
          <t>VTTRS-MCC2</t>
        </is>
      </c>
      <c r="B351" s="29" t="inlineStr">
        <is>
          <t>10J</t>
        </is>
      </c>
      <c r="C351" s="24" t="inlineStr">
        <is>
          <t>SPACE</t>
        </is>
      </c>
      <c r="D351" s="62" t="inlineStr">
        <is>
          <t>12" SPACE</t>
        </is>
      </c>
      <c r="E351" s="29" t="inlineStr">
        <is>
          <t>SPACE</t>
        </is>
      </c>
      <c r="F351" s="8" t="n"/>
      <c r="G351" s="8" t="n"/>
      <c r="H351" s="82" t="n"/>
      <c r="I351" s="8" t="n"/>
      <c r="J351" s="80">
        <f>IF(ISNUMBER(MCC_Table[[#This Row],[SIZE]]), MCC_Table[[#This Row],[SIZE]]/12, 0)</f>
        <v/>
      </c>
      <c r="K351" s="82" t="n"/>
      <c r="L351" s="82" t="n"/>
      <c r="M351" s="82" t="n"/>
      <c r="N351" s="82" t="n"/>
      <c r="O351" s="77" t="n"/>
      <c r="P351" s="110" t="n"/>
      <c r="Q351" s="79" t="n"/>
      <c r="R351" s="79" t="n"/>
      <c r="S351" s="79" t="n"/>
      <c r="T351" s="79" t="n"/>
      <c r="U351" s="79" t="n"/>
      <c r="V351" s="79" t="n"/>
      <c r="W351" s="79" t="n"/>
      <c r="X351" s="79" t="n"/>
      <c r="Y351" s="79" t="n"/>
      <c r="Z351" s="79" t="n"/>
      <c r="AA351" s="79" t="n"/>
      <c r="AB351" s="225" t="n"/>
      <c r="AC351" s="225" t="n"/>
      <c r="AD351" s="225" t="n"/>
      <c r="AE351" s="29">
        <f>_xlfn.NUMBERVALUE(LEFT(MCC_Table[[#This Row],[BUCKET]],LEN(MCC_Table[[#This Row],[BUCKET]])-1))</f>
        <v/>
      </c>
      <c r="AF351" s="29">
        <f>RIGHT(MCC_Table[[#This Row],[BUCKET]],1)</f>
        <v/>
      </c>
      <c r="AG351" s="29">
        <f>VLOOKUP(MCC_Table[[#This Row],[START UNIT]],UnitMap[],2,FALSE)</f>
        <v/>
      </c>
      <c r="AH351" s="29">
        <f t="array" ref="AH35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51" s="29">
        <f>IF(ISNUMBER(MCC_Table[[#This Row],[SIZE]]), MCC_Table[[#This Row],[SIZE]]/6, 0)</f>
        <v/>
      </c>
      <c r="AJ351" s="29">
        <f>MCC_Table[[#This Row],[START INDEX]]+MCC_Table[[#This Row],[UNITS USED]]-1</f>
        <v/>
      </c>
      <c r="AK351" s="14" t="n"/>
      <c r="AL351" s="14" t="n"/>
      <c r="AM351" s="14" t="n"/>
      <c r="AN351" s="14" t="n"/>
      <c r="AO351" s="14" t="n"/>
      <c r="AP351" s="14" t="n"/>
      <c r="AQ351" s="14" t="n"/>
      <c r="AR351" s="14" t="n"/>
      <c r="AS351" s="14" t="n"/>
      <c r="AT351" s="14" t="n"/>
      <c r="AU351" s="14" t="n"/>
      <c r="AV351" s="14" t="n"/>
      <c r="AW351" s="14" t="n"/>
      <c r="AX351" s="14" t="n"/>
      <c r="AY351" s="14" t="n"/>
      <c r="AZ351" s="14" t="n"/>
      <c r="BA351" s="14" t="n"/>
      <c r="BB351" s="14" t="n"/>
      <c r="BC351" s="14" t="n"/>
      <c r="BD351" s="14" t="n"/>
      <c r="BE351" s="14" t="n"/>
    </row>
    <row r="352" hidden="1" ht="15.75" customHeight="1" thickTop="1">
      <c r="A352" s="113" t="inlineStr">
        <is>
          <t>VTTRS-MCC2</t>
        </is>
      </c>
      <c r="B352" s="29" t="inlineStr">
        <is>
          <t>10L</t>
        </is>
      </c>
      <c r="C352" s="24" t="inlineStr">
        <is>
          <t>SPACE</t>
        </is>
      </c>
      <c r="D352" s="62" t="inlineStr">
        <is>
          <t>12" SPACE</t>
        </is>
      </c>
      <c r="E352" s="29" t="inlineStr">
        <is>
          <t>SPACE</t>
        </is>
      </c>
      <c r="F352" s="8" t="n"/>
      <c r="G352" s="8" t="n"/>
      <c r="H352" s="82" t="n"/>
      <c r="I352" s="8" t="n"/>
      <c r="J352" s="80">
        <f>IF(ISNUMBER(MCC_Table[[#This Row],[SIZE]]), MCC_Table[[#This Row],[SIZE]]/12, 0)</f>
        <v/>
      </c>
      <c r="K352" s="82" t="n"/>
      <c r="L352" s="82" t="n"/>
      <c r="M352" s="82" t="n"/>
      <c r="N352" s="82" t="n"/>
      <c r="O352" s="77" t="n"/>
      <c r="P352" s="110" t="n"/>
      <c r="Q352" s="79" t="n"/>
      <c r="R352" s="79" t="n"/>
      <c r="S352" s="79" t="n"/>
      <c r="T352" s="79" t="n"/>
      <c r="U352" s="79" t="n"/>
      <c r="V352" s="79" t="n"/>
      <c r="W352" s="79" t="n"/>
      <c r="X352" s="79" t="n"/>
      <c r="Y352" s="79" t="n"/>
      <c r="Z352" s="79" t="n"/>
      <c r="AA352" s="79" t="n"/>
      <c r="AB352" s="225" t="n"/>
      <c r="AC352" s="225" t="n"/>
      <c r="AD352" s="225" t="n"/>
      <c r="AE352" s="29">
        <f>_xlfn.NUMBERVALUE(LEFT(MCC_Table[[#This Row],[BUCKET]],LEN(MCC_Table[[#This Row],[BUCKET]])-1))</f>
        <v/>
      </c>
      <c r="AF352" s="29">
        <f>RIGHT(MCC_Table[[#This Row],[BUCKET]],1)</f>
        <v/>
      </c>
      <c r="AG352" s="29">
        <f>VLOOKUP(MCC_Table[[#This Row],[START UNIT]],UnitMap[],2,FALSE)</f>
        <v/>
      </c>
      <c r="AH352" s="29">
        <f t="array" ref="AH35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52" s="29">
        <f>IF(ISNUMBER(MCC_Table[[#This Row],[SIZE]]), MCC_Table[[#This Row],[SIZE]]/6, 0)</f>
        <v/>
      </c>
      <c r="AJ352" s="29">
        <f>MCC_Table[[#This Row],[START INDEX]]+MCC_Table[[#This Row],[UNITS USED]]-1</f>
        <v/>
      </c>
      <c r="AK352" s="14" t="n"/>
      <c r="AL352" s="14" t="n"/>
      <c r="AM352" s="14" t="n"/>
      <c r="AN352" s="14" t="n"/>
      <c r="AO352" s="14" t="n"/>
      <c r="AP352" s="14" t="n"/>
      <c r="AQ352" s="14" t="n"/>
      <c r="AR352" s="14" t="n"/>
      <c r="AS352" s="14" t="n"/>
      <c r="AT352" s="14" t="n"/>
      <c r="AU352" s="14" t="n"/>
      <c r="AV352" s="14" t="n"/>
      <c r="AW352" s="14" t="n"/>
      <c r="AX352" s="14" t="n"/>
      <c r="AY352" s="14" t="n"/>
      <c r="AZ352" s="14" t="n"/>
      <c r="BA352" s="14" t="n"/>
      <c r="BB352" s="14" t="n"/>
      <c r="BC352" s="14" t="n"/>
      <c r="BD352" s="14" t="n"/>
      <c r="BE352" s="14" t="n"/>
    </row>
    <row r="353" hidden="1" ht="15.75" customHeight="1" thickTop="1">
      <c r="A353" s="113" t="inlineStr">
        <is>
          <t>VTTRS-MCC2</t>
        </is>
      </c>
      <c r="B353" s="29" t="inlineStr">
        <is>
          <t>11A</t>
        </is>
      </c>
      <c r="C353" s="24" t="inlineStr">
        <is>
          <t>RM5-MCC2-11A.SW1</t>
        </is>
      </c>
      <c r="D353" s="62" t="inlineStr">
        <is>
          <t>ETHERNET SWITCH (20-PORT)</t>
        </is>
      </c>
      <c r="E353" s="24" t="inlineStr">
        <is>
          <t>ENET_20</t>
        </is>
      </c>
      <c r="F353" s="8" t="n"/>
      <c r="G353" s="8" t="n"/>
      <c r="H353" s="87" t="n"/>
      <c r="I353" s="8" t="n"/>
      <c r="J353" s="80">
        <f>IF(ISNUMBER(MCC_Table[[#This Row],[SIZE]]), MCC_Table[[#This Row],[SIZE]]/12, 0)</f>
        <v/>
      </c>
      <c r="K353" s="87" t="n"/>
      <c r="L353" s="82" t="n"/>
      <c r="M353" s="87" t="n"/>
      <c r="N353" s="87" t="n"/>
      <c r="O353" s="77" t="n"/>
      <c r="P353" s="105" t="n"/>
      <c r="Q353" s="79" t="n"/>
      <c r="R353" s="79" t="n"/>
      <c r="S353" s="79" t="n"/>
      <c r="T353" s="79" t="n"/>
      <c r="U353" s="79" t="n"/>
      <c r="V353" s="79" t="n"/>
      <c r="W353" s="79" t="n"/>
      <c r="X353" s="79" t="n"/>
      <c r="Y353" s="79" t="n"/>
      <c r="Z353" s="79" t="n"/>
      <c r="AA353" s="79" t="n"/>
      <c r="AB353" s="225" t="n"/>
      <c r="AC353" s="225" t="n"/>
      <c r="AD353" s="225" t="n"/>
      <c r="AE353" s="29">
        <f>_xlfn.NUMBERVALUE(LEFT(MCC_Table[[#This Row],[BUCKET]],LEN(MCC_Table[[#This Row],[BUCKET]])-1))</f>
        <v/>
      </c>
      <c r="AF353" s="29">
        <f>RIGHT(MCC_Table[[#This Row],[BUCKET]],1)</f>
        <v/>
      </c>
      <c r="AG353" s="29">
        <f>VLOOKUP(MCC_Table[[#This Row],[START UNIT]],UnitMap[],2,FALSE)</f>
        <v/>
      </c>
      <c r="AH353" s="29">
        <f t="array" ref="AH35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53" s="29">
        <f>IF(ISNUMBER(MCC_Table[[#This Row],[SIZE]]), MCC_Table[[#This Row],[SIZE]]/6, 0)</f>
        <v/>
      </c>
      <c r="AJ353" s="29">
        <f>MCC_Table[[#This Row],[START INDEX]]+MCC_Table[[#This Row],[UNITS USED]]-1</f>
        <v/>
      </c>
      <c r="AK353" s="14" t="n"/>
      <c r="AL353" s="14" t="n"/>
      <c r="AM353" s="14" t="n"/>
      <c r="AN353" s="14" t="n"/>
      <c r="AO353" s="14" t="n"/>
      <c r="AP353" s="14" t="n"/>
      <c r="AQ353" s="14" t="n"/>
      <c r="AR353" s="14" t="n"/>
      <c r="AS353" s="14" t="n"/>
      <c r="AT353" s="14" t="n"/>
      <c r="AU353" s="14" t="n"/>
      <c r="AV353" s="14" t="n"/>
      <c r="AW353" s="14" t="n"/>
      <c r="AX353" s="14" t="n"/>
      <c r="AY353" s="14" t="n"/>
      <c r="AZ353" s="14" t="n"/>
      <c r="BA353" s="14" t="n"/>
      <c r="BB353" s="14" t="n"/>
      <c r="BC353" s="14" t="n"/>
      <c r="BD353" s="14" t="n"/>
      <c r="BE353" s="14" t="n"/>
    </row>
    <row r="354" hidden="1" ht="13.9" customHeight="1">
      <c r="A354" s="113" t="inlineStr">
        <is>
          <t>VTTRS-MCC2</t>
        </is>
      </c>
      <c r="B354" s="29" t="inlineStr">
        <is>
          <t>11C</t>
        </is>
      </c>
      <c r="C354" s="111" t="inlineStr">
        <is>
          <t>AGC-001.M1</t>
        </is>
      </c>
      <c r="D354" s="28" t="inlineStr">
        <is>
          <t>AUGER CART 1 - LEFT AUGER</t>
        </is>
      </c>
      <c r="E354" s="112" t="inlineStr">
        <is>
          <t>VFD</t>
        </is>
      </c>
      <c r="F354" s="29" t="n">
        <v>5</v>
      </c>
      <c r="G354" s="8" t="n">
        <v>5</v>
      </c>
      <c r="H354" s="82" t="n"/>
      <c r="I354" s="8" t="n"/>
      <c r="J354" s="80">
        <f>IF(ISNUMBER(MCC_Table[[#This Row],[SIZE]]), MCC_Table[[#This Row],[SIZE]]/12, 0)</f>
        <v/>
      </c>
      <c r="K354" s="82" t="n">
        <v>20</v>
      </c>
      <c r="L354" s="82" t="n">
        <v>125</v>
      </c>
      <c r="M354" s="82" t="n">
        <v>12</v>
      </c>
      <c r="N354" s="82" t="inlineStr">
        <is>
          <t>3/C #12 VFD CABLE</t>
        </is>
      </c>
      <c r="O354" s="77" t="n"/>
      <c r="P354" s="110" t="n"/>
      <c r="Q354" s="79" t="n"/>
      <c r="R354" s="79" t="n"/>
      <c r="S354" s="79" t="n"/>
      <c r="T354" s="79" t="n"/>
      <c r="U354" s="79" t="n"/>
      <c r="V354" s="79" t="n"/>
      <c r="W354" s="79" t="n"/>
      <c r="X354" s="79" t="n"/>
      <c r="Y354" s="79" t="n"/>
      <c r="Z354" s="79" t="n"/>
      <c r="AA354" s="79" t="n"/>
      <c r="AB354" s="225" t="n"/>
      <c r="AC354" s="225" t="n"/>
      <c r="AD354" s="225" t="n"/>
      <c r="AE354" s="29">
        <f>_xlfn.NUMBERVALUE(LEFT(MCC_Table[[#This Row],[BUCKET]],LEN(MCC_Table[[#This Row],[BUCKET]])-1))</f>
        <v/>
      </c>
      <c r="AF354" s="29">
        <f>RIGHT(MCC_Table[[#This Row],[BUCKET]],1)</f>
        <v/>
      </c>
      <c r="AG354" s="29">
        <f>VLOOKUP(MCC_Table[[#This Row],[START UNIT]],UnitMap[],2,FALSE)</f>
        <v/>
      </c>
      <c r="AH354" s="29">
        <f t="array" ref="AH35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54" s="29">
        <f>IF(ISNUMBER(MCC_Table[[#This Row],[SIZE]]), MCC_Table[[#This Row],[SIZE]]/6, 0)</f>
        <v/>
      </c>
      <c r="AJ354" s="29">
        <f>MCC_Table[[#This Row],[START INDEX]]+MCC_Table[[#This Row],[UNITS USED]]-1</f>
        <v/>
      </c>
      <c r="AK354" s="14" t="n"/>
      <c r="AL354" s="14" t="n"/>
      <c r="AM354" s="14" t="n"/>
      <c r="AN354" s="14" t="n"/>
      <c r="AO354" s="14" t="n"/>
      <c r="AP354" s="14" t="n"/>
      <c r="AQ354" s="14" t="n"/>
      <c r="AR354" s="14" t="n"/>
      <c r="AS354" s="14" t="n"/>
      <c r="AT354" s="14" t="n"/>
      <c r="AU354" s="14" t="n"/>
      <c r="AV354" s="14" t="n"/>
      <c r="AW354" s="14" t="n"/>
      <c r="AX354" s="14" t="n"/>
      <c r="AY354" s="14" t="n"/>
      <c r="AZ354" s="14" t="n"/>
      <c r="BA354" s="14" t="n"/>
      <c r="BB354" s="14" t="n"/>
      <c r="BC354" s="14" t="n"/>
      <c r="BD354" s="14" t="n"/>
      <c r="BE354" s="14" t="n"/>
    </row>
    <row r="355" hidden="1" ht="15.75" customHeight="1" thickTop="1">
      <c r="A355" s="113" t="inlineStr">
        <is>
          <t>VTTRS-MCC2</t>
        </is>
      </c>
      <c r="B355" s="29" t="inlineStr">
        <is>
          <t>11F</t>
        </is>
      </c>
      <c r="C355" s="111" t="inlineStr">
        <is>
          <t>AGC-001.M2</t>
        </is>
      </c>
      <c r="D355" s="28" t="inlineStr">
        <is>
          <t>AUGER CART 1 - RIGHT AUGER</t>
        </is>
      </c>
      <c r="E355" s="112" t="inlineStr">
        <is>
          <t>VFD</t>
        </is>
      </c>
      <c r="F355" s="29" t="n">
        <v>5</v>
      </c>
      <c r="G355" s="8" t="n">
        <v>5</v>
      </c>
      <c r="H355" s="82" t="n"/>
      <c r="I355" s="8" t="n"/>
      <c r="J355" s="80">
        <f>IF(ISNUMBER(MCC_Table[[#This Row],[SIZE]]), MCC_Table[[#This Row],[SIZE]]/12, 0)</f>
        <v/>
      </c>
      <c r="K355" s="82" t="n">
        <v>20</v>
      </c>
      <c r="L355" s="82" t="n">
        <v>125</v>
      </c>
      <c r="M355" s="82" t="n">
        <v>12</v>
      </c>
      <c r="N355" s="82" t="inlineStr">
        <is>
          <t>3/C #12 VFD CABLE</t>
        </is>
      </c>
      <c r="O355" s="77" t="n"/>
      <c r="P355" s="110" t="n"/>
      <c r="Q355" s="79" t="n"/>
      <c r="R355" s="79" t="n"/>
      <c r="S355" s="79" t="n"/>
      <c r="T355" s="79" t="n"/>
      <c r="U355" s="79" t="n"/>
      <c r="V355" s="79" t="n"/>
      <c r="W355" s="79" t="n"/>
      <c r="X355" s="79" t="n"/>
      <c r="Y355" s="79" t="n"/>
      <c r="Z355" s="79" t="n"/>
      <c r="AA355" s="79" t="n"/>
      <c r="AB355" s="225" t="n"/>
      <c r="AC355" s="225" t="n"/>
      <c r="AD355" s="225" t="n"/>
      <c r="AE355" s="29">
        <f>_xlfn.NUMBERVALUE(LEFT(MCC_Table[[#This Row],[BUCKET]],LEN(MCC_Table[[#This Row],[BUCKET]])-1))</f>
        <v/>
      </c>
      <c r="AF355" s="29">
        <f>RIGHT(MCC_Table[[#This Row],[BUCKET]],1)</f>
        <v/>
      </c>
      <c r="AG355" s="29">
        <f>VLOOKUP(MCC_Table[[#This Row],[START UNIT]],UnitMap[],2,FALSE)</f>
        <v/>
      </c>
      <c r="AH355" s="29">
        <f t="array" ref="AH35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55" s="29">
        <f>IF(ISNUMBER(MCC_Table[[#This Row],[SIZE]]), MCC_Table[[#This Row],[SIZE]]/6, 0)</f>
        <v/>
      </c>
      <c r="AJ355" s="29">
        <f>MCC_Table[[#This Row],[START INDEX]]+MCC_Table[[#This Row],[UNITS USED]]-1</f>
        <v/>
      </c>
      <c r="AK355" s="14" t="n"/>
      <c r="AL355" s="14" t="n"/>
      <c r="AM355" s="14" t="n"/>
      <c r="AN355" s="14" t="n"/>
      <c r="AO355" s="14" t="n"/>
      <c r="AP355" s="14" t="n"/>
      <c r="AQ355" s="14" t="n"/>
      <c r="AR355" s="14" t="n"/>
      <c r="AS355" s="14" t="n"/>
      <c r="AT355" s="14" t="n"/>
      <c r="AU355" s="14" t="n"/>
      <c r="AV355" s="14" t="n"/>
      <c r="AW355" s="14" t="n"/>
      <c r="AX355" s="14" t="n"/>
      <c r="AY355" s="14" t="n"/>
      <c r="AZ355" s="14" t="n"/>
      <c r="BA355" s="14" t="n"/>
      <c r="BB355" s="14" t="n"/>
      <c r="BC355" s="14" t="n"/>
      <c r="BD355" s="14" t="n"/>
      <c r="BE355" s="14" t="n"/>
    </row>
    <row r="356" hidden="1" ht="15.75" customHeight="1" thickTop="1">
      <c r="A356" s="113" t="inlineStr">
        <is>
          <t>VTTRS-MCC2</t>
        </is>
      </c>
      <c r="B356" s="29" t="inlineStr">
        <is>
          <t>11J</t>
        </is>
      </c>
      <c r="C356" s="111" t="inlineStr">
        <is>
          <t>AGC-002.M3</t>
        </is>
      </c>
      <c r="D356" s="28" t="inlineStr">
        <is>
          <t>AUGER CART 2 - LEVELING RIBBON</t>
        </is>
      </c>
      <c r="E356" s="29" t="inlineStr">
        <is>
          <t>VFD</t>
        </is>
      </c>
      <c r="F356" s="8" t="n">
        <v>7.5</v>
      </c>
      <c r="G356" s="8" t="n">
        <v>7.5</v>
      </c>
      <c r="H356" s="82" t="n"/>
      <c r="I356" s="8" t="n"/>
      <c r="J356" s="80">
        <f>IF(ISNUMBER(MCC_Table[[#This Row],[SIZE]]), MCC_Table[[#This Row],[SIZE]]/12, 0)</f>
        <v/>
      </c>
      <c r="K356" s="82" t="n">
        <v>30</v>
      </c>
      <c r="L356" s="82" t="n">
        <v>125</v>
      </c>
      <c r="M356" s="82" t="n">
        <v>25</v>
      </c>
      <c r="N356" s="82" t="inlineStr">
        <is>
          <t>3/C #12 VFD CABLE</t>
        </is>
      </c>
      <c r="O356" s="77" t="n"/>
      <c r="P356" s="110" t="n"/>
      <c r="Q356" s="79" t="n"/>
      <c r="R356" s="79" t="n"/>
      <c r="S356" s="79" t="n"/>
      <c r="T356" s="79" t="n"/>
      <c r="U356" s="79" t="n"/>
      <c r="V356" s="79" t="n"/>
      <c r="W356" s="79" t="n"/>
      <c r="X356" s="79" t="n"/>
      <c r="Y356" s="79" t="n"/>
      <c r="Z356" s="79" t="n"/>
      <c r="AA356" s="79" t="n"/>
      <c r="AB356" s="225" t="n"/>
      <c r="AC356" s="225" t="n"/>
      <c r="AD356" s="225" t="n"/>
      <c r="AE356" s="29">
        <f>_xlfn.NUMBERVALUE(LEFT(MCC_Table[[#This Row],[BUCKET]],LEN(MCC_Table[[#This Row],[BUCKET]])-1))</f>
        <v/>
      </c>
      <c r="AF356" s="29">
        <f>RIGHT(MCC_Table[[#This Row],[BUCKET]],1)</f>
        <v/>
      </c>
      <c r="AG356" s="29">
        <f>VLOOKUP(MCC_Table[[#This Row],[START UNIT]],UnitMap[],2,FALSE)</f>
        <v/>
      </c>
      <c r="AH356" s="29">
        <f t="array" ref="AH35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56" s="29">
        <f>IF(ISNUMBER(MCC_Table[[#This Row],[SIZE]]), MCC_Table[[#This Row],[SIZE]]/6, 0)</f>
        <v/>
      </c>
      <c r="AJ356" s="29">
        <f>MCC_Table[[#This Row],[START INDEX]]+MCC_Table[[#This Row],[UNITS USED]]-1</f>
        <v/>
      </c>
      <c r="AK356" s="14" t="n"/>
      <c r="AL356" s="14" t="n"/>
      <c r="AM356" s="14" t="n"/>
      <c r="AN356" s="14" t="n"/>
      <c r="AO356" s="14" t="n"/>
      <c r="AP356" s="14" t="n"/>
      <c r="AQ356" s="14" t="n"/>
      <c r="AR356" s="14" t="n"/>
      <c r="AS356" s="14" t="n"/>
      <c r="AT356" s="14" t="n"/>
      <c r="AU356" s="14" t="n"/>
      <c r="AV356" s="14" t="n"/>
      <c r="AW356" s="14" t="n"/>
      <c r="AX356" s="14" t="n"/>
      <c r="AY356" s="14" t="n"/>
      <c r="AZ356" s="14" t="n"/>
      <c r="BA356" s="14" t="n"/>
      <c r="BB356" s="14" t="n"/>
      <c r="BC356" s="14" t="n"/>
      <c r="BD356" s="14" t="n"/>
      <c r="BE356" s="14" t="n"/>
    </row>
    <row r="357" hidden="1" ht="15.75" customHeight="1" thickTop="1">
      <c r="A357" s="113" t="inlineStr">
        <is>
          <t>VTTRS-MCC2</t>
        </is>
      </c>
      <c r="B357" s="29" t="inlineStr">
        <is>
          <t>12A</t>
        </is>
      </c>
      <c r="C357" s="24" t="inlineStr">
        <is>
          <t>MLT-001</t>
        </is>
      </c>
      <c r="D357" s="28" t="inlineStr">
        <is>
          <t>TOTE DUMPER</t>
        </is>
      </c>
      <c r="E357" s="29" t="inlineStr">
        <is>
          <t>FVNR</t>
        </is>
      </c>
      <c r="F357" s="8" t="n">
        <v>10</v>
      </c>
      <c r="G357" s="8" t="n">
        <v>10</v>
      </c>
      <c r="H357" s="82" t="n"/>
      <c r="I357" s="8" t="n">
        <v>1</v>
      </c>
      <c r="J357" s="80">
        <f>IF(ISNUMBER(MCC_Table[[#This Row],[SIZE]]), MCC_Table[[#This Row],[SIZE]]/12, 0)</f>
        <v/>
      </c>
      <c r="K357" s="82" t="n">
        <v>30</v>
      </c>
      <c r="L357" s="82" t="n">
        <v>125</v>
      </c>
      <c r="M357" s="82" t="inlineStr">
        <is>
          <t>N/A</t>
        </is>
      </c>
      <c r="N357" s="82" t="inlineStr">
        <is>
          <t>3/C #12 W/ GND</t>
        </is>
      </c>
      <c r="O357" s="77" t="n"/>
      <c r="P357" s="110" t="n"/>
      <c r="Q357" s="79" t="n"/>
      <c r="R357" s="79" t="n"/>
      <c r="S357" s="79" t="n"/>
      <c r="T357" s="79" t="n"/>
      <c r="U357" s="79" t="n"/>
      <c r="V357" s="79" t="n"/>
      <c r="W357" s="79" t="n"/>
      <c r="X357" s="79" t="n"/>
      <c r="Y357" s="79" t="n"/>
      <c r="Z357" s="79" t="n"/>
      <c r="AA357" s="79" t="n"/>
      <c r="AB357" s="225" t="n"/>
      <c r="AC357" s="225" t="n"/>
      <c r="AD357" s="225" t="n"/>
      <c r="AE357" s="29">
        <f>_xlfn.NUMBERVALUE(LEFT(MCC_Table[[#This Row],[BUCKET]],LEN(MCC_Table[[#This Row],[BUCKET]])-1))</f>
        <v/>
      </c>
      <c r="AF357" s="29">
        <f>RIGHT(MCC_Table[[#This Row],[BUCKET]],1)</f>
        <v/>
      </c>
      <c r="AG357" s="29">
        <f>VLOOKUP(MCC_Table[[#This Row],[START UNIT]],UnitMap[],2,FALSE)</f>
        <v/>
      </c>
      <c r="AH357" s="29">
        <f t="array" ref="AH35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57" s="29">
        <f>IF(ISNUMBER(MCC_Table[[#This Row],[SIZE]]), MCC_Table[[#This Row],[SIZE]]/6, 0)</f>
        <v/>
      </c>
      <c r="AJ357" s="29">
        <f>MCC_Table[[#This Row],[START INDEX]]+MCC_Table[[#This Row],[UNITS USED]]-1</f>
        <v/>
      </c>
      <c r="AK357" s="14" t="n"/>
      <c r="AL357" s="14" t="n"/>
      <c r="AM357" s="14" t="n"/>
      <c r="AN357" s="14" t="n"/>
      <c r="AO357" s="14" t="n"/>
      <c r="AP357" s="14" t="n"/>
      <c r="AQ357" s="14" t="n"/>
      <c r="AR357" s="14" t="n"/>
      <c r="AS357" s="14" t="n"/>
      <c r="AT357" s="14" t="n"/>
      <c r="AU357" s="14" t="n"/>
      <c r="AV357" s="14" t="n"/>
      <c r="AW357" s="14" t="n"/>
      <c r="AX357" s="14" t="n"/>
      <c r="AY357" s="14" t="n"/>
      <c r="AZ357" s="14" t="n"/>
      <c r="BA357" s="14" t="n"/>
      <c r="BB357" s="14" t="n"/>
      <c r="BC357" s="14" t="n"/>
      <c r="BD357" s="14" t="n"/>
      <c r="BE357" s="14" t="n"/>
    </row>
    <row r="358" hidden="1" ht="15.75" customHeight="1" thickTop="1">
      <c r="A358" s="113" t="inlineStr">
        <is>
          <t>VTTRS-MCC2</t>
        </is>
      </c>
      <c r="B358" s="29" t="inlineStr">
        <is>
          <t>12C</t>
        </is>
      </c>
      <c r="C358" s="111" t="inlineStr">
        <is>
          <t>???</t>
        </is>
      </c>
      <c r="D358" s="28" t="inlineStr">
        <is>
          <t>TRACK</t>
        </is>
      </c>
      <c r="E358" s="112" t="inlineStr">
        <is>
          <t>FVR</t>
        </is>
      </c>
      <c r="F358" s="8" t="n">
        <v>1</v>
      </c>
      <c r="G358" s="8" t="n">
        <v>1</v>
      </c>
      <c r="H358" s="82" t="n"/>
      <c r="I358" s="8" t="n"/>
      <c r="J358" s="80">
        <f>IF(ISNUMBER(MCC_Table[[#This Row],[SIZE]]), MCC_Table[[#This Row],[SIZE]]/12, 0)</f>
        <v/>
      </c>
      <c r="K358" s="82" t="n">
        <v>3</v>
      </c>
      <c r="L358" s="82" t="n">
        <v>125</v>
      </c>
      <c r="M358" s="82" t="inlineStr">
        <is>
          <t>N/A</t>
        </is>
      </c>
      <c r="N358" s="82" t="inlineStr">
        <is>
          <t>3/C #12 W/ GND</t>
        </is>
      </c>
      <c r="O358" s="77" t="n"/>
      <c r="P358" s="110" t="n"/>
      <c r="Q358" s="79" t="n"/>
      <c r="R358" s="79" t="n"/>
      <c r="S358" s="79" t="n"/>
      <c r="T358" s="79" t="n"/>
      <c r="U358" s="79" t="n"/>
      <c r="V358" s="79" t="n"/>
      <c r="W358" s="79" t="n"/>
      <c r="X358" s="79" t="n"/>
      <c r="Y358" s="79" t="n"/>
      <c r="Z358" s="79" t="n"/>
      <c r="AA358" s="79" t="n"/>
      <c r="AB358" s="225" t="n"/>
      <c r="AC358" s="225" t="n"/>
      <c r="AD358" s="225" t="n"/>
      <c r="AE358" s="29">
        <f>_xlfn.NUMBERVALUE(LEFT(MCC_Table[[#This Row],[BUCKET]],LEN(MCC_Table[[#This Row],[BUCKET]])-1))</f>
        <v/>
      </c>
      <c r="AF358" s="29">
        <f>RIGHT(MCC_Table[[#This Row],[BUCKET]],1)</f>
        <v/>
      </c>
      <c r="AG358" s="29">
        <f>VLOOKUP(MCC_Table[[#This Row],[START UNIT]],UnitMap[],2,FALSE)</f>
        <v/>
      </c>
      <c r="AH358" s="29">
        <f t="array" ref="AH35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58" s="29">
        <f>IF(ISNUMBER(MCC_Table[[#This Row],[SIZE]]), MCC_Table[[#This Row],[SIZE]]/6, 0)</f>
        <v/>
      </c>
      <c r="AJ358" s="29">
        <f>MCC_Table[[#This Row],[START INDEX]]+MCC_Table[[#This Row],[UNITS USED]]-1</f>
        <v/>
      </c>
      <c r="AK358" s="14" t="n"/>
      <c r="AL358" s="14" t="n"/>
      <c r="AM358" s="14" t="n"/>
      <c r="AN358" s="14" t="n"/>
      <c r="AO358" s="14" t="n"/>
      <c r="AP358" s="14" t="n"/>
      <c r="AQ358" s="14" t="n"/>
      <c r="AR358" s="14" t="n"/>
      <c r="AS358" s="14" t="n"/>
      <c r="AT358" s="14" t="n"/>
      <c r="AU358" s="14" t="n"/>
      <c r="AV358" s="14" t="n"/>
      <c r="AW358" s="14" t="n"/>
      <c r="AX358" s="14" t="n"/>
      <c r="AY358" s="14" t="n"/>
      <c r="AZ358" s="14" t="n"/>
      <c r="BA358" s="14" t="n"/>
      <c r="BB358" s="14" t="n"/>
      <c r="BC358" s="14" t="n"/>
      <c r="BD358" s="14" t="n"/>
      <c r="BE358" s="14" t="n"/>
    </row>
    <row r="359" hidden="1" ht="15.75" customHeight="1" thickTop="1">
      <c r="A359" s="113" t="inlineStr">
        <is>
          <t>VTTRS-MCC2</t>
        </is>
      </c>
      <c r="B359" s="29" t="inlineStr">
        <is>
          <t>12F</t>
        </is>
      </c>
      <c r="C359" s="111" t="inlineStr">
        <is>
          <t>AGC-001.M3</t>
        </is>
      </c>
      <c r="D359" s="28" t="inlineStr">
        <is>
          <t>AUGER CART 1 - PUMP</t>
        </is>
      </c>
      <c r="E359" s="112" t="inlineStr">
        <is>
          <t>VFD</t>
        </is>
      </c>
      <c r="F359" s="8" t="n">
        <v>40</v>
      </c>
      <c r="G359" s="8" t="n">
        <v>40</v>
      </c>
      <c r="H359" s="87" t="n"/>
      <c r="I359" s="8" t="n"/>
      <c r="J359" s="80">
        <f>IF(ISNUMBER(MCC_Table[[#This Row],[SIZE]]), MCC_Table[[#This Row],[SIZE]]/12, 0)</f>
        <v/>
      </c>
      <c r="K359" s="87" t="n">
        <v>125</v>
      </c>
      <c r="L359" s="82" t="n">
        <v>125</v>
      </c>
      <c r="M359" s="87" t="n">
        <v>100</v>
      </c>
      <c r="N359" s="82" t="inlineStr">
        <is>
          <t>3/C #4 VFD CABLE</t>
        </is>
      </c>
      <c r="O359" s="77" t="n"/>
      <c r="P359" s="110" t="n"/>
      <c r="Q359" s="79" t="n"/>
      <c r="R359" s="79" t="n"/>
      <c r="S359" s="79" t="n"/>
      <c r="T359" s="79" t="n"/>
      <c r="U359" s="79" t="n"/>
      <c r="V359" s="79" t="n"/>
      <c r="W359" s="79" t="n"/>
      <c r="X359" s="79" t="n"/>
      <c r="Y359" s="79" t="n"/>
      <c r="Z359" s="79" t="n"/>
      <c r="AA359" s="79" t="n"/>
      <c r="AB359" s="225" t="n"/>
      <c r="AC359" s="225" t="n"/>
      <c r="AD359" s="225" t="n"/>
      <c r="AE359" s="29">
        <f>_xlfn.NUMBERVALUE(LEFT(MCC_Table[[#This Row],[BUCKET]],LEN(MCC_Table[[#This Row],[BUCKET]])-1))</f>
        <v/>
      </c>
      <c r="AF359" s="29">
        <f>RIGHT(MCC_Table[[#This Row],[BUCKET]],1)</f>
        <v/>
      </c>
      <c r="AG359" s="29">
        <f>VLOOKUP(MCC_Table[[#This Row],[START UNIT]],UnitMap[],2,FALSE)</f>
        <v/>
      </c>
      <c r="AH359" s="29">
        <f t="array" ref="AH35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59" s="29">
        <f>IF(ISNUMBER(MCC_Table[[#This Row],[SIZE]]), MCC_Table[[#This Row],[SIZE]]/6, 0)</f>
        <v/>
      </c>
      <c r="AJ359" s="29">
        <f>MCC_Table[[#This Row],[START INDEX]]+MCC_Table[[#This Row],[UNITS USED]]-1</f>
        <v/>
      </c>
      <c r="AK359" s="14" t="n"/>
      <c r="AL359" s="14" t="n"/>
      <c r="AM359" s="14" t="n"/>
      <c r="AN359" s="14" t="n"/>
      <c r="AO359" s="14" t="n"/>
      <c r="AP359" s="14" t="n"/>
      <c r="AQ359" s="14" t="n"/>
      <c r="AR359" s="14" t="n"/>
      <c r="AS359" s="14" t="n"/>
      <c r="AT359" s="14" t="n"/>
      <c r="AU359" s="14" t="n"/>
      <c r="AV359" s="14" t="n"/>
      <c r="AW359" s="14" t="n"/>
      <c r="AX359" s="14" t="n"/>
      <c r="AY359" s="14" t="n"/>
      <c r="AZ359" s="14" t="n"/>
      <c r="BA359" s="14" t="n"/>
      <c r="BB359" s="14" t="n"/>
      <c r="BC359" s="14" t="n"/>
      <c r="BD359" s="14" t="n"/>
      <c r="BE359" s="14" t="n"/>
    </row>
    <row r="360" hidden="1" ht="15.75" customHeight="1" thickTop="1">
      <c r="A360" s="113" t="inlineStr">
        <is>
          <t>VTTRS-MCC2</t>
        </is>
      </c>
      <c r="B360" s="29" t="inlineStr">
        <is>
          <t>13A</t>
        </is>
      </c>
      <c r="C360" s="24" t="inlineStr">
        <is>
          <t>SPACE</t>
        </is>
      </c>
      <c r="D360" s="62" t="inlineStr">
        <is>
          <t>12" SPACE</t>
        </is>
      </c>
      <c r="E360" s="29" t="inlineStr">
        <is>
          <t>SPACE</t>
        </is>
      </c>
      <c r="F360" s="8" t="n"/>
      <c r="G360" s="8" t="n"/>
      <c r="H360" s="82" t="n"/>
      <c r="I360" s="8" t="n"/>
      <c r="J360" s="80">
        <f>IF(ISNUMBER(MCC_Table[[#This Row],[SIZE]]), MCC_Table[[#This Row],[SIZE]]/12, 0)</f>
        <v/>
      </c>
      <c r="K360" s="82" t="n"/>
      <c r="L360" s="82" t="n"/>
      <c r="M360" s="82" t="n"/>
      <c r="N360" s="82" t="n"/>
      <c r="O360" s="77" t="n"/>
      <c r="P360" s="110" t="n"/>
      <c r="Q360" s="79" t="n"/>
      <c r="R360" s="79" t="n"/>
      <c r="S360" s="79" t="n"/>
      <c r="T360" s="79" t="n"/>
      <c r="U360" s="79" t="n"/>
      <c r="V360" s="79" t="n"/>
      <c r="W360" s="79" t="n"/>
      <c r="X360" s="79" t="n"/>
      <c r="Y360" s="79" t="n"/>
      <c r="Z360" s="79" t="n"/>
      <c r="AA360" s="79" t="n"/>
      <c r="AB360" s="225" t="n"/>
      <c r="AC360" s="225" t="n"/>
      <c r="AD360" s="225" t="n"/>
      <c r="AE360" s="29">
        <f>_xlfn.NUMBERVALUE(LEFT(MCC_Table[[#This Row],[BUCKET]],LEN(MCC_Table[[#This Row],[BUCKET]])-1))</f>
        <v/>
      </c>
      <c r="AF360" s="29">
        <f>RIGHT(MCC_Table[[#This Row],[BUCKET]],1)</f>
        <v/>
      </c>
      <c r="AG360" s="29">
        <f>VLOOKUP(MCC_Table[[#This Row],[START UNIT]],UnitMap[],2,FALSE)</f>
        <v/>
      </c>
      <c r="AH360" s="29">
        <f t="array" ref="AH36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60" s="29">
        <f>IF(ISNUMBER(MCC_Table[[#This Row],[SIZE]]), MCC_Table[[#This Row],[SIZE]]/6, 0)</f>
        <v/>
      </c>
      <c r="AJ360" s="29">
        <f>MCC_Table[[#This Row],[START INDEX]]+MCC_Table[[#This Row],[UNITS USED]]-1</f>
        <v/>
      </c>
      <c r="AK360" s="14" t="n"/>
      <c r="AL360" s="14" t="n"/>
      <c r="AM360" s="14" t="n"/>
      <c r="AN360" s="14" t="n"/>
      <c r="AO360" s="14" t="n"/>
      <c r="AP360" s="14" t="n"/>
      <c r="AQ360" s="14" t="n"/>
      <c r="AR360" s="14" t="n"/>
      <c r="AS360" s="14" t="n"/>
      <c r="AT360" s="14" t="n"/>
      <c r="AU360" s="14" t="n"/>
      <c r="AV360" s="14" t="n"/>
      <c r="AW360" s="14" t="n"/>
      <c r="AX360" s="14" t="n"/>
      <c r="AY360" s="14" t="n"/>
      <c r="AZ360" s="14" t="n"/>
      <c r="BA360" s="14" t="n"/>
      <c r="BB360" s="14" t="n"/>
      <c r="BC360" s="14" t="n"/>
      <c r="BD360" s="14" t="n"/>
      <c r="BE360" s="14" t="n"/>
    </row>
    <row r="361" hidden="1" ht="15.75" customHeight="1" thickTop="1">
      <c r="A361" s="113" t="inlineStr">
        <is>
          <t>VTTRS-MCC2</t>
        </is>
      </c>
      <c r="B361" s="29" t="inlineStr">
        <is>
          <t>13C</t>
        </is>
      </c>
      <c r="C361" s="24" t="inlineStr">
        <is>
          <t>SPACE</t>
        </is>
      </c>
      <c r="D361" s="62" t="inlineStr">
        <is>
          <t>12" SPACE</t>
        </is>
      </c>
      <c r="E361" s="29" t="inlineStr">
        <is>
          <t>SPACE</t>
        </is>
      </c>
      <c r="F361" s="8" t="n"/>
      <c r="G361" s="8" t="n"/>
      <c r="H361" s="82" t="n"/>
      <c r="I361" s="8" t="n"/>
      <c r="J361" s="80">
        <f>IF(ISNUMBER(MCC_Table[[#This Row],[SIZE]]), MCC_Table[[#This Row],[SIZE]]/12, 0)</f>
        <v/>
      </c>
      <c r="K361" s="82" t="n"/>
      <c r="L361" s="82" t="n"/>
      <c r="M361" s="82" t="n"/>
      <c r="N361" s="82" t="n"/>
      <c r="O361" s="77" t="n"/>
      <c r="P361" s="110" t="n"/>
      <c r="Q361" s="79" t="n"/>
      <c r="R361" s="79" t="n"/>
      <c r="S361" s="79" t="n"/>
      <c r="T361" s="79" t="n"/>
      <c r="U361" s="79" t="n"/>
      <c r="V361" s="79" t="n"/>
      <c r="W361" s="79" t="n"/>
      <c r="X361" s="79" t="n"/>
      <c r="Y361" s="79" t="n"/>
      <c r="Z361" s="79" t="n"/>
      <c r="AA361" s="79" t="n"/>
      <c r="AB361" s="225" t="n"/>
      <c r="AC361" s="225" t="n"/>
      <c r="AD361" s="225" t="n"/>
      <c r="AE361" s="29">
        <f>_xlfn.NUMBERVALUE(LEFT(MCC_Table[[#This Row],[BUCKET]],LEN(MCC_Table[[#This Row],[BUCKET]])-1))</f>
        <v/>
      </c>
      <c r="AF361" s="29">
        <f>RIGHT(MCC_Table[[#This Row],[BUCKET]],1)</f>
        <v/>
      </c>
      <c r="AG361" s="29">
        <f>VLOOKUP(MCC_Table[[#This Row],[START UNIT]],UnitMap[],2,FALSE)</f>
        <v/>
      </c>
      <c r="AH361" s="29">
        <f t="array" ref="AH36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61" s="29">
        <f>IF(ISNUMBER(MCC_Table[[#This Row],[SIZE]]), MCC_Table[[#This Row],[SIZE]]/6, 0)</f>
        <v/>
      </c>
      <c r="AJ361" s="29">
        <f>MCC_Table[[#This Row],[START INDEX]]+MCC_Table[[#This Row],[UNITS USED]]-1</f>
        <v/>
      </c>
      <c r="AK361" s="14" t="n"/>
      <c r="AL361" s="14" t="n"/>
      <c r="AM361" s="14" t="n"/>
      <c r="AN361" s="14" t="n"/>
      <c r="AO361" s="14" t="n"/>
      <c r="AP361" s="14" t="n"/>
      <c r="AQ361" s="14" t="n"/>
      <c r="AR361" s="14" t="n"/>
      <c r="AS361" s="14" t="n"/>
      <c r="AT361" s="14" t="n"/>
      <c r="AU361" s="14" t="n"/>
      <c r="AV361" s="14" t="n"/>
      <c r="AW361" s="14" t="n"/>
      <c r="AX361" s="14" t="n"/>
      <c r="AY361" s="14" t="n"/>
      <c r="AZ361" s="14" t="n"/>
      <c r="BA361" s="14" t="n"/>
      <c r="BB361" s="14" t="n"/>
      <c r="BC361" s="14" t="n"/>
      <c r="BD361" s="14" t="n"/>
      <c r="BE361" s="14" t="n"/>
    </row>
    <row r="362" hidden="1" ht="15.75" customHeight="1" thickTop="1">
      <c r="A362" s="113" t="inlineStr">
        <is>
          <t>VTTRS-MCC2</t>
        </is>
      </c>
      <c r="B362" s="29" t="inlineStr">
        <is>
          <t>13E</t>
        </is>
      </c>
      <c r="C362" s="24" t="inlineStr">
        <is>
          <t>SPACE</t>
        </is>
      </c>
      <c r="D362" s="62" t="inlineStr">
        <is>
          <t>12" SPACE</t>
        </is>
      </c>
      <c r="E362" s="29" t="inlineStr">
        <is>
          <t>SPACE</t>
        </is>
      </c>
      <c r="F362" s="8" t="n"/>
      <c r="G362" s="8" t="n"/>
      <c r="H362" s="82" t="n"/>
      <c r="I362" s="8" t="n"/>
      <c r="J362" s="80">
        <f>IF(ISNUMBER(MCC_Table[[#This Row],[SIZE]]), MCC_Table[[#This Row],[SIZE]]/12, 0)</f>
        <v/>
      </c>
      <c r="K362" s="82" t="n"/>
      <c r="L362" s="82" t="n"/>
      <c r="M362" s="82" t="n"/>
      <c r="N362" s="82" t="n"/>
      <c r="O362" s="77" t="n"/>
      <c r="P362" s="110" t="n"/>
      <c r="Q362" s="79" t="n"/>
      <c r="R362" s="79" t="n"/>
      <c r="S362" s="79" t="n"/>
      <c r="T362" s="79" t="n"/>
      <c r="U362" s="79" t="n"/>
      <c r="V362" s="79" t="n"/>
      <c r="W362" s="79" t="n"/>
      <c r="X362" s="79" t="n"/>
      <c r="Y362" s="79" t="n"/>
      <c r="Z362" s="79" t="n"/>
      <c r="AA362" s="79" t="n"/>
      <c r="AB362" s="225" t="n"/>
      <c r="AC362" s="225" t="n"/>
      <c r="AD362" s="225" t="n"/>
      <c r="AE362" s="29">
        <f>_xlfn.NUMBERVALUE(LEFT(MCC_Table[[#This Row],[BUCKET]],LEN(MCC_Table[[#This Row],[BUCKET]])-1))</f>
        <v/>
      </c>
      <c r="AF362" s="29">
        <f>RIGHT(MCC_Table[[#This Row],[BUCKET]],1)</f>
        <v/>
      </c>
      <c r="AG362" s="29">
        <f>VLOOKUP(MCC_Table[[#This Row],[START UNIT]],UnitMap[],2,FALSE)</f>
        <v/>
      </c>
      <c r="AH362" s="29">
        <f t="array" ref="AH36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62" s="29">
        <f>IF(ISNUMBER(MCC_Table[[#This Row],[SIZE]]), MCC_Table[[#This Row],[SIZE]]/6, 0)</f>
        <v/>
      </c>
      <c r="AJ362" s="29">
        <f>MCC_Table[[#This Row],[START INDEX]]+MCC_Table[[#This Row],[UNITS USED]]-1</f>
        <v/>
      </c>
      <c r="AK362" s="14" t="n"/>
      <c r="AL362" s="14" t="n"/>
      <c r="AM362" s="14" t="n"/>
      <c r="AN362" s="14" t="n"/>
      <c r="AO362" s="14" t="n"/>
      <c r="AP362" s="14" t="n"/>
      <c r="AQ362" s="14" t="n"/>
      <c r="AR362" s="14" t="n"/>
      <c r="AS362" s="14" t="n"/>
      <c r="AT362" s="14" t="n"/>
      <c r="AU362" s="14" t="n"/>
      <c r="AV362" s="14" t="n"/>
      <c r="AW362" s="14" t="n"/>
      <c r="AX362" s="14" t="n"/>
      <c r="AY362" s="14" t="n"/>
      <c r="AZ362" s="14" t="n"/>
      <c r="BA362" s="14" t="n"/>
      <c r="BB362" s="14" t="n"/>
      <c r="BC362" s="14" t="n"/>
      <c r="BD362" s="14" t="n"/>
      <c r="BE362" s="14" t="n"/>
    </row>
    <row r="363" hidden="1" ht="15.75" customHeight="1" thickTop="1">
      <c r="A363" s="113" t="inlineStr">
        <is>
          <t>VTTRS-MCC2</t>
        </is>
      </c>
      <c r="B363" s="29" t="inlineStr">
        <is>
          <t>13G</t>
        </is>
      </c>
      <c r="C363" s="24" t="inlineStr">
        <is>
          <t>SPACE</t>
        </is>
      </c>
      <c r="D363" s="62" t="inlineStr">
        <is>
          <t>12" SPACE</t>
        </is>
      </c>
      <c r="E363" s="29" t="inlineStr">
        <is>
          <t>SPACE</t>
        </is>
      </c>
      <c r="F363" s="8" t="n"/>
      <c r="G363" s="8" t="n"/>
      <c r="H363" s="82" t="n"/>
      <c r="I363" s="8" t="n"/>
      <c r="J363" s="80">
        <f>IF(ISNUMBER(MCC_Table[[#This Row],[SIZE]]), MCC_Table[[#This Row],[SIZE]]/12, 0)</f>
        <v/>
      </c>
      <c r="K363" s="82" t="n"/>
      <c r="L363" s="82" t="n"/>
      <c r="M363" s="82" t="n"/>
      <c r="N363" s="82" t="n"/>
      <c r="O363" s="77" t="n"/>
      <c r="P363" s="110" t="n"/>
      <c r="Q363" s="79" t="n"/>
      <c r="R363" s="79" t="n"/>
      <c r="S363" s="79" t="n"/>
      <c r="T363" s="79" t="n"/>
      <c r="U363" s="79" t="n"/>
      <c r="V363" s="79" t="n"/>
      <c r="W363" s="79" t="n"/>
      <c r="X363" s="79" t="n"/>
      <c r="Y363" s="79" t="n"/>
      <c r="Z363" s="79" t="n"/>
      <c r="AA363" s="79" t="n"/>
      <c r="AB363" s="225" t="n"/>
      <c r="AC363" s="225" t="n"/>
      <c r="AD363" s="225" t="n"/>
      <c r="AE363" s="29">
        <f>_xlfn.NUMBERVALUE(LEFT(MCC_Table[[#This Row],[BUCKET]],LEN(MCC_Table[[#This Row],[BUCKET]])-1))</f>
        <v/>
      </c>
      <c r="AF363" s="29">
        <f>RIGHT(MCC_Table[[#This Row],[BUCKET]],1)</f>
        <v/>
      </c>
      <c r="AG363" s="29">
        <f>VLOOKUP(MCC_Table[[#This Row],[START UNIT]],UnitMap[],2,FALSE)</f>
        <v/>
      </c>
      <c r="AH363" s="29">
        <f t="array" ref="AH36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63" s="29">
        <f>IF(ISNUMBER(MCC_Table[[#This Row],[SIZE]]), MCC_Table[[#This Row],[SIZE]]/6, 0)</f>
        <v/>
      </c>
      <c r="AJ363" s="29">
        <f>MCC_Table[[#This Row],[START INDEX]]+MCC_Table[[#This Row],[UNITS USED]]-1</f>
        <v/>
      </c>
      <c r="AK363" s="14" t="n"/>
      <c r="AL363" s="14" t="n"/>
      <c r="AM363" s="14" t="n"/>
      <c r="AN363" s="14" t="n"/>
      <c r="AO363" s="14" t="n"/>
      <c r="AP363" s="14" t="n"/>
      <c r="AQ363" s="14" t="n"/>
      <c r="AR363" s="14" t="n"/>
      <c r="AS363" s="14" t="n"/>
      <c r="AT363" s="14" t="n"/>
      <c r="AU363" s="14" t="n"/>
      <c r="AV363" s="14" t="n"/>
      <c r="AW363" s="14" t="n"/>
      <c r="AX363" s="14" t="n"/>
      <c r="AY363" s="14" t="n"/>
      <c r="AZ363" s="14" t="n"/>
      <c r="BA363" s="14" t="n"/>
      <c r="BB363" s="14" t="n"/>
      <c r="BC363" s="14" t="n"/>
      <c r="BD363" s="14" t="n"/>
      <c r="BE363" s="14" t="n"/>
    </row>
    <row r="364" hidden="1" ht="15.75" customHeight="1" thickTop="1">
      <c r="A364" s="113" t="inlineStr">
        <is>
          <t>VTTRS-MCC2</t>
        </is>
      </c>
      <c r="B364" s="29" t="inlineStr">
        <is>
          <t>13J</t>
        </is>
      </c>
      <c r="C364" s="24" t="inlineStr">
        <is>
          <t>SPACE</t>
        </is>
      </c>
      <c r="D364" s="62" t="inlineStr">
        <is>
          <t>12" SPACE</t>
        </is>
      </c>
      <c r="E364" s="29" t="inlineStr">
        <is>
          <t>SPACE</t>
        </is>
      </c>
      <c r="F364" s="8" t="n"/>
      <c r="G364" s="8" t="n"/>
      <c r="H364" s="82" t="n"/>
      <c r="I364" s="8" t="n"/>
      <c r="J364" s="80">
        <f>IF(ISNUMBER(MCC_Table[[#This Row],[SIZE]]), MCC_Table[[#This Row],[SIZE]]/12, 0)</f>
        <v/>
      </c>
      <c r="K364" s="82" t="n"/>
      <c r="L364" s="82" t="n"/>
      <c r="M364" s="82" t="n"/>
      <c r="N364" s="82" t="n"/>
      <c r="O364" s="77" t="n"/>
      <c r="P364" s="110" t="n"/>
      <c r="Q364" s="79" t="n"/>
      <c r="R364" s="79" t="n"/>
      <c r="S364" s="79" t="n"/>
      <c r="T364" s="79" t="n"/>
      <c r="U364" s="79" t="n"/>
      <c r="V364" s="79" t="n"/>
      <c r="W364" s="79" t="n"/>
      <c r="X364" s="79" t="n"/>
      <c r="Y364" s="79" t="n"/>
      <c r="Z364" s="79" t="n"/>
      <c r="AA364" s="79" t="n"/>
      <c r="AB364" s="225" t="n"/>
      <c r="AC364" s="225" t="n"/>
      <c r="AD364" s="225" t="n"/>
      <c r="AE364" s="29">
        <f>_xlfn.NUMBERVALUE(LEFT(MCC_Table[[#This Row],[BUCKET]],LEN(MCC_Table[[#This Row],[BUCKET]])-1))</f>
        <v/>
      </c>
      <c r="AF364" s="29">
        <f>RIGHT(MCC_Table[[#This Row],[BUCKET]],1)</f>
        <v/>
      </c>
      <c r="AG364" s="29">
        <f>VLOOKUP(MCC_Table[[#This Row],[START UNIT]],UnitMap[],2,FALSE)</f>
        <v/>
      </c>
      <c r="AH364" s="29">
        <f t="array" ref="AH36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64" s="29">
        <f>IF(ISNUMBER(MCC_Table[[#This Row],[SIZE]]), MCC_Table[[#This Row],[SIZE]]/6, 0)</f>
        <v/>
      </c>
      <c r="AJ364" s="29">
        <f>MCC_Table[[#This Row],[START INDEX]]+MCC_Table[[#This Row],[UNITS USED]]-1</f>
        <v/>
      </c>
      <c r="AK364" s="14" t="n"/>
      <c r="AL364" s="14" t="n"/>
      <c r="AM364" s="14" t="n"/>
      <c r="AN364" s="14" t="n"/>
      <c r="AO364" s="14" t="n"/>
      <c r="AP364" s="14" t="n"/>
      <c r="AQ364" s="14" t="n"/>
      <c r="AR364" s="14" t="n"/>
      <c r="AS364" s="14" t="n"/>
      <c r="AT364" s="14" t="n"/>
      <c r="AU364" s="14" t="n"/>
      <c r="AV364" s="14" t="n"/>
      <c r="AW364" s="14" t="n"/>
      <c r="AX364" s="14" t="n"/>
      <c r="AY364" s="14" t="n"/>
      <c r="AZ364" s="14" t="n"/>
      <c r="BA364" s="14" t="n"/>
      <c r="BB364" s="14" t="n"/>
      <c r="BC364" s="14" t="n"/>
      <c r="BD364" s="14" t="n"/>
      <c r="BE364" s="14" t="n"/>
    </row>
    <row r="365" hidden="1" ht="15.75" customHeight="1" thickTop="1">
      <c r="A365" s="113" t="inlineStr">
        <is>
          <t>VTTRS-MCC2</t>
        </is>
      </c>
      <c r="B365" s="29" t="inlineStr">
        <is>
          <t>13L</t>
        </is>
      </c>
      <c r="C365" s="24" t="inlineStr">
        <is>
          <t>SPACE</t>
        </is>
      </c>
      <c r="D365" s="62" t="inlineStr">
        <is>
          <t>12" SPACE</t>
        </is>
      </c>
      <c r="E365" s="29" t="inlineStr">
        <is>
          <t>SPACE</t>
        </is>
      </c>
      <c r="F365" s="8" t="n"/>
      <c r="G365" s="8" t="n"/>
      <c r="H365" s="82" t="n"/>
      <c r="I365" s="8" t="n"/>
      <c r="J365" s="80">
        <f>IF(ISNUMBER(MCC_Table[[#This Row],[SIZE]]), MCC_Table[[#This Row],[SIZE]]/12, 0)</f>
        <v/>
      </c>
      <c r="K365" s="82" t="n"/>
      <c r="L365" s="82" t="n"/>
      <c r="M365" s="82" t="n"/>
      <c r="N365" s="82" t="n"/>
      <c r="O365" s="77" t="n"/>
      <c r="P365" s="110" t="n"/>
      <c r="Q365" s="79" t="n"/>
      <c r="R365" s="79" t="n"/>
      <c r="S365" s="79" t="n"/>
      <c r="T365" s="79" t="n"/>
      <c r="U365" s="79" t="n"/>
      <c r="V365" s="79" t="n"/>
      <c r="W365" s="79" t="n"/>
      <c r="X365" s="79" t="n"/>
      <c r="Y365" s="79" t="n"/>
      <c r="Z365" s="79" t="n"/>
      <c r="AA365" s="79" t="n"/>
      <c r="AB365" s="225" t="n"/>
      <c r="AC365" s="225" t="n"/>
      <c r="AD365" s="225" t="n"/>
      <c r="AE365" s="29">
        <f>_xlfn.NUMBERVALUE(LEFT(MCC_Table[[#This Row],[BUCKET]],LEN(MCC_Table[[#This Row],[BUCKET]])-1))</f>
        <v/>
      </c>
      <c r="AF365" s="29">
        <f>RIGHT(MCC_Table[[#This Row],[BUCKET]],1)</f>
        <v/>
      </c>
      <c r="AG365" s="29">
        <f>VLOOKUP(MCC_Table[[#This Row],[START UNIT]],UnitMap[],2,FALSE)</f>
        <v/>
      </c>
      <c r="AH365" s="29">
        <f t="array" ref="AH36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65" s="29">
        <f>IF(ISNUMBER(MCC_Table[[#This Row],[SIZE]]), MCC_Table[[#This Row],[SIZE]]/6, 0)</f>
        <v/>
      </c>
      <c r="AJ365" s="29">
        <f>MCC_Table[[#This Row],[START INDEX]]+MCC_Table[[#This Row],[UNITS USED]]-1</f>
        <v/>
      </c>
      <c r="AK365" s="14" t="n"/>
      <c r="AL365" s="14" t="n"/>
      <c r="AM365" s="14" t="n"/>
      <c r="AN365" s="14" t="n"/>
      <c r="AO365" s="14" t="n"/>
      <c r="AP365" s="14" t="n"/>
      <c r="AQ365" s="14" t="n"/>
      <c r="AR365" s="14" t="n"/>
      <c r="AS365" s="14" t="n"/>
      <c r="AT365" s="14" t="n"/>
      <c r="AU365" s="14" t="n"/>
      <c r="AV365" s="14" t="n"/>
      <c r="AW365" s="14" t="n"/>
      <c r="AX365" s="14" t="n"/>
      <c r="AY365" s="14" t="n"/>
      <c r="AZ365" s="14" t="n"/>
      <c r="BA365" s="14" t="n"/>
      <c r="BB365" s="14" t="n"/>
      <c r="BC365" s="14" t="n"/>
      <c r="BD365" s="14" t="n"/>
      <c r="BE365" s="14" t="n"/>
    </row>
    <row r="366" hidden="1" ht="15.75" customHeight="1" thickTop="1">
      <c r="A366" s="113" t="inlineStr">
        <is>
          <t>VTTRS-MCC2</t>
        </is>
      </c>
      <c r="B366" s="8" t="inlineStr">
        <is>
          <t>14A</t>
        </is>
      </c>
      <c r="C366" s="24" t="inlineStr">
        <is>
          <t>GRR-001</t>
        </is>
      </c>
      <c r="D366" s="28" t="inlineStr">
        <is>
          <t>FROZEN GRINDER</t>
        </is>
      </c>
      <c r="E366" s="29" t="inlineStr">
        <is>
          <t>VFD</t>
        </is>
      </c>
      <c r="F366" s="8" t="n">
        <v>215</v>
      </c>
      <c r="G366" s="8" t="n">
        <v>250</v>
      </c>
      <c r="H366" s="82" t="n"/>
      <c r="I366" s="8" t="n"/>
      <c r="J366" s="83">
        <f>IF(ISNUMBER(MCC_Table[[#This Row],[SIZE]]), MCC_Table[[#This Row],[SIZE]]/12, 0)</f>
        <v/>
      </c>
      <c r="K366" s="82" t="n">
        <v>400</v>
      </c>
      <c r="L366" s="82" t="n">
        <v>400</v>
      </c>
      <c r="M366" s="82" t="n">
        <v>400</v>
      </c>
      <c r="N366" s="82" t="inlineStr">
        <is>
          <t>3/C 400 MCM VFD CABLE</t>
        </is>
      </c>
      <c r="O366" s="77" t="n"/>
      <c r="P366" s="85" t="n"/>
      <c r="Q366" s="79" t="n"/>
      <c r="R366" s="79" t="n"/>
      <c r="S366" s="79" t="n"/>
      <c r="T366" s="79" t="n"/>
      <c r="U366" s="79" t="n"/>
      <c r="V366" s="79" t="n"/>
      <c r="W366" s="79" t="n"/>
      <c r="X366" s="79" t="n"/>
      <c r="Y366" s="79" t="n"/>
      <c r="Z366" s="79" t="n"/>
      <c r="AA366" s="79" t="n"/>
      <c r="AB366" s="225" t="n"/>
      <c r="AC366" s="225" t="n"/>
      <c r="AD366" s="225" t="n"/>
      <c r="AE366" s="8">
        <f>_xlfn.NUMBERVALUE(LEFT(MCC_Table[[#This Row],[BUCKET]],LEN(MCC_Table[[#This Row],[BUCKET]])-1))</f>
        <v/>
      </c>
      <c r="AF366" s="8">
        <f>RIGHT(MCC_Table[[#This Row],[BUCKET]],1)</f>
        <v/>
      </c>
      <c r="AG366" s="8">
        <f>VLOOKUP(MCC_Table[[#This Row],[START UNIT]],UnitMap[],2,FALSE)</f>
        <v/>
      </c>
      <c r="AH366" s="8">
        <f t="array" ref="AH36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66" s="8">
        <f>IF(ISNUMBER(MCC_Table[[#This Row],[SIZE]]), MCC_Table[[#This Row],[SIZE]]/6, 0)</f>
        <v/>
      </c>
      <c r="AJ366" s="8">
        <f>MCC_Table[[#This Row],[START INDEX]]+MCC_Table[[#This Row],[UNITS USED]]-1</f>
        <v/>
      </c>
      <c r="AK366" s="14" t="n"/>
      <c r="AL366" s="14" t="n"/>
      <c r="AM366" s="14" t="n"/>
      <c r="AN366" s="14" t="n"/>
      <c r="AO366" s="14" t="n"/>
      <c r="AP366" s="14" t="n"/>
      <c r="AQ366" s="14" t="n"/>
      <c r="AR366" s="14" t="n"/>
      <c r="AS366" s="14" t="n"/>
      <c r="AT366" s="14" t="n"/>
      <c r="AU366" s="14" t="n"/>
      <c r="AV366" s="14" t="n"/>
      <c r="AW366" s="14" t="n"/>
      <c r="AX366" s="14" t="n"/>
      <c r="AY366" s="14" t="n"/>
      <c r="AZ366" s="14" t="n"/>
      <c r="BA366" s="14" t="n"/>
      <c r="BB366" s="14" t="n"/>
      <c r="BC366" s="14" t="n"/>
      <c r="BD366" s="14" t="n"/>
      <c r="BE366" s="14" t="n"/>
    </row>
    <row r="367" hidden="1" ht="15.75" customHeight="1" thickTop="1">
      <c r="A367" s="113" t="n"/>
      <c r="B367" s="29" t="n"/>
      <c r="C367" s="111" t="n"/>
      <c r="D367" s="28" t="n"/>
      <c r="E367" s="112" t="n"/>
      <c r="F367" s="8" t="n"/>
      <c r="G367" s="8" t="n"/>
      <c r="H367" s="82" t="n"/>
      <c r="I367" s="8" t="n"/>
      <c r="J367" s="80">
        <f>IF(ISNUMBER(MCC_Table[[#This Row],[SIZE]]), MCC_Table[[#This Row],[SIZE]]/12, 0)</f>
        <v/>
      </c>
      <c r="K367" s="82" t="n"/>
      <c r="L367" s="82" t="n"/>
      <c r="M367" s="82" t="n"/>
      <c r="N367" s="82" t="n"/>
      <c r="O367" s="77" t="n"/>
      <c r="P367" s="110" t="n"/>
      <c r="Q367" s="79" t="n"/>
      <c r="R367" s="79" t="n"/>
      <c r="S367" s="79" t="n"/>
      <c r="T367" s="79" t="n"/>
      <c r="U367" s="79" t="n"/>
      <c r="V367" s="79" t="n"/>
      <c r="W367" s="79" t="n"/>
      <c r="X367" s="79" t="n"/>
      <c r="Y367" s="79" t="n"/>
      <c r="Z367" s="79" t="n"/>
      <c r="AA367" s="79" t="n"/>
      <c r="AB367" s="225" t="n"/>
      <c r="AC367" s="225" t="n"/>
      <c r="AD367" s="225" t="n"/>
      <c r="AE367" s="29">
        <f>_xlfn.NUMBERVALUE(LEFT(MCC_Table[[#This Row],[BUCKET]],LEN(MCC_Table[[#This Row],[BUCKET]])-1))</f>
        <v/>
      </c>
      <c r="AF367" s="29">
        <f>RIGHT(MCC_Table[[#This Row],[BUCKET]],1)</f>
        <v/>
      </c>
      <c r="AG367" s="29">
        <f>VLOOKUP(MCC_Table[[#This Row],[START UNIT]],UnitMap[],2,FALSE)</f>
        <v/>
      </c>
      <c r="AH367" s="29">
        <f t="array" ref="AH36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67" s="29">
        <f>IF(ISNUMBER(MCC_Table[[#This Row],[SIZE]]), MCC_Table[[#This Row],[SIZE]]/6, 0)</f>
        <v/>
      </c>
      <c r="AJ367" s="29">
        <f>MCC_Table[[#This Row],[START INDEX]]+MCC_Table[[#This Row],[UNITS USED]]-1</f>
        <v/>
      </c>
      <c r="AK367" s="14" t="n"/>
      <c r="AL367" s="14" t="n"/>
      <c r="AM367" s="14" t="n"/>
      <c r="AN367" s="14" t="n"/>
      <c r="AO367" s="14" t="n"/>
      <c r="AP367" s="14" t="n"/>
      <c r="AQ367" s="14" t="n"/>
      <c r="AR367" s="14" t="n"/>
      <c r="AS367" s="14" t="n"/>
      <c r="AT367" s="14" t="n"/>
      <c r="AU367" s="14" t="n"/>
      <c r="AV367" s="14" t="n"/>
      <c r="AW367" s="14" t="n"/>
      <c r="AX367" s="14" t="n"/>
      <c r="AY367" s="14" t="n"/>
      <c r="AZ367" s="14" t="n"/>
      <c r="BA367" s="14" t="n"/>
      <c r="BB367" s="14" t="n"/>
      <c r="BC367" s="14" t="n"/>
      <c r="BD367" s="14" t="n"/>
      <c r="BE367" s="14" t="n"/>
    </row>
    <row r="368" hidden="1" ht="15.75" customHeight="1" thickTop="1">
      <c r="A368" s="113" t="n"/>
      <c r="B368" s="29" t="n"/>
      <c r="C368" s="111" t="n"/>
      <c r="D368" s="28" t="n"/>
      <c r="E368" s="112" t="n"/>
      <c r="F368" s="8" t="n"/>
      <c r="G368" s="8" t="n"/>
      <c r="H368" s="82" t="n"/>
      <c r="I368" s="8" t="n"/>
      <c r="J368" s="80">
        <f>IF(ISNUMBER(MCC_Table[[#This Row],[SIZE]]), MCC_Table[[#This Row],[SIZE]]/12, 0)</f>
        <v/>
      </c>
      <c r="K368" s="82" t="n"/>
      <c r="L368" s="82" t="n"/>
      <c r="M368" s="82" t="n"/>
      <c r="N368" s="82" t="n"/>
      <c r="O368" s="77" t="n"/>
      <c r="P368" s="110" t="n"/>
      <c r="Q368" s="79" t="n"/>
      <c r="R368" s="79" t="n"/>
      <c r="S368" s="79" t="n"/>
      <c r="T368" s="79" t="n"/>
      <c r="U368" s="79" t="n"/>
      <c r="V368" s="79" t="n"/>
      <c r="W368" s="79" t="n"/>
      <c r="X368" s="79" t="n"/>
      <c r="Y368" s="79" t="n"/>
      <c r="Z368" s="79" t="n"/>
      <c r="AA368" s="79" t="n"/>
      <c r="AB368" s="225" t="n"/>
      <c r="AC368" s="225" t="n"/>
      <c r="AD368" s="225" t="n"/>
      <c r="AE368" s="29">
        <f>_xlfn.NUMBERVALUE(LEFT(MCC_Table[[#This Row],[BUCKET]],LEN(MCC_Table[[#This Row],[BUCKET]])-1))</f>
        <v/>
      </c>
      <c r="AF368" s="29">
        <f>RIGHT(MCC_Table[[#This Row],[BUCKET]],1)</f>
        <v/>
      </c>
      <c r="AG368" s="29">
        <f>VLOOKUP(MCC_Table[[#This Row],[START UNIT]],UnitMap[],2,FALSE)</f>
        <v/>
      </c>
      <c r="AH368" s="29">
        <f t="array" ref="AH36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68" s="29">
        <f>IF(ISNUMBER(MCC_Table[[#This Row],[SIZE]]), MCC_Table[[#This Row],[SIZE]]/6, 0)</f>
        <v/>
      </c>
      <c r="AJ368" s="29">
        <f>MCC_Table[[#This Row],[START INDEX]]+MCC_Table[[#This Row],[UNITS USED]]-1</f>
        <v/>
      </c>
      <c r="AK368" s="14" t="n"/>
      <c r="AL368" s="14" t="n"/>
      <c r="AM368" s="14" t="n"/>
      <c r="AN368" s="14" t="n"/>
      <c r="AO368" s="14" t="n"/>
      <c r="AP368" s="14" t="n"/>
      <c r="AQ368" s="14" t="n"/>
      <c r="AR368" s="14" t="n"/>
      <c r="AS368" s="14" t="n"/>
      <c r="AT368" s="14" t="n"/>
      <c r="AU368" s="14" t="n"/>
      <c r="AV368" s="14" t="n"/>
      <c r="AW368" s="14" t="n"/>
      <c r="AX368" s="14" t="n"/>
      <c r="AY368" s="14" t="n"/>
      <c r="AZ368" s="14" t="n"/>
      <c r="BA368" s="14" t="n"/>
      <c r="BB368" s="14" t="n"/>
      <c r="BC368" s="14" t="n"/>
      <c r="BD368" s="14" t="n"/>
      <c r="BE368" s="14" t="n"/>
    </row>
    <row r="369" hidden="1" ht="15.75" customHeight="1" thickTop="1">
      <c r="A369" s="113" t="n"/>
      <c r="B369" s="29" t="n"/>
      <c r="C369" s="111" t="n"/>
      <c r="D369" s="28" t="n"/>
      <c r="E369" s="112" t="n"/>
      <c r="F369" s="8" t="n"/>
      <c r="G369" s="8" t="n"/>
      <c r="H369" s="82" t="n"/>
      <c r="I369" s="8" t="n"/>
      <c r="J369" s="80">
        <f>IF(ISNUMBER(MCC_Table[[#This Row],[SIZE]]), MCC_Table[[#This Row],[SIZE]]/12, 0)</f>
        <v/>
      </c>
      <c r="K369" s="82" t="n"/>
      <c r="L369" s="82" t="n"/>
      <c r="M369" s="82" t="n"/>
      <c r="N369" s="82" t="n"/>
      <c r="O369" s="77" t="n"/>
      <c r="P369" s="110" t="n"/>
      <c r="Q369" s="79" t="n"/>
      <c r="R369" s="79" t="n"/>
      <c r="S369" s="79" t="n"/>
      <c r="T369" s="79" t="n"/>
      <c r="U369" s="79" t="n"/>
      <c r="V369" s="79" t="n"/>
      <c r="W369" s="79" t="n"/>
      <c r="X369" s="79" t="n"/>
      <c r="Y369" s="79" t="n"/>
      <c r="Z369" s="79" t="n"/>
      <c r="AA369" s="79" t="n"/>
      <c r="AB369" s="225" t="n"/>
      <c r="AC369" s="225" t="n"/>
      <c r="AD369" s="225" t="n"/>
      <c r="AE369" s="29">
        <f>_xlfn.NUMBERVALUE(LEFT(MCC_Table[[#This Row],[BUCKET]],LEN(MCC_Table[[#This Row],[BUCKET]])-1))</f>
        <v/>
      </c>
      <c r="AF369" s="29">
        <f>RIGHT(MCC_Table[[#This Row],[BUCKET]],1)</f>
        <v/>
      </c>
      <c r="AG369" s="29">
        <f>VLOOKUP(MCC_Table[[#This Row],[START UNIT]],UnitMap[],2,FALSE)</f>
        <v/>
      </c>
      <c r="AH369" s="29">
        <f t="array" ref="AH36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69" s="29">
        <f>IF(ISNUMBER(MCC_Table[[#This Row],[SIZE]]), MCC_Table[[#This Row],[SIZE]]/6, 0)</f>
        <v/>
      </c>
      <c r="AJ369" s="29">
        <f>MCC_Table[[#This Row],[START INDEX]]+MCC_Table[[#This Row],[UNITS USED]]-1</f>
        <v/>
      </c>
      <c r="AK369" s="14" t="n"/>
      <c r="AL369" s="14" t="n"/>
      <c r="AM369" s="14" t="n"/>
      <c r="AN369" s="14" t="n"/>
      <c r="AO369" s="14" t="n"/>
      <c r="AP369" s="14" t="n"/>
      <c r="AQ369" s="14" t="n"/>
      <c r="AR369" s="14" t="n"/>
      <c r="AS369" s="14" t="n"/>
      <c r="AT369" s="14" t="n"/>
      <c r="AU369" s="14" t="n"/>
      <c r="AV369" s="14" t="n"/>
      <c r="AW369" s="14" t="n"/>
      <c r="AX369" s="14" t="n"/>
      <c r="AY369" s="14" t="n"/>
      <c r="AZ369" s="14" t="n"/>
      <c r="BA369" s="14" t="n"/>
      <c r="BB369" s="14" t="n"/>
      <c r="BC369" s="14" t="n"/>
      <c r="BD369" s="14" t="n"/>
      <c r="BE369" s="14" t="n"/>
    </row>
    <row r="370" hidden="1" ht="15.75" customHeight="1" thickTop="1">
      <c r="A370" s="113" t="n"/>
      <c r="B370" s="29" t="n"/>
      <c r="C370" s="111" t="n"/>
      <c r="D370" s="28" t="n"/>
      <c r="E370" s="112" t="n"/>
      <c r="F370" s="8" t="n"/>
      <c r="G370" s="8" t="n"/>
      <c r="H370" s="82" t="n"/>
      <c r="I370" s="8" t="n"/>
      <c r="J370" s="80">
        <f>IF(ISNUMBER(MCC_Table[[#This Row],[SIZE]]), MCC_Table[[#This Row],[SIZE]]/12, 0)</f>
        <v/>
      </c>
      <c r="K370" s="82" t="n"/>
      <c r="L370" s="82" t="n"/>
      <c r="M370" s="82" t="n"/>
      <c r="N370" s="82" t="n"/>
      <c r="O370" s="77" t="n"/>
      <c r="P370" s="110" t="n"/>
      <c r="Q370" s="79" t="n"/>
      <c r="R370" s="79" t="n"/>
      <c r="S370" s="79" t="n"/>
      <c r="T370" s="79" t="n"/>
      <c r="U370" s="79" t="n"/>
      <c r="V370" s="79" t="n"/>
      <c r="W370" s="79" t="n"/>
      <c r="X370" s="79" t="n"/>
      <c r="Y370" s="79" t="n"/>
      <c r="Z370" s="79" t="n"/>
      <c r="AA370" s="79" t="n"/>
      <c r="AB370" s="225" t="n"/>
      <c r="AC370" s="225" t="n"/>
      <c r="AD370" s="225" t="n"/>
      <c r="AE370" s="29">
        <f>_xlfn.NUMBERVALUE(LEFT(MCC_Table[[#This Row],[BUCKET]],LEN(MCC_Table[[#This Row],[BUCKET]])-1))</f>
        <v/>
      </c>
      <c r="AF370" s="29">
        <f>RIGHT(MCC_Table[[#This Row],[BUCKET]],1)</f>
        <v/>
      </c>
      <c r="AG370" s="29">
        <f>VLOOKUP(MCC_Table[[#This Row],[START UNIT]],UnitMap[],2,FALSE)</f>
        <v/>
      </c>
      <c r="AH370" s="29">
        <f t="array" ref="AH37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70" s="29">
        <f>IF(ISNUMBER(MCC_Table[[#This Row],[SIZE]]), MCC_Table[[#This Row],[SIZE]]/6, 0)</f>
        <v/>
      </c>
      <c r="AJ370" s="29">
        <f>MCC_Table[[#This Row],[START INDEX]]+MCC_Table[[#This Row],[UNITS USED]]-1</f>
        <v/>
      </c>
      <c r="AK370" s="14" t="n"/>
      <c r="AL370" s="14" t="n"/>
      <c r="AM370" s="14" t="n"/>
      <c r="AN370" s="14" t="n"/>
      <c r="AO370" s="14" t="n"/>
      <c r="AP370" s="14" t="n"/>
      <c r="AQ370" s="14" t="n"/>
      <c r="AR370" s="14" t="n"/>
      <c r="AS370" s="14" t="n"/>
      <c r="AT370" s="14" t="n"/>
      <c r="AU370" s="14" t="n"/>
      <c r="AV370" s="14" t="n"/>
      <c r="AW370" s="14" t="n"/>
      <c r="AX370" s="14" t="n"/>
      <c r="AY370" s="14" t="n"/>
      <c r="AZ370" s="14" t="n"/>
      <c r="BA370" s="14" t="n"/>
      <c r="BB370" s="14" t="n"/>
      <c r="BC370" s="14" t="n"/>
      <c r="BD370" s="14" t="n"/>
      <c r="BE370" s="14" t="n"/>
    </row>
    <row r="371" hidden="1" ht="15.75" customHeight="1" thickTop="1">
      <c r="A371" s="113" t="n"/>
      <c r="B371" s="29" t="n"/>
      <c r="C371" s="111" t="n"/>
      <c r="D371" s="28" t="n"/>
      <c r="E371" s="112" t="n"/>
      <c r="F371" s="8" t="n"/>
      <c r="G371" s="8" t="n"/>
      <c r="H371" s="82" t="n"/>
      <c r="I371" s="8" t="n"/>
      <c r="J371" s="80">
        <f>IF(ISNUMBER(MCC_Table[[#This Row],[SIZE]]), MCC_Table[[#This Row],[SIZE]]/12, 0)</f>
        <v/>
      </c>
      <c r="K371" s="82" t="n"/>
      <c r="L371" s="82" t="n"/>
      <c r="M371" s="82" t="n"/>
      <c r="N371" s="82" t="n"/>
      <c r="O371" s="77" t="n"/>
      <c r="P371" s="110" t="n"/>
      <c r="Q371" s="79" t="n"/>
      <c r="R371" s="79" t="n"/>
      <c r="S371" s="79" t="n"/>
      <c r="T371" s="79" t="n"/>
      <c r="U371" s="79" t="n"/>
      <c r="V371" s="79" t="n"/>
      <c r="W371" s="79" t="n"/>
      <c r="X371" s="79" t="n"/>
      <c r="Y371" s="79" t="n"/>
      <c r="Z371" s="79" t="n"/>
      <c r="AA371" s="79" t="n"/>
      <c r="AB371" s="225" t="n"/>
      <c r="AC371" s="225" t="n"/>
      <c r="AD371" s="225" t="n"/>
      <c r="AE371" s="29">
        <f>_xlfn.NUMBERVALUE(LEFT(MCC_Table[[#This Row],[BUCKET]],LEN(MCC_Table[[#This Row],[BUCKET]])-1))</f>
        <v/>
      </c>
      <c r="AF371" s="29">
        <f>RIGHT(MCC_Table[[#This Row],[BUCKET]],1)</f>
        <v/>
      </c>
      <c r="AG371" s="29">
        <f>VLOOKUP(MCC_Table[[#This Row],[START UNIT]],UnitMap[],2,FALSE)</f>
        <v/>
      </c>
      <c r="AH371" s="29">
        <f t="array" ref="AH37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71" s="29">
        <f>IF(ISNUMBER(MCC_Table[[#This Row],[SIZE]]), MCC_Table[[#This Row],[SIZE]]/6, 0)</f>
        <v/>
      </c>
      <c r="AJ371" s="29">
        <f>MCC_Table[[#This Row],[START INDEX]]+MCC_Table[[#This Row],[UNITS USED]]-1</f>
        <v/>
      </c>
      <c r="AK371" s="14" t="n"/>
      <c r="AL371" s="14" t="n"/>
      <c r="AM371" s="14" t="n"/>
      <c r="AN371" s="14" t="n"/>
      <c r="AO371" s="14" t="n"/>
      <c r="AP371" s="14" t="n"/>
      <c r="AQ371" s="14" t="n"/>
      <c r="AR371" s="14" t="n"/>
      <c r="AS371" s="14" t="n"/>
      <c r="AT371" s="14" t="n"/>
      <c r="AU371" s="14" t="n"/>
      <c r="AV371" s="14" t="n"/>
      <c r="AW371" s="14" t="n"/>
      <c r="AX371" s="14" t="n"/>
      <c r="AY371" s="14" t="n"/>
      <c r="AZ371" s="14" t="n"/>
      <c r="BA371" s="14" t="n"/>
      <c r="BB371" s="14" t="n"/>
      <c r="BC371" s="14" t="n"/>
      <c r="BD371" s="14" t="n"/>
      <c r="BE371" s="14" t="n"/>
    </row>
    <row r="372" hidden="1" ht="15.75" customHeight="1" thickTop="1">
      <c r="A372" s="39" t="inlineStr">
        <is>
          <t>UNUSED</t>
        </is>
      </c>
      <c r="B372" s="8" t="inlineStr">
        <is>
          <t>01A</t>
        </is>
      </c>
      <c r="C372" s="24" t="inlineStr">
        <is>
          <t>SPARE</t>
        </is>
      </c>
      <c r="D372" s="28" t="inlineStr">
        <is>
          <t>VFD - 75HP</t>
        </is>
      </c>
      <c r="E372" s="29" t="inlineStr">
        <is>
          <t>VFD</t>
        </is>
      </c>
      <c r="F372" s="8" t="n"/>
      <c r="G372" s="8" t="n">
        <v>75</v>
      </c>
      <c r="H372" s="87" t="n"/>
      <c r="I372" s="8" t="n"/>
      <c r="J372" s="83">
        <f>IF(ISNUMBER(MCC_Table[[#This Row],[SIZE]]), MCC_Table[[#This Row],[SIZE]]/12, 0)</f>
        <v/>
      </c>
      <c r="K372" s="87" t="n">
        <v>250</v>
      </c>
      <c r="L372" s="82" t="n">
        <v>250</v>
      </c>
      <c r="M372" s="87" t="n">
        <v>175</v>
      </c>
      <c r="N372" s="87" t="n"/>
      <c r="O372" s="77" t="n"/>
      <c r="P372" s="88" t="n"/>
      <c r="Q372" s="79" t="n"/>
      <c r="R372" s="79" t="n"/>
      <c r="S372" s="79" t="n"/>
      <c r="T372" s="79" t="n"/>
      <c r="U372" s="79" t="n"/>
      <c r="V372" s="79" t="n"/>
      <c r="W372" s="79" t="n"/>
      <c r="X372" s="79" t="n"/>
      <c r="Y372" s="79" t="n"/>
      <c r="Z372" s="79" t="n"/>
      <c r="AA372" s="79" t="n"/>
      <c r="AB372" s="225" t="n"/>
      <c r="AC372" s="225" t="n"/>
      <c r="AD372" s="225" t="n"/>
      <c r="AE372" s="8">
        <f>_xlfn.NUMBERVALUE(LEFT(MCC_Table[[#This Row],[BUCKET]],LEN(MCC_Table[[#This Row],[BUCKET]])-1))</f>
        <v/>
      </c>
      <c r="AF372" s="8">
        <f>RIGHT(MCC_Table[[#This Row],[BUCKET]],1)</f>
        <v/>
      </c>
      <c r="AG372" s="8">
        <f>VLOOKUP(MCC_Table[[#This Row],[START UNIT]],UnitMap[],2,FALSE)</f>
        <v/>
      </c>
      <c r="AH372" s="8">
        <f t="array" ref="AH37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72" s="8">
        <f>IF(ISNUMBER(MCC_Table[[#This Row],[SIZE]]), MCC_Table[[#This Row],[SIZE]]/6, 0)</f>
        <v/>
      </c>
      <c r="AJ372" s="8">
        <f>MCC_Table[[#This Row],[START INDEX]]+MCC_Table[[#This Row],[UNITS USED]]-1</f>
        <v/>
      </c>
      <c r="AK372" s="14" t="n"/>
      <c r="AL372" s="14" t="n"/>
      <c r="AM372" s="14" t="n"/>
      <c r="AN372" s="14" t="n"/>
      <c r="AO372" s="14" t="n"/>
      <c r="AP372" s="14" t="n"/>
      <c r="AQ372" s="14" t="n"/>
      <c r="AR372" s="14" t="n"/>
      <c r="AS372" s="14" t="n"/>
      <c r="AT372" s="14" t="n"/>
      <c r="AU372" s="14" t="n"/>
      <c r="AV372" s="14" t="n"/>
      <c r="AW372" s="14" t="n"/>
      <c r="AX372" s="14" t="n"/>
      <c r="AY372" s="14" t="n"/>
      <c r="AZ372" s="14" t="n"/>
      <c r="BA372" s="14" t="n"/>
      <c r="BB372" s="14" t="n"/>
      <c r="BC372" s="14" t="n"/>
      <c r="BD372" s="14" t="n"/>
      <c r="BE372" s="14" t="n"/>
    </row>
    <row r="373" hidden="1" ht="15.75" customHeight="1" thickTop="1">
      <c r="A373" s="113" t="n"/>
      <c r="B373" s="29" t="n"/>
      <c r="C373" s="111" t="n"/>
      <c r="D373" s="28" t="n"/>
      <c r="E373" s="112" t="n"/>
      <c r="F373" s="8" t="n"/>
      <c r="G373" s="8" t="n"/>
      <c r="H373" s="82" t="n"/>
      <c r="I373" s="8" t="n"/>
      <c r="J373" s="80">
        <f>IF(ISNUMBER(MCC_Table[[#This Row],[SIZE]]), MCC_Table[[#This Row],[SIZE]]/12, 0)</f>
        <v/>
      </c>
      <c r="K373" s="82" t="n"/>
      <c r="L373" s="82" t="n"/>
      <c r="M373" s="82" t="n"/>
      <c r="N373" s="82" t="n"/>
      <c r="O373" s="77" t="n"/>
      <c r="P373" s="110" t="n"/>
      <c r="Q373" s="79" t="n"/>
      <c r="R373" s="79" t="n"/>
      <c r="S373" s="79" t="n"/>
      <c r="T373" s="79" t="n"/>
      <c r="U373" s="79" t="n"/>
      <c r="V373" s="79" t="n"/>
      <c r="W373" s="79" t="n"/>
      <c r="X373" s="79" t="n"/>
      <c r="Y373" s="79" t="n"/>
      <c r="Z373" s="79" t="n"/>
      <c r="AA373" s="79" t="n"/>
      <c r="AB373" s="225" t="n"/>
      <c r="AC373" s="225" t="n"/>
      <c r="AD373" s="225" t="n"/>
      <c r="AE373" s="29">
        <f>_xlfn.NUMBERVALUE(LEFT(MCC_Table[[#This Row],[BUCKET]],LEN(MCC_Table[[#This Row],[BUCKET]])-1))</f>
        <v/>
      </c>
      <c r="AF373" s="29">
        <f>RIGHT(MCC_Table[[#This Row],[BUCKET]],1)</f>
        <v/>
      </c>
      <c r="AG373" s="29">
        <f>VLOOKUP(MCC_Table[[#This Row],[START UNIT]],UnitMap[],2,FALSE)</f>
        <v/>
      </c>
      <c r="AH373" s="29">
        <f t="array" ref="AH37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73" s="29">
        <f>IF(ISNUMBER(MCC_Table[[#This Row],[SIZE]]), MCC_Table[[#This Row],[SIZE]]/6, 0)</f>
        <v/>
      </c>
      <c r="AJ373" s="29">
        <f>MCC_Table[[#This Row],[START INDEX]]+MCC_Table[[#This Row],[UNITS USED]]-1</f>
        <v/>
      </c>
      <c r="AK373" s="14" t="n"/>
      <c r="AL373" s="14" t="n"/>
      <c r="AM373" s="14" t="n"/>
      <c r="AN373" s="14" t="n"/>
      <c r="AO373" s="14" t="n"/>
      <c r="AP373" s="14" t="n"/>
      <c r="AQ373" s="14" t="n"/>
      <c r="AR373" s="14" t="n"/>
      <c r="AS373" s="14" t="n"/>
      <c r="AT373" s="14" t="n"/>
      <c r="AU373" s="14" t="n"/>
      <c r="AV373" s="14" t="n"/>
      <c r="AW373" s="14" t="n"/>
      <c r="AX373" s="14" t="n"/>
      <c r="AY373" s="14" t="n"/>
      <c r="AZ373" s="14" t="n"/>
      <c r="BA373" s="14" t="n"/>
      <c r="BB373" s="14" t="n"/>
      <c r="BC373" s="14" t="n"/>
      <c r="BD373" s="14" t="n"/>
      <c r="BE373" s="14" t="n"/>
    </row>
    <row r="374" hidden="1" ht="15.75" customHeight="1" thickTop="1">
      <c r="A374" s="113" t="n"/>
      <c r="B374" s="29" t="n"/>
      <c r="C374" s="111" t="n"/>
      <c r="D374" s="28" t="n"/>
      <c r="E374" s="112" t="n"/>
      <c r="F374" s="8" t="n"/>
      <c r="G374" s="8" t="n"/>
      <c r="H374" s="82" t="n"/>
      <c r="I374" s="8" t="n"/>
      <c r="J374" s="80">
        <f>IF(ISNUMBER(MCC_Table[[#This Row],[SIZE]]), MCC_Table[[#This Row],[SIZE]]/12, 0)</f>
        <v/>
      </c>
      <c r="K374" s="82" t="n"/>
      <c r="L374" s="82" t="n"/>
      <c r="M374" s="82" t="n"/>
      <c r="N374" s="82" t="n"/>
      <c r="O374" s="77" t="n"/>
      <c r="P374" s="110" t="n"/>
      <c r="Q374" s="79" t="n"/>
      <c r="R374" s="79" t="n"/>
      <c r="S374" s="79" t="n"/>
      <c r="T374" s="79" t="n"/>
      <c r="U374" s="79" t="n"/>
      <c r="V374" s="79" t="n"/>
      <c r="W374" s="79" t="n"/>
      <c r="X374" s="79" t="n"/>
      <c r="Y374" s="79" t="n"/>
      <c r="Z374" s="79" t="n"/>
      <c r="AA374" s="79" t="n"/>
      <c r="AB374" s="225" t="n"/>
      <c r="AC374" s="225" t="n"/>
      <c r="AD374" s="225" t="n"/>
      <c r="AE374" s="29">
        <f>_xlfn.NUMBERVALUE(LEFT(MCC_Table[[#This Row],[BUCKET]],LEN(MCC_Table[[#This Row],[BUCKET]])-1))</f>
        <v/>
      </c>
      <c r="AF374" s="29">
        <f>RIGHT(MCC_Table[[#This Row],[BUCKET]],1)</f>
        <v/>
      </c>
      <c r="AG374" s="29">
        <f>VLOOKUP(MCC_Table[[#This Row],[START UNIT]],UnitMap[],2,FALSE)</f>
        <v/>
      </c>
      <c r="AH374" s="29">
        <f t="array" ref="AH37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74" s="29">
        <f>IF(ISNUMBER(MCC_Table[[#This Row],[SIZE]]), MCC_Table[[#This Row],[SIZE]]/6, 0)</f>
        <v/>
      </c>
      <c r="AJ374" s="29">
        <f>MCC_Table[[#This Row],[START INDEX]]+MCC_Table[[#This Row],[UNITS USED]]-1</f>
        <v/>
      </c>
      <c r="AK374" s="14" t="n"/>
      <c r="AL374" s="14" t="n"/>
      <c r="AM374" s="14" t="n"/>
      <c r="AN374" s="14" t="n"/>
      <c r="AO374" s="14" t="n"/>
      <c r="AP374" s="14" t="n"/>
      <c r="AQ374" s="14" t="n"/>
      <c r="AR374" s="14" t="n"/>
      <c r="AS374" s="14" t="n"/>
      <c r="AT374" s="14" t="n"/>
      <c r="AU374" s="14" t="n"/>
      <c r="AV374" s="14" t="n"/>
      <c r="AW374" s="14" t="n"/>
      <c r="AX374" s="14" t="n"/>
      <c r="AY374" s="14" t="n"/>
      <c r="AZ374" s="14" t="n"/>
      <c r="BA374" s="14" t="n"/>
      <c r="BB374" s="14" t="n"/>
      <c r="BC374" s="14" t="n"/>
      <c r="BD374" s="14" t="n"/>
      <c r="BE374" s="14" t="n"/>
    </row>
    <row r="375" hidden="1" ht="15.75" customHeight="1" thickTop="1">
      <c r="A375" s="113" t="n"/>
      <c r="B375" s="29" t="n"/>
      <c r="C375" s="111" t="n"/>
      <c r="D375" s="28" t="n"/>
      <c r="E375" s="112" t="n"/>
      <c r="F375" s="8" t="n"/>
      <c r="G375" s="8" t="n"/>
      <c r="H375" s="82" t="n"/>
      <c r="I375" s="8" t="n"/>
      <c r="J375" s="80">
        <f>IF(ISNUMBER(MCC_Table[[#This Row],[SIZE]]), MCC_Table[[#This Row],[SIZE]]/12, 0)</f>
        <v/>
      </c>
      <c r="K375" s="82" t="n"/>
      <c r="L375" s="82" t="n"/>
      <c r="M375" s="82" t="n"/>
      <c r="N375" s="82" t="n"/>
      <c r="O375" s="77" t="n"/>
      <c r="P375" s="110" t="n"/>
      <c r="Q375" s="79" t="n"/>
      <c r="R375" s="79" t="n"/>
      <c r="S375" s="79" t="n"/>
      <c r="T375" s="79" t="n"/>
      <c r="U375" s="79" t="n"/>
      <c r="V375" s="79" t="n"/>
      <c r="W375" s="79" t="n"/>
      <c r="X375" s="79" t="n"/>
      <c r="Y375" s="79" t="n"/>
      <c r="Z375" s="79" t="n"/>
      <c r="AA375" s="79" t="n"/>
      <c r="AB375" s="225" t="n"/>
      <c r="AC375" s="225" t="n"/>
      <c r="AD375" s="225" t="n"/>
      <c r="AE375" s="29">
        <f>_xlfn.NUMBERVALUE(LEFT(MCC_Table[[#This Row],[BUCKET]],LEN(MCC_Table[[#This Row],[BUCKET]])-1))</f>
        <v/>
      </c>
      <c r="AF375" s="29">
        <f>RIGHT(MCC_Table[[#This Row],[BUCKET]],1)</f>
        <v/>
      </c>
      <c r="AG375" s="29">
        <f>VLOOKUP(MCC_Table[[#This Row],[START UNIT]],UnitMap[],2,FALSE)</f>
        <v/>
      </c>
      <c r="AH375" s="29">
        <f t="array" ref="AH37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75" s="29">
        <f>IF(ISNUMBER(MCC_Table[[#This Row],[SIZE]]), MCC_Table[[#This Row],[SIZE]]/6, 0)</f>
        <v/>
      </c>
      <c r="AJ375" s="29">
        <f>MCC_Table[[#This Row],[START INDEX]]+MCC_Table[[#This Row],[UNITS USED]]-1</f>
        <v/>
      </c>
      <c r="AK375" s="14" t="n"/>
      <c r="AL375" s="14" t="n"/>
      <c r="AM375" s="14" t="n"/>
      <c r="AN375" s="14" t="n"/>
      <c r="AO375" s="14" t="n"/>
      <c r="AP375" s="14" t="n"/>
      <c r="AQ375" s="14" t="n"/>
      <c r="AR375" s="14" t="n"/>
      <c r="AS375" s="14" t="n"/>
      <c r="AT375" s="14" t="n"/>
      <c r="AU375" s="14" t="n"/>
      <c r="AV375" s="14" t="n"/>
      <c r="AW375" s="14" t="n"/>
      <c r="AX375" s="14" t="n"/>
      <c r="AY375" s="14" t="n"/>
      <c r="AZ375" s="14" t="n"/>
      <c r="BA375" s="14" t="n"/>
      <c r="BB375" s="14" t="n"/>
      <c r="BC375" s="14" t="n"/>
      <c r="BD375" s="14" t="n"/>
      <c r="BE375" s="14" t="n"/>
    </row>
    <row r="376" hidden="1" ht="15.75" customHeight="1" thickTop="1">
      <c r="A376" s="113" t="n"/>
      <c r="B376" s="29" t="n"/>
      <c r="C376" s="111" t="n"/>
      <c r="D376" s="28" t="n"/>
      <c r="E376" s="112" t="n"/>
      <c r="F376" s="8" t="n"/>
      <c r="G376" s="8" t="n"/>
      <c r="H376" s="82" t="n"/>
      <c r="I376" s="8" t="n"/>
      <c r="J376" s="80">
        <f>IF(ISNUMBER(MCC_Table[[#This Row],[SIZE]]), MCC_Table[[#This Row],[SIZE]]/12, 0)</f>
        <v/>
      </c>
      <c r="K376" s="82" t="n"/>
      <c r="L376" s="82" t="n"/>
      <c r="M376" s="82" t="n"/>
      <c r="N376" s="82" t="n"/>
      <c r="O376" s="77" t="n"/>
      <c r="P376" s="110" t="n"/>
      <c r="Q376" s="79" t="n"/>
      <c r="R376" s="79" t="n"/>
      <c r="S376" s="79" t="n"/>
      <c r="T376" s="79" t="n"/>
      <c r="U376" s="79" t="n"/>
      <c r="V376" s="79" t="n"/>
      <c r="W376" s="79" t="n"/>
      <c r="X376" s="79" t="n"/>
      <c r="Y376" s="79" t="n"/>
      <c r="Z376" s="79" t="n"/>
      <c r="AA376" s="79" t="n"/>
      <c r="AB376" s="225" t="n"/>
      <c r="AC376" s="225" t="n"/>
      <c r="AD376" s="225" t="n"/>
      <c r="AE376" s="29">
        <f>_xlfn.NUMBERVALUE(LEFT(MCC_Table[[#This Row],[BUCKET]],LEN(MCC_Table[[#This Row],[BUCKET]])-1))</f>
        <v/>
      </c>
      <c r="AF376" s="29">
        <f>RIGHT(MCC_Table[[#This Row],[BUCKET]],1)</f>
        <v/>
      </c>
      <c r="AG376" s="29">
        <f>VLOOKUP(MCC_Table[[#This Row],[START UNIT]],UnitMap[],2,FALSE)</f>
        <v/>
      </c>
      <c r="AH376" s="29">
        <f t="array" ref="AH37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76" s="29">
        <f>IF(ISNUMBER(MCC_Table[[#This Row],[SIZE]]), MCC_Table[[#This Row],[SIZE]]/6, 0)</f>
        <v/>
      </c>
      <c r="AJ376" s="29">
        <f>MCC_Table[[#This Row],[START INDEX]]+MCC_Table[[#This Row],[UNITS USED]]-1</f>
        <v/>
      </c>
      <c r="AK376" s="14" t="n"/>
      <c r="AL376" s="14" t="n"/>
      <c r="AM376" s="14" t="n"/>
      <c r="AN376" s="14" t="n"/>
      <c r="AO376" s="14" t="n"/>
      <c r="AP376" s="14" t="n"/>
      <c r="AQ376" s="14" t="n"/>
      <c r="AR376" s="14" t="n"/>
      <c r="AS376" s="14" t="n"/>
      <c r="AT376" s="14" t="n"/>
      <c r="AU376" s="14" t="n"/>
      <c r="AV376" s="14" t="n"/>
      <c r="AW376" s="14" t="n"/>
      <c r="AX376" s="14" t="n"/>
      <c r="AY376" s="14" t="n"/>
      <c r="AZ376" s="14" t="n"/>
      <c r="BA376" s="14" t="n"/>
      <c r="BB376" s="14" t="n"/>
      <c r="BC376" s="14" t="n"/>
      <c r="BD376" s="14" t="n"/>
      <c r="BE376" s="14" t="n"/>
    </row>
    <row r="377" hidden="1" ht="15.75" customHeight="1" thickTop="1">
      <c r="A377" s="113" t="n"/>
      <c r="B377" s="29" t="n"/>
      <c r="C377" s="111" t="n"/>
      <c r="D377" s="28" t="n"/>
      <c r="E377" s="112" t="n"/>
      <c r="F377" s="8" t="n"/>
      <c r="G377" s="8" t="n"/>
      <c r="H377" s="82" t="n"/>
      <c r="I377" s="8" t="n"/>
      <c r="J377" s="80">
        <f>IF(ISNUMBER(MCC_Table[[#This Row],[SIZE]]), MCC_Table[[#This Row],[SIZE]]/12, 0)</f>
        <v/>
      </c>
      <c r="K377" s="82" t="n"/>
      <c r="L377" s="82" t="n"/>
      <c r="M377" s="82" t="n"/>
      <c r="N377" s="82" t="n"/>
      <c r="O377" s="77" t="n"/>
      <c r="P377" s="110" t="n"/>
      <c r="Q377" s="79" t="n"/>
      <c r="R377" s="79" t="n"/>
      <c r="S377" s="79" t="n"/>
      <c r="T377" s="79" t="n"/>
      <c r="U377" s="79" t="n"/>
      <c r="V377" s="79" t="n"/>
      <c r="W377" s="79" t="n"/>
      <c r="X377" s="79" t="n"/>
      <c r="Y377" s="79" t="n"/>
      <c r="Z377" s="79" t="n"/>
      <c r="AA377" s="79" t="n"/>
      <c r="AB377" s="225" t="n"/>
      <c r="AC377" s="225" t="n"/>
      <c r="AD377" s="225" t="n"/>
      <c r="AE377" s="29">
        <f>_xlfn.NUMBERVALUE(LEFT(MCC_Table[[#This Row],[BUCKET]],LEN(MCC_Table[[#This Row],[BUCKET]])-1))</f>
        <v/>
      </c>
      <c r="AF377" s="29">
        <f>RIGHT(MCC_Table[[#This Row],[BUCKET]],1)</f>
        <v/>
      </c>
      <c r="AG377" s="29">
        <f>VLOOKUP(MCC_Table[[#This Row],[START UNIT]],UnitMap[],2,FALSE)</f>
        <v/>
      </c>
      <c r="AH377" s="29">
        <f t="array" ref="AH37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77" s="29">
        <f>IF(ISNUMBER(MCC_Table[[#This Row],[SIZE]]), MCC_Table[[#This Row],[SIZE]]/6, 0)</f>
        <v/>
      </c>
      <c r="AJ377" s="29">
        <f>MCC_Table[[#This Row],[START INDEX]]+MCC_Table[[#This Row],[UNITS USED]]-1</f>
        <v/>
      </c>
      <c r="AK377" s="14" t="n"/>
      <c r="AL377" s="14" t="n"/>
      <c r="AM377" s="14" t="n"/>
      <c r="AN377" s="14" t="n"/>
      <c r="AO377" s="14" t="n"/>
      <c r="AP377" s="14" t="n"/>
      <c r="AQ377" s="14" t="n"/>
      <c r="AR377" s="14" t="n"/>
      <c r="AS377" s="14" t="n"/>
      <c r="AT377" s="14" t="n"/>
      <c r="AU377" s="14" t="n"/>
      <c r="AV377" s="14" t="n"/>
      <c r="AW377" s="14" t="n"/>
      <c r="AX377" s="14" t="n"/>
      <c r="AY377" s="14" t="n"/>
      <c r="AZ377" s="14" t="n"/>
      <c r="BA377" s="14" t="n"/>
      <c r="BB377" s="14" t="n"/>
      <c r="BC377" s="14" t="n"/>
      <c r="BD377" s="14" t="n"/>
      <c r="BE377" s="14" t="n"/>
    </row>
    <row r="378" hidden="1" ht="15.75" customHeight="1" thickTop="1">
      <c r="A378" s="113" t="n"/>
      <c r="B378" s="29" t="n"/>
      <c r="C378" s="111" t="n"/>
      <c r="D378" s="28" t="n"/>
      <c r="E378" s="112" t="n"/>
      <c r="F378" s="8" t="n"/>
      <c r="G378" s="8" t="n"/>
      <c r="H378" s="82" t="n"/>
      <c r="I378" s="8" t="n"/>
      <c r="J378" s="80">
        <f>IF(ISNUMBER(MCC_Table[[#This Row],[SIZE]]), MCC_Table[[#This Row],[SIZE]]/12, 0)</f>
        <v/>
      </c>
      <c r="K378" s="82" t="n"/>
      <c r="L378" s="82" t="n"/>
      <c r="M378" s="82" t="n"/>
      <c r="N378" s="82" t="n"/>
      <c r="O378" s="77" t="n"/>
      <c r="P378" s="110" t="n"/>
      <c r="Q378" s="79" t="n"/>
      <c r="R378" s="79" t="n"/>
      <c r="S378" s="79" t="n"/>
      <c r="T378" s="79" t="n"/>
      <c r="U378" s="79" t="n"/>
      <c r="V378" s="79" t="n"/>
      <c r="W378" s="79" t="n"/>
      <c r="X378" s="79" t="n"/>
      <c r="Y378" s="79" t="n"/>
      <c r="Z378" s="79" t="n"/>
      <c r="AA378" s="79" t="n"/>
      <c r="AB378" s="225" t="n"/>
      <c r="AC378" s="225" t="n"/>
      <c r="AD378" s="225" t="n"/>
      <c r="AE378" s="29">
        <f>_xlfn.NUMBERVALUE(LEFT(MCC_Table[[#This Row],[BUCKET]],LEN(MCC_Table[[#This Row],[BUCKET]])-1))</f>
        <v/>
      </c>
      <c r="AF378" s="29">
        <f>RIGHT(MCC_Table[[#This Row],[BUCKET]],1)</f>
        <v/>
      </c>
      <c r="AG378" s="29">
        <f>VLOOKUP(MCC_Table[[#This Row],[START UNIT]],UnitMap[],2,FALSE)</f>
        <v/>
      </c>
      <c r="AH378" s="29">
        <f t="array" ref="AH37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78" s="29">
        <f>IF(ISNUMBER(MCC_Table[[#This Row],[SIZE]]), MCC_Table[[#This Row],[SIZE]]/6, 0)</f>
        <v/>
      </c>
      <c r="AJ378" s="29">
        <f>MCC_Table[[#This Row],[START INDEX]]+MCC_Table[[#This Row],[UNITS USED]]-1</f>
        <v/>
      </c>
      <c r="AK378" s="14" t="n"/>
      <c r="AL378" s="14" t="n"/>
      <c r="AM378" s="14" t="n"/>
      <c r="AN378" s="14" t="n"/>
      <c r="AO378" s="14" t="n"/>
      <c r="AP378" s="14" t="n"/>
      <c r="AQ378" s="14" t="n"/>
      <c r="AR378" s="14" t="n"/>
      <c r="AS378" s="14" t="n"/>
      <c r="AT378" s="14" t="n"/>
      <c r="AU378" s="14" t="n"/>
      <c r="AV378" s="14" t="n"/>
      <c r="AW378" s="14" t="n"/>
      <c r="AX378" s="14" t="n"/>
      <c r="AY378" s="14" t="n"/>
      <c r="AZ378" s="14" t="n"/>
      <c r="BA378" s="14" t="n"/>
      <c r="BB378" s="14" t="n"/>
      <c r="BC378" s="14" t="n"/>
      <c r="BD378" s="14" t="n"/>
      <c r="BE378" s="14" t="n"/>
    </row>
    <row r="379" hidden="1" ht="15.75" customHeight="1" thickTop="1">
      <c r="A379" s="113" t="n"/>
      <c r="B379" s="29" t="n"/>
      <c r="C379" s="111" t="n"/>
      <c r="D379" s="28" t="n"/>
      <c r="E379" s="112" t="n"/>
      <c r="F379" s="8" t="n"/>
      <c r="G379" s="8" t="n"/>
      <c r="H379" s="82" t="n"/>
      <c r="I379" s="8" t="n"/>
      <c r="J379" s="80">
        <f>IF(ISNUMBER(MCC_Table[[#This Row],[SIZE]]), MCC_Table[[#This Row],[SIZE]]/12, 0)</f>
        <v/>
      </c>
      <c r="K379" s="82" t="n"/>
      <c r="L379" s="82" t="n"/>
      <c r="M379" s="82" t="n"/>
      <c r="N379" s="82" t="n"/>
      <c r="O379" s="77" t="n"/>
      <c r="P379" s="110" t="n"/>
      <c r="Q379" s="79" t="n"/>
      <c r="R379" s="79" t="n"/>
      <c r="S379" s="79" t="n"/>
      <c r="T379" s="79" t="n"/>
      <c r="U379" s="79" t="n"/>
      <c r="V379" s="79" t="n"/>
      <c r="W379" s="79" t="n"/>
      <c r="X379" s="79" t="n"/>
      <c r="Y379" s="79" t="n"/>
      <c r="Z379" s="79" t="n"/>
      <c r="AA379" s="79" t="n"/>
      <c r="AB379" s="225" t="n"/>
      <c r="AC379" s="225" t="n"/>
      <c r="AD379" s="225" t="n"/>
      <c r="AE379" s="29">
        <f>_xlfn.NUMBERVALUE(LEFT(MCC_Table[[#This Row],[BUCKET]],LEN(MCC_Table[[#This Row],[BUCKET]])-1))</f>
        <v/>
      </c>
      <c r="AF379" s="29">
        <f>RIGHT(MCC_Table[[#This Row],[BUCKET]],1)</f>
        <v/>
      </c>
      <c r="AG379" s="29">
        <f>VLOOKUP(MCC_Table[[#This Row],[START UNIT]],UnitMap[],2,FALSE)</f>
        <v/>
      </c>
      <c r="AH379" s="29">
        <f t="array" ref="AH37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79" s="29">
        <f>IF(ISNUMBER(MCC_Table[[#This Row],[SIZE]]), MCC_Table[[#This Row],[SIZE]]/6, 0)</f>
        <v/>
      </c>
      <c r="AJ379" s="29">
        <f>MCC_Table[[#This Row],[START INDEX]]+MCC_Table[[#This Row],[UNITS USED]]-1</f>
        <v/>
      </c>
      <c r="AK379" s="14" t="n"/>
      <c r="AL379" s="14" t="n"/>
      <c r="AM379" s="14" t="n"/>
      <c r="AN379" s="14" t="n"/>
      <c r="AO379" s="14" t="n"/>
      <c r="AP379" s="14" t="n"/>
      <c r="AQ379" s="14" t="n"/>
      <c r="AR379" s="14" t="n"/>
      <c r="AS379" s="14" t="n"/>
      <c r="AT379" s="14" t="n"/>
      <c r="AU379" s="14" t="n"/>
      <c r="AV379" s="14" t="n"/>
      <c r="AW379" s="14" t="n"/>
      <c r="AX379" s="14" t="n"/>
      <c r="AY379" s="14" t="n"/>
      <c r="AZ379" s="14" t="n"/>
      <c r="BA379" s="14" t="n"/>
      <c r="BB379" s="14" t="n"/>
      <c r="BC379" s="14" t="n"/>
      <c r="BD379" s="14" t="n"/>
      <c r="BE379" s="14" t="n"/>
    </row>
    <row r="380" hidden="1" ht="15.75" customHeight="1" thickTop="1">
      <c r="A380" s="113" t="n"/>
      <c r="B380" s="29" t="n"/>
      <c r="C380" s="111" t="n"/>
      <c r="D380" s="28" t="n"/>
      <c r="E380" s="112" t="n"/>
      <c r="F380" s="8" t="n"/>
      <c r="G380" s="8" t="n"/>
      <c r="H380" s="82" t="n"/>
      <c r="I380" s="8" t="n"/>
      <c r="J380" s="80">
        <f>IF(ISNUMBER(MCC_Table[[#This Row],[SIZE]]), MCC_Table[[#This Row],[SIZE]]/12, 0)</f>
        <v/>
      </c>
      <c r="K380" s="82" t="n"/>
      <c r="L380" s="82" t="n"/>
      <c r="M380" s="82" t="n"/>
      <c r="N380" s="82" t="n"/>
      <c r="O380" s="77" t="n"/>
      <c r="P380" s="110" t="n"/>
      <c r="Q380" s="79" t="n"/>
      <c r="R380" s="79" t="n"/>
      <c r="S380" s="79" t="n"/>
      <c r="T380" s="79" t="n"/>
      <c r="U380" s="79" t="n"/>
      <c r="V380" s="79" t="n"/>
      <c r="W380" s="79" t="n"/>
      <c r="X380" s="79" t="n"/>
      <c r="Y380" s="79" t="n"/>
      <c r="Z380" s="79" t="n"/>
      <c r="AA380" s="79" t="n"/>
      <c r="AB380" s="225" t="n"/>
      <c r="AC380" s="225" t="n"/>
      <c r="AD380" s="225" t="n"/>
      <c r="AE380" s="29">
        <f>_xlfn.NUMBERVALUE(LEFT(MCC_Table[[#This Row],[BUCKET]],LEN(MCC_Table[[#This Row],[BUCKET]])-1))</f>
        <v/>
      </c>
      <c r="AF380" s="29">
        <f>RIGHT(MCC_Table[[#This Row],[BUCKET]],1)</f>
        <v/>
      </c>
      <c r="AG380" s="29">
        <f>VLOOKUP(MCC_Table[[#This Row],[START UNIT]],UnitMap[],2,FALSE)</f>
        <v/>
      </c>
      <c r="AH380" s="29">
        <f t="array" ref="AH38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80" s="29">
        <f>IF(ISNUMBER(MCC_Table[[#This Row],[SIZE]]), MCC_Table[[#This Row],[SIZE]]/6, 0)</f>
        <v/>
      </c>
      <c r="AJ380" s="29">
        <f>MCC_Table[[#This Row],[START INDEX]]+MCC_Table[[#This Row],[UNITS USED]]-1</f>
        <v/>
      </c>
      <c r="AK380" s="14" t="n"/>
      <c r="AL380" s="14" t="n"/>
      <c r="AM380" s="14" t="n"/>
      <c r="AN380" s="14" t="n"/>
      <c r="AO380" s="14" t="n"/>
      <c r="AP380" s="14" t="n"/>
      <c r="AQ380" s="14" t="n"/>
      <c r="AR380" s="14" t="n"/>
      <c r="AS380" s="14" t="n"/>
      <c r="AT380" s="14" t="n"/>
      <c r="AU380" s="14" t="n"/>
      <c r="AV380" s="14" t="n"/>
      <c r="AW380" s="14" t="n"/>
      <c r="AX380" s="14" t="n"/>
      <c r="AY380" s="14" t="n"/>
      <c r="AZ380" s="14" t="n"/>
      <c r="BA380" s="14" t="n"/>
      <c r="BB380" s="14" t="n"/>
      <c r="BC380" s="14" t="n"/>
      <c r="BD380" s="14" t="n"/>
      <c r="BE380" s="14" t="n"/>
    </row>
    <row r="381" hidden="1" ht="15.75" customHeight="1" thickTop="1">
      <c r="A381" s="113" t="n"/>
      <c r="B381" s="29" t="n"/>
      <c r="C381" s="111" t="n"/>
      <c r="D381" s="28" t="n"/>
      <c r="E381" s="112" t="n"/>
      <c r="F381" s="8" t="n"/>
      <c r="G381" s="8" t="n"/>
      <c r="H381" s="82" t="n"/>
      <c r="I381" s="8" t="n"/>
      <c r="J381" s="80">
        <f>IF(ISNUMBER(MCC_Table[[#This Row],[SIZE]]), MCC_Table[[#This Row],[SIZE]]/12, 0)</f>
        <v/>
      </c>
      <c r="K381" s="82" t="n"/>
      <c r="L381" s="82" t="n"/>
      <c r="M381" s="82" t="n"/>
      <c r="N381" s="82" t="n"/>
      <c r="O381" s="77" t="n"/>
      <c r="P381" s="110" t="n"/>
      <c r="Q381" s="79" t="n"/>
      <c r="R381" s="79" t="n"/>
      <c r="S381" s="79" t="n"/>
      <c r="T381" s="79" t="n"/>
      <c r="U381" s="79" t="n"/>
      <c r="V381" s="79" t="n"/>
      <c r="W381" s="79" t="n"/>
      <c r="X381" s="79" t="n"/>
      <c r="Y381" s="79" t="n"/>
      <c r="Z381" s="79" t="n"/>
      <c r="AA381" s="79" t="n"/>
      <c r="AB381" s="225" t="n"/>
      <c r="AC381" s="225" t="n"/>
      <c r="AD381" s="225" t="n"/>
      <c r="AE381" s="29">
        <f>_xlfn.NUMBERVALUE(LEFT(MCC_Table[[#This Row],[BUCKET]],LEN(MCC_Table[[#This Row],[BUCKET]])-1))</f>
        <v/>
      </c>
      <c r="AF381" s="29">
        <f>RIGHT(MCC_Table[[#This Row],[BUCKET]],1)</f>
        <v/>
      </c>
      <c r="AG381" s="29">
        <f>VLOOKUP(MCC_Table[[#This Row],[START UNIT]],UnitMap[],2,FALSE)</f>
        <v/>
      </c>
      <c r="AH381" s="29">
        <f t="array" ref="AH38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81" s="29">
        <f>IF(ISNUMBER(MCC_Table[[#This Row],[SIZE]]), MCC_Table[[#This Row],[SIZE]]/6, 0)</f>
        <v/>
      </c>
      <c r="AJ381" s="29">
        <f>MCC_Table[[#This Row],[START INDEX]]+MCC_Table[[#This Row],[UNITS USED]]-1</f>
        <v/>
      </c>
      <c r="AK381" s="14" t="n"/>
      <c r="AL381" s="14" t="n"/>
      <c r="AM381" s="14" t="n"/>
      <c r="AN381" s="14" t="n"/>
      <c r="AO381" s="14" t="n"/>
      <c r="AP381" s="14" t="n"/>
      <c r="AQ381" s="14" t="n"/>
      <c r="AR381" s="14" t="n"/>
      <c r="AS381" s="14" t="n"/>
      <c r="AT381" s="14" t="n"/>
      <c r="AU381" s="14" t="n"/>
      <c r="AV381" s="14" t="n"/>
      <c r="AW381" s="14" t="n"/>
      <c r="AX381" s="14" t="n"/>
      <c r="AY381" s="14" t="n"/>
      <c r="AZ381" s="14" t="n"/>
      <c r="BA381" s="14" t="n"/>
      <c r="BB381" s="14" t="n"/>
      <c r="BC381" s="14" t="n"/>
      <c r="BD381" s="14" t="n"/>
      <c r="BE381" s="14" t="n"/>
    </row>
    <row r="382" hidden="1" ht="15.75" customHeight="1" thickTop="1">
      <c r="A382" s="113" t="n"/>
      <c r="B382" s="29" t="n"/>
      <c r="C382" s="111" t="n"/>
      <c r="D382" s="28" t="n"/>
      <c r="E382" s="112" t="n"/>
      <c r="F382" s="8" t="n"/>
      <c r="G382" s="8" t="n"/>
      <c r="H382" s="82" t="n"/>
      <c r="I382" s="8" t="n"/>
      <c r="J382" s="80">
        <f>IF(ISNUMBER(MCC_Table[[#This Row],[SIZE]]), MCC_Table[[#This Row],[SIZE]]/12, 0)</f>
        <v/>
      </c>
      <c r="K382" s="82" t="n"/>
      <c r="L382" s="82" t="n"/>
      <c r="M382" s="82" t="n"/>
      <c r="N382" s="82" t="n"/>
      <c r="O382" s="77" t="n"/>
      <c r="P382" s="110" t="n"/>
      <c r="Q382" s="79" t="n"/>
      <c r="R382" s="79" t="n"/>
      <c r="S382" s="79" t="n"/>
      <c r="T382" s="79" t="n"/>
      <c r="U382" s="79" t="n"/>
      <c r="V382" s="79" t="n"/>
      <c r="W382" s="79" t="n"/>
      <c r="X382" s="79" t="n"/>
      <c r="Y382" s="79" t="n"/>
      <c r="Z382" s="79" t="n"/>
      <c r="AA382" s="79" t="n"/>
      <c r="AB382" s="225" t="n"/>
      <c r="AC382" s="225" t="n"/>
      <c r="AD382" s="225" t="n"/>
      <c r="AE382" s="29">
        <f>_xlfn.NUMBERVALUE(LEFT(MCC_Table[[#This Row],[BUCKET]],LEN(MCC_Table[[#This Row],[BUCKET]])-1))</f>
        <v/>
      </c>
      <c r="AF382" s="29">
        <f>RIGHT(MCC_Table[[#This Row],[BUCKET]],1)</f>
        <v/>
      </c>
      <c r="AG382" s="29">
        <f>VLOOKUP(MCC_Table[[#This Row],[START UNIT]],UnitMap[],2,FALSE)</f>
        <v/>
      </c>
      <c r="AH382" s="29">
        <f t="array" ref="AH38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82" s="29">
        <f>IF(ISNUMBER(MCC_Table[[#This Row],[SIZE]]), MCC_Table[[#This Row],[SIZE]]/6, 0)</f>
        <v/>
      </c>
      <c r="AJ382" s="29">
        <f>MCC_Table[[#This Row],[START INDEX]]+MCC_Table[[#This Row],[UNITS USED]]-1</f>
        <v/>
      </c>
      <c r="AK382" s="14" t="n"/>
      <c r="AL382" s="14" t="n"/>
      <c r="AM382" s="14" t="n"/>
      <c r="AN382" s="14" t="n"/>
      <c r="AO382" s="14" t="n"/>
      <c r="AP382" s="14" t="n"/>
      <c r="AQ382" s="14" t="n"/>
      <c r="AR382" s="14" t="n"/>
      <c r="AS382" s="14" t="n"/>
      <c r="AT382" s="14" t="n"/>
      <c r="AU382" s="14" t="n"/>
      <c r="AV382" s="14" t="n"/>
      <c r="AW382" s="14" t="n"/>
      <c r="AX382" s="14" t="n"/>
      <c r="AY382" s="14" t="n"/>
      <c r="AZ382" s="14" t="n"/>
      <c r="BA382" s="14" t="n"/>
      <c r="BB382" s="14" t="n"/>
      <c r="BC382" s="14" t="n"/>
      <c r="BD382" s="14" t="n"/>
      <c r="BE382" s="14" t="n"/>
    </row>
    <row r="383" hidden="1" ht="15.75" customHeight="1" thickTop="1">
      <c r="A383" s="113" t="n"/>
      <c r="B383" s="29" t="n"/>
      <c r="C383" s="111" t="n"/>
      <c r="D383" s="28" t="n"/>
      <c r="E383" s="112" t="n"/>
      <c r="F383" s="8" t="n"/>
      <c r="G383" s="8" t="n"/>
      <c r="H383" s="82" t="n"/>
      <c r="I383" s="8" t="n"/>
      <c r="J383" s="80">
        <f>IF(ISNUMBER(MCC_Table[[#This Row],[SIZE]]), MCC_Table[[#This Row],[SIZE]]/12, 0)</f>
        <v/>
      </c>
      <c r="K383" s="82" t="n"/>
      <c r="L383" s="82" t="n"/>
      <c r="M383" s="82" t="n"/>
      <c r="N383" s="82" t="n"/>
      <c r="O383" s="77" t="n"/>
      <c r="P383" s="110" t="n"/>
      <c r="Q383" s="79" t="n"/>
      <c r="R383" s="79" t="n"/>
      <c r="S383" s="79" t="n"/>
      <c r="T383" s="79" t="n"/>
      <c r="U383" s="79" t="n"/>
      <c r="V383" s="79" t="n"/>
      <c r="W383" s="79" t="n"/>
      <c r="X383" s="79" t="n"/>
      <c r="Y383" s="79" t="n"/>
      <c r="Z383" s="79" t="n"/>
      <c r="AA383" s="79" t="n"/>
      <c r="AB383" s="225" t="n"/>
      <c r="AC383" s="225" t="n"/>
      <c r="AD383" s="225" t="n"/>
      <c r="AE383" s="29">
        <f>_xlfn.NUMBERVALUE(LEFT(MCC_Table[[#This Row],[BUCKET]],LEN(MCC_Table[[#This Row],[BUCKET]])-1))</f>
        <v/>
      </c>
      <c r="AF383" s="29">
        <f>RIGHT(MCC_Table[[#This Row],[BUCKET]],1)</f>
        <v/>
      </c>
      <c r="AG383" s="29">
        <f>VLOOKUP(MCC_Table[[#This Row],[START UNIT]],UnitMap[],2,FALSE)</f>
        <v/>
      </c>
      <c r="AH383" s="29">
        <f t="array" ref="AH38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83" s="29">
        <f>IF(ISNUMBER(MCC_Table[[#This Row],[SIZE]]), MCC_Table[[#This Row],[SIZE]]/6, 0)</f>
        <v/>
      </c>
      <c r="AJ383" s="29">
        <f>MCC_Table[[#This Row],[START INDEX]]+MCC_Table[[#This Row],[UNITS USED]]-1</f>
        <v/>
      </c>
      <c r="AK383" s="14" t="n"/>
      <c r="AL383" s="14" t="n"/>
      <c r="AM383" s="14" t="n"/>
      <c r="AN383" s="14" t="n"/>
      <c r="AO383" s="14" t="n"/>
      <c r="AP383" s="14" t="n"/>
      <c r="AQ383" s="14" t="n"/>
      <c r="AR383" s="14" t="n"/>
      <c r="AS383" s="14" t="n"/>
      <c r="AT383" s="14" t="n"/>
      <c r="AU383" s="14" t="n"/>
      <c r="AV383" s="14" t="n"/>
      <c r="AW383" s="14" t="n"/>
      <c r="AX383" s="14" t="n"/>
      <c r="AY383" s="14" t="n"/>
      <c r="AZ383" s="14" t="n"/>
      <c r="BA383" s="14" t="n"/>
      <c r="BB383" s="14" t="n"/>
      <c r="BC383" s="14" t="n"/>
      <c r="BD383" s="14" t="n"/>
      <c r="BE383" s="14" t="n"/>
    </row>
    <row r="384" hidden="1" ht="15.75" customHeight="1" thickTop="1">
      <c r="A384" s="113" t="n"/>
      <c r="B384" s="29" t="n"/>
      <c r="C384" s="111" t="n"/>
      <c r="D384" s="28" t="n"/>
      <c r="E384" s="112" t="n"/>
      <c r="F384" s="8" t="n"/>
      <c r="G384" s="8" t="n"/>
      <c r="H384" s="82" t="n"/>
      <c r="I384" s="8" t="n"/>
      <c r="J384" s="80">
        <f>IF(ISNUMBER(MCC_Table[[#This Row],[SIZE]]), MCC_Table[[#This Row],[SIZE]]/12, 0)</f>
        <v/>
      </c>
      <c r="K384" s="82" t="n"/>
      <c r="L384" s="82" t="n"/>
      <c r="M384" s="82" t="n"/>
      <c r="N384" s="82" t="n"/>
      <c r="O384" s="77" t="n"/>
      <c r="P384" s="110" t="n"/>
      <c r="Q384" s="79" t="n"/>
      <c r="R384" s="79" t="n"/>
      <c r="S384" s="79" t="n"/>
      <c r="T384" s="79" t="n"/>
      <c r="U384" s="79" t="n"/>
      <c r="V384" s="79" t="n"/>
      <c r="W384" s="79" t="n"/>
      <c r="X384" s="79" t="n"/>
      <c r="Y384" s="79" t="n"/>
      <c r="Z384" s="79" t="n"/>
      <c r="AA384" s="79" t="n"/>
      <c r="AB384" s="225" t="n"/>
      <c r="AC384" s="225" t="n"/>
      <c r="AD384" s="225" t="n"/>
      <c r="AE384" s="29">
        <f>_xlfn.NUMBERVALUE(LEFT(MCC_Table[[#This Row],[BUCKET]],LEN(MCC_Table[[#This Row],[BUCKET]])-1))</f>
        <v/>
      </c>
      <c r="AF384" s="29">
        <f>RIGHT(MCC_Table[[#This Row],[BUCKET]],1)</f>
        <v/>
      </c>
      <c r="AG384" s="29">
        <f>VLOOKUP(MCC_Table[[#This Row],[START UNIT]],UnitMap[],2,FALSE)</f>
        <v/>
      </c>
      <c r="AH384" s="29">
        <f t="array" ref="AH38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84" s="29">
        <f>IF(ISNUMBER(MCC_Table[[#This Row],[SIZE]]), MCC_Table[[#This Row],[SIZE]]/6, 0)</f>
        <v/>
      </c>
      <c r="AJ384" s="29">
        <f>MCC_Table[[#This Row],[START INDEX]]+MCC_Table[[#This Row],[UNITS USED]]-1</f>
        <v/>
      </c>
      <c r="AK384" s="14" t="n"/>
      <c r="AL384" s="14" t="n"/>
      <c r="AM384" s="14" t="n"/>
      <c r="AN384" s="14" t="n"/>
      <c r="AO384" s="14" t="n"/>
      <c r="AP384" s="14" t="n"/>
      <c r="AQ384" s="14" t="n"/>
      <c r="AR384" s="14" t="n"/>
      <c r="AS384" s="14" t="n"/>
      <c r="AT384" s="14" t="n"/>
      <c r="AU384" s="14" t="n"/>
      <c r="AV384" s="14" t="n"/>
      <c r="AW384" s="14" t="n"/>
      <c r="AX384" s="14" t="n"/>
      <c r="AY384" s="14" t="n"/>
      <c r="AZ384" s="14" t="n"/>
      <c r="BA384" s="14" t="n"/>
      <c r="BB384" s="14" t="n"/>
      <c r="BC384" s="14" t="n"/>
      <c r="BD384" s="14" t="n"/>
      <c r="BE384" s="14" t="n"/>
    </row>
    <row r="385" hidden="1" ht="15.75" customHeight="1" thickTop="1">
      <c r="A385" s="113" t="n"/>
      <c r="B385" s="29" t="n"/>
      <c r="C385" s="111" t="n"/>
      <c r="D385" s="28" t="n"/>
      <c r="E385" s="112" t="n"/>
      <c r="F385" s="8" t="n"/>
      <c r="G385" s="8" t="n"/>
      <c r="H385" s="82" t="n"/>
      <c r="I385" s="8" t="n"/>
      <c r="J385" s="80">
        <f>IF(ISNUMBER(MCC_Table[[#This Row],[SIZE]]), MCC_Table[[#This Row],[SIZE]]/12, 0)</f>
        <v/>
      </c>
      <c r="K385" s="82" t="n"/>
      <c r="L385" s="82" t="n"/>
      <c r="M385" s="82" t="n"/>
      <c r="N385" s="82" t="n"/>
      <c r="O385" s="77" t="n"/>
      <c r="P385" s="110" t="n"/>
      <c r="Q385" s="79" t="n"/>
      <c r="R385" s="79" t="n"/>
      <c r="S385" s="79" t="n"/>
      <c r="T385" s="79" t="n"/>
      <c r="U385" s="79" t="n"/>
      <c r="V385" s="79" t="n"/>
      <c r="W385" s="79" t="n"/>
      <c r="X385" s="79" t="n"/>
      <c r="Y385" s="79" t="n"/>
      <c r="Z385" s="79" t="n"/>
      <c r="AA385" s="79" t="n"/>
      <c r="AB385" s="225" t="n"/>
      <c r="AC385" s="225" t="n"/>
      <c r="AD385" s="225" t="n"/>
      <c r="AE385" s="29">
        <f>_xlfn.NUMBERVALUE(LEFT(MCC_Table[[#This Row],[BUCKET]],LEN(MCC_Table[[#This Row],[BUCKET]])-1))</f>
        <v/>
      </c>
      <c r="AF385" s="29">
        <f>RIGHT(MCC_Table[[#This Row],[BUCKET]],1)</f>
        <v/>
      </c>
      <c r="AG385" s="29">
        <f>VLOOKUP(MCC_Table[[#This Row],[START UNIT]],UnitMap[],2,FALSE)</f>
        <v/>
      </c>
      <c r="AH385" s="29">
        <f t="array" ref="AH38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85" s="29">
        <f>IF(ISNUMBER(MCC_Table[[#This Row],[SIZE]]), MCC_Table[[#This Row],[SIZE]]/6, 0)</f>
        <v/>
      </c>
      <c r="AJ385" s="29">
        <f>MCC_Table[[#This Row],[START INDEX]]+MCC_Table[[#This Row],[UNITS USED]]-1</f>
        <v/>
      </c>
      <c r="AK385" s="14" t="n"/>
      <c r="AL385" s="14" t="n"/>
      <c r="AM385" s="14" t="n"/>
      <c r="AN385" s="14" t="n"/>
      <c r="AO385" s="14" t="n"/>
      <c r="AP385" s="14" t="n"/>
      <c r="AQ385" s="14" t="n"/>
      <c r="AR385" s="14" t="n"/>
      <c r="AS385" s="14" t="n"/>
      <c r="AT385" s="14" t="n"/>
      <c r="AU385" s="14" t="n"/>
      <c r="AV385" s="14" t="n"/>
      <c r="AW385" s="14" t="n"/>
      <c r="AX385" s="14" t="n"/>
      <c r="AY385" s="14" t="n"/>
      <c r="AZ385" s="14" t="n"/>
      <c r="BA385" s="14" t="n"/>
      <c r="BB385" s="14" t="n"/>
      <c r="BC385" s="14" t="n"/>
      <c r="BD385" s="14" t="n"/>
      <c r="BE385" s="14" t="n"/>
    </row>
    <row r="386" hidden="1" ht="15.75" customHeight="1" thickTop="1">
      <c r="A386" s="113" t="n"/>
      <c r="B386" s="29" t="n"/>
      <c r="C386" s="111" t="n"/>
      <c r="D386" s="28" t="n"/>
      <c r="E386" s="112" t="n"/>
      <c r="F386" s="8" t="n"/>
      <c r="G386" s="8" t="n"/>
      <c r="H386" s="82" t="n"/>
      <c r="I386" s="8" t="n"/>
      <c r="J386" s="80">
        <f>IF(ISNUMBER(MCC_Table[[#This Row],[SIZE]]), MCC_Table[[#This Row],[SIZE]]/12, 0)</f>
        <v/>
      </c>
      <c r="K386" s="82" t="n"/>
      <c r="L386" s="82" t="n"/>
      <c r="M386" s="82" t="n"/>
      <c r="N386" s="82" t="n"/>
      <c r="O386" s="77" t="n"/>
      <c r="P386" s="110" t="n"/>
      <c r="Q386" s="79" t="n"/>
      <c r="R386" s="79" t="n"/>
      <c r="S386" s="79" t="n"/>
      <c r="T386" s="79" t="n"/>
      <c r="U386" s="79" t="n"/>
      <c r="V386" s="79" t="n"/>
      <c r="W386" s="79" t="n"/>
      <c r="X386" s="79" t="n"/>
      <c r="Y386" s="79" t="n"/>
      <c r="Z386" s="79" t="n"/>
      <c r="AA386" s="79" t="n"/>
      <c r="AB386" s="225" t="n"/>
      <c r="AC386" s="225" t="n"/>
      <c r="AD386" s="225" t="n"/>
      <c r="AE386" s="29">
        <f>_xlfn.NUMBERVALUE(LEFT(MCC_Table[[#This Row],[BUCKET]],LEN(MCC_Table[[#This Row],[BUCKET]])-1))</f>
        <v/>
      </c>
      <c r="AF386" s="29">
        <f>RIGHT(MCC_Table[[#This Row],[BUCKET]],1)</f>
        <v/>
      </c>
      <c r="AG386" s="29">
        <f>VLOOKUP(MCC_Table[[#This Row],[START UNIT]],UnitMap[],2,FALSE)</f>
        <v/>
      </c>
      <c r="AH386" s="29">
        <f t="array" ref="AH38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86" s="29">
        <f>IF(ISNUMBER(MCC_Table[[#This Row],[SIZE]]), MCC_Table[[#This Row],[SIZE]]/6, 0)</f>
        <v/>
      </c>
      <c r="AJ386" s="29">
        <f>MCC_Table[[#This Row],[START INDEX]]+MCC_Table[[#This Row],[UNITS USED]]-1</f>
        <v/>
      </c>
      <c r="AK386" s="14" t="n"/>
      <c r="AL386" s="14" t="n"/>
      <c r="AM386" s="14" t="n"/>
      <c r="AN386" s="14" t="n"/>
      <c r="AO386" s="14" t="n"/>
      <c r="AP386" s="14" t="n"/>
      <c r="AQ386" s="14" t="n"/>
      <c r="AR386" s="14" t="n"/>
      <c r="AS386" s="14" t="n"/>
      <c r="AT386" s="14" t="n"/>
      <c r="AU386" s="14" t="n"/>
      <c r="AV386" s="14" t="n"/>
      <c r="AW386" s="14" t="n"/>
      <c r="AX386" s="14" t="n"/>
      <c r="AY386" s="14" t="n"/>
      <c r="AZ386" s="14" t="n"/>
      <c r="BA386" s="14" t="n"/>
      <c r="BB386" s="14" t="n"/>
      <c r="BC386" s="14" t="n"/>
      <c r="BD386" s="14" t="n"/>
      <c r="BE386" s="14" t="n"/>
    </row>
    <row r="387" hidden="1" ht="15.75" customHeight="1" thickTop="1">
      <c r="A387" s="113" t="n"/>
      <c r="B387" s="29" t="n"/>
      <c r="C387" s="111" t="n"/>
      <c r="D387" s="28" t="n"/>
      <c r="E387" s="112" t="n"/>
      <c r="F387" s="8" t="n"/>
      <c r="G387" s="8" t="n"/>
      <c r="H387" s="82" t="n"/>
      <c r="I387" s="8" t="n"/>
      <c r="J387" s="80">
        <f>IF(ISNUMBER(MCC_Table[[#This Row],[SIZE]]), MCC_Table[[#This Row],[SIZE]]/12, 0)</f>
        <v/>
      </c>
      <c r="K387" s="82" t="n"/>
      <c r="L387" s="82" t="n"/>
      <c r="M387" s="82" t="n"/>
      <c r="N387" s="82" t="n"/>
      <c r="O387" s="77" t="n"/>
      <c r="P387" s="110" t="n"/>
      <c r="Q387" s="79" t="n"/>
      <c r="R387" s="79" t="n"/>
      <c r="S387" s="79" t="n"/>
      <c r="T387" s="79" t="n"/>
      <c r="U387" s="79" t="n"/>
      <c r="V387" s="79" t="n"/>
      <c r="W387" s="79" t="n"/>
      <c r="X387" s="79" t="n"/>
      <c r="Y387" s="79" t="n"/>
      <c r="Z387" s="79" t="n"/>
      <c r="AA387" s="79" t="n"/>
      <c r="AB387" s="225" t="n"/>
      <c r="AC387" s="225" t="n"/>
      <c r="AD387" s="225" t="n"/>
      <c r="AE387" s="29">
        <f>_xlfn.NUMBERVALUE(LEFT(MCC_Table[[#This Row],[BUCKET]],LEN(MCC_Table[[#This Row],[BUCKET]])-1))</f>
        <v/>
      </c>
      <c r="AF387" s="29">
        <f>RIGHT(MCC_Table[[#This Row],[BUCKET]],1)</f>
        <v/>
      </c>
      <c r="AG387" s="29">
        <f>VLOOKUP(MCC_Table[[#This Row],[START UNIT]],UnitMap[],2,FALSE)</f>
        <v/>
      </c>
      <c r="AH387" s="29">
        <f t="array" ref="AH38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87" s="29">
        <f>IF(ISNUMBER(MCC_Table[[#This Row],[SIZE]]), MCC_Table[[#This Row],[SIZE]]/6, 0)</f>
        <v/>
      </c>
      <c r="AJ387" s="29">
        <f>MCC_Table[[#This Row],[START INDEX]]+MCC_Table[[#This Row],[UNITS USED]]-1</f>
        <v/>
      </c>
      <c r="AK387" s="14" t="n"/>
      <c r="AL387" s="14" t="n"/>
      <c r="AM387" s="14" t="n"/>
      <c r="AN387" s="14" t="n"/>
      <c r="AO387" s="14" t="n"/>
      <c r="AP387" s="14" t="n"/>
      <c r="AQ387" s="14" t="n"/>
      <c r="AR387" s="14" t="n"/>
      <c r="AS387" s="14" t="n"/>
      <c r="AT387" s="14" t="n"/>
      <c r="AU387" s="14" t="n"/>
      <c r="AV387" s="14" t="n"/>
      <c r="AW387" s="14" t="n"/>
      <c r="AX387" s="14" t="n"/>
      <c r="AY387" s="14" t="n"/>
      <c r="AZ387" s="14" t="n"/>
      <c r="BA387" s="14" t="n"/>
      <c r="BB387" s="14" t="n"/>
      <c r="BC387" s="14" t="n"/>
      <c r="BD387" s="14" t="n"/>
      <c r="BE387" s="14" t="n"/>
    </row>
    <row r="388" hidden="1" ht="15.75" customHeight="1" thickTop="1">
      <c r="A388" s="113" t="n"/>
      <c r="B388" s="29" t="n"/>
      <c r="C388" s="111" t="n"/>
      <c r="D388" s="28" t="n"/>
      <c r="E388" s="112" t="n"/>
      <c r="F388" s="8" t="n"/>
      <c r="G388" s="8" t="n"/>
      <c r="H388" s="82" t="n"/>
      <c r="I388" s="8" t="n"/>
      <c r="J388" s="80">
        <f>IF(ISNUMBER(MCC_Table[[#This Row],[SIZE]]), MCC_Table[[#This Row],[SIZE]]/12, 0)</f>
        <v/>
      </c>
      <c r="K388" s="82" t="n"/>
      <c r="L388" s="82" t="n"/>
      <c r="M388" s="82" t="n"/>
      <c r="N388" s="82" t="n"/>
      <c r="O388" s="77" t="n"/>
      <c r="P388" s="110" t="n"/>
      <c r="Q388" s="79" t="n"/>
      <c r="R388" s="79" t="n"/>
      <c r="S388" s="79" t="n"/>
      <c r="T388" s="79" t="n"/>
      <c r="U388" s="79" t="n"/>
      <c r="V388" s="79" t="n"/>
      <c r="W388" s="79" t="n"/>
      <c r="X388" s="79" t="n"/>
      <c r="Y388" s="79" t="n"/>
      <c r="Z388" s="79" t="n"/>
      <c r="AA388" s="79" t="n"/>
      <c r="AB388" s="225" t="n"/>
      <c r="AC388" s="225" t="n"/>
      <c r="AD388" s="225" t="n"/>
      <c r="AE388" s="29">
        <f>_xlfn.NUMBERVALUE(LEFT(MCC_Table[[#This Row],[BUCKET]],LEN(MCC_Table[[#This Row],[BUCKET]])-1))</f>
        <v/>
      </c>
      <c r="AF388" s="29">
        <f>RIGHT(MCC_Table[[#This Row],[BUCKET]],1)</f>
        <v/>
      </c>
      <c r="AG388" s="29">
        <f>VLOOKUP(MCC_Table[[#This Row],[START UNIT]],UnitMap[],2,FALSE)</f>
        <v/>
      </c>
      <c r="AH388" s="29">
        <f t="array" ref="AH38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88" s="29">
        <f>IF(ISNUMBER(MCC_Table[[#This Row],[SIZE]]), MCC_Table[[#This Row],[SIZE]]/6, 0)</f>
        <v/>
      </c>
      <c r="AJ388" s="29">
        <f>MCC_Table[[#This Row],[START INDEX]]+MCC_Table[[#This Row],[UNITS USED]]-1</f>
        <v/>
      </c>
      <c r="AK388" s="14" t="n"/>
      <c r="AL388" s="14" t="n"/>
      <c r="AM388" s="14" t="n"/>
      <c r="AN388" s="14" t="n"/>
      <c r="AO388" s="14" t="n"/>
      <c r="AP388" s="14" t="n"/>
      <c r="AQ388" s="14" t="n"/>
      <c r="AR388" s="14" t="n"/>
      <c r="AS388" s="14" t="n"/>
      <c r="AT388" s="14" t="n"/>
      <c r="AU388" s="14" t="n"/>
      <c r="AV388" s="14" t="n"/>
      <c r="AW388" s="14" t="n"/>
      <c r="AX388" s="14" t="n"/>
      <c r="AY388" s="14" t="n"/>
      <c r="AZ388" s="14" t="n"/>
      <c r="BA388" s="14" t="n"/>
      <c r="BB388" s="14" t="n"/>
      <c r="BC388" s="14" t="n"/>
      <c r="BD388" s="14" t="n"/>
      <c r="BE388" s="14" t="n"/>
    </row>
    <row r="389" hidden="1" ht="15.75" customHeight="1" thickTop="1">
      <c r="A389" s="113" t="n"/>
      <c r="B389" s="29" t="n"/>
      <c r="C389" s="111" t="n"/>
      <c r="D389" s="28" t="n"/>
      <c r="E389" s="112" t="n"/>
      <c r="F389" s="8" t="n"/>
      <c r="G389" s="8" t="n"/>
      <c r="H389" s="82" t="n"/>
      <c r="I389" s="8" t="n"/>
      <c r="J389" s="80">
        <f>IF(ISNUMBER(MCC_Table[[#This Row],[SIZE]]), MCC_Table[[#This Row],[SIZE]]/12, 0)</f>
        <v/>
      </c>
      <c r="K389" s="82" t="n"/>
      <c r="L389" s="82" t="n"/>
      <c r="M389" s="82" t="n"/>
      <c r="N389" s="82" t="n"/>
      <c r="O389" s="77" t="n"/>
      <c r="P389" s="110" t="n"/>
      <c r="Q389" s="79" t="n"/>
      <c r="R389" s="79" t="n"/>
      <c r="S389" s="79" t="n"/>
      <c r="T389" s="79" t="n"/>
      <c r="U389" s="79" t="n"/>
      <c r="V389" s="79" t="n"/>
      <c r="W389" s="79" t="n"/>
      <c r="X389" s="79" t="n"/>
      <c r="Y389" s="79" t="n"/>
      <c r="Z389" s="79" t="n"/>
      <c r="AA389" s="79" t="n"/>
      <c r="AB389" s="225" t="n"/>
      <c r="AC389" s="225" t="n"/>
      <c r="AD389" s="225" t="n"/>
      <c r="AE389" s="29">
        <f>_xlfn.NUMBERVALUE(LEFT(MCC_Table[[#This Row],[BUCKET]],LEN(MCC_Table[[#This Row],[BUCKET]])-1))</f>
        <v/>
      </c>
      <c r="AF389" s="29">
        <f>RIGHT(MCC_Table[[#This Row],[BUCKET]],1)</f>
        <v/>
      </c>
      <c r="AG389" s="29">
        <f>VLOOKUP(MCC_Table[[#This Row],[START UNIT]],UnitMap[],2,FALSE)</f>
        <v/>
      </c>
      <c r="AH389" s="29">
        <f t="array" ref="AH38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89" s="29">
        <f>IF(ISNUMBER(MCC_Table[[#This Row],[SIZE]]), MCC_Table[[#This Row],[SIZE]]/6, 0)</f>
        <v/>
      </c>
      <c r="AJ389" s="29">
        <f>MCC_Table[[#This Row],[START INDEX]]+MCC_Table[[#This Row],[UNITS USED]]-1</f>
        <v/>
      </c>
      <c r="AK389" s="14" t="n"/>
      <c r="AL389" s="14" t="n"/>
      <c r="AM389" s="14" t="n"/>
      <c r="AN389" s="14" t="n"/>
      <c r="AO389" s="14" t="n"/>
      <c r="AP389" s="14" t="n"/>
      <c r="AQ389" s="14" t="n"/>
      <c r="AR389" s="14" t="n"/>
      <c r="AS389" s="14" t="n"/>
      <c r="AT389" s="14" t="n"/>
      <c r="AU389" s="14" t="n"/>
      <c r="AV389" s="14" t="n"/>
      <c r="AW389" s="14" t="n"/>
      <c r="AX389" s="14" t="n"/>
      <c r="AY389" s="14" t="n"/>
      <c r="AZ389" s="14" t="n"/>
      <c r="BA389" s="14" t="n"/>
      <c r="BB389" s="14" t="n"/>
      <c r="BC389" s="14" t="n"/>
      <c r="BD389" s="14" t="n"/>
      <c r="BE389" s="14" t="n"/>
    </row>
    <row r="390" hidden="1" ht="15.75" customHeight="1" thickTop="1">
      <c r="A390" s="113" t="n"/>
      <c r="B390" s="29" t="n"/>
      <c r="C390" s="111" t="n"/>
      <c r="D390" s="28" t="n"/>
      <c r="E390" s="112" t="n"/>
      <c r="F390" s="8" t="n"/>
      <c r="G390" s="8" t="n"/>
      <c r="H390" s="82" t="n"/>
      <c r="I390" s="8" t="n"/>
      <c r="J390" s="80">
        <f>IF(ISNUMBER(MCC_Table[[#This Row],[SIZE]]), MCC_Table[[#This Row],[SIZE]]/12, 0)</f>
        <v/>
      </c>
      <c r="K390" s="82" t="n"/>
      <c r="L390" s="82" t="n"/>
      <c r="M390" s="82" t="n"/>
      <c r="N390" s="82" t="n"/>
      <c r="O390" s="77" t="n"/>
      <c r="P390" s="110" t="n"/>
      <c r="Q390" s="79" t="n"/>
      <c r="R390" s="79" t="n"/>
      <c r="S390" s="79" t="n"/>
      <c r="T390" s="79" t="n"/>
      <c r="U390" s="79" t="n"/>
      <c r="V390" s="79" t="n"/>
      <c r="W390" s="79" t="n"/>
      <c r="X390" s="79" t="n"/>
      <c r="Y390" s="79" t="n"/>
      <c r="Z390" s="79" t="n"/>
      <c r="AA390" s="79" t="n"/>
      <c r="AB390" s="225" t="n"/>
      <c r="AC390" s="225" t="n"/>
      <c r="AD390" s="225" t="n"/>
      <c r="AE390" s="29">
        <f>_xlfn.NUMBERVALUE(LEFT(MCC_Table[[#This Row],[BUCKET]],LEN(MCC_Table[[#This Row],[BUCKET]])-1))</f>
        <v/>
      </c>
      <c r="AF390" s="29">
        <f>RIGHT(MCC_Table[[#This Row],[BUCKET]],1)</f>
        <v/>
      </c>
      <c r="AG390" s="29">
        <f>VLOOKUP(MCC_Table[[#This Row],[START UNIT]],UnitMap[],2,FALSE)</f>
        <v/>
      </c>
      <c r="AH390" s="29">
        <f t="array" ref="AH39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90" s="29">
        <f>IF(ISNUMBER(MCC_Table[[#This Row],[SIZE]]), MCC_Table[[#This Row],[SIZE]]/6, 0)</f>
        <v/>
      </c>
      <c r="AJ390" s="29">
        <f>MCC_Table[[#This Row],[START INDEX]]+MCC_Table[[#This Row],[UNITS USED]]-1</f>
        <v/>
      </c>
      <c r="AK390" s="14" t="n"/>
      <c r="AL390" s="14" t="n"/>
      <c r="AM390" s="14" t="n"/>
      <c r="AN390" s="14" t="n"/>
      <c r="AO390" s="14" t="n"/>
      <c r="AP390" s="14" t="n"/>
      <c r="AQ390" s="14" t="n"/>
      <c r="AR390" s="14" t="n"/>
      <c r="AS390" s="14" t="n"/>
      <c r="AT390" s="14" t="n"/>
      <c r="AU390" s="14" t="n"/>
      <c r="AV390" s="14" t="n"/>
      <c r="AW390" s="14" t="n"/>
      <c r="AX390" s="14" t="n"/>
      <c r="AY390" s="14" t="n"/>
      <c r="AZ390" s="14" t="n"/>
      <c r="BA390" s="14" t="n"/>
      <c r="BB390" s="14" t="n"/>
      <c r="BC390" s="14" t="n"/>
      <c r="BD390" s="14" t="n"/>
      <c r="BE390" s="14" t="n"/>
    </row>
    <row r="391" hidden="1" ht="15.75" customHeight="1" thickTop="1">
      <c r="A391" s="113" t="n"/>
      <c r="B391" s="29" t="n"/>
      <c r="C391" s="111" t="n"/>
      <c r="D391" s="28" t="n"/>
      <c r="E391" s="112" t="n"/>
      <c r="F391" s="8" t="n"/>
      <c r="G391" s="8" t="n"/>
      <c r="H391" s="82" t="n"/>
      <c r="I391" s="8" t="n"/>
      <c r="J391" s="80">
        <f>IF(ISNUMBER(MCC_Table[[#This Row],[SIZE]]), MCC_Table[[#This Row],[SIZE]]/12, 0)</f>
        <v/>
      </c>
      <c r="K391" s="82" t="n"/>
      <c r="L391" s="82" t="n"/>
      <c r="M391" s="82" t="n"/>
      <c r="N391" s="82" t="n"/>
      <c r="O391" s="77" t="n"/>
      <c r="P391" s="110" t="n"/>
      <c r="Q391" s="79" t="n"/>
      <c r="R391" s="79" t="n"/>
      <c r="S391" s="79" t="n"/>
      <c r="T391" s="79" t="n"/>
      <c r="U391" s="79" t="n"/>
      <c r="V391" s="79" t="n"/>
      <c r="W391" s="79" t="n"/>
      <c r="X391" s="79" t="n"/>
      <c r="Y391" s="79" t="n"/>
      <c r="Z391" s="79" t="n"/>
      <c r="AA391" s="79" t="n"/>
      <c r="AB391" s="225" t="n"/>
      <c r="AC391" s="225" t="n"/>
      <c r="AD391" s="225" t="n"/>
      <c r="AE391" s="29">
        <f>_xlfn.NUMBERVALUE(LEFT(MCC_Table[[#This Row],[BUCKET]],LEN(MCC_Table[[#This Row],[BUCKET]])-1))</f>
        <v/>
      </c>
      <c r="AF391" s="29">
        <f>RIGHT(MCC_Table[[#This Row],[BUCKET]],1)</f>
        <v/>
      </c>
      <c r="AG391" s="29">
        <f>VLOOKUP(MCC_Table[[#This Row],[START UNIT]],UnitMap[],2,FALSE)</f>
        <v/>
      </c>
      <c r="AH391" s="29">
        <f t="array" ref="AH39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91" s="29">
        <f>IF(ISNUMBER(MCC_Table[[#This Row],[SIZE]]), MCC_Table[[#This Row],[SIZE]]/6, 0)</f>
        <v/>
      </c>
      <c r="AJ391" s="29">
        <f>MCC_Table[[#This Row],[START INDEX]]+MCC_Table[[#This Row],[UNITS USED]]-1</f>
        <v/>
      </c>
      <c r="AK391" s="14" t="n"/>
      <c r="AL391" s="14" t="n"/>
      <c r="AM391" s="14" t="n"/>
      <c r="AN391" s="14" t="n"/>
      <c r="AO391" s="14" t="n"/>
      <c r="AP391" s="14" t="n"/>
      <c r="AQ391" s="14" t="n"/>
      <c r="AR391" s="14" t="n"/>
      <c r="AS391" s="14" t="n"/>
      <c r="AT391" s="14" t="n"/>
      <c r="AU391" s="14" t="n"/>
      <c r="AV391" s="14" t="n"/>
      <c r="AW391" s="14" t="n"/>
      <c r="AX391" s="14" t="n"/>
      <c r="AY391" s="14" t="n"/>
      <c r="AZ391" s="14" t="n"/>
      <c r="BA391" s="14" t="n"/>
      <c r="BB391" s="14" t="n"/>
      <c r="BC391" s="14" t="n"/>
      <c r="BD391" s="14" t="n"/>
      <c r="BE391" s="14" t="n"/>
    </row>
    <row r="392" hidden="1" ht="15.75" customHeight="1" thickTop="1">
      <c r="A392" s="113" t="n"/>
      <c r="B392" s="29" t="n"/>
      <c r="C392" s="111" t="n"/>
      <c r="D392" s="28" t="n"/>
      <c r="E392" s="112" t="n"/>
      <c r="F392" s="8" t="n"/>
      <c r="G392" s="8" t="n"/>
      <c r="H392" s="82" t="n"/>
      <c r="I392" s="8" t="n"/>
      <c r="J392" s="80">
        <f>IF(ISNUMBER(MCC_Table[[#This Row],[SIZE]]), MCC_Table[[#This Row],[SIZE]]/12, 0)</f>
        <v/>
      </c>
      <c r="K392" s="82" t="n"/>
      <c r="L392" s="82" t="n"/>
      <c r="M392" s="82" t="n"/>
      <c r="N392" s="82" t="n"/>
      <c r="O392" s="77" t="n"/>
      <c r="P392" s="110" t="n"/>
      <c r="Q392" s="79" t="n"/>
      <c r="R392" s="79" t="n"/>
      <c r="S392" s="79" t="n"/>
      <c r="T392" s="79" t="n"/>
      <c r="U392" s="79" t="n"/>
      <c r="V392" s="79" t="n"/>
      <c r="W392" s="79" t="n"/>
      <c r="X392" s="79" t="n"/>
      <c r="Y392" s="79" t="n"/>
      <c r="Z392" s="79" t="n"/>
      <c r="AA392" s="79" t="n"/>
      <c r="AB392" s="225" t="n"/>
      <c r="AC392" s="225" t="n"/>
      <c r="AD392" s="225" t="n"/>
      <c r="AE392" s="29">
        <f>_xlfn.NUMBERVALUE(LEFT(MCC_Table[[#This Row],[BUCKET]],LEN(MCC_Table[[#This Row],[BUCKET]])-1))</f>
        <v/>
      </c>
      <c r="AF392" s="29">
        <f>RIGHT(MCC_Table[[#This Row],[BUCKET]],1)</f>
        <v/>
      </c>
      <c r="AG392" s="29">
        <f>VLOOKUP(MCC_Table[[#This Row],[START UNIT]],UnitMap[],2,FALSE)</f>
        <v/>
      </c>
      <c r="AH392" s="29">
        <f t="array" ref="AH39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92" s="29">
        <f>IF(ISNUMBER(MCC_Table[[#This Row],[SIZE]]), MCC_Table[[#This Row],[SIZE]]/6, 0)</f>
        <v/>
      </c>
      <c r="AJ392" s="29">
        <f>MCC_Table[[#This Row],[START INDEX]]+MCC_Table[[#This Row],[UNITS USED]]-1</f>
        <v/>
      </c>
      <c r="AK392" s="14" t="n"/>
      <c r="AL392" s="14" t="n"/>
      <c r="AM392" s="14" t="n"/>
      <c r="AN392" s="14" t="n"/>
      <c r="AO392" s="14" t="n"/>
      <c r="AP392" s="14" t="n"/>
      <c r="AQ392" s="14" t="n"/>
      <c r="AR392" s="14" t="n"/>
      <c r="AS392" s="14" t="n"/>
      <c r="AT392" s="14" t="n"/>
      <c r="AU392" s="14" t="n"/>
      <c r="AV392" s="14" t="n"/>
      <c r="AW392" s="14" t="n"/>
      <c r="AX392" s="14" t="n"/>
      <c r="AY392" s="14" t="n"/>
      <c r="AZ392" s="14" t="n"/>
      <c r="BA392" s="14" t="n"/>
      <c r="BB392" s="14" t="n"/>
      <c r="BC392" s="14" t="n"/>
      <c r="BD392" s="14" t="n"/>
      <c r="BE392" s="14" t="n"/>
    </row>
    <row r="393" hidden="1" ht="15.75" customHeight="1" thickTop="1">
      <c r="A393" s="113" t="n"/>
      <c r="B393" s="29" t="n"/>
      <c r="C393" s="111" t="n"/>
      <c r="D393" s="28" t="n"/>
      <c r="E393" s="112" t="n"/>
      <c r="F393" s="8" t="n"/>
      <c r="G393" s="8" t="n"/>
      <c r="H393" s="82" t="n"/>
      <c r="I393" s="8" t="n"/>
      <c r="J393" s="80">
        <f>IF(ISNUMBER(MCC_Table[[#This Row],[SIZE]]), MCC_Table[[#This Row],[SIZE]]/12, 0)</f>
        <v/>
      </c>
      <c r="K393" s="82" t="n"/>
      <c r="L393" s="82" t="n"/>
      <c r="M393" s="82" t="n"/>
      <c r="N393" s="82" t="n"/>
      <c r="O393" s="77" t="n"/>
      <c r="P393" s="110" t="n"/>
      <c r="Q393" s="79" t="n"/>
      <c r="R393" s="79" t="n"/>
      <c r="S393" s="79" t="n"/>
      <c r="T393" s="79" t="n"/>
      <c r="U393" s="79" t="n"/>
      <c r="V393" s="79" t="n"/>
      <c r="W393" s="79" t="n"/>
      <c r="X393" s="79" t="n"/>
      <c r="Y393" s="79" t="n"/>
      <c r="Z393" s="79" t="n"/>
      <c r="AA393" s="79" t="n"/>
      <c r="AB393" s="225" t="n"/>
      <c r="AC393" s="225" t="n"/>
      <c r="AD393" s="225" t="n"/>
      <c r="AE393" s="29">
        <f>_xlfn.NUMBERVALUE(LEFT(MCC_Table[[#This Row],[BUCKET]],LEN(MCC_Table[[#This Row],[BUCKET]])-1))</f>
        <v/>
      </c>
      <c r="AF393" s="29">
        <f>RIGHT(MCC_Table[[#This Row],[BUCKET]],1)</f>
        <v/>
      </c>
      <c r="AG393" s="29">
        <f>VLOOKUP(MCC_Table[[#This Row],[START UNIT]],UnitMap[],2,FALSE)</f>
        <v/>
      </c>
      <c r="AH393" s="29">
        <f t="array" ref="AH39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93" s="29">
        <f>IF(ISNUMBER(MCC_Table[[#This Row],[SIZE]]), MCC_Table[[#This Row],[SIZE]]/6, 0)</f>
        <v/>
      </c>
      <c r="AJ393" s="29">
        <f>MCC_Table[[#This Row],[START INDEX]]+MCC_Table[[#This Row],[UNITS USED]]-1</f>
        <v/>
      </c>
      <c r="AK393" s="14" t="n"/>
      <c r="AL393" s="14" t="n"/>
      <c r="AM393" s="14" t="n"/>
      <c r="AN393" s="14" t="n"/>
      <c r="AO393" s="14" t="n"/>
      <c r="AP393" s="14" t="n"/>
      <c r="AQ393" s="14" t="n"/>
      <c r="AR393" s="14" t="n"/>
      <c r="AS393" s="14" t="n"/>
      <c r="AT393" s="14" t="n"/>
      <c r="AU393" s="14" t="n"/>
      <c r="AV393" s="14" t="n"/>
      <c r="AW393" s="14" t="n"/>
      <c r="AX393" s="14" t="n"/>
      <c r="AY393" s="14" t="n"/>
      <c r="AZ393" s="14" t="n"/>
      <c r="BA393" s="14" t="n"/>
      <c r="BB393" s="14" t="n"/>
      <c r="BC393" s="14" t="n"/>
      <c r="BD393" s="14" t="n"/>
      <c r="BE393" s="14" t="n"/>
    </row>
    <row r="394" hidden="1" ht="15.75" customHeight="1" thickTop="1">
      <c r="A394" s="113" t="n"/>
      <c r="B394" s="29" t="n"/>
      <c r="C394" s="111" t="n"/>
      <c r="D394" s="28" t="n"/>
      <c r="E394" s="112" t="n"/>
      <c r="F394" s="8" t="n"/>
      <c r="G394" s="8" t="n"/>
      <c r="H394" s="82" t="n"/>
      <c r="I394" s="8" t="n"/>
      <c r="J394" s="80">
        <f>IF(ISNUMBER(MCC_Table[[#This Row],[SIZE]]), MCC_Table[[#This Row],[SIZE]]/12, 0)</f>
        <v/>
      </c>
      <c r="K394" s="82" t="n"/>
      <c r="L394" s="82" t="n"/>
      <c r="M394" s="82" t="n"/>
      <c r="N394" s="82" t="n"/>
      <c r="O394" s="77" t="n"/>
      <c r="P394" s="110" t="n"/>
      <c r="Q394" s="79" t="n"/>
      <c r="R394" s="79" t="n"/>
      <c r="S394" s="79" t="n"/>
      <c r="T394" s="79" t="n"/>
      <c r="U394" s="79" t="n"/>
      <c r="V394" s="79" t="n"/>
      <c r="W394" s="79" t="n"/>
      <c r="X394" s="79" t="n"/>
      <c r="Y394" s="79" t="n"/>
      <c r="Z394" s="79" t="n"/>
      <c r="AA394" s="79" t="n"/>
      <c r="AB394" s="225" t="n"/>
      <c r="AC394" s="225" t="n"/>
      <c r="AD394" s="225" t="n"/>
      <c r="AE394" s="29">
        <f>_xlfn.NUMBERVALUE(LEFT(MCC_Table[[#This Row],[BUCKET]],LEN(MCC_Table[[#This Row],[BUCKET]])-1))</f>
        <v/>
      </c>
      <c r="AF394" s="29">
        <f>RIGHT(MCC_Table[[#This Row],[BUCKET]],1)</f>
        <v/>
      </c>
      <c r="AG394" s="29">
        <f>VLOOKUP(MCC_Table[[#This Row],[START UNIT]],UnitMap[],2,FALSE)</f>
        <v/>
      </c>
      <c r="AH394" s="29">
        <f t="array" ref="AH39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94" s="29">
        <f>IF(ISNUMBER(MCC_Table[[#This Row],[SIZE]]), MCC_Table[[#This Row],[SIZE]]/6, 0)</f>
        <v/>
      </c>
      <c r="AJ394" s="29">
        <f>MCC_Table[[#This Row],[START INDEX]]+MCC_Table[[#This Row],[UNITS USED]]-1</f>
        <v/>
      </c>
      <c r="AK394" s="14" t="n"/>
      <c r="AL394" s="14" t="n"/>
      <c r="AM394" s="14" t="n"/>
      <c r="AN394" s="14" t="n"/>
      <c r="AO394" s="14" t="n"/>
      <c r="AP394" s="14" t="n"/>
      <c r="AQ394" s="14" t="n"/>
      <c r="AR394" s="14" t="n"/>
      <c r="AS394" s="14" t="n"/>
      <c r="AT394" s="14" t="n"/>
      <c r="AU394" s="14" t="n"/>
      <c r="AV394" s="14" t="n"/>
      <c r="AW394" s="14" t="n"/>
      <c r="AX394" s="14" t="n"/>
      <c r="AY394" s="14" t="n"/>
      <c r="AZ394" s="14" t="n"/>
      <c r="BA394" s="14" t="n"/>
      <c r="BB394" s="14" t="n"/>
      <c r="BC394" s="14" t="n"/>
      <c r="BD394" s="14" t="n"/>
      <c r="BE394" s="14" t="n"/>
    </row>
    <row r="395" hidden="1" ht="15.75" customHeight="1" thickTop="1">
      <c r="A395" s="113" t="n"/>
      <c r="B395" s="29" t="n"/>
      <c r="C395" s="111" t="n"/>
      <c r="D395" s="28" t="n"/>
      <c r="E395" s="112" t="n"/>
      <c r="F395" s="8" t="n"/>
      <c r="G395" s="8" t="n"/>
      <c r="H395" s="82" t="n"/>
      <c r="I395" s="8" t="n"/>
      <c r="J395" s="80">
        <f>IF(ISNUMBER(MCC_Table[[#This Row],[SIZE]]), MCC_Table[[#This Row],[SIZE]]/12, 0)</f>
        <v/>
      </c>
      <c r="K395" s="82" t="n"/>
      <c r="L395" s="82" t="n"/>
      <c r="M395" s="82" t="n"/>
      <c r="N395" s="82" t="n"/>
      <c r="O395" s="77" t="n"/>
      <c r="P395" s="110" t="n"/>
      <c r="Q395" s="79" t="n"/>
      <c r="R395" s="79" t="n"/>
      <c r="S395" s="79" t="n"/>
      <c r="T395" s="79" t="n"/>
      <c r="U395" s="79" t="n"/>
      <c r="V395" s="79" t="n"/>
      <c r="W395" s="79" t="n"/>
      <c r="X395" s="79" t="n"/>
      <c r="Y395" s="79" t="n"/>
      <c r="Z395" s="79" t="n"/>
      <c r="AA395" s="79" t="n"/>
      <c r="AB395" s="225" t="n"/>
      <c r="AC395" s="225" t="n"/>
      <c r="AD395" s="225" t="n"/>
      <c r="AE395" s="29">
        <f>_xlfn.NUMBERVALUE(LEFT(MCC_Table[[#This Row],[BUCKET]],LEN(MCC_Table[[#This Row],[BUCKET]])-1))</f>
        <v/>
      </c>
      <c r="AF395" s="29">
        <f>RIGHT(MCC_Table[[#This Row],[BUCKET]],1)</f>
        <v/>
      </c>
      <c r="AG395" s="29">
        <f>VLOOKUP(MCC_Table[[#This Row],[START UNIT]],UnitMap[],2,FALSE)</f>
        <v/>
      </c>
      <c r="AH395" s="29">
        <f t="array" ref="AH39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95" s="29">
        <f>IF(ISNUMBER(MCC_Table[[#This Row],[SIZE]]), MCC_Table[[#This Row],[SIZE]]/6, 0)</f>
        <v/>
      </c>
      <c r="AJ395" s="29">
        <f>MCC_Table[[#This Row],[START INDEX]]+MCC_Table[[#This Row],[UNITS USED]]-1</f>
        <v/>
      </c>
      <c r="AK395" s="14" t="n"/>
      <c r="AL395" s="14" t="n"/>
      <c r="AM395" s="14" t="n"/>
      <c r="AN395" s="14" t="n"/>
      <c r="AO395" s="14" t="n"/>
      <c r="AP395" s="14" t="n"/>
      <c r="AQ395" s="14" t="n"/>
      <c r="AR395" s="14" t="n"/>
      <c r="AS395" s="14" t="n"/>
      <c r="AT395" s="14" t="n"/>
      <c r="AU395" s="14" t="n"/>
      <c r="AV395" s="14" t="n"/>
      <c r="AW395" s="14" t="n"/>
      <c r="AX395" s="14" t="n"/>
      <c r="AY395" s="14" t="n"/>
      <c r="AZ395" s="14" t="n"/>
      <c r="BA395" s="14" t="n"/>
      <c r="BB395" s="14" t="n"/>
      <c r="BC395" s="14" t="n"/>
      <c r="BD395" s="14" t="n"/>
      <c r="BE395" s="14" t="n"/>
    </row>
    <row r="396" hidden="1" ht="15.75" customHeight="1" thickTop="1">
      <c r="A396" s="113" t="n"/>
      <c r="B396" s="29" t="n"/>
      <c r="C396" s="111" t="n"/>
      <c r="D396" s="28" t="n"/>
      <c r="E396" s="112" t="n"/>
      <c r="F396" s="8" t="n"/>
      <c r="G396" s="8" t="n"/>
      <c r="H396" s="82" t="n"/>
      <c r="I396" s="8" t="n"/>
      <c r="J396" s="80">
        <f>IF(ISNUMBER(MCC_Table[[#This Row],[SIZE]]), MCC_Table[[#This Row],[SIZE]]/12, 0)</f>
        <v/>
      </c>
      <c r="K396" s="82" t="n"/>
      <c r="L396" s="82" t="n"/>
      <c r="M396" s="82" t="n"/>
      <c r="N396" s="82" t="n"/>
      <c r="O396" s="77" t="n"/>
      <c r="P396" s="110" t="n"/>
      <c r="Q396" s="79" t="n"/>
      <c r="R396" s="79" t="n"/>
      <c r="S396" s="79" t="n"/>
      <c r="T396" s="79" t="n"/>
      <c r="U396" s="79" t="n"/>
      <c r="V396" s="79" t="n"/>
      <c r="W396" s="79" t="n"/>
      <c r="X396" s="79" t="n"/>
      <c r="Y396" s="79" t="n"/>
      <c r="Z396" s="79" t="n"/>
      <c r="AA396" s="79" t="n"/>
      <c r="AB396" s="225" t="n"/>
      <c r="AC396" s="225" t="n"/>
      <c r="AD396" s="225" t="n"/>
      <c r="AE396" s="29">
        <f>_xlfn.NUMBERVALUE(LEFT(MCC_Table[[#This Row],[BUCKET]],LEN(MCC_Table[[#This Row],[BUCKET]])-1))</f>
        <v/>
      </c>
      <c r="AF396" s="29">
        <f>RIGHT(MCC_Table[[#This Row],[BUCKET]],1)</f>
        <v/>
      </c>
      <c r="AG396" s="29">
        <f>VLOOKUP(MCC_Table[[#This Row],[START UNIT]],UnitMap[],2,FALSE)</f>
        <v/>
      </c>
      <c r="AH396" s="29">
        <f t="array" ref="AH39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96" s="29">
        <f>IF(ISNUMBER(MCC_Table[[#This Row],[SIZE]]), MCC_Table[[#This Row],[SIZE]]/6, 0)</f>
        <v/>
      </c>
      <c r="AJ396" s="29">
        <f>MCC_Table[[#This Row],[START INDEX]]+MCC_Table[[#This Row],[UNITS USED]]-1</f>
        <v/>
      </c>
      <c r="AK396" s="14" t="n"/>
      <c r="AL396" s="14" t="n"/>
      <c r="AM396" s="14" t="n"/>
      <c r="AN396" s="14" t="n"/>
      <c r="AO396" s="14" t="n"/>
      <c r="AP396" s="14" t="n"/>
      <c r="AQ396" s="14" t="n"/>
      <c r="AR396" s="14" t="n"/>
      <c r="AS396" s="14" t="n"/>
      <c r="AT396" s="14" t="n"/>
      <c r="AU396" s="14" t="n"/>
      <c r="AV396" s="14" t="n"/>
      <c r="AW396" s="14" t="n"/>
      <c r="AX396" s="14" t="n"/>
      <c r="AY396" s="14" t="n"/>
      <c r="AZ396" s="14" t="n"/>
      <c r="BA396" s="14" t="n"/>
      <c r="BB396" s="14" t="n"/>
      <c r="BC396" s="14" t="n"/>
      <c r="BD396" s="14" t="n"/>
      <c r="BE396" s="14" t="n"/>
    </row>
    <row r="397" hidden="1" ht="15.75" customHeight="1" thickTop="1">
      <c r="A397" s="113" t="n"/>
      <c r="B397" s="29" t="n"/>
      <c r="C397" s="111" t="n"/>
      <c r="D397" s="28" t="n"/>
      <c r="E397" s="112" t="n"/>
      <c r="F397" s="8" t="n"/>
      <c r="G397" s="8" t="n"/>
      <c r="H397" s="82" t="n"/>
      <c r="I397" s="8" t="n"/>
      <c r="J397" s="80">
        <f>IF(ISNUMBER(MCC_Table[[#This Row],[SIZE]]), MCC_Table[[#This Row],[SIZE]]/12, 0)</f>
        <v/>
      </c>
      <c r="K397" s="82" t="n"/>
      <c r="L397" s="82" t="n"/>
      <c r="M397" s="82" t="n"/>
      <c r="N397" s="82" t="n"/>
      <c r="O397" s="77" t="n"/>
      <c r="P397" s="110" t="n"/>
      <c r="Q397" s="79" t="n"/>
      <c r="R397" s="79" t="n"/>
      <c r="S397" s="79" t="n"/>
      <c r="T397" s="79" t="n"/>
      <c r="U397" s="79" t="n"/>
      <c r="V397" s="79" t="n"/>
      <c r="W397" s="79" t="n"/>
      <c r="X397" s="79" t="n"/>
      <c r="Y397" s="79" t="n"/>
      <c r="Z397" s="79" t="n"/>
      <c r="AA397" s="79" t="n"/>
      <c r="AB397" s="225" t="n"/>
      <c r="AC397" s="225" t="n"/>
      <c r="AD397" s="225" t="n"/>
      <c r="AE397" s="29">
        <f>_xlfn.NUMBERVALUE(LEFT(MCC_Table[[#This Row],[BUCKET]],LEN(MCC_Table[[#This Row],[BUCKET]])-1))</f>
        <v/>
      </c>
      <c r="AF397" s="29">
        <f>RIGHT(MCC_Table[[#This Row],[BUCKET]],1)</f>
        <v/>
      </c>
      <c r="AG397" s="29">
        <f>VLOOKUP(MCC_Table[[#This Row],[START UNIT]],UnitMap[],2,FALSE)</f>
        <v/>
      </c>
      <c r="AH397" s="29">
        <f t="array" ref="AH39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97" s="29">
        <f>IF(ISNUMBER(MCC_Table[[#This Row],[SIZE]]), MCC_Table[[#This Row],[SIZE]]/6, 0)</f>
        <v/>
      </c>
      <c r="AJ397" s="29">
        <f>MCC_Table[[#This Row],[START INDEX]]+MCC_Table[[#This Row],[UNITS USED]]-1</f>
        <v/>
      </c>
      <c r="AK397" s="14" t="n"/>
      <c r="AL397" s="14" t="n"/>
      <c r="AM397" s="14" t="n"/>
      <c r="AN397" s="14" t="n"/>
      <c r="AO397" s="14" t="n"/>
      <c r="AP397" s="14" t="n"/>
      <c r="AQ397" s="14" t="n"/>
      <c r="AR397" s="14" t="n"/>
      <c r="AS397" s="14" t="n"/>
      <c r="AT397" s="14" t="n"/>
      <c r="AU397" s="14" t="n"/>
      <c r="AV397" s="14" t="n"/>
      <c r="AW397" s="14" t="n"/>
      <c r="AX397" s="14" t="n"/>
      <c r="AY397" s="14" t="n"/>
      <c r="AZ397" s="14" t="n"/>
      <c r="BA397" s="14" t="n"/>
      <c r="BB397" s="14" t="n"/>
      <c r="BC397" s="14" t="n"/>
      <c r="BD397" s="14" t="n"/>
      <c r="BE397" s="14" t="n"/>
    </row>
    <row r="398" hidden="1" ht="15.75" customHeight="1" thickTop="1">
      <c r="A398" s="113" t="n"/>
      <c r="B398" s="29" t="n"/>
      <c r="C398" s="111" t="n"/>
      <c r="D398" s="28" t="n"/>
      <c r="E398" s="112" t="n"/>
      <c r="F398" s="8" t="n"/>
      <c r="G398" s="8" t="n"/>
      <c r="H398" s="82" t="n"/>
      <c r="I398" s="8" t="n"/>
      <c r="J398" s="80">
        <f>IF(ISNUMBER(MCC_Table[[#This Row],[SIZE]]), MCC_Table[[#This Row],[SIZE]]/12, 0)</f>
        <v/>
      </c>
      <c r="K398" s="82" t="n"/>
      <c r="L398" s="82" t="n"/>
      <c r="M398" s="82" t="n"/>
      <c r="N398" s="82" t="n"/>
      <c r="O398" s="77" t="n"/>
      <c r="P398" s="110" t="n"/>
      <c r="Q398" s="79" t="n"/>
      <c r="R398" s="79" t="n"/>
      <c r="S398" s="79" t="n"/>
      <c r="T398" s="79" t="n"/>
      <c r="U398" s="79" t="n"/>
      <c r="V398" s="79" t="n"/>
      <c r="W398" s="79" t="n"/>
      <c r="X398" s="79" t="n"/>
      <c r="Y398" s="79" t="n"/>
      <c r="Z398" s="79" t="n"/>
      <c r="AA398" s="79" t="n"/>
      <c r="AB398" s="225" t="n"/>
      <c r="AC398" s="225" t="n"/>
      <c r="AD398" s="225" t="n"/>
      <c r="AE398" s="29">
        <f>_xlfn.NUMBERVALUE(LEFT(MCC_Table[[#This Row],[BUCKET]],LEN(MCC_Table[[#This Row],[BUCKET]])-1))</f>
        <v/>
      </c>
      <c r="AF398" s="29">
        <f>RIGHT(MCC_Table[[#This Row],[BUCKET]],1)</f>
        <v/>
      </c>
      <c r="AG398" s="29">
        <f>VLOOKUP(MCC_Table[[#This Row],[START UNIT]],UnitMap[],2,FALSE)</f>
        <v/>
      </c>
      <c r="AH398" s="29">
        <f t="array" ref="AH39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98" s="29">
        <f>IF(ISNUMBER(MCC_Table[[#This Row],[SIZE]]), MCC_Table[[#This Row],[SIZE]]/6, 0)</f>
        <v/>
      </c>
      <c r="AJ398" s="29">
        <f>MCC_Table[[#This Row],[START INDEX]]+MCC_Table[[#This Row],[UNITS USED]]-1</f>
        <v/>
      </c>
      <c r="AK398" s="14" t="n"/>
      <c r="AL398" s="14" t="n"/>
      <c r="AM398" s="14" t="n"/>
      <c r="AN398" s="14" t="n"/>
      <c r="AO398" s="14" t="n"/>
      <c r="AP398" s="14" t="n"/>
      <c r="AQ398" s="14" t="n"/>
      <c r="AR398" s="14" t="n"/>
      <c r="AS398" s="14" t="n"/>
      <c r="AT398" s="14" t="n"/>
      <c r="AU398" s="14" t="n"/>
      <c r="AV398" s="14" t="n"/>
      <c r="AW398" s="14" t="n"/>
      <c r="AX398" s="14" t="n"/>
      <c r="AY398" s="14" t="n"/>
      <c r="AZ398" s="14" t="n"/>
      <c r="BA398" s="14" t="n"/>
      <c r="BB398" s="14" t="n"/>
      <c r="BC398" s="14" t="n"/>
      <c r="BD398" s="14" t="n"/>
      <c r="BE398" s="14" t="n"/>
    </row>
    <row r="399" hidden="1" ht="15.75" customHeight="1" thickTop="1">
      <c r="A399" s="113" t="n"/>
      <c r="B399" s="29" t="n"/>
      <c r="C399" s="111" t="n"/>
      <c r="D399" s="28" t="n"/>
      <c r="E399" s="112" t="n"/>
      <c r="F399" s="8" t="n"/>
      <c r="G399" s="8" t="n"/>
      <c r="H399" s="82" t="n"/>
      <c r="I399" s="8" t="n"/>
      <c r="J399" s="80">
        <f>IF(ISNUMBER(MCC_Table[[#This Row],[SIZE]]), MCC_Table[[#This Row],[SIZE]]/12, 0)</f>
        <v/>
      </c>
      <c r="K399" s="82" t="n"/>
      <c r="L399" s="82" t="n"/>
      <c r="M399" s="82" t="n"/>
      <c r="N399" s="82" t="n"/>
      <c r="O399" s="77" t="n"/>
      <c r="P399" s="110" t="n"/>
      <c r="Q399" s="79" t="n"/>
      <c r="R399" s="79" t="n"/>
      <c r="S399" s="79" t="n"/>
      <c r="T399" s="79" t="n"/>
      <c r="U399" s="79" t="n"/>
      <c r="V399" s="79" t="n"/>
      <c r="W399" s="79" t="n"/>
      <c r="X399" s="79" t="n"/>
      <c r="Y399" s="79" t="n"/>
      <c r="Z399" s="79" t="n"/>
      <c r="AA399" s="79" t="n"/>
      <c r="AB399" s="225" t="n"/>
      <c r="AC399" s="225" t="n"/>
      <c r="AD399" s="225" t="n"/>
      <c r="AE399" s="29">
        <f>_xlfn.NUMBERVALUE(LEFT(MCC_Table[[#This Row],[BUCKET]],LEN(MCC_Table[[#This Row],[BUCKET]])-1))</f>
        <v/>
      </c>
      <c r="AF399" s="29">
        <f>RIGHT(MCC_Table[[#This Row],[BUCKET]],1)</f>
        <v/>
      </c>
      <c r="AG399" s="29">
        <f>VLOOKUP(MCC_Table[[#This Row],[START UNIT]],UnitMap[],2,FALSE)</f>
        <v/>
      </c>
      <c r="AH399" s="29">
        <f t="array" ref="AH39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399" s="29">
        <f>IF(ISNUMBER(MCC_Table[[#This Row],[SIZE]]), MCC_Table[[#This Row],[SIZE]]/6, 0)</f>
        <v/>
      </c>
      <c r="AJ399" s="29">
        <f>MCC_Table[[#This Row],[START INDEX]]+MCC_Table[[#This Row],[UNITS USED]]-1</f>
        <v/>
      </c>
      <c r="AK399" s="14" t="n"/>
      <c r="AL399" s="14" t="n"/>
      <c r="AM399" s="14" t="n"/>
      <c r="AN399" s="14" t="n"/>
      <c r="AO399" s="14" t="n"/>
      <c r="AP399" s="14" t="n"/>
      <c r="AQ399" s="14" t="n"/>
      <c r="AR399" s="14" t="n"/>
      <c r="AS399" s="14" t="n"/>
      <c r="AT399" s="14" t="n"/>
      <c r="AU399" s="14" t="n"/>
      <c r="AV399" s="14" t="n"/>
      <c r="AW399" s="14" t="n"/>
      <c r="AX399" s="14" t="n"/>
      <c r="AY399" s="14" t="n"/>
      <c r="AZ399" s="14" t="n"/>
      <c r="BA399" s="14" t="n"/>
      <c r="BB399" s="14" t="n"/>
      <c r="BC399" s="14" t="n"/>
      <c r="BD399" s="14" t="n"/>
      <c r="BE399" s="14" t="n"/>
    </row>
    <row r="400" hidden="1" ht="15.75" customHeight="1" thickTop="1">
      <c r="A400" s="113" t="n"/>
      <c r="B400" s="29" t="n"/>
      <c r="C400" s="111" t="n"/>
      <c r="D400" s="28" t="n"/>
      <c r="E400" s="112" t="n"/>
      <c r="F400" s="8" t="n"/>
      <c r="G400" s="8" t="n"/>
      <c r="H400" s="82" t="n"/>
      <c r="I400" s="8" t="n"/>
      <c r="J400" s="80">
        <f>IF(ISNUMBER(MCC_Table[[#This Row],[SIZE]]), MCC_Table[[#This Row],[SIZE]]/12, 0)</f>
        <v/>
      </c>
      <c r="K400" s="82" t="n"/>
      <c r="L400" s="82" t="n"/>
      <c r="M400" s="82" t="n"/>
      <c r="N400" s="82" t="n"/>
      <c r="O400" s="77" t="n"/>
      <c r="P400" s="110" t="n"/>
      <c r="Q400" s="79" t="n"/>
      <c r="R400" s="79" t="n"/>
      <c r="S400" s="79" t="n"/>
      <c r="T400" s="79" t="n"/>
      <c r="U400" s="79" t="n"/>
      <c r="V400" s="79" t="n"/>
      <c r="W400" s="79" t="n"/>
      <c r="X400" s="79" t="n"/>
      <c r="Y400" s="79" t="n"/>
      <c r="Z400" s="79" t="n"/>
      <c r="AA400" s="79" t="n"/>
      <c r="AB400" s="225" t="n"/>
      <c r="AC400" s="225" t="n"/>
      <c r="AD400" s="225" t="n"/>
      <c r="AE400" s="29">
        <f>_xlfn.NUMBERVALUE(LEFT(MCC_Table[[#This Row],[BUCKET]],LEN(MCC_Table[[#This Row],[BUCKET]])-1))</f>
        <v/>
      </c>
      <c r="AF400" s="29">
        <f>RIGHT(MCC_Table[[#This Row],[BUCKET]],1)</f>
        <v/>
      </c>
      <c r="AG400" s="29">
        <f>VLOOKUP(MCC_Table[[#This Row],[START UNIT]],UnitMap[],2,FALSE)</f>
        <v/>
      </c>
      <c r="AH400" s="29">
        <f t="array" ref="AH40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00" s="29">
        <f>IF(ISNUMBER(MCC_Table[[#This Row],[SIZE]]), MCC_Table[[#This Row],[SIZE]]/6, 0)</f>
        <v/>
      </c>
      <c r="AJ400" s="29">
        <f>MCC_Table[[#This Row],[START INDEX]]+MCC_Table[[#This Row],[UNITS USED]]-1</f>
        <v/>
      </c>
      <c r="AK400" s="14" t="n"/>
      <c r="AL400" s="14" t="n"/>
      <c r="AM400" s="14" t="n"/>
      <c r="AN400" s="14" t="n"/>
      <c r="AO400" s="14" t="n"/>
      <c r="AP400" s="14" t="n"/>
      <c r="AQ400" s="14" t="n"/>
      <c r="AR400" s="14" t="n"/>
      <c r="AS400" s="14" t="n"/>
      <c r="AT400" s="14" t="n"/>
      <c r="AU400" s="14" t="n"/>
      <c r="AV400" s="14" t="n"/>
      <c r="AW400" s="14" t="n"/>
      <c r="AX400" s="14" t="n"/>
      <c r="AY400" s="14" t="n"/>
      <c r="AZ400" s="14" t="n"/>
      <c r="BA400" s="14" t="n"/>
      <c r="BB400" s="14" t="n"/>
      <c r="BC400" s="14" t="n"/>
      <c r="BD400" s="14" t="n"/>
      <c r="BE400" s="14" t="n"/>
    </row>
    <row r="401" hidden="1" ht="15.75" customHeight="1" thickTop="1">
      <c r="A401" s="113" t="n"/>
      <c r="B401" s="29" t="n"/>
      <c r="C401" s="111" t="n"/>
      <c r="D401" s="28" t="n"/>
      <c r="E401" s="112" t="n"/>
      <c r="F401" s="8" t="n"/>
      <c r="G401" s="8" t="n"/>
      <c r="H401" s="82" t="n"/>
      <c r="I401" s="8" t="n"/>
      <c r="J401" s="80">
        <f>IF(ISNUMBER(MCC_Table[[#This Row],[SIZE]]), MCC_Table[[#This Row],[SIZE]]/12, 0)</f>
        <v/>
      </c>
      <c r="K401" s="82" t="n"/>
      <c r="L401" s="82" t="n"/>
      <c r="M401" s="82" t="n"/>
      <c r="N401" s="82" t="n"/>
      <c r="O401" s="77" t="n"/>
      <c r="P401" s="110" t="n"/>
      <c r="Q401" s="79" t="n"/>
      <c r="R401" s="79" t="n"/>
      <c r="S401" s="79" t="n"/>
      <c r="T401" s="79" t="n"/>
      <c r="U401" s="79" t="n"/>
      <c r="V401" s="79" t="n"/>
      <c r="W401" s="79" t="n"/>
      <c r="X401" s="79" t="n"/>
      <c r="Y401" s="79" t="n"/>
      <c r="Z401" s="79" t="n"/>
      <c r="AA401" s="79" t="n"/>
      <c r="AB401" s="225" t="n"/>
      <c r="AC401" s="225" t="n"/>
      <c r="AD401" s="225" t="n"/>
      <c r="AE401" s="29">
        <f>_xlfn.NUMBERVALUE(LEFT(MCC_Table[[#This Row],[BUCKET]],LEN(MCC_Table[[#This Row],[BUCKET]])-1))</f>
        <v/>
      </c>
      <c r="AF401" s="29">
        <f>RIGHT(MCC_Table[[#This Row],[BUCKET]],1)</f>
        <v/>
      </c>
      <c r="AG401" s="29">
        <f>VLOOKUP(MCC_Table[[#This Row],[START UNIT]],UnitMap[],2,FALSE)</f>
        <v/>
      </c>
      <c r="AH401" s="29">
        <f t="array" ref="AH40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01" s="29">
        <f>IF(ISNUMBER(MCC_Table[[#This Row],[SIZE]]), MCC_Table[[#This Row],[SIZE]]/6, 0)</f>
        <v/>
      </c>
      <c r="AJ401" s="29">
        <f>MCC_Table[[#This Row],[START INDEX]]+MCC_Table[[#This Row],[UNITS USED]]-1</f>
        <v/>
      </c>
      <c r="AK401" s="14" t="n"/>
      <c r="AL401" s="14" t="n"/>
      <c r="AM401" s="14" t="n"/>
      <c r="AN401" s="14" t="n"/>
      <c r="AO401" s="14" t="n"/>
      <c r="AP401" s="14" t="n"/>
      <c r="AQ401" s="14" t="n"/>
      <c r="AR401" s="14" t="n"/>
      <c r="AS401" s="14" t="n"/>
      <c r="AT401" s="14" t="n"/>
      <c r="AU401" s="14" t="n"/>
      <c r="AV401" s="14" t="n"/>
      <c r="AW401" s="14" t="n"/>
      <c r="AX401" s="14" t="n"/>
      <c r="AY401" s="14" t="n"/>
      <c r="AZ401" s="14" t="n"/>
      <c r="BA401" s="14" t="n"/>
      <c r="BB401" s="14" t="n"/>
      <c r="BC401" s="14" t="n"/>
      <c r="BD401" s="14" t="n"/>
      <c r="BE401" s="14" t="n"/>
    </row>
    <row r="402" hidden="1" ht="15.75" customHeight="1" thickTop="1">
      <c r="A402" s="113" t="n"/>
      <c r="B402" s="29" t="n"/>
      <c r="C402" s="111" t="n"/>
      <c r="D402" s="28" t="n"/>
      <c r="E402" s="112" t="n"/>
      <c r="F402" s="8" t="n"/>
      <c r="G402" s="8" t="n"/>
      <c r="H402" s="82" t="n"/>
      <c r="I402" s="8" t="n"/>
      <c r="J402" s="80">
        <f>IF(ISNUMBER(MCC_Table[[#This Row],[SIZE]]), MCC_Table[[#This Row],[SIZE]]/12, 0)</f>
        <v/>
      </c>
      <c r="K402" s="82" t="n"/>
      <c r="L402" s="82" t="n"/>
      <c r="M402" s="82" t="n"/>
      <c r="N402" s="82" t="n"/>
      <c r="O402" s="77" t="n"/>
      <c r="P402" s="110" t="n"/>
      <c r="Q402" s="79" t="n"/>
      <c r="R402" s="79" t="n"/>
      <c r="S402" s="79" t="n"/>
      <c r="T402" s="79" t="n"/>
      <c r="U402" s="79" t="n"/>
      <c r="V402" s="79" t="n"/>
      <c r="W402" s="79" t="n"/>
      <c r="X402" s="79" t="n"/>
      <c r="Y402" s="79" t="n"/>
      <c r="Z402" s="79" t="n"/>
      <c r="AA402" s="79" t="n"/>
      <c r="AB402" s="225" t="n"/>
      <c r="AC402" s="225" t="n"/>
      <c r="AD402" s="225" t="n"/>
      <c r="AE402" s="29">
        <f>_xlfn.NUMBERVALUE(LEFT(MCC_Table[[#This Row],[BUCKET]],LEN(MCC_Table[[#This Row],[BUCKET]])-1))</f>
        <v/>
      </c>
      <c r="AF402" s="29">
        <f>RIGHT(MCC_Table[[#This Row],[BUCKET]],1)</f>
        <v/>
      </c>
      <c r="AG402" s="29">
        <f>VLOOKUP(MCC_Table[[#This Row],[START UNIT]],UnitMap[],2,FALSE)</f>
        <v/>
      </c>
      <c r="AH402" s="29">
        <f t="array" ref="AH402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02" s="29">
        <f>IF(ISNUMBER(MCC_Table[[#This Row],[SIZE]]), MCC_Table[[#This Row],[SIZE]]/6, 0)</f>
        <v/>
      </c>
      <c r="AJ402" s="29">
        <f>MCC_Table[[#This Row],[START INDEX]]+MCC_Table[[#This Row],[UNITS USED]]-1</f>
        <v/>
      </c>
      <c r="AK402" s="14" t="n"/>
      <c r="AL402" s="14" t="n"/>
      <c r="AM402" s="14" t="n"/>
      <c r="AN402" s="14" t="n"/>
      <c r="AO402" s="14" t="n"/>
      <c r="AP402" s="14" t="n"/>
      <c r="AQ402" s="14" t="n"/>
      <c r="AR402" s="14" t="n"/>
      <c r="AS402" s="14" t="n"/>
      <c r="AT402" s="14" t="n"/>
      <c r="AU402" s="14" t="n"/>
      <c r="AV402" s="14" t="n"/>
      <c r="AW402" s="14" t="n"/>
      <c r="AX402" s="14" t="n"/>
      <c r="AY402" s="14" t="n"/>
      <c r="AZ402" s="14" t="n"/>
      <c r="BA402" s="14" t="n"/>
      <c r="BB402" s="14" t="n"/>
      <c r="BC402" s="14" t="n"/>
      <c r="BD402" s="14" t="n"/>
      <c r="BE402" s="14" t="n"/>
    </row>
    <row r="403" hidden="1" ht="15.75" customHeight="1" thickTop="1">
      <c r="A403" s="113" t="n"/>
      <c r="B403" s="29" t="n"/>
      <c r="C403" s="111" t="n"/>
      <c r="D403" s="28" t="n"/>
      <c r="E403" s="112" t="n"/>
      <c r="F403" s="8" t="n"/>
      <c r="G403" s="8" t="n"/>
      <c r="H403" s="82" t="n"/>
      <c r="I403" s="8" t="n"/>
      <c r="J403" s="80">
        <f>IF(ISNUMBER(MCC_Table[[#This Row],[SIZE]]), MCC_Table[[#This Row],[SIZE]]/12, 0)</f>
        <v/>
      </c>
      <c r="K403" s="82" t="n"/>
      <c r="L403" s="82" t="n"/>
      <c r="M403" s="82" t="n"/>
      <c r="N403" s="82" t="n"/>
      <c r="O403" s="77" t="n"/>
      <c r="P403" s="110" t="n"/>
      <c r="Q403" s="79" t="n"/>
      <c r="R403" s="79" t="n"/>
      <c r="S403" s="79" t="n"/>
      <c r="T403" s="79" t="n"/>
      <c r="U403" s="79" t="n"/>
      <c r="V403" s="79" t="n"/>
      <c r="W403" s="79" t="n"/>
      <c r="X403" s="79" t="n"/>
      <c r="Y403" s="79" t="n"/>
      <c r="Z403" s="79" t="n"/>
      <c r="AA403" s="79" t="n"/>
      <c r="AB403" s="225" t="n"/>
      <c r="AC403" s="225" t="n"/>
      <c r="AD403" s="225" t="n"/>
      <c r="AE403" s="29">
        <f>_xlfn.NUMBERVALUE(LEFT(MCC_Table[[#This Row],[BUCKET]],LEN(MCC_Table[[#This Row],[BUCKET]])-1))</f>
        <v/>
      </c>
      <c r="AF403" s="29">
        <f>RIGHT(MCC_Table[[#This Row],[BUCKET]],1)</f>
        <v/>
      </c>
      <c r="AG403" s="29">
        <f>VLOOKUP(MCC_Table[[#This Row],[START UNIT]],UnitMap[],2,FALSE)</f>
        <v/>
      </c>
      <c r="AH403" s="29">
        <f t="array" ref="AH403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03" s="29">
        <f>IF(ISNUMBER(MCC_Table[[#This Row],[SIZE]]), MCC_Table[[#This Row],[SIZE]]/6, 0)</f>
        <v/>
      </c>
      <c r="AJ403" s="29">
        <f>MCC_Table[[#This Row],[START INDEX]]+MCC_Table[[#This Row],[UNITS USED]]-1</f>
        <v/>
      </c>
      <c r="AK403" s="14" t="n"/>
      <c r="AL403" s="14" t="n"/>
      <c r="AM403" s="14" t="n"/>
      <c r="AN403" s="14" t="n"/>
      <c r="AO403" s="14" t="n"/>
      <c r="AP403" s="14" t="n"/>
      <c r="AQ403" s="14" t="n"/>
      <c r="AR403" s="14" t="n"/>
      <c r="AS403" s="14" t="n"/>
      <c r="AT403" s="14" t="n"/>
      <c r="AU403" s="14" t="n"/>
      <c r="AV403" s="14" t="n"/>
      <c r="AW403" s="14" t="n"/>
      <c r="AX403" s="14" t="n"/>
      <c r="AY403" s="14" t="n"/>
      <c r="AZ403" s="14" t="n"/>
      <c r="BA403" s="14" t="n"/>
      <c r="BB403" s="14" t="n"/>
      <c r="BC403" s="14" t="n"/>
      <c r="BD403" s="14" t="n"/>
      <c r="BE403" s="14" t="n"/>
    </row>
    <row r="404" hidden="1" ht="15.75" customHeight="1" thickTop="1">
      <c r="A404" s="113" t="n"/>
      <c r="B404" s="29" t="n"/>
      <c r="C404" s="111" t="n"/>
      <c r="D404" s="28" t="n"/>
      <c r="E404" s="112" t="n"/>
      <c r="F404" s="8" t="n"/>
      <c r="G404" s="8" t="n"/>
      <c r="H404" s="82" t="n"/>
      <c r="I404" s="8" t="n"/>
      <c r="J404" s="80">
        <f>IF(ISNUMBER(MCC_Table[[#This Row],[SIZE]]), MCC_Table[[#This Row],[SIZE]]/12, 0)</f>
        <v/>
      </c>
      <c r="K404" s="82" t="n"/>
      <c r="L404" s="82" t="n"/>
      <c r="M404" s="82" t="n"/>
      <c r="N404" s="82" t="n"/>
      <c r="O404" s="77" t="n"/>
      <c r="P404" s="110" t="n"/>
      <c r="Q404" s="79" t="n"/>
      <c r="R404" s="79" t="n"/>
      <c r="S404" s="79" t="n"/>
      <c r="T404" s="79" t="n"/>
      <c r="U404" s="79" t="n"/>
      <c r="V404" s="79" t="n"/>
      <c r="W404" s="79" t="n"/>
      <c r="X404" s="79" t="n"/>
      <c r="Y404" s="79" t="n"/>
      <c r="Z404" s="79" t="n"/>
      <c r="AA404" s="79" t="n"/>
      <c r="AB404" s="225" t="n"/>
      <c r="AC404" s="225" t="n"/>
      <c r="AD404" s="225" t="n"/>
      <c r="AE404" s="29">
        <f>_xlfn.NUMBERVALUE(LEFT(MCC_Table[[#This Row],[BUCKET]],LEN(MCC_Table[[#This Row],[BUCKET]])-1))</f>
        <v/>
      </c>
      <c r="AF404" s="29">
        <f>RIGHT(MCC_Table[[#This Row],[BUCKET]],1)</f>
        <v/>
      </c>
      <c r="AG404" s="29">
        <f>VLOOKUP(MCC_Table[[#This Row],[START UNIT]],UnitMap[],2,FALSE)</f>
        <v/>
      </c>
      <c r="AH404" s="29">
        <f t="array" ref="AH404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04" s="29">
        <f>IF(ISNUMBER(MCC_Table[[#This Row],[SIZE]]), MCC_Table[[#This Row],[SIZE]]/6, 0)</f>
        <v/>
      </c>
      <c r="AJ404" s="29">
        <f>MCC_Table[[#This Row],[START INDEX]]+MCC_Table[[#This Row],[UNITS USED]]-1</f>
        <v/>
      </c>
      <c r="AK404" s="14" t="n"/>
      <c r="AL404" s="14" t="n"/>
      <c r="AM404" s="14" t="n"/>
      <c r="AN404" s="14" t="n"/>
      <c r="AO404" s="14" t="n"/>
      <c r="AP404" s="14" t="n"/>
      <c r="AQ404" s="14" t="n"/>
      <c r="AR404" s="14" t="n"/>
      <c r="AS404" s="14" t="n"/>
      <c r="AT404" s="14" t="n"/>
      <c r="AU404" s="14" t="n"/>
      <c r="AV404" s="14" t="n"/>
      <c r="AW404" s="14" t="n"/>
      <c r="AX404" s="14" t="n"/>
      <c r="AY404" s="14" t="n"/>
      <c r="AZ404" s="14" t="n"/>
      <c r="BA404" s="14" t="n"/>
      <c r="BB404" s="14" t="n"/>
      <c r="BC404" s="14" t="n"/>
      <c r="BD404" s="14" t="n"/>
      <c r="BE404" s="14" t="n"/>
    </row>
    <row r="405" hidden="1" ht="15.75" customHeight="1" thickTop="1">
      <c r="A405" s="113" t="n"/>
      <c r="B405" s="29" t="n"/>
      <c r="C405" s="111" t="n"/>
      <c r="D405" s="28" t="n"/>
      <c r="E405" s="112" t="n"/>
      <c r="F405" s="8" t="n"/>
      <c r="G405" s="8" t="n"/>
      <c r="H405" s="82" t="n"/>
      <c r="I405" s="8" t="n"/>
      <c r="J405" s="80">
        <f>IF(ISNUMBER(MCC_Table[[#This Row],[SIZE]]), MCC_Table[[#This Row],[SIZE]]/12, 0)</f>
        <v/>
      </c>
      <c r="K405" s="82" t="n"/>
      <c r="L405" s="82" t="n"/>
      <c r="M405" s="82" t="n"/>
      <c r="N405" s="82" t="n"/>
      <c r="O405" s="77" t="n"/>
      <c r="P405" s="110" t="n"/>
      <c r="Q405" s="79" t="n"/>
      <c r="R405" s="79" t="n"/>
      <c r="S405" s="79" t="n"/>
      <c r="T405" s="79" t="n"/>
      <c r="U405" s="79" t="n"/>
      <c r="V405" s="79" t="n"/>
      <c r="W405" s="79" t="n"/>
      <c r="X405" s="79" t="n"/>
      <c r="Y405" s="79" t="n"/>
      <c r="Z405" s="79" t="n"/>
      <c r="AA405" s="79" t="n"/>
      <c r="AB405" s="225" t="n"/>
      <c r="AC405" s="225" t="n"/>
      <c r="AD405" s="225" t="n"/>
      <c r="AE405" s="29">
        <f>_xlfn.NUMBERVALUE(LEFT(MCC_Table[[#This Row],[BUCKET]],LEN(MCC_Table[[#This Row],[BUCKET]])-1))</f>
        <v/>
      </c>
      <c r="AF405" s="29">
        <f>RIGHT(MCC_Table[[#This Row],[BUCKET]],1)</f>
        <v/>
      </c>
      <c r="AG405" s="29">
        <f>VLOOKUP(MCC_Table[[#This Row],[START UNIT]],UnitMap[],2,FALSE)</f>
        <v/>
      </c>
      <c r="AH405" s="29">
        <f t="array" ref="AH405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05" s="29">
        <f>IF(ISNUMBER(MCC_Table[[#This Row],[SIZE]]), MCC_Table[[#This Row],[SIZE]]/6, 0)</f>
        <v/>
      </c>
      <c r="AJ405" s="29">
        <f>MCC_Table[[#This Row],[START INDEX]]+MCC_Table[[#This Row],[UNITS USED]]-1</f>
        <v/>
      </c>
      <c r="AK405" s="14" t="n"/>
      <c r="AL405" s="14" t="n"/>
      <c r="AM405" s="14" t="n"/>
      <c r="AN405" s="14" t="n"/>
      <c r="AO405" s="14" t="n"/>
      <c r="AP405" s="14" t="n"/>
      <c r="AQ405" s="14" t="n"/>
      <c r="AR405" s="14" t="n"/>
      <c r="AS405" s="14" t="n"/>
      <c r="AT405" s="14" t="n"/>
      <c r="AU405" s="14" t="n"/>
      <c r="AV405" s="14" t="n"/>
      <c r="AW405" s="14" t="n"/>
      <c r="AX405" s="14" t="n"/>
      <c r="AY405" s="14" t="n"/>
      <c r="AZ405" s="14" t="n"/>
      <c r="BA405" s="14" t="n"/>
      <c r="BB405" s="14" t="n"/>
      <c r="BC405" s="14" t="n"/>
      <c r="BD405" s="14" t="n"/>
      <c r="BE405" s="14" t="n"/>
    </row>
    <row r="406" hidden="1" ht="15.75" customHeight="1" thickTop="1">
      <c r="A406" s="113" t="n"/>
      <c r="B406" s="29" t="n"/>
      <c r="C406" s="111" t="n"/>
      <c r="D406" s="28" t="n"/>
      <c r="E406" s="112" t="n"/>
      <c r="F406" s="8" t="n"/>
      <c r="G406" s="8" t="n"/>
      <c r="H406" s="82" t="n"/>
      <c r="I406" s="8" t="n"/>
      <c r="J406" s="80">
        <f>IF(ISNUMBER(MCC_Table[[#This Row],[SIZE]]), MCC_Table[[#This Row],[SIZE]]/12, 0)</f>
        <v/>
      </c>
      <c r="K406" s="82" t="n"/>
      <c r="L406" s="82" t="n"/>
      <c r="M406" s="82" t="n"/>
      <c r="N406" s="82" t="n"/>
      <c r="O406" s="77" t="n"/>
      <c r="P406" s="110" t="n"/>
      <c r="Q406" s="79" t="n"/>
      <c r="R406" s="79" t="n"/>
      <c r="S406" s="79" t="n"/>
      <c r="T406" s="79" t="n"/>
      <c r="U406" s="79" t="n"/>
      <c r="V406" s="79" t="n"/>
      <c r="W406" s="79" t="n"/>
      <c r="X406" s="79" t="n"/>
      <c r="Y406" s="79" t="n"/>
      <c r="Z406" s="79" t="n"/>
      <c r="AA406" s="79" t="n"/>
      <c r="AB406" s="225" t="n"/>
      <c r="AC406" s="225" t="n"/>
      <c r="AD406" s="225" t="n"/>
      <c r="AE406" s="29">
        <f>_xlfn.NUMBERVALUE(LEFT(MCC_Table[[#This Row],[BUCKET]],LEN(MCC_Table[[#This Row],[BUCKET]])-1))</f>
        <v/>
      </c>
      <c r="AF406" s="29">
        <f>RIGHT(MCC_Table[[#This Row],[BUCKET]],1)</f>
        <v/>
      </c>
      <c r="AG406" s="29">
        <f>VLOOKUP(MCC_Table[[#This Row],[START UNIT]],UnitMap[],2,FALSE)</f>
        <v/>
      </c>
      <c r="AH406" s="29">
        <f t="array" ref="AH406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06" s="29">
        <f>IF(ISNUMBER(MCC_Table[[#This Row],[SIZE]]), MCC_Table[[#This Row],[SIZE]]/6, 0)</f>
        <v/>
      </c>
      <c r="AJ406" s="29">
        <f>MCC_Table[[#This Row],[START INDEX]]+MCC_Table[[#This Row],[UNITS USED]]-1</f>
        <v/>
      </c>
      <c r="AK406" s="14" t="n"/>
      <c r="AL406" s="14" t="n"/>
      <c r="AM406" s="14" t="n"/>
      <c r="AN406" s="14" t="n"/>
      <c r="AO406" s="14" t="n"/>
      <c r="AP406" s="14" t="n"/>
      <c r="AQ406" s="14" t="n"/>
      <c r="AR406" s="14" t="n"/>
      <c r="AS406" s="14" t="n"/>
      <c r="AT406" s="14" t="n"/>
      <c r="AU406" s="14" t="n"/>
      <c r="AV406" s="14" t="n"/>
      <c r="AW406" s="14" t="n"/>
      <c r="AX406" s="14" t="n"/>
      <c r="AY406" s="14" t="n"/>
      <c r="AZ406" s="14" t="n"/>
      <c r="BA406" s="14" t="n"/>
      <c r="BB406" s="14" t="n"/>
      <c r="BC406" s="14" t="n"/>
      <c r="BD406" s="14" t="n"/>
      <c r="BE406" s="14" t="n"/>
    </row>
    <row r="407" hidden="1" ht="15.75" customHeight="1" thickTop="1">
      <c r="A407" s="113" t="n"/>
      <c r="B407" s="29" t="n"/>
      <c r="C407" s="111" t="n"/>
      <c r="D407" s="28" t="n"/>
      <c r="E407" s="112" t="n"/>
      <c r="F407" s="8" t="n"/>
      <c r="G407" s="8" t="n"/>
      <c r="H407" s="82" t="n"/>
      <c r="I407" s="8" t="n"/>
      <c r="J407" s="80">
        <f>IF(ISNUMBER(MCC_Table[[#This Row],[SIZE]]), MCC_Table[[#This Row],[SIZE]]/12, 0)</f>
        <v/>
      </c>
      <c r="K407" s="82" t="n"/>
      <c r="L407" s="82" t="n"/>
      <c r="M407" s="82" t="n"/>
      <c r="N407" s="82" t="n"/>
      <c r="O407" s="77" t="n"/>
      <c r="P407" s="110" t="n"/>
      <c r="Q407" s="79" t="n"/>
      <c r="R407" s="79" t="n"/>
      <c r="S407" s="79" t="n"/>
      <c r="T407" s="79" t="n"/>
      <c r="U407" s="79" t="n"/>
      <c r="V407" s="79" t="n"/>
      <c r="W407" s="79" t="n"/>
      <c r="X407" s="79" t="n"/>
      <c r="Y407" s="79" t="n"/>
      <c r="Z407" s="79" t="n"/>
      <c r="AA407" s="79" t="n"/>
      <c r="AB407" s="225" t="n"/>
      <c r="AC407" s="225" t="n"/>
      <c r="AD407" s="225" t="n"/>
      <c r="AE407" s="29">
        <f>_xlfn.NUMBERVALUE(LEFT(MCC_Table[[#This Row],[BUCKET]],LEN(MCC_Table[[#This Row],[BUCKET]])-1))</f>
        <v/>
      </c>
      <c r="AF407" s="29">
        <f>RIGHT(MCC_Table[[#This Row],[BUCKET]],1)</f>
        <v/>
      </c>
      <c r="AG407" s="29">
        <f>VLOOKUP(MCC_Table[[#This Row],[START UNIT]],UnitMap[],2,FALSE)</f>
        <v/>
      </c>
      <c r="AH407" s="29">
        <f t="array" ref="AH407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07" s="29">
        <f>IF(ISNUMBER(MCC_Table[[#This Row],[SIZE]]), MCC_Table[[#This Row],[SIZE]]/6, 0)</f>
        <v/>
      </c>
      <c r="AJ407" s="29">
        <f>MCC_Table[[#This Row],[START INDEX]]+MCC_Table[[#This Row],[UNITS USED]]-1</f>
        <v/>
      </c>
      <c r="AK407" s="14" t="n"/>
      <c r="AL407" s="14" t="n"/>
      <c r="AM407" s="14" t="n"/>
      <c r="AN407" s="14" t="n"/>
      <c r="AO407" s="14" t="n"/>
      <c r="AP407" s="14" t="n"/>
      <c r="AQ407" s="14" t="n"/>
      <c r="AR407" s="14" t="n"/>
      <c r="AS407" s="14" t="n"/>
      <c r="AT407" s="14" t="n"/>
      <c r="AU407" s="14" t="n"/>
      <c r="AV407" s="14" t="n"/>
      <c r="AW407" s="14" t="n"/>
      <c r="AX407" s="14" t="n"/>
      <c r="AY407" s="14" t="n"/>
      <c r="AZ407" s="14" t="n"/>
      <c r="BA407" s="14" t="n"/>
      <c r="BB407" s="14" t="n"/>
      <c r="BC407" s="14" t="n"/>
      <c r="BD407" s="14" t="n"/>
      <c r="BE407" s="14" t="n"/>
    </row>
    <row r="408" hidden="1" ht="15.75" customHeight="1" thickTop="1">
      <c r="A408" s="113" t="n"/>
      <c r="B408" s="29" t="n"/>
      <c r="C408" s="111" t="n"/>
      <c r="D408" s="28" t="n"/>
      <c r="E408" s="112" t="n"/>
      <c r="F408" s="8" t="n"/>
      <c r="G408" s="8" t="n"/>
      <c r="H408" s="82" t="n"/>
      <c r="I408" s="8" t="n"/>
      <c r="J408" s="80">
        <f>IF(ISNUMBER(MCC_Table[[#This Row],[SIZE]]), MCC_Table[[#This Row],[SIZE]]/12, 0)</f>
        <v/>
      </c>
      <c r="K408" s="82" t="n"/>
      <c r="L408" s="82" t="n"/>
      <c r="M408" s="82" t="n"/>
      <c r="N408" s="82" t="n"/>
      <c r="O408" s="77" t="n"/>
      <c r="P408" s="110" t="n"/>
      <c r="Q408" s="79" t="n"/>
      <c r="R408" s="79" t="n"/>
      <c r="S408" s="79" t="n"/>
      <c r="T408" s="79" t="n"/>
      <c r="U408" s="79" t="n"/>
      <c r="V408" s="79" t="n"/>
      <c r="W408" s="79" t="n"/>
      <c r="X408" s="79" t="n"/>
      <c r="Y408" s="79" t="n"/>
      <c r="Z408" s="79" t="n"/>
      <c r="AA408" s="79" t="n"/>
      <c r="AB408" s="225" t="n"/>
      <c r="AC408" s="225" t="n"/>
      <c r="AD408" s="225" t="n"/>
      <c r="AE408" s="29">
        <f>_xlfn.NUMBERVALUE(LEFT(MCC_Table[[#This Row],[BUCKET]],LEN(MCC_Table[[#This Row],[BUCKET]])-1))</f>
        <v/>
      </c>
      <c r="AF408" s="29">
        <f>RIGHT(MCC_Table[[#This Row],[BUCKET]],1)</f>
        <v/>
      </c>
      <c r="AG408" s="29">
        <f>VLOOKUP(MCC_Table[[#This Row],[START UNIT]],UnitMap[],2,FALSE)</f>
        <v/>
      </c>
      <c r="AH408" s="29">
        <f t="array" ref="AH408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08" s="29">
        <f>IF(ISNUMBER(MCC_Table[[#This Row],[SIZE]]), MCC_Table[[#This Row],[SIZE]]/6, 0)</f>
        <v/>
      </c>
      <c r="AJ408" s="29">
        <f>MCC_Table[[#This Row],[START INDEX]]+MCC_Table[[#This Row],[UNITS USED]]-1</f>
        <v/>
      </c>
      <c r="AK408" s="14" t="n"/>
      <c r="AL408" s="14" t="n"/>
      <c r="AM408" s="14" t="n"/>
      <c r="AN408" s="14" t="n"/>
      <c r="AO408" s="14" t="n"/>
      <c r="AP408" s="14" t="n"/>
      <c r="AQ408" s="14" t="n"/>
      <c r="AR408" s="14" t="n"/>
      <c r="AS408" s="14" t="n"/>
      <c r="AT408" s="14" t="n"/>
      <c r="AU408" s="14" t="n"/>
      <c r="AV408" s="14" t="n"/>
      <c r="AW408" s="14" t="n"/>
      <c r="AX408" s="14" t="n"/>
      <c r="AY408" s="14" t="n"/>
      <c r="AZ408" s="14" t="n"/>
      <c r="BA408" s="14" t="n"/>
      <c r="BB408" s="14" t="n"/>
      <c r="BC408" s="14" t="n"/>
      <c r="BD408" s="14" t="n"/>
      <c r="BE408" s="14" t="n"/>
    </row>
    <row r="409" hidden="1" ht="15.75" customHeight="1" thickTop="1">
      <c r="A409" s="113" t="n"/>
      <c r="B409" s="29" t="n"/>
      <c r="C409" s="111" t="n"/>
      <c r="D409" s="28" t="n"/>
      <c r="E409" s="112" t="n"/>
      <c r="F409" s="8" t="n"/>
      <c r="G409" s="8" t="n"/>
      <c r="H409" s="82" t="n"/>
      <c r="I409" s="8" t="n"/>
      <c r="J409" s="80">
        <f>IF(ISNUMBER(MCC_Table[[#This Row],[SIZE]]), MCC_Table[[#This Row],[SIZE]]/12, 0)</f>
        <v/>
      </c>
      <c r="K409" s="82" t="n"/>
      <c r="L409" s="82" t="n"/>
      <c r="M409" s="82" t="n"/>
      <c r="N409" s="82" t="n"/>
      <c r="O409" s="77" t="n"/>
      <c r="P409" s="110" t="n"/>
      <c r="Q409" s="79" t="n"/>
      <c r="R409" s="79" t="n"/>
      <c r="S409" s="79" t="n"/>
      <c r="T409" s="79" t="n"/>
      <c r="U409" s="79" t="n"/>
      <c r="V409" s="79" t="n"/>
      <c r="W409" s="79" t="n"/>
      <c r="X409" s="79" t="n"/>
      <c r="Y409" s="79" t="n"/>
      <c r="Z409" s="79" t="n"/>
      <c r="AA409" s="79" t="n"/>
      <c r="AB409" s="225" t="n"/>
      <c r="AC409" s="225" t="n"/>
      <c r="AD409" s="225" t="n"/>
      <c r="AE409" s="29">
        <f>_xlfn.NUMBERVALUE(LEFT(MCC_Table[[#This Row],[BUCKET]],LEN(MCC_Table[[#This Row],[BUCKET]])-1))</f>
        <v/>
      </c>
      <c r="AF409" s="29">
        <f>RIGHT(MCC_Table[[#This Row],[BUCKET]],1)</f>
        <v/>
      </c>
      <c r="AG409" s="29">
        <f>VLOOKUP(MCC_Table[[#This Row],[START UNIT]],UnitMap[],2,FALSE)</f>
        <v/>
      </c>
      <c r="AH409" s="29">
        <f t="array" ref="AH409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09" s="29">
        <f>IF(ISNUMBER(MCC_Table[[#This Row],[SIZE]]), MCC_Table[[#This Row],[SIZE]]/6, 0)</f>
        <v/>
      </c>
      <c r="AJ409" s="29">
        <f>MCC_Table[[#This Row],[START INDEX]]+MCC_Table[[#This Row],[UNITS USED]]-1</f>
        <v/>
      </c>
      <c r="AK409" s="14" t="n"/>
      <c r="AL409" s="14" t="n"/>
      <c r="AM409" s="14" t="n"/>
      <c r="AN409" s="14" t="n"/>
      <c r="AO409" s="14" t="n"/>
      <c r="AP409" s="14" t="n"/>
      <c r="AQ409" s="14" t="n"/>
      <c r="AR409" s="14" t="n"/>
      <c r="AS409" s="14" t="n"/>
      <c r="AT409" s="14" t="n"/>
      <c r="AU409" s="14" t="n"/>
      <c r="AV409" s="14" t="n"/>
      <c r="AW409" s="14" t="n"/>
      <c r="AX409" s="14" t="n"/>
      <c r="AY409" s="14" t="n"/>
      <c r="AZ409" s="14" t="n"/>
      <c r="BA409" s="14" t="n"/>
      <c r="BB409" s="14" t="n"/>
      <c r="BC409" s="14" t="n"/>
      <c r="BD409" s="14" t="n"/>
      <c r="BE409" s="14" t="n"/>
    </row>
    <row r="410" hidden="1" ht="15.75" customHeight="1" thickTop="1">
      <c r="A410" s="113" t="n"/>
      <c r="B410" s="29" t="n"/>
      <c r="C410" s="24" t="n"/>
      <c r="D410" s="28" t="n"/>
      <c r="E410" s="29" t="n"/>
      <c r="F410" s="8" t="n"/>
      <c r="G410" s="8" t="n"/>
      <c r="H410" s="82" t="n"/>
      <c r="I410" s="8" t="n"/>
      <c r="J410" s="80">
        <f>IF(ISNUMBER(MCC_Table[[#This Row],[SIZE]]), MCC_Table[[#This Row],[SIZE]]/12, 0)</f>
        <v/>
      </c>
      <c r="K410" s="82" t="n"/>
      <c r="L410" s="82" t="n"/>
      <c r="M410" s="82" t="n"/>
      <c r="N410" s="82" t="n"/>
      <c r="O410" s="77" t="n"/>
      <c r="P410" s="110" t="n"/>
      <c r="Q410" s="79" t="n"/>
      <c r="R410" s="79" t="n"/>
      <c r="S410" s="79" t="n"/>
      <c r="T410" s="79" t="n"/>
      <c r="U410" s="79" t="n"/>
      <c r="V410" s="79" t="n"/>
      <c r="W410" s="79" t="n"/>
      <c r="X410" s="79" t="n"/>
      <c r="Y410" s="79" t="n"/>
      <c r="Z410" s="79" t="n"/>
      <c r="AA410" s="79" t="n"/>
      <c r="AB410" s="225" t="n"/>
      <c r="AC410" s="225" t="n"/>
      <c r="AD410" s="225" t="n"/>
      <c r="AE410" s="29">
        <f>_xlfn.NUMBERVALUE(LEFT(MCC_Table[[#This Row],[BUCKET]],LEN(MCC_Table[[#This Row],[BUCKET]])-1))</f>
        <v/>
      </c>
      <c r="AF410" s="29">
        <f>RIGHT(MCC_Table[[#This Row],[BUCKET]],1)</f>
        <v/>
      </c>
      <c r="AG410" s="29">
        <f>VLOOKUP(MCC_Table[[#This Row],[START UNIT]],UnitMap[],2,FALSE)</f>
        <v/>
      </c>
      <c r="AH410" s="29">
        <f t="array" ref="AH410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10" s="29">
        <f>IF(ISNUMBER(MCC_Table[[#This Row],[SIZE]]), MCC_Table[[#This Row],[SIZE]]/6, 0)</f>
        <v/>
      </c>
      <c r="AJ410" s="29">
        <f>MCC_Table[[#This Row],[START INDEX]]+MCC_Table[[#This Row],[UNITS USED]]-1</f>
        <v/>
      </c>
      <c r="AK410" s="14" t="n"/>
      <c r="AL410" s="14" t="n"/>
      <c r="AM410" s="14" t="n"/>
      <c r="AN410" s="14" t="n"/>
      <c r="AO410" s="14" t="n"/>
      <c r="AP410" s="14" t="n"/>
      <c r="AQ410" s="14" t="n"/>
      <c r="AR410" s="14" t="n"/>
      <c r="AS410" s="14" t="n"/>
      <c r="AT410" s="14" t="n"/>
      <c r="AU410" s="14" t="n"/>
      <c r="AV410" s="14" t="n"/>
      <c r="AW410" s="14" t="n"/>
      <c r="AX410" s="14" t="n"/>
      <c r="AY410" s="14" t="n"/>
      <c r="AZ410" s="14" t="n"/>
      <c r="BA410" s="14" t="n"/>
      <c r="BB410" s="14" t="n"/>
      <c r="BC410" s="14" t="n"/>
      <c r="BD410" s="14" t="n"/>
      <c r="BE410" s="14" t="n"/>
    </row>
    <row r="411" hidden="1" ht="15.75" customHeight="1" thickTop="1">
      <c r="A411" s="113" t="n"/>
      <c r="B411" s="29" t="n"/>
      <c r="C411" s="24" t="n"/>
      <c r="D411" s="28" t="n"/>
      <c r="E411" s="29" t="n"/>
      <c r="F411" s="8" t="n"/>
      <c r="G411" s="8" t="n"/>
      <c r="H411" s="82" t="n"/>
      <c r="I411" s="8" t="n"/>
      <c r="J411" s="80">
        <f>IF(ISNUMBER(MCC_Table[[#This Row],[SIZE]]), MCC_Table[[#This Row],[SIZE]]/12, 0)</f>
        <v/>
      </c>
      <c r="K411" s="82" t="n"/>
      <c r="L411" s="82" t="n"/>
      <c r="M411" s="82" t="n"/>
      <c r="N411" s="82" t="n"/>
      <c r="O411" s="77" t="n"/>
      <c r="P411" s="110" t="n"/>
      <c r="Q411" s="79" t="n"/>
      <c r="R411" s="79" t="n"/>
      <c r="S411" s="79" t="n"/>
      <c r="T411" s="79" t="n"/>
      <c r="U411" s="79" t="n"/>
      <c r="V411" s="79" t="n"/>
      <c r="W411" s="79" t="n"/>
      <c r="X411" s="79" t="n"/>
      <c r="Y411" s="79" t="n"/>
      <c r="Z411" s="79" t="n"/>
      <c r="AA411" s="79" t="n"/>
      <c r="AB411" s="225" t="n"/>
      <c r="AC411" s="225" t="n"/>
      <c r="AD411" s="225" t="n"/>
      <c r="AE411" s="29">
        <f>_xlfn.NUMBERVALUE(LEFT(MCC_Table[[#This Row],[BUCKET]],LEN(MCC_Table[[#This Row],[BUCKET]])-1))</f>
        <v/>
      </c>
      <c r="AF411" s="29">
        <f>RIGHT(MCC_Table[[#This Row],[BUCKET]],1)</f>
        <v/>
      </c>
      <c r="AG411" s="29">
        <f>VLOOKUP(MCC_Table[[#This Row],[START UNIT]],UnitMap[],2,FALSE)</f>
        <v/>
      </c>
      <c r="AH411" s="29">
        <f t="array" ref="AH411">_xlfn.LET(
    _xlpm.next_row_index, ROW() - ROW(MCC_Table[#Headers]) + 1,
    _xlpm.next_section, IFERROR(INDEX(MCC_Table[SECTION], _xlpm.next_row_index, 1), ""),
    _xlpm.next_start_index, IFERROR(INDEX(MCC_Table[START INDEX], _xlpm.next_row_index, 1), 0),
IF(
    AND(MCC_Table[[#This Row],[SECTION]] = _xlpm.next_section, _xlpm.next_section &lt;&gt; ""),
    (_xlpm.next_start_index - MCC_Table[[#This Row],[START INDEX]]) * 6,
    (13 - MCC_Table[[#This Row],[START INDEX]]) * 6
))</f>
        <v/>
      </c>
      <c r="AI411" s="29">
        <f>IF(ISNUMBER(MCC_Table[[#This Row],[SIZE]]), MCC_Table[[#This Row],[SIZE]]/6, 0)</f>
        <v/>
      </c>
      <c r="AJ411" s="29">
        <f>MCC_Table[[#This Row],[START INDEX]]+MCC_Table[[#This Row],[UNITS USED]]-1</f>
        <v/>
      </c>
      <c r="AK411" s="14" t="n"/>
      <c r="AL411" s="14" t="n"/>
      <c r="AM411" s="14" t="n"/>
      <c r="AN411" s="14" t="n"/>
      <c r="AO411" s="14" t="n"/>
      <c r="AP411" s="14" t="n"/>
      <c r="AQ411" s="14" t="n"/>
      <c r="AR411" s="14" t="n"/>
      <c r="AS411" s="14" t="n"/>
      <c r="AT411" s="14" t="n"/>
      <c r="AU411" s="14" t="n"/>
      <c r="AV411" s="14" t="n"/>
      <c r="AW411" s="14" t="n"/>
      <c r="AX411" s="14" t="n"/>
      <c r="AY411" s="14" t="n"/>
      <c r="AZ411" s="14" t="n"/>
      <c r="BA411" s="14" t="n"/>
      <c r="BB411" s="14" t="n"/>
      <c r="BC411" s="14" t="n"/>
      <c r="BD411" s="14" t="n"/>
      <c r="BE411" s="14" t="n"/>
    </row>
    <row r="412" hidden="1" ht="15.75" customHeight="1" thickTop="1">
      <c r="A412" s="39" t="n"/>
      <c r="B412" s="8" t="n"/>
      <c r="C412" s="24" t="n"/>
      <c r="D412" s="28" t="n"/>
      <c r="E412" s="29" t="n"/>
      <c r="F412" s="8" t="n"/>
      <c r="G412" s="8" t="n"/>
      <c r="H412" s="82" t="n"/>
      <c r="I412" s="8" t="n"/>
      <c r="J412" s="83" t="n"/>
      <c r="K412" s="82" t="n"/>
      <c r="L412" s="82" t="n"/>
      <c r="M412" s="82" t="n"/>
      <c r="N412" s="82" t="n"/>
      <c r="O412" s="77" t="n"/>
      <c r="P412" s="85" t="n"/>
      <c r="Q412" s="79" t="n"/>
      <c r="R412" s="79" t="n"/>
      <c r="S412" s="79" t="n"/>
      <c r="T412" s="79" t="n"/>
      <c r="U412" s="79" t="n"/>
      <c r="V412" s="79" t="n"/>
      <c r="W412" s="79" t="n"/>
      <c r="X412" s="79" t="n"/>
      <c r="Y412" s="79" t="n"/>
      <c r="Z412" s="79" t="n"/>
      <c r="AA412" s="79" t="n"/>
      <c r="AB412" s="225" t="n"/>
      <c r="AC412" s="225" t="n"/>
      <c r="AD412" s="225" t="n"/>
      <c r="AE412" s="8" t="n"/>
      <c r="AF412" s="8" t="n"/>
      <c r="AG412" s="8" t="n"/>
      <c r="AH412" s="8" t="n"/>
      <c r="AI412" s="8" t="n"/>
      <c r="AJ412" s="8" t="n"/>
      <c r="AK412" s="14" t="n"/>
      <c r="AL412" s="14" t="n"/>
      <c r="AM412" s="14" t="n"/>
      <c r="AN412" s="14" t="n"/>
      <c r="AO412" s="14" t="n"/>
      <c r="AP412" s="14" t="n"/>
      <c r="AQ412" s="14" t="n"/>
      <c r="AR412" s="14" t="n"/>
      <c r="AS412" s="14" t="n"/>
      <c r="AT412" s="14" t="n"/>
      <c r="AU412" s="14" t="n"/>
      <c r="AV412" s="14" t="n"/>
      <c r="AW412" s="14" t="n"/>
      <c r="AX412" s="14" t="n"/>
      <c r="AY412" s="14" t="n"/>
      <c r="AZ412" s="14" t="n"/>
      <c r="BA412" s="14" t="n"/>
      <c r="BB412" s="14" t="n"/>
      <c r="BC412" s="14" t="n"/>
      <c r="BD412" s="14" t="n"/>
      <c r="BE412" s="14" t="n"/>
    </row>
    <row r="413" ht="15.75" customHeight="1" thickTop="1"/>
  </sheetData>
  <pageMargins left="0.7" right="0.7" top="1" bottom="0.75" header="0.3" footer="0.3"/>
  <pageSetup orientation="landscape" paperSize="3" scale="48" fitToHeight="0"/>
  <headerFooter>
    <oddHeader>&amp;L&amp;G&amp;C&amp;"Yu Gothic UI,Bold"&amp;16 RL5 MOTOR LIST&amp;R&amp;G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10" sqref="D10"/>
    </sheetView>
  </sheetViews>
  <sheetFormatPr baseColWidth="8" defaultColWidth="43.5703125" defaultRowHeight="15"/>
  <cols>
    <col width="11.7109375" bestFit="1" customWidth="1" min="1" max="1"/>
    <col width="11.140625" bestFit="1" customWidth="1" min="2" max="2"/>
    <col width="19.5703125" bestFit="1" customWidth="1" min="3" max="3"/>
    <col width="33" bestFit="1" customWidth="1" min="4" max="4"/>
  </cols>
  <sheetData>
    <row r="1" customFormat="1" s="7">
      <c r="A1" s="8" t="inlineStr">
        <is>
          <t>RL7-6MCC01</t>
        </is>
      </c>
      <c r="B1" s="8" t="inlineStr">
        <is>
          <t>MASTER NP</t>
        </is>
      </c>
      <c r="C1" s="8" t="inlineStr">
        <is>
          <t>RL7-6MCC1</t>
        </is>
      </c>
      <c r="D1" s="221" t="inlineStr">
        <is>
          <t>ROLL LINE 7</t>
        </is>
      </c>
    </row>
    <row r="2">
      <c r="A2" s="39" t="inlineStr">
        <is>
          <t>RL7-6MCC02</t>
        </is>
      </c>
      <c r="B2" s="29" t="inlineStr">
        <is>
          <t>02C</t>
        </is>
      </c>
      <c r="C2" s="24" t="inlineStr">
        <is>
          <t>RL7-MCC2-2C.PS1</t>
        </is>
      </c>
      <c r="D2" s="62" t="inlineStr">
        <is>
          <t>ETHERNET SWITCH POWER SUPPLY</t>
        </is>
      </c>
    </row>
    <row r="3" ht="30" customHeight="1">
      <c r="A3" s="39" t="inlineStr">
        <is>
          <t>RL7-6MCC02</t>
        </is>
      </c>
      <c r="B3" s="29" t="inlineStr">
        <is>
          <t>16A</t>
        </is>
      </c>
      <c r="C3" s="24" t="inlineStr">
        <is>
          <t>RL7-MCC2-16A.SW1 RL7-MCC2-16A.SW2</t>
        </is>
      </c>
      <c r="D3" s="62" t="inlineStr">
        <is>
          <t>ETHERNET SWITCHES</t>
        </is>
      </c>
    </row>
    <row r="4">
      <c r="A4" s="39" t="inlineStr">
        <is>
          <t>RL7-6MCC02</t>
        </is>
      </c>
      <c r="B4" s="29" t="inlineStr">
        <is>
          <t>19A</t>
        </is>
      </c>
      <c r="C4" s="24" t="inlineStr">
        <is>
          <t>RL7-MCC2-19A.PS1</t>
        </is>
      </c>
      <c r="D4" s="62" t="inlineStr">
        <is>
          <t>ETHERNET SWITCH POWER SUPPLY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4">
    <tabColor rgb="FFFFCCFF"/>
    <outlinePr summaryBelow="1" summaryRight="1"/>
    <pageSetUpPr fitToPage="1"/>
  </sheetPr>
  <dimension ref="A1:Q92"/>
  <sheetViews>
    <sheetView zoomScaleNormal="100" zoomScaleSheetLayoutView="70" workbookViewId="0">
      <pane xSplit="1" ySplit="1" topLeftCell="B31" activePane="bottomRight" state="frozen"/>
      <selection pane="topRight" activeCell="B1" sqref="B1"/>
      <selection pane="bottomLeft" activeCell="A2" sqref="A2"/>
      <selection pane="bottomRight" activeCell="A31" sqref="A31:A60"/>
    </sheetView>
  </sheetViews>
  <sheetFormatPr baseColWidth="8" defaultRowHeight="15"/>
  <cols>
    <col width="18.42578125" bestFit="1" customWidth="1" min="1" max="1"/>
    <col width="9.85546875" bestFit="1" customWidth="1" min="2" max="2"/>
    <col width="42.42578125" bestFit="1" customWidth="1" style="3" min="3" max="3"/>
    <col width="32.85546875" bestFit="1" customWidth="1" min="4" max="4"/>
    <col width="16.5703125" customWidth="1" min="5" max="5"/>
    <col width="9.42578125" bestFit="1" customWidth="1" min="6" max="6"/>
    <col width="26.7109375" customWidth="1" min="7" max="7"/>
    <col width="40.5703125" bestFit="1" customWidth="1" style="3" min="8" max="8"/>
    <col hidden="1" width="13.7109375" customWidth="1" style="11" min="9" max="11"/>
    <col hidden="1" width="14.7109375" customWidth="1" style="11" min="12" max="12"/>
    <col hidden="1" width="13.7109375" customWidth="1" style="11" min="13" max="17"/>
    <col width="20.7109375" bestFit="1" customWidth="1" min="19" max="19"/>
    <col width="22.42578125" bestFit="1" customWidth="1" min="20" max="20"/>
    <col width="5.85546875" bestFit="1" customWidth="1" min="21" max="21"/>
    <col width="15.42578125" bestFit="1" customWidth="1" min="22" max="22"/>
  </cols>
  <sheetData>
    <row r="1" ht="45.75" customFormat="1" customHeight="1" s="7" thickBot="1">
      <c r="A1" s="23" t="inlineStr">
        <is>
          <t>EQUIPMENT ID</t>
        </is>
      </c>
      <c r="B1" s="21" t="inlineStr">
        <is>
          <t>TYPE</t>
        </is>
      </c>
      <c r="C1" s="21" t="inlineStr">
        <is>
          <t>EQUIPMENT DESCRIPTION</t>
        </is>
      </c>
      <c r="D1" s="20" t="inlineStr">
        <is>
          <t>LOCATION</t>
        </is>
      </c>
      <c r="E1" s="20" t="inlineStr">
        <is>
          <t>MOUNTING</t>
        </is>
      </c>
      <c r="F1" s="20" t="inlineStr">
        <is>
          <t>LINE</t>
        </is>
      </c>
      <c r="G1" s="21" t="inlineStr">
        <is>
          <t>UPS PANEL_CKT</t>
        </is>
      </c>
      <c r="H1" s="22" t="inlineStr">
        <is>
          <t>NOTES</t>
        </is>
      </c>
      <c r="I1" s="30" t="inlineStr">
        <is>
          <t>RACEWAYS
COMPLETE</t>
        </is>
      </c>
      <c r="J1" s="31" t="inlineStr">
        <is>
          <t>CKT PULLED</t>
        </is>
      </c>
      <c r="K1" s="31" t="inlineStr">
        <is>
          <t>CKT TERMED</t>
        </is>
      </c>
      <c r="L1" s="31" t="inlineStr">
        <is>
          <t>PANEL / DEVICE ENERGIZED</t>
        </is>
      </c>
      <c r="M1" s="31" t="inlineStr">
        <is>
          <t>COMMS
PULLED</t>
        </is>
      </c>
      <c r="N1" s="31" t="inlineStr">
        <is>
          <t>COMMS
TERMED</t>
        </is>
      </c>
      <c r="O1" s="31" t="inlineStr">
        <is>
          <t>COMMS
TESTED</t>
        </is>
      </c>
      <c r="P1" s="31" t="inlineStr">
        <is>
          <t>COMMS
CONFIG</t>
        </is>
      </c>
      <c r="Q1" s="31" t="inlineStr">
        <is>
          <t>COMMS
GOOD</t>
        </is>
      </c>
    </row>
    <row r="2">
      <c r="A2" s="256" t="inlineStr">
        <is>
          <t>RL-HWS4-CP1</t>
        </is>
      </c>
      <c r="B2" s="72" t="inlineStr">
        <is>
          <t>CP</t>
        </is>
      </c>
      <c r="C2" s="257" t="inlineStr">
        <is>
          <t>HAND WEIGH STATION 4 CONTROL PANEL</t>
        </is>
      </c>
      <c r="D2" s="75" t="inlineStr">
        <is>
          <t>DRY BATCH</t>
        </is>
      </c>
      <c r="E2" s="75" t="inlineStr">
        <is>
          <t>WALL</t>
        </is>
      </c>
      <c r="F2" s="75" t="n"/>
      <c r="G2" s="75" t="n"/>
      <c r="H2" s="258" t="n"/>
      <c r="I2" s="250" t="n"/>
      <c r="J2" s="16" t="n"/>
      <c r="K2" s="16" t="n"/>
      <c r="L2" s="16" t="n"/>
      <c r="M2" s="16" t="n"/>
      <c r="N2" s="16" t="n"/>
      <c r="O2" s="16" t="n"/>
      <c r="P2" s="16" t="n"/>
      <c r="Q2" s="16" t="n"/>
    </row>
    <row r="3">
      <c r="A3" s="242" t="inlineStr">
        <is>
          <t>RL-HWS4-HMI1</t>
        </is>
      </c>
      <c r="B3" s="24" t="inlineStr">
        <is>
          <t>HMI</t>
        </is>
      </c>
      <c r="C3" s="4" t="inlineStr">
        <is>
          <t>HAND WEIGH STATION 4 HMI</t>
        </is>
      </c>
      <c r="D3" s="8" t="inlineStr">
        <is>
          <t>DRY BATCH</t>
        </is>
      </c>
      <c r="E3" s="8" t="inlineStr">
        <is>
          <t>POST</t>
        </is>
      </c>
      <c r="F3" s="8" t="n"/>
      <c r="G3" s="8" t="n"/>
      <c r="H3" s="243" t="inlineStr">
        <is>
          <t>POST INCLUDED W/ 4XXTREME ENCLOSURE</t>
        </is>
      </c>
      <c r="I3" s="250" t="n"/>
      <c r="J3" s="16" t="n"/>
      <c r="K3" s="16" t="n"/>
      <c r="L3" s="16" t="n"/>
      <c r="M3" s="16" t="n"/>
      <c r="N3" s="16" t="n"/>
      <c r="O3" s="16" t="n"/>
      <c r="P3" s="16" t="n"/>
      <c r="Q3" s="16" t="n"/>
    </row>
    <row r="4">
      <c r="A4" s="242" t="inlineStr">
        <is>
          <t>RL-HWS4-QR1</t>
        </is>
      </c>
      <c r="B4" s="24" t="inlineStr">
        <is>
          <t>QR</t>
        </is>
      </c>
      <c r="C4" s="4" t="inlineStr">
        <is>
          <t>HAND WEIGH STATION 4 QR SCANNER</t>
        </is>
      </c>
      <c r="D4" s="8" t="inlineStr">
        <is>
          <t>DRY BATCH</t>
        </is>
      </c>
      <c r="E4" s="8" t="n"/>
      <c r="F4" s="8" t="n"/>
      <c r="G4" s="24" t="n"/>
      <c r="H4" s="243" t="n"/>
      <c r="I4" s="250" t="n"/>
      <c r="J4" s="16" t="n"/>
      <c r="K4" s="16" t="n"/>
      <c r="L4" s="16" t="n"/>
      <c r="M4" s="16" t="n"/>
      <c r="N4" s="16" t="n"/>
      <c r="O4" s="16" t="n"/>
      <c r="P4" s="16" t="n"/>
      <c r="Q4" s="16" t="n"/>
    </row>
    <row r="5">
      <c r="A5" s="242" t="inlineStr">
        <is>
          <t>RL-HWS4-SCN1</t>
        </is>
      </c>
      <c r="B5" s="24" t="inlineStr">
        <is>
          <t>SCN</t>
        </is>
      </c>
      <c r="C5" s="4" t="inlineStr">
        <is>
          <t>HAND WEIGH STATION 4 BARCODE SCANNER</t>
        </is>
      </c>
      <c r="D5" s="8" t="inlineStr">
        <is>
          <t>DRY BATCH</t>
        </is>
      </c>
      <c r="E5" s="8" t="n"/>
      <c r="F5" s="8" t="n"/>
      <c r="G5" s="24" t="n"/>
      <c r="H5" s="243" t="n"/>
      <c r="I5" s="250" t="n"/>
      <c r="J5" s="16" t="n"/>
      <c r="K5" s="16" t="n"/>
      <c r="L5" s="16" t="n"/>
      <c r="M5" s="16" t="n"/>
      <c r="N5" s="16" t="n"/>
      <c r="O5" s="16" t="n"/>
      <c r="P5" s="16" t="n"/>
      <c r="Q5" s="16" t="n"/>
    </row>
    <row r="6">
      <c r="A6" s="242" t="inlineStr">
        <is>
          <t>RL-HWS4-ZEB1</t>
        </is>
      </c>
      <c r="B6" s="24" t="inlineStr">
        <is>
          <t>ZEB</t>
        </is>
      </c>
      <c r="C6" s="4" t="inlineStr">
        <is>
          <t>HAND WEIGH STATION 4 ZEBRA PRINTER</t>
        </is>
      </c>
      <c r="D6" s="8" t="inlineStr">
        <is>
          <t>DRY BATCH</t>
        </is>
      </c>
      <c r="E6" s="8" t="n"/>
      <c r="F6" s="8" t="n"/>
      <c r="G6" s="24" t="n"/>
      <c r="H6" s="243" t="n"/>
      <c r="I6" s="250" t="n"/>
      <c r="J6" s="16" t="n"/>
      <c r="K6" s="16" t="n"/>
      <c r="L6" s="16" t="n"/>
      <c r="M6" s="16" t="n"/>
      <c r="N6" s="16" t="n"/>
      <c r="O6" s="16" t="n"/>
      <c r="P6" s="16" t="n"/>
      <c r="Q6" s="16" t="n"/>
    </row>
    <row r="7">
      <c r="A7" s="242" t="inlineStr">
        <is>
          <t>RL-HWS4-FSCL1</t>
        </is>
      </c>
      <c r="B7" s="24" t="inlineStr">
        <is>
          <t>FSCL</t>
        </is>
      </c>
      <c r="C7" s="4" t="inlineStr">
        <is>
          <t>HAND WEIGH STATION 4 FLOOR SCALE</t>
        </is>
      </c>
      <c r="D7" s="8" t="inlineStr">
        <is>
          <t>DRY BATCH</t>
        </is>
      </c>
      <c r="E7" s="8" t="n"/>
      <c r="F7" s="8" t="n"/>
      <c r="G7" s="24" t="n"/>
      <c r="H7" s="243" t="n"/>
      <c r="I7" s="250" t="n"/>
      <c r="J7" s="16" t="n"/>
      <c r="K7" s="16" t="n"/>
      <c r="L7" s="16" t="n"/>
      <c r="M7" s="16" t="n"/>
      <c r="N7" s="16" t="n"/>
      <c r="O7" s="16" t="n"/>
      <c r="P7" s="16" t="n"/>
      <c r="Q7" s="16" t="n"/>
    </row>
    <row r="8">
      <c r="A8" s="242" t="inlineStr">
        <is>
          <t>RL-HWS4-TSCL1</t>
        </is>
      </c>
      <c r="B8" s="24" t="inlineStr">
        <is>
          <t>TSCL</t>
        </is>
      </c>
      <c r="C8" s="4" t="inlineStr">
        <is>
          <t>HAND WEIGH STATION 4 TABLE SCALE 1</t>
        </is>
      </c>
      <c r="D8" s="8" t="inlineStr">
        <is>
          <t>DRY BATCH</t>
        </is>
      </c>
      <c r="E8" s="8" t="n"/>
      <c r="F8" s="8" t="n"/>
      <c r="G8" s="24" t="n"/>
      <c r="H8" s="243" t="n"/>
      <c r="I8" s="250" t="n"/>
      <c r="J8" s="16" t="n"/>
      <c r="K8" s="16" t="n"/>
      <c r="L8" s="16" t="n"/>
      <c r="M8" s="16" t="n"/>
      <c r="N8" s="16" t="n"/>
      <c r="O8" s="16" t="n"/>
      <c r="P8" s="16" t="n"/>
      <c r="Q8" s="16" t="n"/>
    </row>
    <row r="9">
      <c r="A9" s="242" t="inlineStr">
        <is>
          <t>RL-HWS4-TSCL2</t>
        </is>
      </c>
      <c r="B9" s="24" t="inlineStr">
        <is>
          <t>TSCL</t>
        </is>
      </c>
      <c r="C9" s="4" t="inlineStr">
        <is>
          <t>HAND WEIGH STATION 4 TABLE SCALE 2</t>
        </is>
      </c>
      <c r="D9" s="8" t="inlineStr">
        <is>
          <t>DRY BATCH</t>
        </is>
      </c>
      <c r="E9" s="8" t="n"/>
      <c r="F9" s="8" t="n"/>
      <c r="G9" s="24" t="n"/>
      <c r="H9" s="243" t="n"/>
      <c r="I9" s="250" t="n"/>
      <c r="J9" s="16" t="n"/>
      <c r="K9" s="16" t="n"/>
      <c r="L9" s="16" t="n"/>
      <c r="M9" s="16" t="n"/>
      <c r="N9" s="16" t="n"/>
      <c r="O9" s="16" t="n"/>
      <c r="P9" s="16" t="n"/>
      <c r="Q9" s="16" t="n"/>
    </row>
    <row r="10">
      <c r="A10" s="242" t="inlineStr">
        <is>
          <t>RL-HWS5-CP1</t>
        </is>
      </c>
      <c r="B10" s="24" t="inlineStr">
        <is>
          <t>CP</t>
        </is>
      </c>
      <c r="C10" s="4" t="inlineStr">
        <is>
          <t>HAND WEIGH STATION 5 CONTROL PANEL</t>
        </is>
      </c>
      <c r="D10" s="8" t="inlineStr">
        <is>
          <t>DRY BATCH</t>
        </is>
      </c>
      <c r="E10" s="8" t="inlineStr">
        <is>
          <t>WALL</t>
        </is>
      </c>
      <c r="F10" s="8" t="n"/>
      <c r="G10" s="8" t="n"/>
      <c r="H10" s="243" t="n"/>
      <c r="I10" s="250" t="n"/>
      <c r="J10" s="16" t="n"/>
      <c r="K10" s="16" t="n"/>
      <c r="L10" s="16" t="n"/>
      <c r="M10" s="16" t="n"/>
      <c r="N10" s="16" t="n"/>
      <c r="O10" s="16" t="n"/>
      <c r="P10" s="16" t="n"/>
      <c r="Q10" s="16" t="n"/>
    </row>
    <row r="11">
      <c r="A11" s="242" t="inlineStr">
        <is>
          <t>RL-HWS5-HMI1</t>
        </is>
      </c>
      <c r="B11" s="24" t="inlineStr">
        <is>
          <t>HMI</t>
        </is>
      </c>
      <c r="C11" s="4" t="inlineStr">
        <is>
          <t>HAND WEIGH STATION 5 HMI</t>
        </is>
      </c>
      <c r="D11" s="8" t="inlineStr">
        <is>
          <t>DRY BATCH</t>
        </is>
      </c>
      <c r="E11" s="8" t="inlineStr">
        <is>
          <t>POST</t>
        </is>
      </c>
      <c r="F11" s="8" t="n"/>
      <c r="G11" s="8" t="n"/>
      <c r="H11" s="243" t="inlineStr">
        <is>
          <t>POST INCLUDED W/ 4XXTREME ENCLOSURE</t>
        </is>
      </c>
      <c r="I11" s="250" t="n"/>
      <c r="J11" s="16" t="n"/>
      <c r="K11" s="16" t="n"/>
      <c r="L11" s="16" t="n"/>
      <c r="M11" s="16" t="n"/>
      <c r="N11" s="16" t="n"/>
      <c r="O11" s="16" t="n"/>
      <c r="P11" s="16" t="n"/>
      <c r="Q11" s="16" t="n"/>
    </row>
    <row r="12">
      <c r="A12" s="242" t="inlineStr">
        <is>
          <t>RL-HWS5-QR1</t>
        </is>
      </c>
      <c r="B12" s="24" t="inlineStr">
        <is>
          <t>QR</t>
        </is>
      </c>
      <c r="C12" s="4" t="inlineStr">
        <is>
          <t>HAND WEIGH STATION 5 QR SCANNER</t>
        </is>
      </c>
      <c r="D12" s="8" t="inlineStr">
        <is>
          <t>DRY BATCH</t>
        </is>
      </c>
      <c r="E12" s="8" t="n"/>
      <c r="F12" s="8" t="n"/>
      <c r="G12" s="24" t="n"/>
      <c r="H12" s="243" t="n"/>
      <c r="I12" s="250" t="n"/>
      <c r="J12" s="16" t="n"/>
      <c r="K12" s="16" t="n"/>
      <c r="L12" s="16" t="n"/>
      <c r="M12" s="16" t="n"/>
      <c r="N12" s="16" t="n"/>
      <c r="O12" s="16" t="n"/>
      <c r="P12" s="16" t="n"/>
      <c r="Q12" s="16" t="n"/>
    </row>
    <row r="13">
      <c r="A13" s="242" t="inlineStr">
        <is>
          <t>RL-HWS5-SCN1</t>
        </is>
      </c>
      <c r="B13" s="24" t="inlineStr">
        <is>
          <t>SCN</t>
        </is>
      </c>
      <c r="C13" s="4" t="inlineStr">
        <is>
          <t>HAND WEIGH STATION 5 BARCODE SCANNER</t>
        </is>
      </c>
      <c r="D13" s="8" t="inlineStr">
        <is>
          <t>DRY BATCH</t>
        </is>
      </c>
      <c r="E13" s="8" t="n"/>
      <c r="F13" s="8" t="n"/>
      <c r="G13" s="24" t="n"/>
      <c r="H13" s="243" t="n"/>
      <c r="I13" s="250" t="n"/>
      <c r="J13" s="16" t="n"/>
      <c r="K13" s="16" t="n"/>
      <c r="L13" s="16" t="n"/>
      <c r="M13" s="16" t="n"/>
      <c r="N13" s="16" t="n"/>
      <c r="O13" s="16" t="n"/>
      <c r="P13" s="16" t="n"/>
      <c r="Q13" s="16" t="n"/>
    </row>
    <row r="14">
      <c r="A14" s="242" t="inlineStr">
        <is>
          <t>RL-HWS5-ZEB1</t>
        </is>
      </c>
      <c r="B14" s="24" t="inlineStr">
        <is>
          <t>ZEB</t>
        </is>
      </c>
      <c r="C14" s="4" t="inlineStr">
        <is>
          <t>HAND WEIGH STATION 5 ZEBRA PRINTER</t>
        </is>
      </c>
      <c r="D14" s="8" t="inlineStr">
        <is>
          <t>DRY BATCH</t>
        </is>
      </c>
      <c r="E14" s="8" t="n"/>
      <c r="F14" s="8" t="n"/>
      <c r="G14" s="24" t="n"/>
      <c r="H14" s="243" t="n"/>
      <c r="I14" s="250" t="n"/>
      <c r="J14" s="16" t="n"/>
      <c r="K14" s="16" t="n"/>
      <c r="L14" s="16" t="n"/>
      <c r="M14" s="16" t="n"/>
      <c r="N14" s="16" t="n"/>
      <c r="O14" s="16" t="n"/>
      <c r="P14" s="16" t="n"/>
      <c r="Q14" s="16" t="n"/>
    </row>
    <row r="15">
      <c r="A15" s="242" t="inlineStr">
        <is>
          <t>RL-HWS5-FSCL1</t>
        </is>
      </c>
      <c r="B15" s="24" t="inlineStr">
        <is>
          <t>FSCL</t>
        </is>
      </c>
      <c r="C15" s="4" t="inlineStr">
        <is>
          <t>HAND WEIGH STATION 5 FLOOR SCALE</t>
        </is>
      </c>
      <c r="D15" s="8" t="inlineStr">
        <is>
          <t>DRY BATCH</t>
        </is>
      </c>
      <c r="E15" s="8" t="n"/>
      <c r="F15" s="8" t="n"/>
      <c r="G15" s="24" t="n"/>
      <c r="H15" s="243" t="n"/>
      <c r="I15" s="250" t="n"/>
      <c r="J15" s="16" t="n"/>
      <c r="K15" s="16" t="n"/>
      <c r="L15" s="16" t="n"/>
      <c r="M15" s="16" t="n"/>
      <c r="N15" s="16" t="n"/>
      <c r="O15" s="16" t="n"/>
      <c r="P15" s="16" t="n"/>
      <c r="Q15" s="16" t="n"/>
    </row>
    <row r="16">
      <c r="A16" s="242" t="inlineStr">
        <is>
          <t>RL-HWS5-TSCL1</t>
        </is>
      </c>
      <c r="B16" s="24" t="inlineStr">
        <is>
          <t>TSCL</t>
        </is>
      </c>
      <c r="C16" s="4" t="inlineStr">
        <is>
          <t>HAND WEIGH STATION 5 TABLE SCALE 1</t>
        </is>
      </c>
      <c r="D16" s="8" t="inlineStr">
        <is>
          <t>DRY BATCH</t>
        </is>
      </c>
      <c r="E16" s="8" t="n"/>
      <c r="F16" s="8" t="n"/>
      <c r="G16" s="24" t="n"/>
      <c r="H16" s="243" t="n"/>
      <c r="I16" s="250" t="n"/>
      <c r="J16" s="16" t="n"/>
      <c r="K16" s="16" t="n"/>
      <c r="L16" s="16" t="n"/>
      <c r="M16" s="16" t="n"/>
      <c r="N16" s="16" t="n"/>
      <c r="O16" s="16" t="n"/>
      <c r="P16" s="16" t="n"/>
      <c r="Q16" s="16" t="n"/>
    </row>
    <row r="17">
      <c r="A17" s="242" t="inlineStr">
        <is>
          <t>RL-HWS5-TSCL2</t>
        </is>
      </c>
      <c r="B17" s="24" t="inlineStr">
        <is>
          <t>TSCL</t>
        </is>
      </c>
      <c r="C17" s="4" t="inlineStr">
        <is>
          <t>HAND WEIGH STATION 5 TABLE SCALE 2</t>
        </is>
      </c>
      <c r="D17" s="8" t="inlineStr">
        <is>
          <t>DRY BATCH</t>
        </is>
      </c>
      <c r="E17" s="8" t="n"/>
      <c r="F17" s="8" t="n"/>
      <c r="G17" s="24" t="n"/>
      <c r="H17" s="243" t="n"/>
      <c r="I17" s="250" t="n"/>
      <c r="J17" s="16" t="n"/>
      <c r="K17" s="16" t="n"/>
      <c r="L17" s="16" t="n"/>
      <c r="M17" s="16" t="n"/>
      <c r="N17" s="16" t="n"/>
      <c r="O17" s="16" t="n"/>
      <c r="P17" s="16" t="n"/>
      <c r="Q17" s="16" t="n"/>
    </row>
    <row r="18">
      <c r="A18" s="242" t="inlineStr">
        <is>
          <t>RL-HWS6-CP1</t>
        </is>
      </c>
      <c r="B18" s="24" t="inlineStr">
        <is>
          <t>CP</t>
        </is>
      </c>
      <c r="C18" s="4" t="inlineStr">
        <is>
          <t>HAND WEIGH STATION 6 CONTROL PANEL</t>
        </is>
      </c>
      <c r="D18" s="8" t="inlineStr">
        <is>
          <t>DRY BATCH</t>
        </is>
      </c>
      <c r="E18" s="8" t="inlineStr">
        <is>
          <t>WALL</t>
        </is>
      </c>
      <c r="F18" s="8" t="n"/>
      <c r="G18" s="8" t="n"/>
      <c r="H18" s="243" t="n"/>
      <c r="I18" s="250" t="n"/>
      <c r="J18" s="16" t="n"/>
      <c r="K18" s="16" t="n"/>
      <c r="L18" s="16" t="n"/>
      <c r="M18" s="16" t="n"/>
      <c r="N18" s="16" t="n"/>
      <c r="O18" s="16" t="n"/>
      <c r="P18" s="16" t="n"/>
      <c r="Q18" s="16" t="n"/>
    </row>
    <row r="19">
      <c r="A19" s="242" t="inlineStr">
        <is>
          <t>RL-HWS6-HMI1</t>
        </is>
      </c>
      <c r="B19" s="24" t="inlineStr">
        <is>
          <t>HMI</t>
        </is>
      </c>
      <c r="C19" s="4" t="inlineStr">
        <is>
          <t>HAND WEIGH STATION 6 HMI</t>
        </is>
      </c>
      <c r="D19" s="8" t="inlineStr">
        <is>
          <t>DRY BATCH</t>
        </is>
      </c>
      <c r="E19" s="8" t="inlineStr">
        <is>
          <t>POST</t>
        </is>
      </c>
      <c r="F19" s="8" t="n"/>
      <c r="G19" s="8" t="n"/>
      <c r="H19" s="243" t="inlineStr">
        <is>
          <t>POST INCLUDED W/ 4XXTREME ENCLOSURE</t>
        </is>
      </c>
      <c r="I19" s="250" t="n"/>
      <c r="J19" s="16" t="n"/>
      <c r="K19" s="16" t="n"/>
      <c r="L19" s="16" t="n"/>
      <c r="M19" s="16" t="n"/>
      <c r="N19" s="16" t="n"/>
      <c r="O19" s="16" t="n"/>
      <c r="P19" s="16" t="n"/>
      <c r="Q19" s="16" t="n"/>
    </row>
    <row r="20">
      <c r="A20" s="242" t="inlineStr">
        <is>
          <t>RL-HWS6-QR1</t>
        </is>
      </c>
      <c r="B20" s="24" t="inlineStr">
        <is>
          <t>QR</t>
        </is>
      </c>
      <c r="C20" s="4" t="inlineStr">
        <is>
          <t>HAND WEIGH STATION 6 QR SCANNER</t>
        </is>
      </c>
      <c r="D20" s="8" t="inlineStr">
        <is>
          <t>DRY BATCH</t>
        </is>
      </c>
      <c r="E20" s="8" t="n"/>
      <c r="F20" s="8" t="n"/>
      <c r="G20" s="24" t="n"/>
      <c r="H20" s="243" t="n"/>
      <c r="I20" s="250" t="n"/>
      <c r="J20" s="16" t="n"/>
      <c r="K20" s="16" t="n"/>
      <c r="L20" s="16" t="n"/>
      <c r="M20" s="16" t="n"/>
      <c r="N20" s="16" t="n"/>
      <c r="O20" s="16" t="n"/>
      <c r="P20" s="16" t="n"/>
      <c r="Q20" s="16" t="n"/>
    </row>
    <row r="21">
      <c r="A21" s="242" t="inlineStr">
        <is>
          <t>RL-HWS6-SCN1</t>
        </is>
      </c>
      <c r="B21" s="24" t="inlineStr">
        <is>
          <t>SCN</t>
        </is>
      </c>
      <c r="C21" s="4" t="inlineStr">
        <is>
          <t>HAND WEIGH STATION 6 BARCODE SCANNER</t>
        </is>
      </c>
      <c r="D21" s="8" t="inlineStr">
        <is>
          <t>DRY BATCH</t>
        </is>
      </c>
      <c r="E21" s="8" t="n"/>
      <c r="F21" s="8" t="n"/>
      <c r="G21" s="24" t="n"/>
      <c r="H21" s="243" t="n"/>
      <c r="I21" s="250" t="n"/>
      <c r="J21" s="16" t="n"/>
      <c r="K21" s="16" t="n"/>
      <c r="L21" s="16" t="n"/>
      <c r="M21" s="16" t="n"/>
      <c r="N21" s="16" t="n"/>
      <c r="O21" s="16" t="n"/>
      <c r="P21" s="16" t="n"/>
      <c r="Q21" s="16" t="n"/>
    </row>
    <row r="22">
      <c r="A22" s="242" t="inlineStr">
        <is>
          <t>RL-HWS6-ZEB1</t>
        </is>
      </c>
      <c r="B22" s="24" t="inlineStr">
        <is>
          <t>ZEB</t>
        </is>
      </c>
      <c r="C22" s="4" t="inlineStr">
        <is>
          <t>HAND WEIGH STATION 6 ZEBRA PRINTER</t>
        </is>
      </c>
      <c r="D22" s="8" t="inlineStr">
        <is>
          <t>DRY BATCH</t>
        </is>
      </c>
      <c r="E22" s="8" t="n"/>
      <c r="F22" s="8" t="n"/>
      <c r="G22" s="24" t="n"/>
      <c r="H22" s="243" t="n"/>
      <c r="I22" s="250" t="n"/>
      <c r="J22" s="16" t="n"/>
      <c r="K22" s="16" t="n"/>
      <c r="L22" s="16" t="n"/>
      <c r="M22" s="16" t="n"/>
      <c r="N22" s="16" t="n"/>
      <c r="O22" s="16" t="n"/>
      <c r="P22" s="16" t="n"/>
      <c r="Q22" s="16" t="n"/>
    </row>
    <row r="23">
      <c r="A23" s="242" t="inlineStr">
        <is>
          <t>RL-HWS6-FSCL1</t>
        </is>
      </c>
      <c r="B23" s="24" t="inlineStr">
        <is>
          <t>FSCL</t>
        </is>
      </c>
      <c r="C23" s="4" t="inlineStr">
        <is>
          <t>HAND WEIGH STATION 6 FLOOR SCALE</t>
        </is>
      </c>
      <c r="D23" s="8" t="inlineStr">
        <is>
          <t>DRY BATCH</t>
        </is>
      </c>
      <c r="E23" s="8" t="n"/>
      <c r="F23" s="8" t="n"/>
      <c r="G23" s="24" t="n"/>
      <c r="H23" s="243" t="n"/>
      <c r="I23" s="250" t="n"/>
      <c r="J23" s="16" t="n"/>
      <c r="K23" s="16" t="n"/>
      <c r="L23" s="16" t="n"/>
      <c r="M23" s="16" t="n"/>
      <c r="N23" s="16" t="n"/>
      <c r="O23" s="16" t="n"/>
      <c r="P23" s="16" t="n"/>
      <c r="Q23" s="16" t="n"/>
    </row>
    <row r="24">
      <c r="A24" s="242" t="inlineStr">
        <is>
          <t>RL-HWS6-TSCL1</t>
        </is>
      </c>
      <c r="B24" s="24" t="inlineStr">
        <is>
          <t>TSCL</t>
        </is>
      </c>
      <c r="C24" s="4" t="inlineStr">
        <is>
          <t>HAND WEIGH STATION 6 TABLE SCALE 1</t>
        </is>
      </c>
      <c r="D24" s="8" t="inlineStr">
        <is>
          <t>DRY BATCH</t>
        </is>
      </c>
      <c r="E24" s="8" t="n"/>
      <c r="F24" s="8" t="n"/>
      <c r="G24" s="24" t="n"/>
      <c r="H24" s="243" t="n"/>
      <c r="I24" s="250" t="n"/>
      <c r="J24" s="16" t="n"/>
      <c r="K24" s="16" t="n"/>
      <c r="L24" s="16" t="n"/>
      <c r="M24" s="16" t="n"/>
      <c r="N24" s="16" t="n"/>
      <c r="O24" s="16" t="n"/>
      <c r="P24" s="16" t="n"/>
      <c r="Q24" s="16" t="n"/>
    </row>
    <row r="25">
      <c r="A25" s="242" t="inlineStr">
        <is>
          <t>RL-HWS6-TSCL2</t>
        </is>
      </c>
      <c r="B25" s="24" t="inlineStr">
        <is>
          <t>TSCL</t>
        </is>
      </c>
      <c r="C25" s="4" t="inlineStr">
        <is>
          <t>HAND WEIGH STATION 6 TABLE SCALE 2</t>
        </is>
      </c>
      <c r="D25" s="8" t="inlineStr">
        <is>
          <t>DRY BATCH</t>
        </is>
      </c>
      <c r="E25" s="8" t="n"/>
      <c r="F25" s="8" t="n"/>
      <c r="G25" s="24" t="n"/>
      <c r="H25" s="243" t="n"/>
      <c r="I25" s="250" t="n"/>
      <c r="J25" s="16" t="n"/>
      <c r="K25" s="16" t="n"/>
      <c r="L25" s="16" t="n"/>
      <c r="M25" s="16" t="n"/>
      <c r="N25" s="16" t="n"/>
      <c r="O25" s="16" t="n"/>
      <c r="P25" s="16" t="n"/>
      <c r="Q25" s="16" t="n"/>
    </row>
    <row r="26" customFormat="1" s="7">
      <c r="A26" s="242" t="inlineStr">
        <is>
          <t>RL-LWS-HMI2</t>
        </is>
      </c>
      <c r="B26" s="24" t="inlineStr">
        <is>
          <t>HMI</t>
        </is>
      </c>
      <c r="C26" s="62" t="inlineStr">
        <is>
          <t>LIQUID WEIGH STATION HMI 2</t>
        </is>
      </c>
      <c r="D26" s="8" t="inlineStr">
        <is>
          <t>DRY BATCH</t>
        </is>
      </c>
      <c r="E26" s="29" t="n"/>
      <c r="F26" s="29" t="n"/>
      <c r="G26" s="24" t="n"/>
      <c r="H26" s="244" t="n"/>
      <c r="I26" s="251" t="n"/>
      <c r="J26" s="240" t="n"/>
      <c r="K26" s="240" t="n"/>
      <c r="L26" s="240" t="n"/>
      <c r="M26" s="240" t="n"/>
      <c r="N26" s="240" t="n"/>
      <c r="O26" s="240" t="n"/>
      <c r="P26" s="240" t="n"/>
      <c r="Q26" s="240" t="n"/>
    </row>
    <row r="27" customFormat="1" s="7">
      <c r="A27" s="242" t="n"/>
      <c r="B27" s="24" t="n"/>
      <c r="C27" s="62" t="n"/>
      <c r="D27" s="29" t="n"/>
      <c r="E27" s="29" t="n"/>
      <c r="F27" s="29" t="n"/>
      <c r="G27" s="24" t="n"/>
      <c r="H27" s="244" t="n"/>
      <c r="I27" s="252" t="n"/>
      <c r="J27" s="241" t="n"/>
      <c r="K27" s="241" t="n"/>
      <c r="L27" s="241" t="n"/>
      <c r="M27" s="241" t="n"/>
      <c r="N27" s="241" t="n"/>
      <c r="O27" s="241" t="n"/>
      <c r="P27" s="241" t="n"/>
      <c r="Q27" s="241" t="n"/>
    </row>
    <row r="28">
      <c r="A28" s="242" t="inlineStr">
        <is>
          <t>RL7-BINA-RIO1</t>
        </is>
      </c>
      <c r="B28" s="24" t="inlineStr">
        <is>
          <t>RIO</t>
        </is>
      </c>
      <c r="C28" s="4" t="inlineStr">
        <is>
          <t>SURGE BINS 1 &amp; 2 RIO</t>
        </is>
      </c>
      <c r="D28" s="8" t="inlineStr">
        <is>
          <t>GRINDING AND COOKING</t>
        </is>
      </c>
      <c r="E28" s="8" t="inlineStr">
        <is>
          <t>PLATFORM</t>
        </is>
      </c>
      <c r="F28" s="8" t="inlineStr">
        <is>
          <t>LINE 7</t>
        </is>
      </c>
      <c r="G28" s="8" t="n"/>
      <c r="H28" s="243" t="n"/>
      <c r="I28" s="250" t="n"/>
      <c r="J28" s="16" t="n"/>
      <c r="K28" s="16" t="n"/>
      <c r="L28" s="16" t="n"/>
      <c r="M28" s="16" t="n"/>
      <c r="N28" s="16" t="n"/>
      <c r="O28" s="16" t="n"/>
      <c r="P28" s="16" t="n"/>
      <c r="Q28" s="16" t="n"/>
    </row>
    <row r="29">
      <c r="A29" s="242" t="inlineStr">
        <is>
          <t>RL7-BINB-RIO1</t>
        </is>
      </c>
      <c r="B29" s="24" t="inlineStr">
        <is>
          <t>RIO</t>
        </is>
      </c>
      <c r="C29" s="4" t="inlineStr">
        <is>
          <t>SURGE BINS 3 &amp; 4 RIO</t>
        </is>
      </c>
      <c r="D29" s="8" t="inlineStr">
        <is>
          <t>GRINDING AND COOKING</t>
        </is>
      </c>
      <c r="E29" s="8" t="inlineStr">
        <is>
          <t>PLATFORM</t>
        </is>
      </c>
      <c r="F29" s="8" t="inlineStr">
        <is>
          <t>LINE 7</t>
        </is>
      </c>
      <c r="G29" s="8" t="n"/>
      <c r="H29" s="243" t="n"/>
      <c r="I29" s="250" t="n"/>
      <c r="J29" s="16" t="n"/>
      <c r="K29" s="16" t="n"/>
      <c r="L29" s="16" t="n"/>
      <c r="M29" s="16" t="n"/>
      <c r="N29" s="16" t="n"/>
      <c r="O29" s="16" t="n"/>
      <c r="P29" s="16" t="n"/>
      <c r="Q29" s="16" t="n"/>
    </row>
    <row r="30">
      <c r="A30" s="242" t="inlineStr">
        <is>
          <t>RL7-BINS-HMI1</t>
        </is>
      </c>
      <c r="B30" s="24" t="inlineStr">
        <is>
          <t>HMI</t>
        </is>
      </c>
      <c r="C30" s="4" t="inlineStr">
        <is>
          <t>SURGE BINS PLATFORM HMI</t>
        </is>
      </c>
      <c r="D30" s="8" t="inlineStr">
        <is>
          <t>GRINDING AND COOKING</t>
        </is>
      </c>
      <c r="E30" s="8" t="inlineStr">
        <is>
          <t>PLATFORM</t>
        </is>
      </c>
      <c r="F30" s="8" t="inlineStr">
        <is>
          <t>LINE 7</t>
        </is>
      </c>
      <c r="G30" s="8" t="n"/>
      <c r="H30" s="243" t="inlineStr">
        <is>
          <t>UPDATED TAG - PBK-HMI2 -&gt; BINS-HMI1</t>
        </is>
      </c>
      <c r="I30" s="250" t="n"/>
      <c r="J30" s="16" t="n"/>
      <c r="K30" s="16" t="n"/>
      <c r="L30" s="16" t="n"/>
      <c r="M30" s="16" t="n"/>
      <c r="N30" s="16" t="n"/>
      <c r="O30" s="16" t="n"/>
      <c r="P30" s="16" t="n"/>
      <c r="Q30" s="16" t="n"/>
    </row>
    <row r="31">
      <c r="A31" s="242" t="inlineStr">
        <is>
          <t>RL7-BINS-RIO1</t>
        </is>
      </c>
      <c r="B31" s="24" t="inlineStr">
        <is>
          <t>RIO</t>
        </is>
      </c>
      <c r="C31" s="4" t="inlineStr">
        <is>
          <t>SURGE BIN SUPPLY CONVEYOR RIO</t>
        </is>
      </c>
      <c r="D31" s="8" t="inlineStr">
        <is>
          <t>GRINDING AND COOKING</t>
        </is>
      </c>
      <c r="E31" s="8" t="inlineStr">
        <is>
          <t>EQUIPMENT</t>
        </is>
      </c>
      <c r="F31" s="8" t="inlineStr">
        <is>
          <t>LINE 7</t>
        </is>
      </c>
      <c r="G31" s="8" t="n"/>
      <c r="H31" s="243" t="inlineStr">
        <is>
          <t>NEW</t>
        </is>
      </c>
      <c r="I31" s="250" t="n"/>
      <c r="J31" s="16" t="n"/>
      <c r="K31" s="16" t="n"/>
      <c r="L31" s="16" t="n"/>
      <c r="M31" s="16" t="n"/>
      <c r="N31" s="16" t="n"/>
      <c r="O31" s="16" t="n"/>
      <c r="P31" s="16" t="n"/>
      <c r="Q31" s="16" t="n"/>
    </row>
    <row r="32">
      <c r="A32" s="242" t="inlineStr">
        <is>
          <t>RL7-BRED-RIO1</t>
        </is>
      </c>
      <c r="B32" s="24" t="inlineStr">
        <is>
          <t>RIO</t>
        </is>
      </c>
      <c r="C32" s="4" t="inlineStr">
        <is>
          <t>BREDDO MIXER RIO</t>
        </is>
      </c>
      <c r="D32" s="8" t="inlineStr">
        <is>
          <t>GRINDING AND COOKING</t>
        </is>
      </c>
      <c r="E32" s="8" t="inlineStr">
        <is>
          <t>PLATFORM</t>
        </is>
      </c>
      <c r="F32" s="8" t="inlineStr">
        <is>
          <t>LINE 7</t>
        </is>
      </c>
      <c r="G32" s="8" t="n"/>
      <c r="H32" s="243" t="n"/>
      <c r="I32" s="250" t="n"/>
      <c r="J32" s="16" t="n"/>
      <c r="K32" s="16" t="n"/>
      <c r="L32" s="16" t="n"/>
      <c r="M32" s="16" t="n"/>
      <c r="N32" s="16" t="n"/>
      <c r="O32" s="16" t="n"/>
      <c r="P32" s="16" t="n"/>
      <c r="Q32" s="16" t="n"/>
    </row>
    <row r="33">
      <c r="A33" s="242" t="inlineStr">
        <is>
          <t>RL7-BRED-HMI1</t>
        </is>
      </c>
      <c r="B33" s="24" t="inlineStr">
        <is>
          <t>HMI</t>
        </is>
      </c>
      <c r="C33" s="4" t="inlineStr">
        <is>
          <t>BREDDO MIXER HMI</t>
        </is>
      </c>
      <c r="D33" s="8" t="inlineStr">
        <is>
          <t>GRINDING AND COOKING</t>
        </is>
      </c>
      <c r="E33" s="8" t="inlineStr">
        <is>
          <t>PLATFORM</t>
        </is>
      </c>
      <c r="F33" s="8" t="inlineStr">
        <is>
          <t>LINE 7</t>
        </is>
      </c>
      <c r="G33" s="8" t="n"/>
      <c r="H33" s="243" t="n"/>
      <c r="I33" s="250" t="n"/>
      <c r="J33" s="16" t="n"/>
      <c r="K33" s="16" t="n"/>
      <c r="L33" s="16" t="n"/>
      <c r="M33" s="16" t="n"/>
      <c r="N33" s="16" t="n"/>
      <c r="O33" s="16" t="n"/>
      <c r="P33" s="16" t="n"/>
      <c r="Q33" s="16" t="n"/>
    </row>
    <row r="34">
      <c r="A34" s="242" t="inlineStr">
        <is>
          <t>RL7-BRED-QR1</t>
        </is>
      </c>
      <c r="B34" s="24" t="inlineStr">
        <is>
          <t>QR</t>
        </is>
      </c>
      <c r="C34" s="4" t="inlineStr">
        <is>
          <t>BREDDO MIXER PLATFORM QR SCANNER</t>
        </is>
      </c>
      <c r="D34" s="8" t="inlineStr">
        <is>
          <t>GRINDING AND COOKING</t>
        </is>
      </c>
      <c r="E34" s="8" t="inlineStr">
        <is>
          <t>PLATFORM</t>
        </is>
      </c>
      <c r="F34" s="8" t="inlineStr">
        <is>
          <t>LINE 7</t>
        </is>
      </c>
      <c r="G34" s="8" t="n"/>
      <c r="H34" s="243" t="n"/>
      <c r="I34" s="250" t="n"/>
      <c r="J34" s="16" t="n"/>
      <c r="K34" s="16" t="n"/>
      <c r="L34" s="16" t="n"/>
      <c r="M34" s="16" t="n"/>
      <c r="N34" s="16" t="n"/>
      <c r="O34" s="16" t="n"/>
      <c r="P34" s="16" t="n"/>
      <c r="Q34" s="16" t="n"/>
    </row>
    <row r="35">
      <c r="A35" s="242" t="inlineStr">
        <is>
          <t>RL7-BRED-QR2</t>
        </is>
      </c>
      <c r="B35" s="24" t="inlineStr">
        <is>
          <t>QR</t>
        </is>
      </c>
      <c r="C35" s="4" t="inlineStr">
        <is>
          <t>BREDDO DUMPER QR SCANNER</t>
        </is>
      </c>
      <c r="D35" s="8" t="inlineStr">
        <is>
          <t>GRINDING AND COOKING</t>
        </is>
      </c>
      <c r="E35" s="8" t="inlineStr">
        <is>
          <t>PLATFORM</t>
        </is>
      </c>
      <c r="F35" s="8" t="inlineStr">
        <is>
          <t>LINE 7</t>
        </is>
      </c>
      <c r="G35" s="8" t="n"/>
      <c r="H35" s="243" t="n"/>
      <c r="I35" s="250" t="n"/>
      <c r="J35" s="16" t="n"/>
      <c r="K35" s="16" t="n"/>
      <c r="L35" s="16" t="n"/>
      <c r="M35" s="16" t="n"/>
      <c r="N35" s="16" t="n"/>
      <c r="O35" s="16" t="n"/>
      <c r="P35" s="16" t="n"/>
      <c r="Q35" s="16" t="n"/>
    </row>
    <row r="36">
      <c r="A36" s="242" t="inlineStr">
        <is>
          <t>RL7-CIP-HMI1</t>
        </is>
      </c>
      <c r="B36" s="24" t="inlineStr">
        <is>
          <t>HMI</t>
        </is>
      </c>
      <c r="C36" s="4" t="inlineStr">
        <is>
          <t>CIP SKID HMI</t>
        </is>
      </c>
      <c r="D36" s="8" t="inlineStr">
        <is>
          <t>CIP</t>
        </is>
      </c>
      <c r="E36" s="8" t="inlineStr">
        <is>
          <t>WALL</t>
        </is>
      </c>
      <c r="F36" s="8" t="inlineStr">
        <is>
          <t>LINE 7</t>
        </is>
      </c>
      <c r="G36" s="8" t="n"/>
      <c r="H36" s="243" t="n"/>
      <c r="I36" s="250" t="n"/>
      <c r="J36" s="16" t="n"/>
      <c r="K36" s="16" t="n"/>
      <c r="L36" s="16" t="n"/>
      <c r="M36" s="16" t="n"/>
      <c r="N36" s="16" t="n"/>
      <c r="O36" s="16" t="n"/>
      <c r="P36" s="16" t="n"/>
      <c r="Q36" s="16" t="n"/>
    </row>
    <row r="37">
      <c r="A37" s="242" t="inlineStr">
        <is>
          <t>RL7-CKR1-RIO1</t>
        </is>
      </c>
      <c r="B37" s="24" t="inlineStr">
        <is>
          <t>RIO</t>
        </is>
      </c>
      <c r="C37" s="4" t="inlineStr">
        <is>
          <t>COOKER 1 RIO</t>
        </is>
      </c>
      <c r="D37" s="8" t="inlineStr">
        <is>
          <t>GRINDING AND COOKING</t>
        </is>
      </c>
      <c r="E37" s="8" t="inlineStr">
        <is>
          <t>EQUIPMENT</t>
        </is>
      </c>
      <c r="F37" s="8" t="inlineStr">
        <is>
          <t>LINE 7</t>
        </is>
      </c>
      <c r="G37" s="8" t="n"/>
      <c r="H37" s="243" t="n"/>
      <c r="I37" s="250" t="n"/>
      <c r="J37" s="16" t="n"/>
      <c r="K37" s="16" t="n"/>
      <c r="L37" s="16" t="n"/>
      <c r="M37" s="16" t="n"/>
      <c r="N37" s="16" t="n"/>
      <c r="O37" s="16" t="n"/>
      <c r="P37" s="16" t="n"/>
      <c r="Q37" s="16" t="n"/>
    </row>
    <row r="38">
      <c r="A38" s="242" t="inlineStr">
        <is>
          <t>RL7-CKR1-HMI1</t>
        </is>
      </c>
      <c r="B38" s="24" t="inlineStr">
        <is>
          <t>HMI</t>
        </is>
      </c>
      <c r="C38" s="4" t="inlineStr">
        <is>
          <t>COOKER 1 HMI</t>
        </is>
      </c>
      <c r="D38" s="8" t="inlineStr">
        <is>
          <t>GRINDING AND COOKING</t>
        </is>
      </c>
      <c r="E38" s="8" t="inlineStr">
        <is>
          <t>PLATFORM</t>
        </is>
      </c>
      <c r="F38" s="8" t="inlineStr">
        <is>
          <t>LINE 7</t>
        </is>
      </c>
      <c r="G38" s="8" t="n"/>
      <c r="H38" s="243" t="n"/>
      <c r="I38" s="250" t="n"/>
      <c r="J38" s="16" t="n"/>
      <c r="K38" s="16" t="n"/>
      <c r="L38" s="16" t="n"/>
      <c r="M38" s="16" t="n"/>
      <c r="N38" s="16" t="n"/>
      <c r="O38" s="16" t="n"/>
      <c r="P38" s="16" t="n"/>
      <c r="Q38" s="16" t="n"/>
    </row>
    <row r="39">
      <c r="A39" s="242" t="inlineStr">
        <is>
          <t>RL7-CKR1-QR1</t>
        </is>
      </c>
      <c r="B39" s="24" t="inlineStr">
        <is>
          <t>QR</t>
        </is>
      </c>
      <c r="C39" s="4" t="inlineStr">
        <is>
          <t>COOKER 1 QR SCANNER</t>
        </is>
      </c>
      <c r="D39" s="8" t="inlineStr">
        <is>
          <t>GRINDING AND COOKING</t>
        </is>
      </c>
      <c r="E39" s="8" t="inlineStr">
        <is>
          <t>PLATFORM</t>
        </is>
      </c>
      <c r="F39" s="8" t="inlineStr">
        <is>
          <t>LINE 7</t>
        </is>
      </c>
      <c r="G39" s="8" t="n"/>
      <c r="H39" s="243" t="n"/>
      <c r="I39" s="250" t="n"/>
      <c r="J39" s="16" t="n"/>
      <c r="K39" s="16" t="n"/>
      <c r="L39" s="16" t="n"/>
      <c r="M39" s="16" t="n"/>
      <c r="N39" s="16" t="n"/>
      <c r="O39" s="16" t="n"/>
      <c r="P39" s="16" t="n"/>
      <c r="Q39" s="16" t="n"/>
    </row>
    <row r="40">
      <c r="A40" s="242" t="inlineStr">
        <is>
          <t>RL7-CKR2-RIO1</t>
        </is>
      </c>
      <c r="B40" s="24" t="inlineStr">
        <is>
          <t>RIO</t>
        </is>
      </c>
      <c r="C40" s="4" t="inlineStr">
        <is>
          <t>COOKER 2 RIO</t>
        </is>
      </c>
      <c r="D40" s="8" t="inlineStr">
        <is>
          <t>GRINDING AND COOKING</t>
        </is>
      </c>
      <c r="E40" s="8" t="inlineStr">
        <is>
          <t>EQUIPMENT</t>
        </is>
      </c>
      <c r="F40" s="8" t="inlineStr">
        <is>
          <t>LINE 7</t>
        </is>
      </c>
      <c r="G40" s="8" t="n"/>
      <c r="H40" s="243" t="n"/>
      <c r="I40" s="250" t="n"/>
      <c r="J40" s="16" t="n"/>
      <c r="K40" s="16" t="n"/>
      <c r="L40" s="16" t="n"/>
      <c r="M40" s="16" t="n"/>
      <c r="N40" s="16" t="n"/>
      <c r="O40" s="16" t="n"/>
      <c r="P40" s="16" t="n"/>
      <c r="Q40" s="16" t="n"/>
    </row>
    <row r="41">
      <c r="A41" s="242" t="inlineStr">
        <is>
          <t>RL7-CKR2-HMI1</t>
        </is>
      </c>
      <c r="B41" s="24" t="inlineStr">
        <is>
          <t>HMI</t>
        </is>
      </c>
      <c r="C41" s="4" t="inlineStr">
        <is>
          <t>COOKER 2 HMI</t>
        </is>
      </c>
      <c r="D41" s="8" t="inlineStr">
        <is>
          <t>GRINDING AND COOKING</t>
        </is>
      </c>
      <c r="E41" s="8" t="inlineStr">
        <is>
          <t>PLATFORM</t>
        </is>
      </c>
      <c r="F41" s="8" t="inlineStr">
        <is>
          <t>LINE 7</t>
        </is>
      </c>
      <c r="G41" s="8" t="n"/>
      <c r="H41" s="243" t="n"/>
      <c r="I41" s="250" t="n"/>
      <c r="J41" s="16" t="n"/>
      <c r="K41" s="16" t="n"/>
      <c r="L41" s="16" t="n"/>
      <c r="M41" s="16" t="n"/>
      <c r="N41" s="16" t="n"/>
      <c r="O41" s="16" t="n"/>
      <c r="P41" s="16" t="n"/>
      <c r="Q41" s="16" t="n"/>
    </row>
    <row r="42">
      <c r="A42" s="242" t="inlineStr">
        <is>
          <t>RL7-CKR2-QR1</t>
        </is>
      </c>
      <c r="B42" s="24" t="inlineStr">
        <is>
          <t>QR</t>
        </is>
      </c>
      <c r="C42" s="4" t="inlineStr">
        <is>
          <t>COOKER 2 QR SCANNER</t>
        </is>
      </c>
      <c r="D42" s="8" t="inlineStr">
        <is>
          <t>GRINDING AND COOKING</t>
        </is>
      </c>
      <c r="E42" s="8" t="inlineStr">
        <is>
          <t>PLATFORM</t>
        </is>
      </c>
      <c r="F42" s="8" t="inlineStr">
        <is>
          <t>LINE 7</t>
        </is>
      </c>
      <c r="G42" s="8" t="n"/>
      <c r="H42" s="243" t="n"/>
      <c r="I42" s="250" t="n"/>
      <c r="J42" s="16" t="n"/>
      <c r="K42" s="16" t="n"/>
      <c r="L42" s="16" t="n"/>
      <c r="M42" s="16" t="n"/>
      <c r="N42" s="16" t="n"/>
      <c r="O42" s="16" t="n"/>
      <c r="P42" s="16" t="n"/>
      <c r="Q42" s="16" t="n"/>
    </row>
    <row r="43">
      <c r="A43" s="242" t="inlineStr">
        <is>
          <t>RL7-DAGC1-RIO1</t>
        </is>
      </c>
      <c r="B43" s="24" t="inlineStr">
        <is>
          <t>RIO</t>
        </is>
      </c>
      <c r="C43" s="4" t="inlineStr">
        <is>
          <t>DISCHARGE AUGER CART</t>
        </is>
      </c>
      <c r="D43" s="8" t="inlineStr">
        <is>
          <t>FILLING AND CHILLING</t>
        </is>
      </c>
      <c r="E43" s="8" t="inlineStr">
        <is>
          <t>EQUIPMENT</t>
        </is>
      </c>
      <c r="F43" s="8" t="inlineStr">
        <is>
          <t>LINE 7</t>
        </is>
      </c>
      <c r="G43" s="8" t="n"/>
      <c r="H43" s="243" t="n"/>
      <c r="I43" s="250" t="n"/>
      <c r="J43" s="16" t="n"/>
      <c r="K43" s="16" t="n"/>
      <c r="L43" s="16" t="n"/>
      <c r="M43" s="16" t="n"/>
      <c r="N43" s="16" t="n"/>
      <c r="O43" s="16" t="n"/>
      <c r="P43" s="16" t="n"/>
      <c r="Q43" s="16" t="n"/>
    </row>
    <row r="44">
      <c r="A44" s="242" t="inlineStr">
        <is>
          <t>RL7-FAGC1-RIO1</t>
        </is>
      </c>
      <c r="B44" s="24" t="inlineStr">
        <is>
          <t>RIO</t>
        </is>
      </c>
      <c r="C44" s="4" t="inlineStr">
        <is>
          <t>FRESH AUGER CART 1 RIO</t>
        </is>
      </c>
      <c r="D44" s="8" t="inlineStr">
        <is>
          <t>GRINDING AND COOKING</t>
        </is>
      </c>
      <c r="E44" s="8" t="inlineStr">
        <is>
          <t>EQUIPMENT</t>
        </is>
      </c>
      <c r="F44" s="8" t="inlineStr">
        <is>
          <t>LINE 7</t>
        </is>
      </c>
      <c r="G44" s="8" t="n"/>
      <c r="H44" s="243" t="n"/>
      <c r="I44" s="250" t="n"/>
      <c r="J44" s="16" t="n"/>
      <c r="K44" s="16" t="n"/>
      <c r="L44" s="16" t="n"/>
      <c r="M44" s="16" t="n"/>
      <c r="N44" s="16" t="n"/>
      <c r="O44" s="16" t="n"/>
      <c r="P44" s="16" t="n"/>
      <c r="Q44" s="16" t="n"/>
    </row>
    <row r="45">
      <c r="A45" s="242" t="inlineStr">
        <is>
          <t>RL7-FAGC2-RIO1</t>
        </is>
      </c>
      <c r="B45" s="24" t="inlineStr">
        <is>
          <t>RIO</t>
        </is>
      </c>
      <c r="C45" s="4" t="inlineStr">
        <is>
          <t>FRESH AUGER CART 2 RIO</t>
        </is>
      </c>
      <c r="D45" s="8" t="inlineStr">
        <is>
          <t>GRINDING AND COOKING</t>
        </is>
      </c>
      <c r="E45" s="8" t="inlineStr">
        <is>
          <t>EQUIPMENT</t>
        </is>
      </c>
      <c r="F45" s="8" t="inlineStr">
        <is>
          <t>LINE 7</t>
        </is>
      </c>
      <c r="G45" s="8" t="n"/>
      <c r="H45" s="243" t="n"/>
      <c r="I45" s="250" t="n"/>
      <c r="J45" s="16" t="n"/>
      <c r="K45" s="16" t="n"/>
      <c r="L45" s="16" t="n"/>
      <c r="M45" s="16" t="n"/>
      <c r="N45" s="16" t="n"/>
      <c r="O45" s="16" t="n"/>
      <c r="P45" s="16" t="n"/>
      <c r="Q45" s="16" t="n"/>
    </row>
    <row r="46">
      <c r="A46" s="242" t="inlineStr">
        <is>
          <t>RL7-FAGC-HMI1</t>
        </is>
      </c>
      <c r="B46" s="24" t="inlineStr">
        <is>
          <t>HMI</t>
        </is>
      </c>
      <c r="C46" s="4" t="inlineStr">
        <is>
          <t>FRESH AUGER CARTS HMI</t>
        </is>
      </c>
      <c r="D46" s="8" t="inlineStr">
        <is>
          <t>GRINDING AND COOKING</t>
        </is>
      </c>
      <c r="E46" s="8" t="inlineStr">
        <is>
          <t>STAND</t>
        </is>
      </c>
      <c r="F46" s="8" t="inlineStr">
        <is>
          <t>LINE 7</t>
        </is>
      </c>
      <c r="G46" s="8" t="n"/>
      <c r="H46" s="243" t="n"/>
      <c r="I46" s="250" t="n"/>
      <c r="J46" s="16" t="n"/>
      <c r="K46" s="16" t="n"/>
      <c r="L46" s="16" t="n"/>
      <c r="M46" s="16" t="n"/>
      <c r="N46" s="16" t="n"/>
      <c r="O46" s="16" t="n"/>
      <c r="P46" s="16" t="n"/>
      <c r="Q46" s="16" t="n"/>
    </row>
    <row r="47">
      <c r="A47" s="242" t="inlineStr">
        <is>
          <t>RL7-FAGC-SCN1</t>
        </is>
      </c>
      <c r="B47" s="24" t="inlineStr">
        <is>
          <t>SCN</t>
        </is>
      </c>
      <c r="C47" s="4" t="inlineStr">
        <is>
          <t>FRESH AUGER CARTS BARCODE SCANNER</t>
        </is>
      </c>
      <c r="D47" s="8" t="inlineStr">
        <is>
          <t>GRINDING AND COOKING</t>
        </is>
      </c>
      <c r="E47" s="8" t="n"/>
      <c r="F47" s="8" t="inlineStr">
        <is>
          <t>LINE 7</t>
        </is>
      </c>
      <c r="G47" s="24" t="n"/>
      <c r="H47" s="243" t="n"/>
      <c r="I47" s="250" t="n"/>
      <c r="J47" s="16" t="n"/>
      <c r="K47" s="16" t="n"/>
      <c r="L47" s="16" t="n"/>
      <c r="M47" s="16" t="n"/>
      <c r="N47" s="16" t="n"/>
      <c r="O47" s="16" t="n"/>
      <c r="P47" s="16" t="n"/>
      <c r="Q47" s="16" t="n"/>
    </row>
    <row r="48">
      <c r="A48" s="242" t="inlineStr">
        <is>
          <t>RL7-INSTL-RIO1</t>
        </is>
      </c>
      <c r="B48" s="24" t="inlineStr">
        <is>
          <t>RIO</t>
        </is>
      </c>
      <c r="C48" s="4" t="inlineStr">
        <is>
          <t>INTERSTITIAL RIO - GRINDING &amp; COOKING</t>
        </is>
      </c>
      <c r="D48" s="8" t="inlineStr">
        <is>
          <t>RL7 PROCESS CORRIDOR</t>
        </is>
      </c>
      <c r="E48" s="8" t="inlineStr">
        <is>
          <t>WALL</t>
        </is>
      </c>
      <c r="F48" s="8" t="inlineStr">
        <is>
          <t>LINE 7</t>
        </is>
      </c>
      <c r="G48" s="8" t="n"/>
      <c r="H48" s="243" t="n"/>
      <c r="I48" s="250" t="n"/>
      <c r="J48" s="16" t="n"/>
      <c r="K48" s="16" t="n"/>
      <c r="L48" s="16" t="n"/>
      <c r="M48" s="16" t="n"/>
      <c r="N48" s="16" t="n"/>
      <c r="O48" s="16" t="n"/>
      <c r="P48" s="16" t="n"/>
      <c r="Q48" s="16" t="n"/>
    </row>
    <row r="49">
      <c r="A49" s="242" t="inlineStr">
        <is>
          <t>RL7-INSTL-RIO2</t>
        </is>
      </c>
      <c r="B49" s="24" t="inlineStr">
        <is>
          <t>RIO</t>
        </is>
      </c>
      <c r="C49" s="4" t="inlineStr">
        <is>
          <t>INTERSTITIAL RIO - CHILLING &amp; PACKAGING</t>
        </is>
      </c>
      <c r="D49" s="8" t="inlineStr">
        <is>
          <t>RL7 PROCESS CORRIDOR</t>
        </is>
      </c>
      <c r="E49" s="8" t="inlineStr">
        <is>
          <t>WALL</t>
        </is>
      </c>
      <c r="F49" s="8" t="inlineStr">
        <is>
          <t>LINE 7</t>
        </is>
      </c>
      <c r="G49" s="8" t="n"/>
      <c r="H49" s="243" t="n"/>
      <c r="I49" s="250" t="n"/>
      <c r="J49" s="16" t="n"/>
      <c r="K49" s="16" t="n"/>
      <c r="L49" s="16" t="n"/>
      <c r="M49" s="16" t="n"/>
      <c r="N49" s="16" t="n"/>
      <c r="O49" s="16" t="n"/>
      <c r="P49" s="16" t="n"/>
      <c r="Q49" s="16" t="n"/>
    </row>
    <row r="50">
      <c r="A50" s="242" t="inlineStr">
        <is>
          <t>RL7-IPA1-RIO1</t>
        </is>
      </c>
      <c r="B50" s="24" t="inlineStr">
        <is>
          <t>RIO</t>
        </is>
      </c>
      <c r="C50" s="4" t="inlineStr">
        <is>
          <t>INCLINE PIVOT AUGER 1 RIO</t>
        </is>
      </c>
      <c r="D50" s="8" t="inlineStr">
        <is>
          <t>GRINDING AND COOKING</t>
        </is>
      </c>
      <c r="E50" s="8" t="inlineStr">
        <is>
          <t>EQUIPMENT</t>
        </is>
      </c>
      <c r="F50" s="8" t="n"/>
      <c r="G50" s="8" t="n"/>
      <c r="H50" s="243" t="inlineStr">
        <is>
          <t>NEW</t>
        </is>
      </c>
      <c r="I50" s="250" t="n"/>
      <c r="J50" s="16" t="n"/>
      <c r="K50" s="16" t="n"/>
      <c r="L50" s="16" t="n"/>
      <c r="M50" s="16" t="n"/>
      <c r="N50" s="16" t="n"/>
      <c r="O50" s="16" t="n"/>
      <c r="P50" s="16" t="n"/>
      <c r="Q50" s="16" t="n"/>
    </row>
    <row r="51">
      <c r="A51" s="242" t="inlineStr">
        <is>
          <t>RL7-IPA2-RIO1</t>
        </is>
      </c>
      <c r="B51" s="24" t="inlineStr">
        <is>
          <t>RIO</t>
        </is>
      </c>
      <c r="C51" s="4" t="inlineStr">
        <is>
          <t>INCLINE PIVOT AUGER 2 RIO</t>
        </is>
      </c>
      <c r="D51" s="8" t="inlineStr">
        <is>
          <t>GRINDING AND COOKING</t>
        </is>
      </c>
      <c r="E51" s="8" t="inlineStr">
        <is>
          <t>EQUIPMENT</t>
        </is>
      </c>
      <c r="F51" s="8" t="n"/>
      <c r="G51" s="8" t="n"/>
      <c r="H51" s="243" t="inlineStr">
        <is>
          <t>NEW</t>
        </is>
      </c>
      <c r="I51" s="250" t="n"/>
      <c r="J51" s="16" t="n"/>
      <c r="K51" s="16" t="n"/>
      <c r="L51" s="16" t="n"/>
      <c r="M51" s="16" t="n"/>
      <c r="N51" s="16" t="n"/>
      <c r="O51" s="16" t="n"/>
      <c r="P51" s="16" t="n"/>
      <c r="Q51" s="16" t="n"/>
    </row>
    <row r="52">
      <c r="A52" s="242" t="inlineStr">
        <is>
          <t>RL7-LAS-HMI1</t>
        </is>
      </c>
      <c r="B52" s="24" t="inlineStr">
        <is>
          <t>HMI</t>
        </is>
      </c>
      <c r="C52" s="4" t="inlineStr">
        <is>
          <t>LACTIC ACID SKID HMI</t>
        </is>
      </c>
      <c r="D52" s="8" t="inlineStr">
        <is>
          <t>HEAT EXCHANGE / LACTIC ACID</t>
        </is>
      </c>
      <c r="E52" s="8" t="inlineStr">
        <is>
          <t>WALL</t>
        </is>
      </c>
      <c r="F52" s="8" t="inlineStr">
        <is>
          <t>LINE 7</t>
        </is>
      </c>
      <c r="G52" s="8" t="n"/>
      <c r="H52" s="243" t="n"/>
      <c r="I52" s="250" t="n"/>
      <c r="J52" s="16" t="n"/>
      <c r="K52" s="16" t="n"/>
      <c r="L52" s="16" t="n"/>
      <c r="M52" s="16" t="n"/>
      <c r="N52" s="16" t="n"/>
      <c r="O52" s="16" t="n"/>
      <c r="P52" s="16" t="n"/>
      <c r="Q52" s="16" t="n"/>
    </row>
    <row r="53">
      <c r="A53" s="242" t="inlineStr">
        <is>
          <t>RL7-LAS-SCN1</t>
        </is>
      </c>
      <c r="B53" s="24" t="inlineStr">
        <is>
          <t>SCN</t>
        </is>
      </c>
      <c r="C53" s="4" t="inlineStr">
        <is>
          <t>LACTIC ACID SKID BARCODE SCANNER</t>
        </is>
      </c>
      <c r="D53" s="8" t="inlineStr">
        <is>
          <t>HEAT EXCHANGE / LACTIC ACID</t>
        </is>
      </c>
      <c r="E53" s="8" t="n"/>
      <c r="F53" s="8" t="inlineStr">
        <is>
          <t>LINE 7</t>
        </is>
      </c>
      <c r="G53" s="24" t="inlineStr">
        <is>
          <t>RL7-LAS-HMI1_CB10051</t>
        </is>
      </c>
      <c r="H53" s="243" t="n"/>
      <c r="I53" s="250" t="n"/>
      <c r="J53" s="16" t="n"/>
      <c r="K53" s="16" t="n"/>
      <c r="L53" s="16" t="n"/>
      <c r="M53" s="16" t="n"/>
      <c r="N53" s="16" t="n"/>
      <c r="O53" s="16" t="n"/>
      <c r="P53" s="16" t="n"/>
      <c r="Q53" s="16" t="n"/>
    </row>
    <row r="54">
      <c r="A54" s="242" t="inlineStr">
        <is>
          <t>RL7-LAS-TSCL1</t>
        </is>
      </c>
      <c r="B54" s="24" t="inlineStr">
        <is>
          <t>TSCL</t>
        </is>
      </c>
      <c r="C54" s="4" t="inlineStr">
        <is>
          <t>LACTIC ACID SKID TABLE SCALE</t>
        </is>
      </c>
      <c r="D54" s="8" t="inlineStr">
        <is>
          <t>HEAT EXCHANGE / LACTIC ACID</t>
        </is>
      </c>
      <c r="E54" s="8" t="n"/>
      <c r="F54" s="8" t="inlineStr">
        <is>
          <t>LINE 7</t>
        </is>
      </c>
      <c r="G54" s="24" t="n"/>
      <c r="H54" s="243" t="n"/>
      <c r="I54" s="250" t="n"/>
      <c r="J54" s="16" t="n"/>
      <c r="K54" s="16" t="n"/>
      <c r="L54" s="16" t="n"/>
      <c r="M54" s="16" t="n"/>
      <c r="N54" s="16" t="n"/>
      <c r="O54" s="16" t="n"/>
      <c r="P54" s="16" t="n"/>
      <c r="Q54" s="16" t="n"/>
    </row>
    <row r="55">
      <c r="A55" s="242" t="inlineStr">
        <is>
          <t>RL7-LINE-HMI1</t>
        </is>
      </c>
      <c r="B55" s="24" t="inlineStr">
        <is>
          <t>HMI</t>
        </is>
      </c>
      <c r="C55" s="4" t="inlineStr">
        <is>
          <t>GRINDING AND COOKING AREA HMI'S</t>
        </is>
      </c>
      <c r="D55" s="8" t="inlineStr">
        <is>
          <t>GRINDING AND COOKING</t>
        </is>
      </c>
      <c r="E55" s="8" t="inlineStr">
        <is>
          <t>FLOOR MOUNTED</t>
        </is>
      </c>
      <c r="F55" s="8" t="inlineStr">
        <is>
          <t>LINE 7</t>
        </is>
      </c>
      <c r="G55" s="8" t="n"/>
      <c r="H55" s="243" t="n"/>
      <c r="I55" s="250" t="n"/>
      <c r="J55" s="16" t="n"/>
      <c r="K55" s="16" t="n"/>
      <c r="L55" s="16" t="n"/>
      <c r="M55" s="16" t="n"/>
      <c r="N55" s="16" t="n"/>
      <c r="O55" s="16" t="n"/>
      <c r="P55" s="16" t="n"/>
      <c r="Q55" s="16" t="n"/>
    </row>
    <row r="56">
      <c r="A56" s="242" t="inlineStr">
        <is>
          <t>RL7-LINE-PLC</t>
        </is>
      </c>
      <c r="B56" s="24" t="inlineStr">
        <is>
          <t>PLC</t>
        </is>
      </c>
      <c r="C56" s="4" t="inlineStr">
        <is>
          <t>MAIN PLC CABINET</t>
        </is>
      </c>
      <c r="D56" s="8" t="inlineStr">
        <is>
          <t>MDF ROOM</t>
        </is>
      </c>
      <c r="E56" s="8" t="inlineStr">
        <is>
          <t>RACK</t>
        </is>
      </c>
      <c r="F56" s="8" t="inlineStr">
        <is>
          <t>LINE 7</t>
        </is>
      </c>
      <c r="G56" s="8" t="n"/>
      <c r="H56" s="243" t="n"/>
      <c r="I56" s="250" t="n"/>
      <c r="J56" s="16" t="n"/>
      <c r="K56" s="16" t="n"/>
      <c r="L56" s="16" t="n"/>
      <c r="M56" s="16" t="n"/>
      <c r="N56" s="16" t="n"/>
      <c r="O56" s="16" t="n"/>
      <c r="P56" s="16" t="n"/>
      <c r="Q56" s="16" t="n"/>
    </row>
    <row r="57">
      <c r="A57" s="242" t="inlineStr">
        <is>
          <t>RL7-PRM-RIO1</t>
        </is>
      </c>
      <c r="B57" s="24" t="inlineStr">
        <is>
          <t>RIO</t>
        </is>
      </c>
      <c r="C57" s="4" t="inlineStr">
        <is>
          <t>PRE-MIXER RIO</t>
        </is>
      </c>
      <c r="D57" s="8" t="inlineStr">
        <is>
          <t>GRINDING AND COOKING</t>
        </is>
      </c>
      <c r="E57" s="8" t="inlineStr">
        <is>
          <t>EQUIPMENT</t>
        </is>
      </c>
      <c r="F57" s="8" t="inlineStr">
        <is>
          <t>LINE 7</t>
        </is>
      </c>
      <c r="G57" s="8" t="n"/>
      <c r="H57" s="243" t="inlineStr">
        <is>
          <t>UPDATED TAG - MISC -&gt; PRM</t>
        </is>
      </c>
      <c r="I57" s="250" t="n"/>
      <c r="J57" s="16" t="n"/>
      <c r="K57" s="16" t="n"/>
      <c r="L57" s="16" t="n"/>
      <c r="M57" s="16" t="n"/>
      <c r="N57" s="16" t="n"/>
      <c r="O57" s="16" t="n"/>
      <c r="P57" s="16" t="n"/>
      <c r="Q57" s="16" t="n"/>
    </row>
    <row r="58">
      <c r="A58" s="242" t="inlineStr">
        <is>
          <t>RL7-PRM-HMI1</t>
        </is>
      </c>
      <c r="B58" s="24" t="inlineStr">
        <is>
          <t>HMI</t>
        </is>
      </c>
      <c r="C58" s="4" t="inlineStr">
        <is>
          <t>PRE-MIXER HMI</t>
        </is>
      </c>
      <c r="D58" s="8" t="inlineStr">
        <is>
          <t>GRINDING AND COOKING</t>
        </is>
      </c>
      <c r="E58" s="8" t="inlineStr">
        <is>
          <t>PLATFORM</t>
        </is>
      </c>
      <c r="F58" s="8" t="inlineStr">
        <is>
          <t>LINE 7</t>
        </is>
      </c>
      <c r="G58" s="8" t="n"/>
      <c r="H58" s="243" t="n"/>
      <c r="I58" s="250" t="n"/>
      <c r="J58" s="16" t="n"/>
      <c r="K58" s="16" t="n"/>
      <c r="L58" s="16" t="n"/>
      <c r="M58" s="16" t="n"/>
      <c r="N58" s="16" t="n"/>
      <c r="O58" s="16" t="n"/>
      <c r="P58" s="16" t="n"/>
      <c r="Q58" s="16" t="n"/>
    </row>
    <row r="59">
      <c r="A59" s="242" t="inlineStr">
        <is>
          <t>RL7-PRM-QR1</t>
        </is>
      </c>
      <c r="B59" s="24" t="inlineStr">
        <is>
          <t>QR</t>
        </is>
      </c>
      <c r="C59" s="4" t="inlineStr">
        <is>
          <t>PRE-MIXER QR SCANNER</t>
        </is>
      </c>
      <c r="D59" s="8" t="inlineStr">
        <is>
          <t>GRINDING AND COOKING</t>
        </is>
      </c>
      <c r="E59" s="8" t="inlineStr">
        <is>
          <t>PLATFORM</t>
        </is>
      </c>
      <c r="F59" s="8" t="inlineStr">
        <is>
          <t>LINE 7</t>
        </is>
      </c>
      <c r="G59" s="24" t="inlineStr">
        <is>
          <t>RL7-PRM-HMI1_CB10051</t>
        </is>
      </c>
      <c r="H59" s="243" t="n"/>
      <c r="I59" s="250" t="n"/>
      <c r="J59" s="16" t="n"/>
      <c r="K59" s="16" t="n"/>
      <c r="L59" s="16" t="n"/>
      <c r="M59" s="16" t="n"/>
      <c r="N59" s="16" t="n"/>
      <c r="O59" s="16" t="n"/>
      <c r="P59" s="16" t="n"/>
      <c r="Q59" s="16" t="n"/>
    </row>
    <row r="60">
      <c r="A60" s="242" t="inlineStr">
        <is>
          <t>RL7-PBK-RIO1</t>
        </is>
      </c>
      <c r="B60" s="24" t="inlineStr">
        <is>
          <t>RIO</t>
        </is>
      </c>
      <c r="C60" s="4" t="inlineStr">
        <is>
          <t>FROZEN GRINDER RIO</t>
        </is>
      </c>
      <c r="D60" s="8" t="inlineStr">
        <is>
          <t>GRINDING AND COOKING</t>
        </is>
      </c>
      <c r="E60" s="8" t="inlineStr">
        <is>
          <t>PLATFORM</t>
        </is>
      </c>
      <c r="F60" s="8" t="inlineStr">
        <is>
          <t>LINE 7</t>
        </is>
      </c>
      <c r="G60" s="8" t="n"/>
      <c r="H60" s="243" t="n"/>
      <c r="I60" s="250" t="n"/>
      <c r="J60" s="16" t="n"/>
      <c r="K60" s="16" t="n"/>
      <c r="L60" s="16" t="n"/>
      <c r="M60" s="16" t="n"/>
      <c r="N60" s="16" t="n"/>
      <c r="O60" s="16" t="n"/>
      <c r="P60" s="16" t="n"/>
      <c r="Q60" s="16" t="n"/>
    </row>
    <row r="61">
      <c r="A61" s="242" t="inlineStr">
        <is>
          <t>RL7-PBK-HMI1</t>
        </is>
      </c>
      <c r="B61" s="24" t="inlineStr">
        <is>
          <t>HMI</t>
        </is>
      </c>
      <c r="C61" s="4" t="inlineStr">
        <is>
          <t>FROZEN GRINDER HMI</t>
        </is>
      </c>
      <c r="D61" s="8" t="inlineStr">
        <is>
          <t>GRINDING AND COOKING</t>
        </is>
      </c>
      <c r="E61" s="8" t="inlineStr">
        <is>
          <t>STAND</t>
        </is>
      </c>
      <c r="F61" s="8" t="inlineStr">
        <is>
          <t>LINE 7</t>
        </is>
      </c>
      <c r="G61" s="8" t="n"/>
      <c r="H61" s="243" t="n"/>
      <c r="I61" s="250" t="n"/>
      <c r="J61" s="16" t="n"/>
      <c r="K61" s="16" t="n"/>
      <c r="L61" s="16" t="n"/>
      <c r="M61" s="16" t="n"/>
      <c r="N61" s="16" t="n"/>
      <c r="O61" s="16" t="n"/>
      <c r="P61" s="16" t="n"/>
      <c r="Q61" s="16" t="n"/>
    </row>
    <row r="62">
      <c r="A62" s="242" t="inlineStr">
        <is>
          <t>RL7-PBK-SCN1</t>
        </is>
      </c>
      <c r="B62" s="24" t="inlineStr">
        <is>
          <t>SCN</t>
        </is>
      </c>
      <c r="C62" s="4" t="inlineStr">
        <is>
          <t>FROZEN GRINDER BARCODE SCANNER</t>
        </is>
      </c>
      <c r="D62" s="8" t="inlineStr">
        <is>
          <t>GRINDING AND COOKING</t>
        </is>
      </c>
      <c r="E62" s="8" t="n"/>
      <c r="F62" s="8" t="inlineStr">
        <is>
          <t>LINE 7</t>
        </is>
      </c>
      <c r="G62" s="24" t="inlineStr">
        <is>
          <t>RL7-PBK-HMI1_CB10049</t>
        </is>
      </c>
      <c r="H62" s="243" t="n"/>
      <c r="I62" s="250" t="n"/>
      <c r="J62" s="16" t="n"/>
      <c r="K62" s="16" t="n"/>
      <c r="L62" s="16" t="n"/>
      <c r="M62" s="16" t="n"/>
      <c r="N62" s="16" t="n"/>
      <c r="O62" s="16" t="n"/>
      <c r="P62" s="16" t="n"/>
      <c r="Q62" s="16" t="n"/>
    </row>
    <row r="63">
      <c r="A63" s="242" t="inlineStr">
        <is>
          <t>RL7-PKOUT-HMI1</t>
        </is>
      </c>
      <c r="B63" s="24" t="inlineStr">
        <is>
          <t>HMI</t>
        </is>
      </c>
      <c r="C63" s="28" t="inlineStr">
        <is>
          <t>PACKAGING HMI</t>
        </is>
      </c>
      <c r="D63" s="8" t="inlineStr">
        <is>
          <t>PACKAGING</t>
        </is>
      </c>
      <c r="E63" s="8" t="inlineStr">
        <is>
          <t>POST</t>
        </is>
      </c>
      <c r="F63" s="8" t="inlineStr">
        <is>
          <t>LINE 7</t>
        </is>
      </c>
      <c r="G63" s="8" t="n"/>
      <c r="H63" s="243" t="inlineStr">
        <is>
          <t>POST INCLUDED W/ 4XXTREME ENCLOSURE</t>
        </is>
      </c>
      <c r="I63" s="250" t="n"/>
      <c r="J63" s="16" t="n"/>
      <c r="K63" s="16" t="n"/>
      <c r="L63" s="16" t="n"/>
      <c r="M63" s="16" t="n"/>
      <c r="N63" s="16" t="n"/>
      <c r="O63" s="16" t="n"/>
      <c r="P63" s="16" t="n"/>
      <c r="Q63" s="16" t="n"/>
    </row>
    <row r="64">
      <c r="A64" s="242" t="inlineStr">
        <is>
          <t>RL7-PKOUT-RIO1</t>
        </is>
      </c>
      <c r="B64" s="24" t="inlineStr">
        <is>
          <t>RIO</t>
        </is>
      </c>
      <c r="C64" s="28" t="inlineStr">
        <is>
          <t>PACKAGING RIO</t>
        </is>
      </c>
      <c r="D64" s="8" t="inlineStr">
        <is>
          <t>PACKAGING</t>
        </is>
      </c>
      <c r="E64" s="8" t="inlineStr">
        <is>
          <t>STAND</t>
        </is>
      </c>
      <c r="F64" s="8" t="inlineStr">
        <is>
          <t>LINE 7</t>
        </is>
      </c>
      <c r="G64" s="8" t="n"/>
      <c r="H64" s="243" t="inlineStr">
        <is>
          <t>NEW</t>
        </is>
      </c>
      <c r="I64" s="250" t="n"/>
      <c r="J64" s="16" t="n"/>
      <c r="K64" s="16" t="n"/>
      <c r="L64" s="16" t="n"/>
      <c r="M64" s="16" t="n"/>
      <c r="N64" s="16" t="n"/>
      <c r="O64" s="16" t="n"/>
      <c r="P64" s="16" t="n"/>
      <c r="Q64" s="16" t="n"/>
    </row>
    <row r="65">
      <c r="A65" s="242" t="inlineStr">
        <is>
          <t>RL7-RWK-HMI1</t>
        </is>
      </c>
      <c r="B65" s="24" t="inlineStr">
        <is>
          <t>HMI</t>
        </is>
      </c>
      <c r="C65" s="4" t="inlineStr">
        <is>
          <t>HOT REWORK HMI</t>
        </is>
      </c>
      <c r="D65" s="8" t="inlineStr">
        <is>
          <t>FILLING AND CHILLING</t>
        </is>
      </c>
      <c r="E65" s="8" t="inlineStr">
        <is>
          <t>STAND</t>
        </is>
      </c>
      <c r="F65" s="8" t="inlineStr">
        <is>
          <t>LINE 7</t>
        </is>
      </c>
      <c r="G65" s="8" t="n"/>
      <c r="H65" s="243" t="n"/>
      <c r="I65" s="250" t="n"/>
      <c r="J65" s="16" t="n"/>
      <c r="K65" s="16" t="n"/>
      <c r="L65" s="16" t="n"/>
      <c r="M65" s="16" t="n"/>
      <c r="N65" s="16" t="n"/>
      <c r="O65" s="16" t="n"/>
      <c r="P65" s="16" t="n"/>
      <c r="Q65" s="16" t="n"/>
    </row>
    <row r="66">
      <c r="A66" s="242" t="inlineStr">
        <is>
          <t>RL7-RWK-QR1</t>
        </is>
      </c>
      <c r="B66" s="24" t="inlineStr">
        <is>
          <t>QR</t>
        </is>
      </c>
      <c r="C66" s="4" t="inlineStr">
        <is>
          <t>HOT REWORK QR SCANNER</t>
        </is>
      </c>
      <c r="D66" s="8" t="inlineStr">
        <is>
          <t>FILLING AND CHILLING</t>
        </is>
      </c>
      <c r="E66" s="8" t="n"/>
      <c r="F66" s="8" t="inlineStr">
        <is>
          <t>LINE 7</t>
        </is>
      </c>
      <c r="G66" s="24" t="inlineStr">
        <is>
          <t>RL7-RWK-HMI1_CB10060</t>
        </is>
      </c>
      <c r="H66" s="243" t="n"/>
      <c r="I66" s="250" t="n"/>
      <c r="J66" s="16" t="n"/>
      <c r="K66" s="16" t="n"/>
      <c r="L66" s="16" t="n"/>
      <c r="M66" s="16" t="n"/>
      <c r="N66" s="16" t="n"/>
      <c r="O66" s="16" t="n"/>
      <c r="P66" s="16" t="n"/>
      <c r="Q66" s="16" t="n"/>
    </row>
    <row r="67">
      <c r="A67" s="242" t="inlineStr">
        <is>
          <t>RL7-RWK-SCN1</t>
        </is>
      </c>
      <c r="B67" s="24" t="inlineStr">
        <is>
          <t>SCN</t>
        </is>
      </c>
      <c r="C67" s="4" t="inlineStr">
        <is>
          <t>HOT REWORK BARCODE SCANNER</t>
        </is>
      </c>
      <c r="D67" s="8" t="inlineStr">
        <is>
          <t>FILLING AND CHILLING</t>
        </is>
      </c>
      <c r="E67" s="8" t="n"/>
      <c r="F67" s="8" t="inlineStr">
        <is>
          <t>LINE 7</t>
        </is>
      </c>
      <c r="G67" s="24" t="inlineStr">
        <is>
          <t>RL7-RWK-HMI1_CB10064</t>
        </is>
      </c>
      <c r="H67" s="243" t="n"/>
      <c r="I67" s="250" t="n"/>
      <c r="J67" s="16" t="n"/>
      <c r="K67" s="16" t="n"/>
      <c r="L67" s="16" t="n"/>
      <c r="M67" s="16" t="n"/>
      <c r="N67" s="16" t="n"/>
      <c r="O67" s="16" t="n"/>
      <c r="P67" s="16" t="n"/>
      <c r="Q67" s="16" t="n"/>
    </row>
    <row r="68">
      <c r="A68" s="242" t="inlineStr">
        <is>
          <t>RL7-RWK-ZEB1</t>
        </is>
      </c>
      <c r="B68" s="24" t="inlineStr">
        <is>
          <t>ZEB</t>
        </is>
      </c>
      <c r="C68" s="4" t="inlineStr">
        <is>
          <t>HOT REWORK ZEBRA PRINTER</t>
        </is>
      </c>
      <c r="D68" s="8" t="inlineStr">
        <is>
          <t>FILLING AND CHILLING</t>
        </is>
      </c>
      <c r="E68" s="8" t="n"/>
      <c r="F68" s="8" t="inlineStr">
        <is>
          <t>LINE 7</t>
        </is>
      </c>
      <c r="G68" s="24" t="inlineStr">
        <is>
          <t>RL7-RWK-HMI1_CB10058</t>
        </is>
      </c>
      <c r="H68" s="243" t="n"/>
      <c r="I68" s="250" t="n"/>
      <c r="J68" s="16" t="n"/>
      <c r="K68" s="16" t="n"/>
      <c r="L68" s="16" t="n"/>
      <c r="M68" s="16" t="n"/>
      <c r="N68" s="16" t="n"/>
      <c r="O68" s="16" t="n"/>
      <c r="P68" s="16" t="n"/>
      <c r="Q68" s="16" t="n"/>
    </row>
    <row r="69">
      <c r="A69" s="242" t="inlineStr">
        <is>
          <t>RL7-RWK-FSCL1</t>
        </is>
      </c>
      <c r="B69" s="24" t="inlineStr">
        <is>
          <t>FSCL</t>
        </is>
      </c>
      <c r="C69" s="4" t="inlineStr">
        <is>
          <t>HOT REWORK FLOOR SCALE</t>
        </is>
      </c>
      <c r="D69" s="8" t="inlineStr">
        <is>
          <t>FILLING AND CHILLING</t>
        </is>
      </c>
      <c r="E69" s="8" t="n"/>
      <c r="F69" s="8" t="inlineStr">
        <is>
          <t>LINE 7</t>
        </is>
      </c>
      <c r="G69" s="24" t="inlineStr">
        <is>
          <t>RL7-RWK-HMI1_CB10014</t>
        </is>
      </c>
      <c r="H69" s="243" t="n"/>
      <c r="I69" s="250" t="n"/>
      <c r="J69" s="16" t="n"/>
      <c r="K69" s="16" t="n"/>
      <c r="L69" s="16" t="n"/>
      <c r="M69" s="16" t="n"/>
      <c r="N69" s="16" t="n"/>
      <c r="O69" s="16" t="n"/>
      <c r="P69" s="16" t="n"/>
      <c r="Q69" s="16" t="n"/>
    </row>
    <row r="70">
      <c r="A70" s="242" t="inlineStr">
        <is>
          <t>RL7-SERP-RIO1</t>
        </is>
      </c>
      <c r="B70" s="24" t="inlineStr">
        <is>
          <t>RIO</t>
        </is>
      </c>
      <c r="C70" s="4" t="inlineStr">
        <is>
          <t>SERPENTINE RIO 1</t>
        </is>
      </c>
      <c r="D70" s="8" t="inlineStr">
        <is>
          <t>FILLING AND CHILLING</t>
        </is>
      </c>
      <c r="E70" s="8" t="inlineStr">
        <is>
          <t>STAND</t>
        </is>
      </c>
      <c r="F70" s="8" t="inlineStr">
        <is>
          <t>LINE 7</t>
        </is>
      </c>
      <c r="G70" s="8" t="n"/>
      <c r="H70" s="243" t="n"/>
      <c r="I70" s="250" t="n"/>
      <c r="J70" s="16" t="n"/>
      <c r="K70" s="16" t="n"/>
      <c r="L70" s="16" t="n"/>
      <c r="M70" s="16" t="n"/>
      <c r="N70" s="16" t="n"/>
      <c r="O70" s="16" t="n"/>
      <c r="P70" s="16" t="n"/>
      <c r="Q70" s="16" t="n"/>
    </row>
    <row r="71">
      <c r="A71" s="242" t="inlineStr">
        <is>
          <t>RL7-SERP-RIO2</t>
        </is>
      </c>
      <c r="B71" s="24" t="inlineStr">
        <is>
          <t>RIO</t>
        </is>
      </c>
      <c r="C71" s="4" t="inlineStr">
        <is>
          <t>SERPENTINE RIO 2</t>
        </is>
      </c>
      <c r="D71" s="8" t="inlineStr">
        <is>
          <t>FILLING AND CHILLING</t>
        </is>
      </c>
      <c r="E71" s="8" t="inlineStr">
        <is>
          <t>STAND</t>
        </is>
      </c>
      <c r="F71" s="8" t="inlineStr">
        <is>
          <t>LINE 7</t>
        </is>
      </c>
      <c r="G71" s="8" t="n"/>
      <c r="H71" s="243" t="n"/>
      <c r="I71" s="253" t="n"/>
      <c r="J71" s="17" t="n"/>
      <c r="K71" s="17" t="n"/>
      <c r="L71" s="17" t="n"/>
      <c r="M71" s="17" t="n"/>
      <c r="N71" s="17" t="n"/>
      <c r="O71" s="17" t="n"/>
      <c r="P71" s="17" t="n"/>
      <c r="Q71" s="17" t="n"/>
    </row>
    <row r="72">
      <c r="A72" s="242" t="inlineStr">
        <is>
          <t>RL7-SERP-HMI1</t>
        </is>
      </c>
      <c r="B72" s="24" t="inlineStr">
        <is>
          <t>HMI</t>
        </is>
      </c>
      <c r="C72" s="4" t="inlineStr">
        <is>
          <t>SERPENTINE HMI</t>
        </is>
      </c>
      <c r="D72" s="8" t="inlineStr">
        <is>
          <t>FILLING AND CHILLING</t>
        </is>
      </c>
      <c r="E72" s="8" t="inlineStr">
        <is>
          <t>WALL</t>
        </is>
      </c>
      <c r="F72" s="8" t="inlineStr">
        <is>
          <t>LINE 7</t>
        </is>
      </c>
      <c r="G72" s="8" t="n"/>
      <c r="H72" s="243" t="n"/>
      <c r="I72" s="250" t="n"/>
      <c r="J72" s="16" t="n"/>
      <c r="K72" s="16" t="n"/>
      <c r="L72" s="16" t="n"/>
      <c r="M72" s="16" t="n"/>
      <c r="N72" s="16" t="n"/>
      <c r="O72" s="16" t="n"/>
      <c r="P72" s="16" t="n"/>
      <c r="Q72" s="16" t="n"/>
    </row>
    <row r="73">
      <c r="A73" s="242" t="inlineStr">
        <is>
          <t>RL7-VEG-HMI1</t>
        </is>
      </c>
      <c r="B73" s="24" t="inlineStr">
        <is>
          <t>HMI</t>
        </is>
      </c>
      <c r="C73" s="4" t="inlineStr">
        <is>
          <t>VEGGIE STATION HMI</t>
        </is>
      </c>
      <c r="D73" s="8" t="inlineStr">
        <is>
          <t>GRINDING AND COOKING</t>
        </is>
      </c>
      <c r="E73" s="8" t="inlineStr">
        <is>
          <t>WALL</t>
        </is>
      </c>
      <c r="F73" s="8" t="inlineStr">
        <is>
          <t>LINE 7</t>
        </is>
      </c>
      <c r="G73" s="8" t="n"/>
      <c r="H73" s="243" t="inlineStr">
        <is>
          <t>UPDATED TAG - INC -&gt; VEG</t>
        </is>
      </c>
      <c r="I73" s="250" t="n"/>
      <c r="J73" s="16" t="n"/>
      <c r="K73" s="16" t="n"/>
      <c r="L73" s="16" t="n"/>
      <c r="M73" s="16" t="n"/>
      <c r="N73" s="16" t="n"/>
      <c r="O73" s="16" t="n"/>
      <c r="P73" s="16" t="n"/>
      <c r="Q73" s="16" t="n"/>
    </row>
    <row r="74">
      <c r="A74" s="242" t="inlineStr">
        <is>
          <t>RL7-VEG-QR1</t>
        </is>
      </c>
      <c r="B74" s="24" t="inlineStr">
        <is>
          <t>QR</t>
        </is>
      </c>
      <c r="C74" s="4" t="inlineStr">
        <is>
          <t>VEGGIE STATION QR SCANNER</t>
        </is>
      </c>
      <c r="D74" s="8" t="inlineStr">
        <is>
          <t>GRINDING AND COOKING</t>
        </is>
      </c>
      <c r="E74" s="8" t="n"/>
      <c r="F74" s="8" t="inlineStr">
        <is>
          <t>LINE 7</t>
        </is>
      </c>
      <c r="G74" s="24" t="n"/>
      <c r="H74" s="243" t="inlineStr">
        <is>
          <t>UPDATED TAG - INC -&gt; VEG</t>
        </is>
      </c>
      <c r="I74" s="250" t="n"/>
      <c r="J74" s="16" t="n"/>
      <c r="K74" s="16" t="n"/>
      <c r="L74" s="16" t="n"/>
      <c r="M74" s="16" t="n"/>
      <c r="N74" s="16" t="n"/>
      <c r="O74" s="16" t="n"/>
      <c r="P74" s="16" t="n"/>
      <c r="Q74" s="16" t="n"/>
    </row>
    <row r="75">
      <c r="A75" s="242" t="inlineStr">
        <is>
          <t>RL7-VEG-SCN1</t>
        </is>
      </c>
      <c r="B75" s="24" t="inlineStr">
        <is>
          <t>SCN</t>
        </is>
      </c>
      <c r="C75" s="4" t="inlineStr">
        <is>
          <t>VEGGIE STATION BARCODE SCANNER</t>
        </is>
      </c>
      <c r="D75" s="8" t="inlineStr">
        <is>
          <t>GRINDING AND COOKING</t>
        </is>
      </c>
      <c r="E75" s="8" t="n"/>
      <c r="F75" s="8" t="inlineStr">
        <is>
          <t>LINE 7</t>
        </is>
      </c>
      <c r="G75" s="24" t="n"/>
      <c r="H75" s="243" t="inlineStr">
        <is>
          <t>UPDATED TAG - INC -&gt; VEG</t>
        </is>
      </c>
      <c r="I75" s="250" t="n"/>
      <c r="J75" s="16" t="n"/>
      <c r="K75" s="16" t="n"/>
      <c r="L75" s="16" t="n"/>
      <c r="M75" s="16" t="n"/>
      <c r="N75" s="16" t="n"/>
      <c r="O75" s="16" t="n"/>
      <c r="P75" s="16" t="n"/>
      <c r="Q75" s="16" t="n"/>
    </row>
    <row r="76">
      <c r="A76" s="242" t="inlineStr">
        <is>
          <t>RL7-VEG-ZEB1</t>
        </is>
      </c>
      <c r="B76" s="24" t="inlineStr">
        <is>
          <t>ZEB</t>
        </is>
      </c>
      <c r="C76" s="4" t="inlineStr">
        <is>
          <t>VEGGIE STATION ZEBRA PRINTER</t>
        </is>
      </c>
      <c r="D76" s="8" t="inlineStr">
        <is>
          <t>GRINDING AND COOKING</t>
        </is>
      </c>
      <c r="E76" s="8" t="n"/>
      <c r="F76" s="8" t="inlineStr">
        <is>
          <t>LINE 7</t>
        </is>
      </c>
      <c r="G76" s="24" t="n"/>
      <c r="H76" s="243" t="inlineStr">
        <is>
          <t>UPDATED TAG - INC -&gt; VEG</t>
        </is>
      </c>
      <c r="I76" s="250" t="n"/>
      <c r="J76" s="16" t="n"/>
      <c r="K76" s="16" t="n"/>
      <c r="L76" s="16" t="n"/>
      <c r="M76" s="16" t="n"/>
      <c r="N76" s="16" t="n"/>
      <c r="O76" s="16" t="n"/>
      <c r="P76" s="16" t="n"/>
      <c r="Q76" s="16" t="n"/>
    </row>
    <row r="77">
      <c r="A77" s="242" t="inlineStr">
        <is>
          <t>RL7-VEG-FSCL1</t>
        </is>
      </c>
      <c r="B77" s="24" t="inlineStr">
        <is>
          <t>FSCL</t>
        </is>
      </c>
      <c r="C77" s="4" t="inlineStr">
        <is>
          <t>VEGGIE STATION FLOOR SCALE</t>
        </is>
      </c>
      <c r="D77" s="8" t="inlineStr">
        <is>
          <t>GRINDING AND COOKING</t>
        </is>
      </c>
      <c r="E77" s="8" t="n"/>
      <c r="F77" s="8" t="inlineStr">
        <is>
          <t>LINE 7</t>
        </is>
      </c>
      <c r="G77" s="24" t="n"/>
      <c r="H77" s="243" t="inlineStr">
        <is>
          <t>UPDATED TAG - INC -&gt; VEG</t>
        </is>
      </c>
      <c r="I77" s="250" t="n"/>
      <c r="J77" s="16" t="n"/>
      <c r="K77" s="16" t="n"/>
      <c r="L77" s="16" t="n"/>
      <c r="M77" s="16" t="n"/>
      <c r="N77" s="16" t="n"/>
      <c r="O77" s="16" t="n"/>
      <c r="P77" s="16" t="n"/>
      <c r="Q77" s="16" t="n"/>
    </row>
    <row r="78">
      <c r="A78" s="242" t="n"/>
      <c r="B78" s="24" t="n"/>
      <c r="C78" s="4" t="n"/>
      <c r="D78" s="8" t="n"/>
      <c r="E78" s="8" t="n"/>
      <c r="F78" s="8" t="n"/>
      <c r="G78" s="8" t="n"/>
      <c r="H78" s="243" t="n"/>
      <c r="I78" s="254" t="n"/>
      <c r="J78" s="18" t="n"/>
      <c r="K78" s="18" t="n"/>
      <c r="L78" s="18" t="n"/>
      <c r="M78" s="18" t="n"/>
      <c r="N78" s="18" t="n"/>
      <c r="O78" s="18" t="n"/>
      <c r="P78" s="18" t="n"/>
      <c r="Q78" s="18" t="n"/>
    </row>
    <row r="79">
      <c r="A79" s="242" t="n"/>
      <c r="B79" s="24" t="n"/>
      <c r="C79" s="4" t="n"/>
      <c r="D79" s="8" t="n"/>
      <c r="E79" s="8" t="n"/>
      <c r="F79" s="8" t="n"/>
      <c r="G79" s="8" t="n"/>
      <c r="H79" s="243" t="n"/>
      <c r="I79" s="250" t="n"/>
      <c r="J79" s="16" t="n"/>
      <c r="K79" s="16" t="n"/>
      <c r="L79" s="16" t="n"/>
      <c r="M79" s="16" t="n"/>
      <c r="N79" s="16" t="n"/>
      <c r="O79" s="16" t="n"/>
      <c r="P79" s="16" t="n"/>
      <c r="Q79" s="16" t="n"/>
    </row>
    <row r="80">
      <c r="A80" s="242" t="inlineStr">
        <is>
          <t>RL7-MCC1-2A.SW1</t>
        </is>
      </c>
      <c r="B80" s="24" t="inlineStr">
        <is>
          <t>SWITCH</t>
        </is>
      </c>
      <c r="C80" s="4" t="inlineStr">
        <is>
          <t>7MCC01 BUCKET 2A, NETWORK SWITCH #1</t>
        </is>
      </c>
      <c r="D80" s="8" t="inlineStr">
        <is>
          <t>UPPER LEVEL EAST-WEST CORRIDOR</t>
        </is>
      </c>
      <c r="E80" s="8" t="inlineStr">
        <is>
          <t>INSIDE MCC</t>
        </is>
      </c>
      <c r="F80" s="8" t="inlineStr">
        <is>
          <t>LINE 7</t>
        </is>
      </c>
      <c r="G80" s="8" t="inlineStr">
        <is>
          <t>6UL1A_2 &amp; 6UL1A_5</t>
        </is>
      </c>
      <c r="H80" s="243" t="n"/>
      <c r="I80" s="250" t="n"/>
      <c r="J80" s="16" t="n"/>
      <c r="K80" s="16" t="n"/>
      <c r="L80" s="16" t="n"/>
      <c r="M80" s="16" t="n"/>
      <c r="N80" s="16" t="n"/>
      <c r="O80" s="16" t="n"/>
      <c r="P80" s="16" t="n"/>
      <c r="Q80" s="16" t="n"/>
    </row>
    <row r="81">
      <c r="A81" s="242" t="inlineStr">
        <is>
          <t>RL7-MCC1-2A.SW2</t>
        </is>
      </c>
      <c r="B81" s="24" t="inlineStr">
        <is>
          <t>SWITCH</t>
        </is>
      </c>
      <c r="C81" s="4" t="inlineStr">
        <is>
          <t>7MCC01 BUCKET 2A, NETWORK SWITCH #2</t>
        </is>
      </c>
      <c r="D81" s="8" t="inlineStr">
        <is>
          <t>UPPER LEVEL EAST-WEST CORRIDOR</t>
        </is>
      </c>
      <c r="E81" s="8" t="inlineStr">
        <is>
          <t>INSIDE MCC</t>
        </is>
      </c>
      <c r="F81" s="8" t="inlineStr">
        <is>
          <t>LINE 7</t>
        </is>
      </c>
      <c r="G81" s="8" t="inlineStr">
        <is>
          <t>6UL1A_2 &amp; 6UL1A_5</t>
        </is>
      </c>
      <c r="H81" s="243" t="n"/>
      <c r="I81" s="250" t="n"/>
      <c r="J81" s="16" t="n"/>
      <c r="K81" s="16" t="n"/>
      <c r="L81" s="16" t="n"/>
      <c r="M81" s="16" t="n"/>
      <c r="N81" s="16" t="n"/>
      <c r="O81" s="16" t="n"/>
      <c r="P81" s="16" t="n"/>
      <c r="Q81" s="16" t="n"/>
    </row>
    <row r="82">
      <c r="A82" s="242" t="inlineStr">
        <is>
          <t>RL7-MCC1-14A.SW1</t>
        </is>
      </c>
      <c r="B82" s="24" t="inlineStr">
        <is>
          <t>SWITCH</t>
        </is>
      </c>
      <c r="C82" s="4" t="inlineStr">
        <is>
          <t>7MCC01 BUCKET 14A, NETWORK SWITCH #1</t>
        </is>
      </c>
      <c r="D82" s="8" t="inlineStr">
        <is>
          <t>UPPER LEVEL EAST-WEST CORRIDOR</t>
        </is>
      </c>
      <c r="E82" s="8" t="inlineStr">
        <is>
          <t>INSIDE MCC</t>
        </is>
      </c>
      <c r="F82" s="8" t="inlineStr">
        <is>
          <t>LINE 7</t>
        </is>
      </c>
      <c r="G82" s="8" t="inlineStr">
        <is>
          <t>6UL1A_2 &amp; 6UL1A_5</t>
        </is>
      </c>
      <c r="H82" s="243" t="n"/>
      <c r="I82" s="250" t="n"/>
      <c r="J82" s="16" t="n"/>
      <c r="K82" s="16" t="n"/>
      <c r="L82" s="16" t="n"/>
      <c r="M82" s="16" t="n"/>
      <c r="N82" s="16" t="n"/>
      <c r="O82" s="16" t="n"/>
      <c r="P82" s="16" t="n"/>
      <c r="Q82" s="16" t="n"/>
    </row>
    <row r="83">
      <c r="A83" s="242" t="inlineStr">
        <is>
          <t>RL7-MCC1-14A.SW2</t>
        </is>
      </c>
      <c r="B83" s="24" t="inlineStr">
        <is>
          <t>SWITCH</t>
        </is>
      </c>
      <c r="C83" s="4" t="inlineStr">
        <is>
          <t>7MCC01 BUCKET 14A, NETWORK SWITCH #2</t>
        </is>
      </c>
      <c r="D83" s="8" t="inlineStr">
        <is>
          <t>UPPER LEVEL EAST-WEST CORRIDOR</t>
        </is>
      </c>
      <c r="E83" s="8" t="inlineStr">
        <is>
          <t>INSIDE MCC</t>
        </is>
      </c>
      <c r="F83" s="8" t="inlineStr">
        <is>
          <t>LINE 7</t>
        </is>
      </c>
      <c r="G83" s="8" t="inlineStr">
        <is>
          <t>6UL1A_2 &amp; 6UL1A_5</t>
        </is>
      </c>
      <c r="H83" s="243" t="n"/>
      <c r="I83" s="250" t="n"/>
      <c r="J83" s="16" t="n"/>
      <c r="K83" s="16" t="n"/>
      <c r="L83" s="16" t="n"/>
      <c r="M83" s="16" t="n"/>
      <c r="N83" s="16" t="n"/>
      <c r="O83" s="16" t="n"/>
      <c r="P83" s="16" t="n"/>
      <c r="Q83" s="16" t="n"/>
    </row>
    <row r="84">
      <c r="A84" s="242" t="inlineStr">
        <is>
          <t>RL7-MCC2-2A.SW1</t>
        </is>
      </c>
      <c r="B84" s="24" t="inlineStr">
        <is>
          <t>SWITCH</t>
        </is>
      </c>
      <c r="C84" s="4" t="inlineStr">
        <is>
          <t>7MCC02 BUCKET 2A, NETWORK SWITCH #1</t>
        </is>
      </c>
      <c r="D84" s="8" t="inlineStr">
        <is>
          <t>UPPER LEVEL EAST-WEST CORRIDOR</t>
        </is>
      </c>
      <c r="E84" s="8" t="inlineStr">
        <is>
          <t>INSIDE MCC</t>
        </is>
      </c>
      <c r="F84" s="8" t="inlineStr">
        <is>
          <t>LINE 7</t>
        </is>
      </c>
      <c r="G84" s="8" t="inlineStr">
        <is>
          <t>6UL1A_1 &amp; 6UL1A_3</t>
        </is>
      </c>
      <c r="H84" s="243" t="n"/>
      <c r="I84" s="250" t="n"/>
      <c r="J84" s="16" t="n"/>
      <c r="K84" s="16" t="n"/>
      <c r="L84" s="16" t="n"/>
      <c r="M84" s="16" t="n"/>
      <c r="N84" s="16" t="n"/>
      <c r="O84" s="16" t="n"/>
      <c r="P84" s="16" t="n"/>
      <c r="Q84" s="16" t="n"/>
    </row>
    <row r="85">
      <c r="A85" s="242" t="inlineStr">
        <is>
          <t>RL7-MCC2-12A.SW1</t>
        </is>
      </c>
      <c r="B85" s="24" t="inlineStr">
        <is>
          <t>SWITCH</t>
        </is>
      </c>
      <c r="C85" s="4" t="inlineStr">
        <is>
          <t>7MCC02 BUCKET 12A, NETWORK SWITCH #1</t>
        </is>
      </c>
      <c r="D85" s="8" t="inlineStr">
        <is>
          <t>UPPER LEVEL EAST-WEST CORRIDOR</t>
        </is>
      </c>
      <c r="E85" s="8" t="inlineStr">
        <is>
          <t>INSIDE MCC</t>
        </is>
      </c>
      <c r="F85" s="8" t="inlineStr">
        <is>
          <t>LINE 7</t>
        </is>
      </c>
      <c r="G85" s="8" t="inlineStr">
        <is>
          <t>6UL1A_1 &amp; 6UL1A_3</t>
        </is>
      </c>
      <c r="H85" s="243" t="n"/>
      <c r="I85" s="250" t="n"/>
      <c r="J85" s="16" t="n"/>
      <c r="K85" s="16" t="n"/>
      <c r="L85" s="16" t="n"/>
      <c r="M85" s="16" t="n"/>
      <c r="N85" s="16" t="n"/>
      <c r="O85" s="16" t="n"/>
      <c r="P85" s="16" t="n"/>
      <c r="Q85" s="16" t="n"/>
    </row>
    <row r="86">
      <c r="A86" s="242" t="inlineStr">
        <is>
          <t>RL7-MCC2-16A.SW1</t>
        </is>
      </c>
      <c r="B86" s="24" t="inlineStr">
        <is>
          <t>SWITCH</t>
        </is>
      </c>
      <c r="C86" s="4" t="inlineStr">
        <is>
          <t>7MCC02 BUCKET 16A, NETWORK SWITCH #1</t>
        </is>
      </c>
      <c r="D86" s="8" t="inlineStr">
        <is>
          <t>UPPER LEVEL EAST-WEST CORRIDOR</t>
        </is>
      </c>
      <c r="E86" s="8" t="inlineStr">
        <is>
          <t>INSIDE MCC</t>
        </is>
      </c>
      <c r="F86" s="8" t="inlineStr">
        <is>
          <t>LINE 7</t>
        </is>
      </c>
      <c r="G86" s="8" t="inlineStr">
        <is>
          <t>6UL1A_7 &amp; 6UL1A_8</t>
        </is>
      </c>
      <c r="H86" s="243" t="n"/>
      <c r="I86" s="250" t="n"/>
      <c r="J86" s="16" t="n"/>
      <c r="K86" s="16" t="n"/>
      <c r="L86" s="16" t="n"/>
      <c r="M86" s="16" t="n"/>
      <c r="N86" s="16" t="n"/>
      <c r="O86" s="16" t="n"/>
      <c r="P86" s="16" t="n"/>
      <c r="Q86" s="16" t="n"/>
    </row>
    <row r="87">
      <c r="A87" s="242" t="inlineStr">
        <is>
          <t>RL7-MCC2-16A.SW2</t>
        </is>
      </c>
      <c r="B87" s="24" t="inlineStr">
        <is>
          <t>SWITCH</t>
        </is>
      </c>
      <c r="C87" s="4" t="inlineStr">
        <is>
          <t>7MCC02 BUCKET 16A, NETWORK SWITCH #2</t>
        </is>
      </c>
      <c r="D87" s="8" t="inlineStr">
        <is>
          <t>UPPER LEVEL EAST-WEST CORRIDOR</t>
        </is>
      </c>
      <c r="E87" s="8" t="inlineStr">
        <is>
          <t>INSIDE MCC</t>
        </is>
      </c>
      <c r="F87" s="8" t="inlineStr">
        <is>
          <t>LINE 7</t>
        </is>
      </c>
      <c r="G87" s="8" t="inlineStr">
        <is>
          <t>6UL1A_7 &amp; 6UL1A_8</t>
        </is>
      </c>
      <c r="H87" s="243" t="n"/>
      <c r="I87" s="250" t="n"/>
      <c r="J87" s="16" t="n"/>
      <c r="K87" s="16" t="n"/>
      <c r="L87" s="16" t="n"/>
      <c r="M87" s="16" t="n"/>
      <c r="N87" s="16" t="n"/>
      <c r="O87" s="16" t="n"/>
      <c r="P87" s="16" t="n"/>
      <c r="Q87" s="16" t="n"/>
    </row>
    <row r="88">
      <c r="A88" s="242" t="inlineStr">
        <is>
          <t>RL7-MCC3-2A.SW1</t>
        </is>
      </c>
      <c r="B88" s="24" t="inlineStr">
        <is>
          <t>SWITCH</t>
        </is>
      </c>
      <c r="C88" s="4" t="inlineStr">
        <is>
          <t>7MCC03 BUCKET 2A, NETWORK SWITCH #1</t>
        </is>
      </c>
      <c r="D88" s="8" t="inlineStr">
        <is>
          <t>UPPER LEVEL EAST-WEST CORRIDOR</t>
        </is>
      </c>
      <c r="E88" s="8" t="inlineStr">
        <is>
          <t>INSIDE MCC</t>
        </is>
      </c>
      <c r="F88" s="8" t="inlineStr">
        <is>
          <t>LINE 7</t>
        </is>
      </c>
      <c r="G88" s="8" t="inlineStr">
        <is>
          <t>6UL1A_4 &amp; 6UL1A_6</t>
        </is>
      </c>
      <c r="H88" s="243" t="n"/>
      <c r="I88" s="250" t="n"/>
      <c r="J88" s="16" t="n"/>
      <c r="K88" s="16" t="n"/>
      <c r="L88" s="16" t="n"/>
      <c r="M88" s="16" t="n"/>
      <c r="N88" s="16" t="n"/>
      <c r="O88" s="16" t="n"/>
      <c r="P88" s="16" t="n"/>
      <c r="Q88" s="16" t="n"/>
    </row>
    <row r="89">
      <c r="A89" s="242" t="inlineStr">
        <is>
          <t>RL7-MCC3-16A.SW1</t>
        </is>
      </c>
      <c r="B89" s="24" t="inlineStr">
        <is>
          <t>SWITCH</t>
        </is>
      </c>
      <c r="C89" s="4" t="inlineStr">
        <is>
          <t>7MCC03 BUCKET 16A, NETWORK SWITCH #1</t>
        </is>
      </c>
      <c r="D89" s="8" t="inlineStr">
        <is>
          <t>UPPER LEVEL EAST-WEST CORRIDOR</t>
        </is>
      </c>
      <c r="E89" s="8" t="inlineStr">
        <is>
          <t>INSIDE MCC</t>
        </is>
      </c>
      <c r="F89" s="8" t="inlineStr">
        <is>
          <t>LINE 7</t>
        </is>
      </c>
      <c r="G89" s="8" t="inlineStr">
        <is>
          <t>6UL1A_4 &amp; 6UL1A_6</t>
        </is>
      </c>
      <c r="H89" s="243" t="n"/>
      <c r="I89" s="250" t="n"/>
      <c r="J89" s="16" t="n"/>
      <c r="K89" s="16" t="n"/>
      <c r="L89" s="16" t="n"/>
      <c r="M89" s="16" t="n"/>
      <c r="N89" s="16" t="n"/>
      <c r="O89" s="16" t="n"/>
      <c r="P89" s="16" t="n"/>
      <c r="Q89" s="16" t="n"/>
    </row>
    <row r="90">
      <c r="A90" s="242" t="n"/>
      <c r="B90" s="24" t="n"/>
      <c r="C90" s="4" t="n"/>
      <c r="D90" s="8" t="n"/>
      <c r="E90" s="8" t="n"/>
      <c r="F90" s="8" t="n"/>
      <c r="G90" s="8" t="n"/>
      <c r="H90" s="243" t="n"/>
      <c r="I90" s="250" t="n"/>
      <c r="J90" s="16" t="n"/>
      <c r="K90" s="16" t="n"/>
      <c r="L90" s="16" t="n"/>
      <c r="M90" s="16" t="n"/>
      <c r="N90" s="16" t="n"/>
      <c r="O90" s="16" t="n"/>
      <c r="P90" s="16" t="n"/>
      <c r="Q90" s="16" t="n"/>
    </row>
    <row r="91">
      <c r="A91" s="245" t="n"/>
      <c r="B91" s="2" t="n"/>
      <c r="C91" s="4" t="n"/>
      <c r="D91" s="8" t="n"/>
      <c r="E91" s="8" t="n"/>
      <c r="F91" s="8" t="n"/>
      <c r="G91" s="8" t="n"/>
      <c r="H91" s="243" t="n"/>
      <c r="I91" s="250" t="n"/>
      <c r="J91" s="16" t="n"/>
      <c r="K91" s="16" t="n"/>
      <c r="L91" s="16" t="n"/>
      <c r="M91" s="16" t="n"/>
      <c r="N91" s="16" t="n"/>
      <c r="O91" s="16" t="n"/>
      <c r="P91" s="16" t="n"/>
      <c r="Q91" s="16" t="n"/>
    </row>
    <row r="92" ht="15.75" customHeight="1" thickBot="1">
      <c r="A92" s="246" t="n"/>
      <c r="B92" s="247" t="n"/>
      <c r="C92" s="248" t="n"/>
      <c r="D92" s="247" t="n"/>
      <c r="E92" s="247" t="n"/>
      <c r="F92" s="247" t="n"/>
      <c r="G92" s="247" t="n"/>
      <c r="H92" s="249" t="n"/>
      <c r="I92" s="255" t="n"/>
      <c r="J92" s="19" t="n"/>
      <c r="K92" s="19" t="n"/>
      <c r="L92" s="19" t="n"/>
      <c r="M92" s="19" t="n"/>
      <c r="N92" s="19" t="n"/>
      <c r="O92" s="19" t="n"/>
      <c r="P92" s="19" t="n"/>
      <c r="Q92" s="19" t="n"/>
    </row>
  </sheetData>
  <autoFilter ref="B1:Q98"/>
  <conditionalFormatting sqref="A1:Q93">
    <cfRule type="expression" priority="1" dxfId="9">
      <formula>MOD(ROW(),2)=0</formula>
    </cfRule>
  </conditionalFormatting>
  <pageMargins left="0.7" right="0.7" top="0.75" bottom="0.75" header="0.3" footer="0.3"/>
  <pageSetup orientation="landscape" paperSize="3" scale="62" fitToHeight="0"/>
</worksheet>
</file>

<file path=xl/worksheets/sheet9.xml><?xml version="1.0" encoding="utf-8"?>
<worksheet xmlns="http://schemas.openxmlformats.org/spreadsheetml/2006/main">
  <sheetPr codeName="Sheet5">
    <outlinePr summaryBelow="1" summaryRight="1"/>
    <pageSetUpPr fitToPage="1"/>
  </sheetPr>
  <dimension ref="A1:L20"/>
  <sheetViews>
    <sheetView zoomScale="145" zoomScaleNormal="145" zoomScaleSheetLayoutView="100" workbookViewId="0">
      <selection activeCell="B17" sqref="B17"/>
    </sheetView>
  </sheetViews>
  <sheetFormatPr baseColWidth="8" defaultColWidth="9.140625" defaultRowHeight="15"/>
  <cols>
    <col width="12.7109375" customWidth="1" style="14" min="1" max="1"/>
    <col width="12.7109375" customWidth="1" style="27" min="2" max="2"/>
    <col width="12.7109375" customWidth="1" style="14" min="3" max="12"/>
    <col width="9.140625" customWidth="1" style="14" min="13" max="23"/>
    <col width="9.140625" customWidth="1" style="14" min="24" max="16384"/>
  </cols>
  <sheetData>
    <row r="1" ht="30.75" customHeight="1" thickBot="1">
      <c r="A1" s="32" t="inlineStr">
        <is>
          <t>WEEK</t>
        </is>
      </c>
      <c r="B1" s="33" t="inlineStr">
        <is>
          <t>DATE</t>
        </is>
      </c>
      <c r="C1" s="34" t="inlineStr">
        <is>
          <t>DEVICE
INSTALLED</t>
        </is>
      </c>
      <c r="D1" s="34" t="inlineStr">
        <is>
          <t>DEVICE
TAGGED</t>
        </is>
      </c>
      <c r="E1" s="34" t="inlineStr">
        <is>
          <t>CA
INSTALLED</t>
        </is>
      </c>
      <c r="F1" s="34" t="inlineStr">
        <is>
          <t>RACEWAYS
COMPLETE</t>
        </is>
      </c>
      <c r="G1" s="34" t="inlineStr">
        <is>
          <t>WIRE
PULLED</t>
        </is>
      </c>
      <c r="H1" s="34" t="inlineStr">
        <is>
          <t>WIRE
TERMED</t>
        </is>
      </c>
      <c r="I1" s="34" t="inlineStr">
        <is>
          <t>WIRE
TAGGED</t>
        </is>
      </c>
      <c r="J1" s="34" t="inlineStr">
        <is>
          <t>POINT
TO POINT</t>
        </is>
      </c>
      <c r="K1" s="35" t="inlineStr">
        <is>
          <t>IO CHECK</t>
        </is>
      </c>
      <c r="L1" s="36" t="inlineStr">
        <is>
          <t>IO GOOD</t>
        </is>
      </c>
    </row>
    <row r="2">
      <c r="A2" s="37" t="n">
        <v>1</v>
      </c>
      <c r="B2" s="26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38" t="n"/>
    </row>
    <row r="3">
      <c r="A3" s="39">
        <f>A2+1</f>
        <v/>
      </c>
      <c r="B3" s="25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40" t="n"/>
    </row>
    <row r="4" customFormat="1" s="15">
      <c r="A4" s="39">
        <f>A3+1</f>
        <v/>
      </c>
      <c r="B4" s="25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40" t="n"/>
    </row>
    <row r="5">
      <c r="A5" s="39">
        <f>A4+1</f>
        <v/>
      </c>
      <c r="B5" s="25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40" t="n"/>
    </row>
    <row r="6">
      <c r="A6" s="39">
        <f>A5+1</f>
        <v/>
      </c>
      <c r="B6" s="25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40" t="n"/>
    </row>
    <row r="7">
      <c r="A7" s="39">
        <f>A6+1</f>
        <v/>
      </c>
      <c r="B7" s="25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40" t="n"/>
    </row>
    <row r="8">
      <c r="A8" s="39">
        <f>A7+1</f>
        <v/>
      </c>
      <c r="B8" s="25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40" t="n"/>
    </row>
    <row r="9">
      <c r="A9" s="39">
        <f>A8+1</f>
        <v/>
      </c>
      <c r="B9" s="25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40" t="n"/>
    </row>
    <row r="10">
      <c r="A10" s="39">
        <f>A9+1</f>
        <v/>
      </c>
      <c r="B10" s="25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40" t="n"/>
    </row>
    <row r="11">
      <c r="A11" s="39">
        <f>A10+1</f>
        <v/>
      </c>
      <c r="B11" s="25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40" t="n"/>
    </row>
    <row r="12">
      <c r="A12" s="39">
        <f>A11+1</f>
        <v/>
      </c>
      <c r="B12" s="25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40" t="n"/>
    </row>
    <row r="13">
      <c r="A13" s="39">
        <f>A12+1</f>
        <v/>
      </c>
      <c r="B13" s="25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40" t="n"/>
    </row>
    <row r="14">
      <c r="A14" s="39">
        <f>A13+1</f>
        <v/>
      </c>
      <c r="B14" s="25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40" t="n"/>
    </row>
    <row r="15">
      <c r="A15" s="39">
        <f>A14+1</f>
        <v/>
      </c>
      <c r="B15" s="25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40" t="n"/>
    </row>
    <row r="16">
      <c r="A16" s="39">
        <f>A15+1</f>
        <v/>
      </c>
      <c r="B16" s="25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40" t="n"/>
    </row>
    <row r="17">
      <c r="A17" s="39">
        <f>A16+1</f>
        <v/>
      </c>
      <c r="B17" s="25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40" t="n"/>
    </row>
    <row r="18">
      <c r="A18" s="39" t="n"/>
      <c r="B18" s="25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40" t="n"/>
    </row>
    <row r="19">
      <c r="A19" s="39" t="n"/>
      <c r="B19" s="25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40" t="n"/>
    </row>
    <row r="20" ht="15.75" customHeight="1" thickBot="1">
      <c r="A20" s="41" t="n"/>
      <c r="B20" s="42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4" t="n"/>
    </row>
  </sheetData>
  <conditionalFormatting sqref="A1:XFD1048576">
    <cfRule type="expression" priority="1" dxfId="9">
      <formula>MOD(ROW(),2)</formula>
    </cfRule>
  </conditionalFormatting>
  <pageMargins left="0.25" right="0.25" top="0.75" bottom="0.75" header="0.3" footer="0.3"/>
  <pageSetup orientation="landscape" scale="87" fitToHeight="0"/>
</worksheet>
</file>

<file path=xl/worksheets/sheet10.xml><?xml version="1.0" encoding="utf-8"?>
<worksheet xmlns="http://schemas.openxmlformats.org/spreadsheetml/2006/main">
  <sheetPr codeName="Sheet6">
    <outlinePr summaryBelow="1" summaryRight="1"/>
    <pageSetUpPr/>
  </sheetPr>
  <dimension ref="A1:R16"/>
  <sheetViews>
    <sheetView view="pageBreakPreview" zoomScaleNormal="100" zoomScaleSheetLayoutView="100" workbookViewId="0">
      <selection activeCell="M11" sqref="M11"/>
    </sheetView>
  </sheetViews>
  <sheetFormatPr baseColWidth="8" defaultColWidth="8.85546875" defaultRowHeight="15"/>
  <cols>
    <col width="15.7109375" customWidth="1" style="290" min="1" max="6"/>
    <col width="8.85546875" customWidth="1" style="290" min="7" max="17"/>
    <col width="8.85546875" customWidth="1" style="290" min="18" max="16384"/>
  </cols>
  <sheetData>
    <row r="1">
      <c r="A1" s="290" t="n"/>
    </row>
    <row r="10">
      <c r="R10" s="290" t="inlineStr">
        <is>
          <t>--</t>
        </is>
      </c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</sheetData>
  <mergeCells count="1">
    <mergeCell ref="A1:F1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codeName="Sheet7">
    <outlinePr summaryBelow="1" summaryRight="1"/>
    <pageSetUpPr/>
  </sheetPr>
  <dimension ref="A1:AS30"/>
  <sheetViews>
    <sheetView workbookViewId="0">
      <selection activeCell="J9" sqref="J9"/>
    </sheetView>
  </sheetViews>
  <sheetFormatPr baseColWidth="8" defaultRowHeight="15"/>
  <cols>
    <col width="14.7109375" bestFit="1" customWidth="1" style="290" min="1" max="1"/>
    <col width="14.42578125" bestFit="1" customWidth="1" style="290" min="2" max="2"/>
    <col width="11" customWidth="1" min="3" max="3"/>
    <col width="28" bestFit="1" customWidth="1" min="4" max="4"/>
    <col width="11" customWidth="1" min="5" max="5"/>
    <col width="33.140625" bestFit="1" customWidth="1" min="6" max="6"/>
    <col width="19.85546875" bestFit="1" customWidth="1" min="8" max="8"/>
    <col width="40" bestFit="1" customWidth="1" min="10" max="10"/>
    <col width="15.85546875" bestFit="1" customWidth="1" min="11" max="11"/>
    <col width="40" bestFit="1" customWidth="1" min="12" max="12"/>
  </cols>
  <sheetData>
    <row r="1">
      <c r="A1" s="290" t="inlineStr">
        <is>
          <t>UnitLetter</t>
        </is>
      </c>
      <c r="B1" s="290" t="inlineStr">
        <is>
          <t>UnitIndex</t>
        </is>
      </c>
      <c r="D1" s="222" t="inlineStr">
        <is>
          <t>RevitFamily</t>
        </is>
      </c>
      <c r="F1" s="290" t="inlineStr">
        <is>
          <t>FamilyType</t>
        </is>
      </c>
      <c r="H1" s="290" t="inlineStr">
        <is>
          <t>FamilyGraphics</t>
        </is>
      </c>
    </row>
    <row r="2">
      <c r="A2" s="290" t="inlineStr">
        <is>
          <t>A</t>
        </is>
      </c>
      <c r="B2" s="290" t="n">
        <v>1</v>
      </c>
      <c r="D2" t="inlineStr">
        <is>
          <t>Oneline_Ensw</t>
        </is>
      </c>
      <c r="F2" t="inlineStr">
        <is>
          <t>PS_1Ckt-CPT</t>
        </is>
      </c>
      <c r="H2" t="inlineStr">
        <is>
          <t>Motor</t>
        </is>
      </c>
    </row>
    <row r="3">
      <c r="A3" s="290" t="inlineStr">
        <is>
          <t>B</t>
        </is>
      </c>
      <c r="B3" s="290" t="n">
        <v>2</v>
      </c>
      <c r="D3" t="inlineStr">
        <is>
          <t>Oneline_Ensw_Power_Supply</t>
        </is>
      </c>
      <c r="F3" t="inlineStr">
        <is>
          <t>PS_1Ckt-External-Power</t>
        </is>
      </c>
      <c r="H3" t="inlineStr">
        <is>
          <t>Motor w/ Disc</t>
        </is>
      </c>
    </row>
    <row r="4">
      <c r="A4" s="290" t="inlineStr">
        <is>
          <t>C</t>
        </is>
      </c>
      <c r="B4" s="290" t="n">
        <v>3</v>
      </c>
      <c r="D4" t="inlineStr">
        <is>
          <t>Oneline_Feeder_Panel</t>
        </is>
      </c>
      <c r="F4" t="inlineStr">
        <is>
          <t>PS_2Ckt-External-Power</t>
        </is>
      </c>
      <c r="H4" t="inlineStr">
        <is>
          <t>Heater</t>
        </is>
      </c>
    </row>
    <row r="5">
      <c r="A5" s="290" t="inlineStr">
        <is>
          <t>D</t>
        </is>
      </c>
      <c r="B5" s="290" t="n">
        <v>4</v>
      </c>
      <c r="D5" t="inlineStr">
        <is>
          <t>Oneline_Feeder_Sub-Panel</t>
        </is>
      </c>
      <c r="F5" t="inlineStr">
        <is>
          <t>Feeder_Panel</t>
        </is>
      </c>
      <c r="H5" t="inlineStr">
        <is>
          <t>Power-Meter</t>
        </is>
      </c>
    </row>
    <row r="6">
      <c r="A6" s="290" t="inlineStr">
        <is>
          <t>E</t>
        </is>
      </c>
      <c r="B6" s="290" t="n">
        <v>5</v>
      </c>
      <c r="D6" t="inlineStr">
        <is>
          <t>Oneline_Feeder_Sub-Xfmr</t>
        </is>
      </c>
      <c r="F6" t="inlineStr">
        <is>
          <t>Feeder_Panel-w-Disc</t>
        </is>
      </c>
    </row>
    <row r="7">
      <c r="A7" s="290" t="inlineStr">
        <is>
          <t>F</t>
        </is>
      </c>
      <c r="B7" s="290" t="n">
        <v>6</v>
      </c>
      <c r="D7" t="inlineStr">
        <is>
          <t>Oneline_MCC</t>
        </is>
      </c>
      <c r="F7" t="inlineStr">
        <is>
          <t>Feeder_Space</t>
        </is>
      </c>
    </row>
    <row r="8">
      <c r="A8" s="290" t="inlineStr">
        <is>
          <t>G</t>
        </is>
      </c>
      <c r="B8" s="290" t="n">
        <v>7</v>
      </c>
      <c r="D8" t="inlineStr">
        <is>
          <t>Oneline_Motor</t>
        </is>
      </c>
      <c r="F8" t="inlineStr">
        <is>
          <t>Feeder_Spare</t>
        </is>
      </c>
    </row>
    <row r="9">
      <c r="A9" s="290" t="inlineStr">
        <is>
          <t>H</t>
        </is>
      </c>
      <c r="B9" s="290" t="n">
        <v>8</v>
      </c>
      <c r="F9" t="inlineStr">
        <is>
          <t>Feeder_XFMR</t>
        </is>
      </c>
    </row>
    <row r="10">
      <c r="A10" s="290" t="inlineStr">
        <is>
          <t>J</t>
        </is>
      </c>
      <c r="B10" s="290" t="n">
        <v>9</v>
      </c>
      <c r="F10" t="inlineStr">
        <is>
          <t>Graphics_Power-Meter</t>
        </is>
      </c>
    </row>
    <row r="11">
      <c r="A11" s="290" t="inlineStr">
        <is>
          <t>K</t>
        </is>
      </c>
      <c r="B11" s="290" t="n">
        <v>10</v>
      </c>
      <c r="F11" t="inlineStr">
        <is>
          <t>MCC_MB-Bus1</t>
        </is>
      </c>
    </row>
    <row r="12">
      <c r="A12" s="290" t="inlineStr">
        <is>
          <t>L</t>
        </is>
      </c>
      <c r="B12" s="290" t="n">
        <v>11</v>
      </c>
      <c r="F12" t="inlineStr">
        <is>
          <t>MCC_MB-Bus2</t>
        </is>
      </c>
    </row>
    <row r="13">
      <c r="A13" s="290" t="inlineStr">
        <is>
          <t>M</t>
        </is>
      </c>
      <c r="B13" s="290" t="n">
        <v>12</v>
      </c>
      <c r="F13" t="inlineStr">
        <is>
          <t>MCC_MB-Bus3</t>
        </is>
      </c>
    </row>
    <row r="14">
      <c r="F14" t="inlineStr">
        <is>
          <t>MCC_MB-Bus4</t>
        </is>
      </c>
    </row>
    <row r="15">
      <c r="F15" t="inlineStr">
        <is>
          <t>MCC_MLO-Bus1</t>
        </is>
      </c>
    </row>
    <row r="16">
      <c r="F16" t="inlineStr">
        <is>
          <t>MCC_MLO-Bus2</t>
        </is>
      </c>
    </row>
    <row r="17" customFormat="1" s="14">
      <c r="F17" t="inlineStr">
        <is>
          <t>MCC_MLO-Bus3</t>
        </is>
      </c>
      <c r="J17" s="50" t="n"/>
      <c r="M17" s="54" t="n"/>
      <c r="V17" s="47" t="n"/>
      <c r="X17" s="47" t="n"/>
      <c r="Y17" s="47" t="n"/>
      <c r="Z17" s="47" t="n"/>
      <c r="AA17" s="47" t="n"/>
      <c r="AB17" s="47" t="n"/>
      <c r="AC17" s="48" t="n"/>
      <c r="AD17" s="55" t="n"/>
      <c r="AE17" s="55" t="n"/>
      <c r="AF17" s="55" t="n"/>
      <c r="AG17" s="55" t="n"/>
      <c r="AH17" s="56" t="n"/>
      <c r="AI17" s="56" t="n"/>
      <c r="AJ17" s="56" t="n"/>
      <c r="AK17" s="56" t="n"/>
      <c r="AL17" s="56" t="n"/>
      <c r="AM17" s="56" t="n"/>
      <c r="AN17" s="56" t="n"/>
      <c r="AO17" s="56" t="n"/>
      <c r="AQ17" s="48" t="n"/>
      <c r="AR17" s="48" t="n"/>
      <c r="AS17" s="48" t="n"/>
    </row>
    <row r="18" customFormat="1" s="14">
      <c r="F18" t="inlineStr">
        <is>
          <t>MCC_MLO-Bus4</t>
        </is>
      </c>
      <c r="J18" s="50" t="n"/>
      <c r="M18" s="54" t="n"/>
      <c r="V18" s="49" t="n"/>
      <c r="X18" s="49" t="n"/>
      <c r="Y18" s="49" t="n"/>
      <c r="Z18" s="49" t="n"/>
      <c r="AA18" s="49" t="n"/>
      <c r="AB18" s="49" t="n"/>
      <c r="AC18" s="48" t="n"/>
      <c r="AD18" s="55" t="n"/>
      <c r="AE18" s="55" t="n"/>
      <c r="AF18" s="55" t="n"/>
      <c r="AG18" s="55" t="n"/>
      <c r="AH18" s="56" t="n"/>
      <c r="AI18" s="56" t="n"/>
      <c r="AJ18" s="56" t="n"/>
      <c r="AK18" s="56" t="n"/>
      <c r="AL18" s="56" t="n"/>
      <c r="AM18" s="56" t="n"/>
      <c r="AN18" s="56" t="n"/>
      <c r="AO18" s="56" t="n"/>
      <c r="AQ18" s="48" t="n"/>
      <c r="AR18" s="48" t="n"/>
      <c r="AS18" s="48" t="n"/>
    </row>
    <row r="19" customFormat="1" s="14">
      <c r="F19" t="inlineStr">
        <is>
          <t>Motor_FVNR</t>
        </is>
      </c>
      <c r="J19" s="50" t="n"/>
      <c r="M19" s="54" t="n"/>
      <c r="V19" s="47" t="n"/>
      <c r="X19" s="47" t="n"/>
      <c r="Y19" s="47" t="n"/>
      <c r="Z19" s="47" t="n"/>
      <c r="AA19" s="47" t="n"/>
      <c r="AB19" s="47" t="n"/>
      <c r="AC19" s="48" t="n"/>
      <c r="AD19" s="55" t="n"/>
      <c r="AE19" s="55" t="n"/>
      <c r="AF19" s="55" t="n"/>
      <c r="AG19" s="55" t="n"/>
      <c r="AH19" s="56" t="n"/>
      <c r="AI19" s="56" t="n"/>
      <c r="AJ19" s="56" t="n"/>
      <c r="AK19" s="56" t="n"/>
      <c r="AL19" s="56" t="n"/>
      <c r="AM19" s="56" t="n"/>
      <c r="AN19" s="56" t="n"/>
      <c r="AO19" s="56" t="n"/>
      <c r="AQ19" s="48" t="n"/>
      <c r="AR19" s="48" t="n"/>
      <c r="AS19" s="48" t="n"/>
    </row>
    <row r="20" customFormat="1" s="14">
      <c r="F20" s="223" t="inlineStr">
        <is>
          <t>Motor_FVR</t>
        </is>
      </c>
      <c r="J20" s="46" t="n"/>
      <c r="M20" s="47" t="n"/>
      <c r="U20" s="45" t="n"/>
      <c r="AC20" s="48" t="n"/>
      <c r="AD20" s="55" t="n"/>
      <c r="AE20" s="56" t="n"/>
      <c r="AF20" s="56" t="n"/>
      <c r="AG20" s="56" t="n"/>
      <c r="AH20" s="56" t="n"/>
      <c r="AI20" s="56" t="n"/>
      <c r="AJ20" s="56" t="n"/>
      <c r="AK20" s="56" t="n"/>
      <c r="AL20" s="56" t="n"/>
      <c r="AM20" s="56" t="n"/>
      <c r="AN20" s="56" t="n"/>
      <c r="AO20" s="56" t="n"/>
    </row>
    <row r="21">
      <c r="F21" s="223" t="inlineStr">
        <is>
          <t>Motor_Soft-Start</t>
        </is>
      </c>
    </row>
    <row r="22">
      <c r="F22" s="223" t="inlineStr">
        <is>
          <t>Motor_VFD</t>
        </is>
      </c>
    </row>
    <row r="23">
      <c r="F23" t="inlineStr">
        <is>
          <t>Motor_VFD-w-Fuse</t>
        </is>
      </c>
    </row>
    <row r="24">
      <c r="F24" t="inlineStr">
        <is>
          <t>Motor_VFD-w-Fuse-Line-Filt</t>
        </is>
      </c>
    </row>
    <row r="25">
      <c r="F25" t="inlineStr">
        <is>
          <t>Motor_VFD-w-Fuse-Line-Load-Filt</t>
        </is>
      </c>
    </row>
    <row r="26">
      <c r="F26" t="inlineStr">
        <is>
          <t>Motor_VFD-w-Fuse-Load-Filt</t>
        </is>
      </c>
    </row>
    <row r="27">
      <c r="F27" t="inlineStr">
        <is>
          <t>Motor_VFD-w-Fuse-Load-Filter-2OL</t>
        </is>
      </c>
    </row>
    <row r="28">
      <c r="F28" t="inlineStr">
        <is>
          <t>Switch_10-Port</t>
        </is>
      </c>
    </row>
    <row r="29">
      <c r="F29" t="inlineStr">
        <is>
          <t>Switch_20-Port</t>
        </is>
      </c>
    </row>
    <row r="30">
      <c r="F30" t="inlineStr">
        <is>
          <t>Switch_30-Port</t>
        </is>
      </c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2.xml><?xml version="1.0" encoding="utf-8"?>
<worksheet xmlns="http://schemas.openxmlformats.org/spreadsheetml/2006/main">
  <sheetPr codeName="Sheet8">
    <outlinePr summaryBelow="1" summaryRight="1"/>
    <pageSetUpPr fitToPage="1"/>
  </sheetPr>
  <dimension ref="A1:V125"/>
  <sheetViews>
    <sheetView workbookViewId="0">
      <selection activeCell="G15" sqref="G15"/>
    </sheetView>
  </sheetViews>
  <sheetFormatPr baseColWidth="8" defaultColWidth="10.7109375" defaultRowHeight="15" customHeight="1"/>
  <cols>
    <col width="4.7109375" customWidth="1" min="3" max="3"/>
    <col width="15.7109375" customWidth="1" min="4" max="22"/>
  </cols>
  <sheetData>
    <row r="1" ht="24.95" customHeight="1" thickBot="1">
      <c r="A1" s="52" t="inlineStr">
        <is>
          <t>RL7-6MCC01</t>
        </is>
      </c>
      <c r="D1" s="51" t="n">
        <v>1</v>
      </c>
      <c r="E1" s="51" t="n">
        <v>2</v>
      </c>
      <c r="F1" s="51" t="n">
        <v>3</v>
      </c>
      <c r="G1" s="51" t="n">
        <v>4</v>
      </c>
      <c r="H1" s="51" t="n">
        <v>5</v>
      </c>
      <c r="I1" s="51" t="n">
        <v>6</v>
      </c>
      <c r="J1" s="51" t="n">
        <v>7</v>
      </c>
      <c r="K1" s="51" t="n">
        <v>8</v>
      </c>
      <c r="L1" s="51" t="n">
        <v>9</v>
      </c>
      <c r="M1" s="51" t="n">
        <v>10</v>
      </c>
      <c r="N1" s="51" t="n">
        <v>11</v>
      </c>
      <c r="O1" s="51" t="n">
        <v>12</v>
      </c>
      <c r="P1" s="51" t="n">
        <v>13</v>
      </c>
      <c r="Q1" s="51" t="n">
        <v>14</v>
      </c>
      <c r="R1" s="51" t="n">
        <v>15</v>
      </c>
      <c r="S1" s="51" t="n">
        <v>16</v>
      </c>
      <c r="T1" s="51" t="n">
        <v>17</v>
      </c>
      <c r="U1" s="51" t="n">
        <v>18</v>
      </c>
    </row>
    <row r="2" ht="24" customHeight="1" thickTop="1">
      <c r="C2" s="53" t="inlineStr">
        <is>
          <t>A</t>
        </is>
      </c>
      <c r="D2" s="302" t="inlineStr">
        <is>
          <t>01A_x000D_
MAIN_x000D_
INCOMING MCB</t>
        </is>
      </c>
      <c r="E2" s="294" t="inlineStr">
        <is>
          <t>2A_x000D_
RL7-MCC1-2A.SW1 RL7-MCC1-2A.SW2_x000D_
ETHERNET SWITCH (10-PORT)
ETHERNET SWITCH (20-PORT)</t>
        </is>
      </c>
      <c r="F2" s="294" t="inlineStr">
        <is>
          <t>03A_x000D_
SPARE_x000D_
VFD - 60HP</t>
        </is>
      </c>
      <c r="G2" s="294" t="inlineStr">
        <is>
          <t>04A_x000D_
RL7-GRR-101.M1_x000D_
FINISH GRINDER</t>
        </is>
      </c>
      <c r="H2" s="294" t="inlineStr">
        <is>
          <t>05A_x000D_
SPARE_x000D_
VFD - 10HP</t>
        </is>
      </c>
      <c r="I2" s="294" t="inlineStr">
        <is>
          <t>06A_x000D_
RL7-CNV-112.M1_x000D_
SURGE BIN TAKE AWAY CONVEYOR</t>
        </is>
      </c>
      <c r="J2" s="294" t="inlineStr">
        <is>
          <t>07A_x000D_
RL7-CNV-113.M1_x000D_
INCLINE BELT CONVEYOR 1</t>
        </is>
      </c>
      <c r="K2" s="294" t="inlineStr">
        <is>
          <t>08A_x000D_
RL7-BIN-101.M1_x000D_
SURGE BIN 1 UPPER AGITATOR</t>
        </is>
      </c>
      <c r="L2" s="294" t="inlineStr">
        <is>
          <t>09A_x000D_
RL7-BIN-102.M1_x000D_
SURGE BIN 2 UPPER AGITATOR</t>
        </is>
      </c>
      <c r="M2" s="294" t="inlineStr">
        <is>
          <t>10A_x000D_
RL7-BIN-103.M1_x000D_
SURGE BIN 3 UPPER AGITATOR</t>
        </is>
      </c>
      <c r="N2" s="294" t="inlineStr">
        <is>
          <t>11A_x000D_
RL7-BIN-104.M1_x000D_
SURGE BIN 4 UPPER AGITATOR</t>
        </is>
      </c>
      <c r="O2" s="294" t="inlineStr">
        <is>
          <t>12A_x000D_
RL7-CNV-110.M1_x000D_
METAL DETECTOR CONVEYOR</t>
        </is>
      </c>
      <c r="P2" s="294" t="inlineStr">
        <is>
          <t>13A_x000D_
RL7-CNV-114.M2_x000D_
INCLINE PIVOT AUGER 1 HYDRAULIC PUMP</t>
        </is>
      </c>
      <c r="Q2" s="294" t="inlineStr">
        <is>
          <t>14A_x000D_
RL7-MCC1-14A.SW1 RL7-MCC1-14A.SW2_x000D_
ETHERNET SWITCH (10-PORT)
ETHERNET SWITCH (20-PORT)</t>
        </is>
      </c>
      <c r="R2" s="294" t="inlineStr">
        <is>
          <t>15A_x000D_
RL7-PMP-101.M1_x000D_
FRESH AUGER CART 1 - PUMP</t>
        </is>
      </c>
      <c r="S2" s="294" t="inlineStr">
        <is>
          <t>16A_x000D_
RL7-MLT-104.M1_x000D_
FRESH AUGER CART 1 - COMBO DUMPER</t>
        </is>
      </c>
      <c r="T2" s="294" t="inlineStr">
        <is>
          <t>17A_x000D_
RL7-GRR-103.M1_x000D_
FROZEN BLOCK CRUSHER</t>
        </is>
      </c>
      <c r="U2" s="298" t="inlineStr">
        <is>
          <t>18A_x000D_
RL7-GRR-103.M2_x000D_
FROZEN BLOCK CRUSHER</t>
        </is>
      </c>
    </row>
    <row r="3" ht="24" customHeight="1">
      <c r="C3" s="53" t="inlineStr">
        <is>
          <t>B</t>
        </is>
      </c>
      <c r="D3" s="296" t="n"/>
      <c r="E3" s="292" t="n"/>
      <c r="F3" s="293" t="n"/>
      <c r="G3" s="293" t="n"/>
      <c r="H3" s="293" t="n"/>
      <c r="I3" s="293" t="n"/>
      <c r="J3" s="293" t="n"/>
      <c r="K3" s="293" t="n"/>
      <c r="L3" s="293" t="n"/>
      <c r="M3" s="293" t="n"/>
      <c r="N3" s="293" t="n"/>
      <c r="O3" s="293" t="n"/>
      <c r="P3" s="292" t="n"/>
      <c r="Q3" s="292" t="n"/>
      <c r="R3" s="293" t="n"/>
      <c r="S3" s="292" t="n"/>
      <c r="T3" s="293" t="n"/>
      <c r="U3" s="301" t="n"/>
    </row>
    <row r="4" ht="24" customHeight="1">
      <c r="C4" s="53" t="inlineStr">
        <is>
          <t>C</t>
        </is>
      </c>
      <c r="D4" s="296" t="n"/>
      <c r="E4" s="291" t="inlineStr">
        <is>
          <t>02C_x000D_
RL7-MCC1-2C.PS1_x000D_
ETHERNET SWITCH POWER SUPPLY</t>
        </is>
      </c>
      <c r="F4" s="293" t="n"/>
      <c r="G4" s="293" t="n"/>
      <c r="H4" s="293" t="n"/>
      <c r="I4" s="293" t="n"/>
      <c r="J4" s="293" t="n"/>
      <c r="K4" s="293" t="n"/>
      <c r="L4" s="293" t="n"/>
      <c r="M4" s="293" t="n"/>
      <c r="N4" s="293" t="n"/>
      <c r="O4" s="293" t="n"/>
      <c r="P4" s="291" t="inlineStr">
        <is>
          <t>13C_x000D_
RL7-CNV-114.M1_x000D_
INCLINE PIVOT AUGER 1</t>
        </is>
      </c>
      <c r="Q4" s="291" t="inlineStr">
        <is>
          <t>14C_x000D_
12" SPACE</t>
        </is>
      </c>
      <c r="R4" s="293" t="n"/>
      <c r="S4" s="291" t="inlineStr">
        <is>
          <t>16C_x000D_
RL7-MLT-105.M1_x000D_
FRESH AUGER CART 2 - COMBO DUMPER</t>
        </is>
      </c>
      <c r="T4" s="293" t="n"/>
      <c r="U4" s="301" t="n"/>
    </row>
    <row r="5" ht="24" customHeight="1">
      <c r="C5" s="53" t="inlineStr">
        <is>
          <t>D</t>
        </is>
      </c>
      <c r="D5" s="296" t="n"/>
      <c r="E5" s="292" t="n"/>
      <c r="F5" s="293" t="n"/>
      <c r="G5" s="293" t="n"/>
      <c r="H5" s="293" t="n"/>
      <c r="I5" s="292" t="n"/>
      <c r="J5" s="292" t="n"/>
      <c r="K5" s="293" t="n"/>
      <c r="L5" s="293" t="n"/>
      <c r="M5" s="293" t="n"/>
      <c r="N5" s="293" t="n"/>
      <c r="O5" s="292" t="n"/>
      <c r="P5" s="293" t="n"/>
      <c r="Q5" s="292" t="n"/>
      <c r="R5" s="293" t="n"/>
      <c r="S5" s="292" t="n"/>
      <c r="T5" s="293" t="n"/>
      <c r="U5" s="301" t="n"/>
    </row>
    <row r="6" ht="24" customHeight="1">
      <c r="C6" s="53" t="inlineStr">
        <is>
          <t>E</t>
        </is>
      </c>
      <c r="D6" s="296" t="n"/>
      <c r="E6" s="291" t="inlineStr">
        <is>
          <t>02E_x000D_
6" SPACE</t>
        </is>
      </c>
      <c r="F6" s="293" t="n"/>
      <c r="G6" s="293" t="n"/>
      <c r="H6" s="292" t="n"/>
      <c r="I6" s="291" t="inlineStr">
        <is>
          <t>06E_x000D_
RL7-CNV-115.M1_x000D_
INCLINE BELT CONVEYOR 2</t>
        </is>
      </c>
      <c r="J6" s="291" t="inlineStr">
        <is>
          <t>07E_x000D_
SPARE_x000D_
VFD - 2HP</t>
        </is>
      </c>
      <c r="K6" s="292" t="n"/>
      <c r="L6" s="292" t="n"/>
      <c r="M6" s="292" t="n"/>
      <c r="N6" s="292" t="n"/>
      <c r="O6" s="291" t="inlineStr">
        <is>
          <t>12E_x000D_
6" SPACE</t>
        </is>
      </c>
      <c r="P6" s="293" t="n"/>
      <c r="Q6" s="291" t="inlineStr">
        <is>
          <t>14E_x000D_
RL7-AGC-101.M1_x000D_
FRESH AUGER CART 1 - AUGER 1</t>
        </is>
      </c>
      <c r="R6" s="293" t="n"/>
      <c r="S6" s="291" t="inlineStr">
        <is>
          <t>16E_x000D_
RL7-AGC-102.M1_x000D_
FRESH AUGER CART 2 - AUGER 1</t>
        </is>
      </c>
      <c r="T6" s="293" t="n"/>
      <c r="U6" s="301" t="n"/>
    </row>
    <row r="7" ht="24" customHeight="1">
      <c r="C7" s="53" t="inlineStr">
        <is>
          <t>F</t>
        </is>
      </c>
      <c r="D7" s="296" t="n"/>
      <c r="E7" s="291" t="inlineStr">
        <is>
          <t>02F_x000D_
SPARE_x000D_
SZ1 FVNR - 7.5HP</t>
        </is>
      </c>
      <c r="F7" s="293" t="n"/>
      <c r="G7" s="293" t="n"/>
      <c r="H7" s="291" t="inlineStr">
        <is>
          <t>05F_x000D_
SPARE_x000D_
VFD - 25HP</t>
        </is>
      </c>
      <c r="I7" s="293" t="n"/>
      <c r="J7" s="293" t="n"/>
      <c r="K7" s="291" t="inlineStr">
        <is>
          <t>08F_x000D_
12" SPACE</t>
        </is>
      </c>
      <c r="L7" s="291" t="inlineStr">
        <is>
          <t>09F_x000D_
12" SPACE</t>
        </is>
      </c>
      <c r="M7" s="291" t="inlineStr">
        <is>
          <t>10F_x000D_
12" SPACE</t>
        </is>
      </c>
      <c r="N7" s="291" t="inlineStr">
        <is>
          <t>11F_x000D_
12" SPACE</t>
        </is>
      </c>
      <c r="O7" s="291" t="inlineStr">
        <is>
          <t>12F_x000D_
RL7-CNV-109.M1_x000D_
INCLINE AUGER CONVEYOR</t>
        </is>
      </c>
      <c r="P7" s="293" t="n"/>
      <c r="Q7" s="293" t="n"/>
      <c r="R7" s="292" t="n"/>
      <c r="S7" s="293" t="n"/>
      <c r="T7" s="293" t="n"/>
      <c r="U7" s="301" t="n"/>
    </row>
    <row r="8" ht="24" customHeight="1">
      <c r="C8" s="53" t="inlineStr">
        <is>
          <t>G</t>
        </is>
      </c>
      <c r="D8" s="297" t="n"/>
      <c r="E8" s="292" t="n"/>
      <c r="F8" s="293" t="n"/>
      <c r="G8" s="293" t="n"/>
      <c r="H8" s="293" t="n"/>
      <c r="I8" s="293" t="n"/>
      <c r="J8" s="293" t="n"/>
      <c r="K8" s="292" t="n"/>
      <c r="L8" s="292" t="n"/>
      <c r="M8" s="292" t="n"/>
      <c r="N8" s="292" t="n"/>
      <c r="O8" s="293" t="n"/>
      <c r="P8" s="292" t="n"/>
      <c r="Q8" s="293" t="n"/>
      <c r="R8" s="291" t="inlineStr">
        <is>
          <t>15G_x000D_
RL7-PMP-102.M1_x000D_
FRESH AUGER CART 2 - PUMP</t>
        </is>
      </c>
      <c r="S8" s="293" t="n"/>
      <c r="T8" s="293" t="n"/>
      <c r="U8" s="301" t="n"/>
    </row>
    <row r="9" ht="24" customHeight="1">
      <c r="C9" s="53" t="inlineStr">
        <is>
          <t>H</t>
        </is>
      </c>
      <c r="D9" s="295" t="inlineStr">
        <is>
          <t>01H_x000D_
RL7-MCC1-PM_x000D_
POWERMONITOR 5000 W/ ETHERNET</t>
        </is>
      </c>
      <c r="E9" s="291" t="inlineStr">
        <is>
          <t>02H_x000D_
SPARE_x000D_
VFD - 10HP</t>
        </is>
      </c>
      <c r="F9" s="293" t="n"/>
      <c r="G9" s="293" t="n"/>
      <c r="H9" s="293" t="n"/>
      <c r="I9" s="292" t="n"/>
      <c r="J9" s="292" t="n"/>
      <c r="K9" s="291" t="inlineStr">
        <is>
          <t>08H_x000D_
RL7-BIN-101.M2_x000D_
SURGE BIN 1 AUGER</t>
        </is>
      </c>
      <c r="L9" s="291" t="inlineStr">
        <is>
          <t>09H_x000D_
RL7-BIN-102.M2_x000D_
SURGE BIN 2 AUGER</t>
        </is>
      </c>
      <c r="M9" s="291" t="inlineStr">
        <is>
          <t>10H_x000D_
RL7-BIN-103.M2_x000D_
SURGE BIN 3 AUGER</t>
        </is>
      </c>
      <c r="N9" s="291" t="inlineStr">
        <is>
          <t>11H_x000D_
RL7-BIN-104.M2_x000D_
SURGE BIN 4 AUGER</t>
        </is>
      </c>
      <c r="O9" s="293" t="n"/>
      <c r="P9" s="291" t="inlineStr">
        <is>
          <t>13H_x000D_
6" SPACE</t>
        </is>
      </c>
      <c r="Q9" s="292" t="n"/>
      <c r="R9" s="293" t="n"/>
      <c r="S9" s="292" t="n"/>
      <c r="T9" s="293" t="n"/>
      <c r="U9" s="301" t="n"/>
    </row>
    <row r="10" ht="24" customHeight="1">
      <c r="C10" s="53" t="inlineStr">
        <is>
          <t>J</t>
        </is>
      </c>
      <c r="D10" s="296" t="n"/>
      <c r="E10" s="293" t="n"/>
      <c r="F10" s="293" t="n"/>
      <c r="G10" s="293" t="n"/>
      <c r="H10" s="293" t="n"/>
      <c r="I10" s="291" t="inlineStr">
        <is>
          <t>06J_x000D_
RL7-CNV-116.M1_x000D_
ROTOCLAW BELT CONVEYOR</t>
        </is>
      </c>
      <c r="J10" s="291" t="inlineStr">
        <is>
          <t>07J_x000D_
RL7-CNV-111.M1_x000D_
SURGE BIN SUPPLY CONVEYOR</t>
        </is>
      </c>
      <c r="K10" s="293" t="n"/>
      <c r="L10" s="293" t="n"/>
      <c r="M10" s="293" t="n"/>
      <c r="N10" s="293" t="n"/>
      <c r="O10" s="293" t="n"/>
      <c r="P10" s="291" t="inlineStr">
        <is>
          <t>13J_x000D_
RL7-CNV-114.M3_x000D_
INCLINE PIVOT AUGER 1 SLIDE TRACK</t>
        </is>
      </c>
      <c r="Q10" s="291" t="inlineStr">
        <is>
          <t>14J_x000D_
RL7-AGC-101.M2_x000D_
FRESH AUGER CART 1 - AUGER 2</t>
        </is>
      </c>
      <c r="R10" s="293" t="n"/>
      <c r="S10" s="291" t="inlineStr">
        <is>
          <t>16J_x000D_
RL7-AGC-102.M2_x000D_
FRESH AUGER CART 2 - AUGER 2</t>
        </is>
      </c>
      <c r="T10" s="293" t="n"/>
      <c r="U10" s="301" t="n"/>
    </row>
    <row r="11" ht="24" customHeight="1">
      <c r="C11" s="53" t="inlineStr">
        <is>
          <t>K</t>
        </is>
      </c>
      <c r="D11" s="297" t="n"/>
      <c r="E11" s="293" t="n"/>
      <c r="F11" s="293" t="n"/>
      <c r="G11" s="293" t="n"/>
      <c r="H11" s="293" t="n"/>
      <c r="I11" s="293" t="n"/>
      <c r="J11" s="293" t="n"/>
      <c r="K11" s="293" t="n"/>
      <c r="L11" s="293" t="n"/>
      <c r="M11" s="293" t="n"/>
      <c r="N11" s="293" t="n"/>
      <c r="O11" s="293" t="n"/>
      <c r="P11" s="293" t="n"/>
      <c r="Q11" s="293" t="n"/>
      <c r="R11" s="293" t="n"/>
      <c r="S11" s="293" t="n"/>
      <c r="T11" s="293" t="n"/>
      <c r="U11" s="301" t="n"/>
    </row>
    <row r="12" ht="24" customHeight="1">
      <c r="C12" s="53" t="inlineStr">
        <is>
          <t>L</t>
        </is>
      </c>
      <c r="D12" s="295" t="inlineStr">
        <is>
          <t>01L_x000D_
SPARE_x000D_
SZ1 FVNR - 1.5HP</t>
        </is>
      </c>
      <c r="E12" s="293" t="n"/>
      <c r="F12" s="293" t="n"/>
      <c r="G12" s="293" t="n"/>
      <c r="H12" s="293" t="n"/>
      <c r="I12" s="293" t="n"/>
      <c r="J12" s="293" t="n"/>
      <c r="K12" s="293" t="n"/>
      <c r="L12" s="293" t="n"/>
      <c r="M12" s="293" t="n"/>
      <c r="N12" s="293" t="n"/>
      <c r="O12" s="293" t="n"/>
      <c r="P12" s="293" t="n"/>
      <c r="Q12" s="293" t="n"/>
      <c r="R12" s="293" t="n"/>
      <c r="S12" s="293" t="n"/>
      <c r="T12" s="293" t="n"/>
      <c r="U12" s="301" t="n"/>
    </row>
    <row r="13" ht="24" customHeight="1" thickBot="1">
      <c r="C13" s="53" t="inlineStr">
        <is>
          <t>M</t>
        </is>
      </c>
      <c r="D13" s="297" t="n"/>
      <c r="E13" s="292" t="n"/>
      <c r="F13" s="292" t="n"/>
      <c r="G13" s="292" t="n"/>
      <c r="H13" s="292" t="n"/>
      <c r="I13" s="292" t="n"/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9" t="n"/>
    </row>
    <row r="14" ht="15" customHeight="1" thickTop="1"/>
    <row r="17" ht="24.95" customHeight="1" thickBot="1">
      <c r="A17" s="52" t="inlineStr">
        <is>
          <t>RL7-6MCC02</t>
        </is>
      </c>
      <c r="D17" s="51" t="n">
        <v>1</v>
      </c>
      <c r="E17" s="51" t="n">
        <v>2</v>
      </c>
      <c r="F17" s="51" t="n">
        <v>3</v>
      </c>
      <c r="G17" s="51" t="n">
        <v>4</v>
      </c>
      <c r="H17" s="51" t="n">
        <v>5</v>
      </c>
      <c r="I17" s="51" t="n">
        <v>6</v>
      </c>
      <c r="J17" s="51" t="n">
        <v>7</v>
      </c>
      <c r="K17" s="51" t="n">
        <v>8</v>
      </c>
      <c r="L17" s="51" t="n">
        <v>9</v>
      </c>
      <c r="M17" s="51" t="n">
        <v>10</v>
      </c>
      <c r="N17" s="51" t="n">
        <v>11</v>
      </c>
      <c r="O17" s="51" t="n">
        <v>12</v>
      </c>
      <c r="P17" s="51" t="n">
        <v>13</v>
      </c>
      <c r="Q17" s="51" t="n">
        <v>14</v>
      </c>
      <c r="R17" s="51" t="n">
        <v>15</v>
      </c>
      <c r="S17" s="51" t="n">
        <v>16</v>
      </c>
      <c r="T17" s="51" t="n">
        <v>17</v>
      </c>
      <c r="U17" s="51" t="n">
        <v>18</v>
      </c>
      <c r="V17" s="51" t="n">
        <v>19</v>
      </c>
    </row>
    <row r="18" ht="24" customHeight="1" thickTop="1">
      <c r="C18" s="53" t="inlineStr">
        <is>
          <t>A</t>
        </is>
      </c>
      <c r="D18" s="302" t="inlineStr">
        <is>
          <t>01A_x000D_
MAIN_x000D_
INCOMING MCB</t>
        </is>
      </c>
      <c r="E18" s="294" t="inlineStr">
        <is>
          <t>02A_x000D_
RL7-MCC2-2A.SW1_x000D_
ETHERNET SWITCH (20-PORT)</t>
        </is>
      </c>
      <c r="F18" s="294" t="inlineStr">
        <is>
          <t>03A_x000D_
RL7-CKR-101.M1_x000D_
COOKER 1 - AGITATOR 1 (LEFT)</t>
        </is>
      </c>
      <c r="G18" s="294" t="inlineStr">
        <is>
          <t>04A_x000D_
RL7-CKR-101.M2_x000D_
COOKER 1 - AGITATOR 2 (RIGHT)</t>
        </is>
      </c>
      <c r="H18" s="294" t="inlineStr">
        <is>
          <t>05A_x000D_
RL7-CKR-102.M1_x000D_
COOKER 2 - AGITATOR 1 (LEFT)</t>
        </is>
      </c>
      <c r="I18" s="294" t="inlineStr">
        <is>
          <t>06A_x000D_
RL7-SKD-101.M1_x000D_
BREDDO MIXER</t>
        </is>
      </c>
      <c r="J18" s="294" t="inlineStr">
        <is>
          <t>07A_x000D_
RL7-CKR-102.M2_x000D_
COOKER 2 - AGITATOR 2 (RIGHT)</t>
        </is>
      </c>
      <c r="K18" s="294" t="inlineStr">
        <is>
          <t>08A_x000D_
RL7-SKD-101.M2_x000D_
BREDDO MIXER AGITATOR</t>
        </is>
      </c>
      <c r="L18" s="294" t="inlineStr">
        <is>
          <t>09A_x000D_
RL7-FAN-103.M1_x000D_
COOKER 1 HOOD EXHAUST FAN</t>
        </is>
      </c>
      <c r="M18" s="294" t="inlineStr">
        <is>
          <t>10A_x000D_
RL7-FAN-104.M1_x000D_
COOKER 2 HOOD EXHAUST FAN</t>
        </is>
      </c>
      <c r="N18" s="294" t="inlineStr">
        <is>
          <t>11A_x000D_
18" SPACE</t>
        </is>
      </c>
      <c r="O18" s="294" t="inlineStr">
        <is>
          <t>12A_x000D_
RL7-MCC2-12A.SW1_x000D_
ETHERNET SWITCH (20-PORT)</t>
        </is>
      </c>
      <c r="P18" s="294" t="inlineStr">
        <is>
          <t>13A_x000D_
RL7-PRM-101.M2
RL7-PRM-101.M3_x000D_
PRE-MIXER AGITATORS</t>
        </is>
      </c>
      <c r="Q18" s="294" t="inlineStr">
        <is>
          <t>14A_x000D_
RL7-PMP-106.M1_x000D_
PRE-MIXER PUMP</t>
        </is>
      </c>
      <c r="R18" s="294" t="inlineStr">
        <is>
          <t>15A_x000D_
6" SPACE</t>
        </is>
      </c>
      <c r="S18" s="294" t="inlineStr">
        <is>
          <t>16A_x000D_
RL7-MCC2-16A.SW1 RL7-MCC2-16A.SW2_x000D_
ETHERNET SWITCHES (10P &amp; 20P)</t>
        </is>
      </c>
      <c r="T18" s="294" t="inlineStr">
        <is>
          <t>17A_x000D_
SPARE_x000D_
SZ1 FVNR - 1.5HP</t>
        </is>
      </c>
      <c r="U18" s="294" t="inlineStr">
        <is>
          <t>18A_x000D_
RL7-CNV-106.M2_x000D_
INCLINE PIVOT AUGER 2 HYDRAULIC PUMP</t>
        </is>
      </c>
      <c r="V18" s="298" t="inlineStr">
        <is>
          <t>19A_x000D_
RL7-MCC2-19A.PS1_x000D_
ETHERNET SWITCH POWER SUPPLY</t>
        </is>
      </c>
    </row>
    <row r="19" ht="24" customHeight="1">
      <c r="C19" s="53" t="inlineStr">
        <is>
          <t>B</t>
        </is>
      </c>
      <c r="D19" s="296" t="n"/>
      <c r="E19" s="292" t="n"/>
      <c r="F19" s="293" t="n"/>
      <c r="G19" s="293" t="n"/>
      <c r="H19" s="293" t="n"/>
      <c r="I19" s="293" t="n"/>
      <c r="J19" s="293" t="n"/>
      <c r="K19" s="293" t="n"/>
      <c r="L19" s="293" t="n"/>
      <c r="M19" s="293" t="n"/>
      <c r="N19" s="293" t="n"/>
      <c r="O19" s="292" t="n"/>
      <c r="P19" s="293" t="n"/>
      <c r="Q19" s="293" t="n"/>
      <c r="R19" s="292" t="n"/>
      <c r="S19" s="292" t="n"/>
      <c r="T19" s="292" t="n"/>
      <c r="U19" s="292" t="n"/>
      <c r="V19" s="299" t="n"/>
    </row>
    <row r="20" ht="24" customHeight="1">
      <c r="C20" s="53" t="inlineStr">
        <is>
          <t>C</t>
        </is>
      </c>
      <c r="D20" s="296" t="n"/>
      <c r="E20" s="291" t="inlineStr">
        <is>
          <t>02C_x000D_
RL7-MCC2-2C.PS1_x000D_
ETHERNET SWITCH POWER SUPPLY</t>
        </is>
      </c>
      <c r="F20" s="293" t="n"/>
      <c r="G20" s="293" t="n"/>
      <c r="H20" s="293" t="n"/>
      <c r="I20" s="293" t="n"/>
      <c r="J20" s="293" t="n"/>
      <c r="K20" s="293" t="n"/>
      <c r="L20" s="293" t="n"/>
      <c r="M20" s="293" t="n"/>
      <c r="N20" s="292" t="n"/>
      <c r="O20" s="291" t="inlineStr">
        <is>
          <t>12C_x000D_
SPARE_x000D_
SZ1 FVNR - 5HP</t>
        </is>
      </c>
      <c r="P20" s="293" t="n"/>
      <c r="Q20" s="293" t="n"/>
      <c r="R20" s="291" t="inlineStr">
        <is>
          <t>15C_x000D_
RL7-MLT-107.M1_x000D_
COOKER 1 - COLUMN DUMPER</t>
        </is>
      </c>
      <c r="S20" s="291" t="inlineStr">
        <is>
          <t>16C_x000D_
SPARE_x000D_
VFD - 5HP</t>
        </is>
      </c>
      <c r="T20" s="291" t="inlineStr">
        <is>
          <t>17C_x000D_
SPARE_x000D_
VFD - 2HP</t>
        </is>
      </c>
      <c r="U20" s="291" t="inlineStr">
        <is>
          <t>18C_x000D_
RL7-CNV-106.M3_x000D_
INCLINE PIVOT AUGER 2 SLIDE TRACK</t>
        </is>
      </c>
      <c r="V20" s="300" t="inlineStr">
        <is>
          <t>19C_x000D_
SPARE_x000D_
VFD - 10HP</t>
        </is>
      </c>
    </row>
    <row r="21" ht="24" customHeight="1">
      <c r="C21" s="53" t="inlineStr">
        <is>
          <t>D</t>
        </is>
      </c>
      <c r="D21" s="296" t="n"/>
      <c r="E21" s="292" t="n"/>
      <c r="F21" s="293" t="n"/>
      <c r="G21" s="293" t="n"/>
      <c r="H21" s="293" t="n"/>
      <c r="I21" s="293" t="n"/>
      <c r="J21" s="293" t="n"/>
      <c r="K21" s="292" t="n"/>
      <c r="L21" s="292" t="n"/>
      <c r="M21" s="292" t="n"/>
      <c r="N21" s="291" t="inlineStr">
        <is>
          <t>11D_x000D_
RL7-SKD-102.M1_x000D_
LACTIC ACID SKID PUMP</t>
        </is>
      </c>
      <c r="O21" s="292" t="n"/>
      <c r="P21" s="293" t="n"/>
      <c r="Q21" s="293" t="n"/>
      <c r="R21" s="293" t="n"/>
      <c r="S21" s="293" t="n"/>
      <c r="T21" s="293" t="n"/>
      <c r="U21" s="293" t="n"/>
      <c r="V21" s="301" t="n"/>
    </row>
    <row r="22" ht="24" customHeight="1">
      <c r="C22" s="53" t="inlineStr">
        <is>
          <t>E</t>
        </is>
      </c>
      <c r="D22" s="296" t="n"/>
      <c r="E22" s="291" t="inlineStr">
        <is>
          <t>02E_x000D_
6" SPACE</t>
        </is>
      </c>
      <c r="F22" s="293" t="n"/>
      <c r="G22" s="293" t="n"/>
      <c r="H22" s="293" t="n"/>
      <c r="I22" s="293" t="n"/>
      <c r="J22" s="293" t="n"/>
      <c r="K22" s="291" t="inlineStr">
        <is>
          <t>08E_x000D_
12" SPACE</t>
        </is>
      </c>
      <c r="L22" s="291" t="inlineStr">
        <is>
          <t>09E_x000D_
12" SPACE</t>
        </is>
      </c>
      <c r="M22" s="291" t="inlineStr">
        <is>
          <t>10E_x000D_
RL7-PMP-103.M1_x000D_
BREDDO MIXER PUMP</t>
        </is>
      </c>
      <c r="N22" s="293" t="n"/>
      <c r="O22" s="291" t="inlineStr">
        <is>
          <t>12E_x000D_
RL7-FAN-101.M1_x000D_
COOKER 1 - EXHAUST FAN</t>
        </is>
      </c>
      <c r="P22" s="293" t="n"/>
      <c r="Q22" s="293" t="n"/>
      <c r="R22" s="292" t="n"/>
      <c r="S22" s="293" t="n"/>
      <c r="T22" s="293" t="n"/>
      <c r="U22" s="293" t="n"/>
      <c r="V22" s="301" t="n"/>
    </row>
    <row r="23" ht="24" customHeight="1">
      <c r="C23" s="53" t="inlineStr">
        <is>
          <t>F</t>
        </is>
      </c>
      <c r="D23" s="296" t="n"/>
      <c r="E23" s="291" t="inlineStr">
        <is>
          <t>02F_x000D_
SPARE_x000D_
VFD - 25HP</t>
        </is>
      </c>
      <c r="F23" s="293" t="n"/>
      <c r="G23" s="293" t="n"/>
      <c r="H23" s="293" t="n"/>
      <c r="I23" s="293" t="n"/>
      <c r="J23" s="293" t="n"/>
      <c r="K23" s="292" t="n"/>
      <c r="L23" s="292" t="n"/>
      <c r="M23" s="293" t="n"/>
      <c r="N23" s="293" t="n"/>
      <c r="O23" s="293" t="n"/>
      <c r="P23" s="293" t="n"/>
      <c r="Q23" s="293" t="n"/>
      <c r="R23" s="291" t="inlineStr">
        <is>
          <t>15F_x000D_
RL7-MLT-108.M1_x000D_
COOKER 2 - COLUMN DUMPER</t>
        </is>
      </c>
      <c r="S23" s="292" t="n"/>
      <c r="T23" s="292" t="n"/>
      <c r="U23" s="292" t="n"/>
      <c r="V23" s="301" t="n"/>
    </row>
    <row r="24" ht="24" customHeight="1">
      <c r="C24" s="53" t="inlineStr">
        <is>
          <t>G</t>
        </is>
      </c>
      <c r="D24" s="297" t="n"/>
      <c r="E24" s="293" t="n"/>
      <c r="F24" s="292" t="n"/>
      <c r="G24" s="292" t="n"/>
      <c r="H24" s="292" t="n"/>
      <c r="I24" s="293" t="n"/>
      <c r="J24" s="292" t="n"/>
      <c r="K24" s="291" t="inlineStr">
        <is>
          <t>08G_x000D_
RL7-PMP-104.M1_x000D_
COOKER 1 - PUMP</t>
        </is>
      </c>
      <c r="L24" s="291" t="inlineStr">
        <is>
          <t>09G_x000D_
RL7-PMP-105.M1_x000D_
COOKER 2 - PUMP</t>
        </is>
      </c>
      <c r="M24" s="293" t="n"/>
      <c r="N24" s="292" t="n"/>
      <c r="O24" s="293" t="n"/>
      <c r="P24" s="293" t="n"/>
      <c r="Q24" s="293" t="n"/>
      <c r="R24" s="293" t="n"/>
      <c r="S24" s="291" t="inlineStr">
        <is>
          <t>16G_x000D_
RL7-MLT-106.M1_x000D_
PRE-MIXER COLUMN DUMPER</t>
        </is>
      </c>
      <c r="T24" s="291" t="inlineStr">
        <is>
          <t>17G_x000D_
SPARE_x000D_
VFD - 10HP</t>
        </is>
      </c>
      <c r="U24" s="291" t="inlineStr">
        <is>
          <t>18G_x000D_
RL7-CNV-106.M1_x000D_
INCLINE PIVOT AUGER 2</t>
        </is>
      </c>
      <c r="V24" s="299" t="n"/>
    </row>
    <row r="25" ht="24" customHeight="1">
      <c r="C25" s="53" t="inlineStr">
        <is>
          <t>H</t>
        </is>
      </c>
      <c r="D25" s="295" t="inlineStr">
        <is>
          <t>01H_x000D_
RL7-MCC2-PM_x000D_
POWERMONITOR 5000 W/ ETHERNET</t>
        </is>
      </c>
      <c r="E25" s="293" t="n"/>
      <c r="F25" s="291" t="inlineStr">
        <is>
          <t>03H_x000D_
SPARE_x000D_
VFD - 2HP</t>
        </is>
      </c>
      <c r="G25" s="291" t="inlineStr">
        <is>
          <t>04H_x000D_
SPARE_x000D_
VFD - 2HP</t>
        </is>
      </c>
      <c r="H25" s="291" t="inlineStr">
        <is>
          <t>05H_x000D_
SPARE_x000D_
VFD - 2HP</t>
        </is>
      </c>
      <c r="I25" s="293" t="n"/>
      <c r="J25" s="291" t="inlineStr">
        <is>
          <t>07H_x000D_
RL7-PRM-101.M1_x000D_
PRE-MIXER DISCHARGE SCREW</t>
        </is>
      </c>
      <c r="K25" s="293" t="n"/>
      <c r="L25" s="293" t="n"/>
      <c r="M25" s="293" t="n"/>
      <c r="N25" s="291" t="inlineStr">
        <is>
          <t>11H_x000D_
RL7-PMP-108.M1_x000D_
HOT WATER JACKET PUMP</t>
        </is>
      </c>
      <c r="O25" s="292" t="n"/>
      <c r="P25" s="293" t="n"/>
      <c r="Q25" s="293" t="n"/>
      <c r="R25" s="292" t="n"/>
      <c r="S25" s="293" t="n"/>
      <c r="T25" s="293" t="n"/>
      <c r="U25" s="293" t="n"/>
      <c r="V25" s="300" t="inlineStr">
        <is>
          <t>19H_x000D_
SPARE_x000D_
VFD - 10HP</t>
        </is>
      </c>
    </row>
    <row r="26" ht="24" customHeight="1">
      <c r="C26" s="53" t="inlineStr">
        <is>
          <t>J</t>
        </is>
      </c>
      <c r="D26" s="296" t="n"/>
      <c r="E26" s="293" t="n"/>
      <c r="F26" s="293" t="n"/>
      <c r="G26" s="293" t="n"/>
      <c r="H26" s="293" t="n"/>
      <c r="I26" s="293" t="n"/>
      <c r="J26" s="293" t="n"/>
      <c r="K26" s="293" t="n"/>
      <c r="L26" s="293" t="n"/>
      <c r="M26" s="293" t="n"/>
      <c r="N26" s="293" t="n"/>
      <c r="O26" s="291" t="inlineStr">
        <is>
          <t>12J_x000D_
RL7-FAN-102.M1_x000D_
COOKER 2 - EXHAUST FAN</t>
        </is>
      </c>
      <c r="P26" s="293" t="n"/>
      <c r="Q26" s="293" t="n"/>
      <c r="R26" s="291" t="inlineStr">
        <is>
          <t>15J_x000D_
12" SPACE</t>
        </is>
      </c>
      <c r="S26" s="292" t="n"/>
      <c r="T26" s="293" t="n"/>
      <c r="U26" s="293" t="n"/>
      <c r="V26" s="301" t="n"/>
    </row>
    <row r="27" ht="24" customHeight="1">
      <c r="C27" s="53" t="inlineStr">
        <is>
          <t>K</t>
        </is>
      </c>
      <c r="D27" s="297" t="n"/>
      <c r="E27" s="293" t="n"/>
      <c r="F27" s="293" t="n"/>
      <c r="G27" s="293" t="n"/>
      <c r="H27" s="293" t="n"/>
      <c r="I27" s="293" t="n"/>
      <c r="J27" s="293" t="n"/>
      <c r="K27" s="293" t="n"/>
      <c r="L27" s="293" t="n"/>
      <c r="M27" s="292" t="n"/>
      <c r="N27" s="293" t="n"/>
      <c r="O27" s="293" t="n"/>
      <c r="P27" s="293" t="n"/>
      <c r="Q27" s="293" t="n"/>
      <c r="R27" s="292" t="n"/>
      <c r="S27" s="291" t="inlineStr">
        <is>
          <t>16K_x000D_
18" SPACE</t>
        </is>
      </c>
      <c r="T27" s="293" t="n"/>
      <c r="U27" s="293" t="n"/>
      <c r="V27" s="301" t="n"/>
    </row>
    <row r="28" ht="24" customHeight="1">
      <c r="C28" s="53" t="inlineStr">
        <is>
          <t>L</t>
        </is>
      </c>
      <c r="D28" s="295" t="inlineStr">
        <is>
          <t>01L_x000D_
RL7-DRM-101.M1_x000D_
BREDDO DUMPER</t>
        </is>
      </c>
      <c r="E28" s="293" t="n"/>
      <c r="F28" s="292" t="n"/>
      <c r="G28" s="292" t="n"/>
      <c r="H28" s="292" t="n"/>
      <c r="I28" s="293" t="n"/>
      <c r="J28" s="293" t="n"/>
      <c r="K28" s="293" t="n"/>
      <c r="L28" s="293" t="n"/>
      <c r="M28" s="291" t="inlineStr">
        <is>
          <t>10L_x000D_
12" SPACE</t>
        </is>
      </c>
      <c r="N28" s="293" t="n"/>
      <c r="O28" s="293" t="n"/>
      <c r="P28" s="293" t="n"/>
      <c r="Q28" s="293" t="n"/>
      <c r="R28" s="291" t="inlineStr">
        <is>
          <t>15L_x000D_
12" SPACE</t>
        </is>
      </c>
      <c r="S28" s="293" t="n"/>
      <c r="T28" s="292" t="n"/>
      <c r="U28" s="292" t="n"/>
      <c r="V28" s="301" t="n"/>
    </row>
    <row r="29" ht="24" customHeight="1" thickBot="1">
      <c r="C29" s="53" t="inlineStr">
        <is>
          <t>M</t>
        </is>
      </c>
      <c r="D29" s="297" t="n"/>
      <c r="E29" s="292" t="n"/>
      <c r="F29" s="61" t="inlineStr">
        <is>
          <t>03M_x000D_
6" SPACE</t>
        </is>
      </c>
      <c r="G29" s="61" t="inlineStr">
        <is>
          <t>04M_x000D_
6" SPACE</t>
        </is>
      </c>
      <c r="H29" s="61" t="inlineStr">
        <is>
          <t>05M_x000D_
6" SPACE</t>
        </is>
      </c>
      <c r="I29" s="292" t="n"/>
      <c r="J29" s="292" t="n"/>
      <c r="K29" s="292" t="n"/>
      <c r="L29" s="292" t="n"/>
      <c r="M29" s="292" t="n"/>
      <c r="N29" s="292" t="n"/>
      <c r="O29" s="292" t="n"/>
      <c r="P29" s="292" t="n"/>
      <c r="Q29" s="292" t="n"/>
      <c r="R29" s="292" t="n"/>
      <c r="S29" s="292" t="n"/>
      <c r="T29" s="61" t="inlineStr">
        <is>
          <t>17M_x000D_
6" SPACE</t>
        </is>
      </c>
      <c r="U29" s="61" t="inlineStr">
        <is>
          <t>18M_x000D_
6" SPACE</t>
        </is>
      </c>
      <c r="V29" s="299" t="n"/>
    </row>
    <row r="30" ht="15" customHeight="1" thickTop="1"/>
    <row r="33" ht="24.95" customHeight="1" thickBot="1">
      <c r="A33" s="52" t="inlineStr">
        <is>
          <t>RL7-6MCC03</t>
        </is>
      </c>
      <c r="D33" s="51" t="n">
        <v>1</v>
      </c>
      <c r="E33" s="51" t="n">
        <v>2</v>
      </c>
      <c r="F33" s="51" t="n">
        <v>3</v>
      </c>
      <c r="G33" s="51" t="n">
        <v>4</v>
      </c>
      <c r="H33" s="51" t="n">
        <v>5</v>
      </c>
      <c r="I33" s="51" t="n">
        <v>6</v>
      </c>
      <c r="J33" s="51" t="n">
        <v>7</v>
      </c>
      <c r="K33" s="51" t="n">
        <v>8</v>
      </c>
      <c r="L33" s="51" t="n">
        <v>9</v>
      </c>
      <c r="M33" s="51" t="n">
        <v>10</v>
      </c>
      <c r="N33" s="51" t="n">
        <v>11</v>
      </c>
      <c r="O33" s="51" t="n">
        <v>12</v>
      </c>
      <c r="P33" s="51" t="n">
        <v>13</v>
      </c>
      <c r="Q33" s="51" t="n">
        <v>14</v>
      </c>
      <c r="R33" s="51" t="n">
        <v>15</v>
      </c>
      <c r="S33" s="51" t="n">
        <v>16</v>
      </c>
    </row>
    <row r="34" ht="24" customHeight="1" thickTop="1">
      <c r="C34" s="53" t="inlineStr">
        <is>
          <t>A</t>
        </is>
      </c>
      <c r="D34" s="302" t="inlineStr">
        <is>
          <t>01A_x000D_
MAIN_x000D_
INCOMING MCB</t>
        </is>
      </c>
      <c r="E34" s="294" t="inlineStr">
        <is>
          <t>02A_x000D_
RL7-MCC3-2A.SW1_x000D_
ETHERNET SWITCH (20-PORT)</t>
        </is>
      </c>
      <c r="F34" s="294" t="inlineStr">
        <is>
          <t>03A_x000D_
RL7-CNV-201.M1_x000D_
ROLL FILLER DISCHARGE CONVEYOR</t>
        </is>
      </c>
      <c r="G34" s="294" t="inlineStr">
        <is>
          <t>04A_x000D_
RL7-AGC-201.M1_x000D_
DISCHARGE AUGER CART - LEVELING RIBBON</t>
        </is>
      </c>
      <c r="H34" s="294" t="inlineStr">
        <is>
          <t>05A_x000D_
12" SPACE</t>
        </is>
      </c>
      <c r="I34" s="294" t="inlineStr">
        <is>
          <t>06A_x000D_
RL7-CNV-205.M1_x000D_
SERPENTINE DISCHARGE CONVEYOR 1</t>
        </is>
      </c>
      <c r="J34" s="294" t="inlineStr">
        <is>
          <t>07A_x000D_
RL7-CHR-201.M1_x000D_
SERPENTINE MAIN DRIVE</t>
        </is>
      </c>
      <c r="K34" s="294" t="inlineStr">
        <is>
          <t>08A_x000D_
RL7-PMP-203.M1_x000D_
SERPENTINE HEX 1 PUMP</t>
        </is>
      </c>
      <c r="L34" s="294" t="inlineStr">
        <is>
          <t>09A_x000D_
RL7-PMP-204.M1_x000D_
SERPENTINE RECIRC 1 PUMP</t>
        </is>
      </c>
      <c r="M34" s="294" t="inlineStr">
        <is>
          <t>10A_x000D_
RL7-PMP-205.M1_x000D_
SERPENTINE HEX 2 PUMP</t>
        </is>
      </c>
      <c r="N34" s="294" t="inlineStr">
        <is>
          <t>11A_x000D_
RL7-PMP-206.M1_x000D_
SERPENTINE RECIRC 2 PUMP</t>
        </is>
      </c>
      <c r="O34" s="294" t="inlineStr">
        <is>
          <t>12A_x000D_
RL7-PMP-207.M1_x000D_
SERPENTINE HEX 3 PUMP</t>
        </is>
      </c>
      <c r="P34" s="294" t="inlineStr">
        <is>
          <t>13A_x000D_
12" SPACE</t>
        </is>
      </c>
      <c r="Q34" s="294" t="inlineStr">
        <is>
          <t>14A_x000D_
SPARE_x000D_
VFD - 1HP</t>
        </is>
      </c>
      <c r="R34" s="294" t="inlineStr">
        <is>
          <t>15A_x000D_
RL7-CNV-402.M1_x000D_
METERING CONVEYOR 1</t>
        </is>
      </c>
      <c r="S34" s="298" t="inlineStr">
        <is>
          <t>16A_x000D_
RL7-MCC3-16A.SW1_x000D_
ETHERNET SWITCH (20-PORT)</t>
        </is>
      </c>
    </row>
    <row r="35" ht="24" customHeight="1">
      <c r="C35" s="53" t="inlineStr">
        <is>
          <t>B</t>
        </is>
      </c>
      <c r="D35" s="296" t="n"/>
      <c r="E35" s="292" t="n"/>
      <c r="F35" s="293" t="n"/>
      <c r="G35" s="293" t="n"/>
      <c r="H35" s="292" t="n"/>
      <c r="I35" s="293" t="n"/>
      <c r="J35" s="293" t="n"/>
      <c r="K35" s="293" t="n"/>
      <c r="L35" s="293" t="n"/>
      <c r="M35" s="293" t="n"/>
      <c r="N35" s="293" t="n"/>
      <c r="O35" s="293" t="n"/>
      <c r="P35" s="292" t="n"/>
      <c r="Q35" s="293" t="n"/>
      <c r="R35" s="293" t="n"/>
      <c r="S35" s="299" t="n"/>
    </row>
    <row r="36" ht="24" customHeight="1">
      <c r="C36" s="53" t="inlineStr">
        <is>
          <t>C</t>
        </is>
      </c>
      <c r="D36" s="296" t="n"/>
      <c r="E36" s="291" t="inlineStr">
        <is>
          <t>02C_x000D_
RL7-MCC3-2C.PS1_x000D_
ETHERNET SWITCH POWER SUPPLY</t>
        </is>
      </c>
      <c r="F36" s="293" t="n"/>
      <c r="G36" s="293" t="n"/>
      <c r="H36" s="291" t="inlineStr">
        <is>
          <t>05C_x000D_
RL7-PMP-201.M1_x000D_
DISCHARGE AUGER CART PUMP</t>
        </is>
      </c>
      <c r="I36" s="293" t="n"/>
      <c r="J36" s="293" t="n"/>
      <c r="K36" s="293" t="n"/>
      <c r="L36" s="293" t="n"/>
      <c r="M36" s="293" t="n"/>
      <c r="N36" s="293" t="n"/>
      <c r="O36" s="293" t="n"/>
      <c r="P36" s="291" t="inlineStr">
        <is>
          <t>13C_x000D_
12" SPACE</t>
        </is>
      </c>
      <c r="Q36" s="293" t="n"/>
      <c r="R36" s="293" t="n"/>
      <c r="S36" s="300" t="inlineStr">
        <is>
          <t>16C_x000D_
RL7-CNV-404.M1_x000D_
CASE PACKER INFEED CONVEYOR</t>
        </is>
      </c>
    </row>
    <row r="37" ht="24" customHeight="1">
      <c r="C37" s="53" t="inlineStr">
        <is>
          <t>D</t>
        </is>
      </c>
      <c r="D37" s="296" t="n"/>
      <c r="E37" s="292" t="n"/>
      <c r="F37" s="292" t="n"/>
      <c r="G37" s="292" t="n"/>
      <c r="H37" s="293" t="n"/>
      <c r="I37" s="292" t="n"/>
      <c r="J37" s="293" t="n"/>
      <c r="K37" s="293" t="n"/>
      <c r="L37" s="293" t="n"/>
      <c r="M37" s="293" t="n"/>
      <c r="N37" s="293" t="n"/>
      <c r="O37" s="293" t="n"/>
      <c r="P37" s="292" t="n"/>
      <c r="Q37" s="292" t="n"/>
      <c r="R37" s="292" t="n"/>
      <c r="S37" s="301" t="n"/>
    </row>
    <row r="38" ht="24" customHeight="1">
      <c r="C38" s="53" t="inlineStr">
        <is>
          <t>E</t>
        </is>
      </c>
      <c r="D38" s="296" t="n"/>
      <c r="E38" s="291" t="inlineStr">
        <is>
          <t>02E_x000D_
SPARE_x000D_
VFD - 1HP</t>
        </is>
      </c>
      <c r="F38" s="291" t="inlineStr">
        <is>
          <t>03E_x000D_
RL7-CNV-203.M1_x000D_
SERPENTINE INFEED CONVEYOR 2</t>
        </is>
      </c>
      <c r="G38" s="291" t="inlineStr">
        <is>
          <t>04E_x000D_
6" SPACE</t>
        </is>
      </c>
      <c r="H38" s="293" t="n"/>
      <c r="I38" s="291" t="inlineStr">
        <is>
          <t>06E_x000D_
RL7-CNV-202.M1_x000D_
SERPENTINE INFEED CONVEYOR 1</t>
        </is>
      </c>
      <c r="J38" s="292" t="n"/>
      <c r="K38" s="293" t="n"/>
      <c r="L38" s="293" t="n"/>
      <c r="M38" s="293" t="n"/>
      <c r="N38" s="293" t="n"/>
      <c r="O38" s="293" t="n"/>
      <c r="P38" s="291" t="inlineStr">
        <is>
          <t>13E_x000D_
RL7-FTR-205.M1_x000D_
SERPENTINE ZONE 2A FILTER</t>
        </is>
      </c>
      <c r="Q38" s="291" t="inlineStr">
        <is>
          <t>14E_x000D_
SPARE_x000D_
VFD - 1HP</t>
        </is>
      </c>
      <c r="R38" s="291" t="inlineStr">
        <is>
          <t>15E_x000D_
RL7-CNV-401.M1_x000D_
INSPECTION CONVEYOR</t>
        </is>
      </c>
      <c r="S38" s="301" t="n"/>
    </row>
    <row r="39" ht="24" customHeight="1">
      <c r="C39" s="53" t="inlineStr">
        <is>
          <t>F</t>
        </is>
      </c>
      <c r="D39" s="296" t="n"/>
      <c r="E39" s="293" t="n"/>
      <c r="F39" s="293" t="n"/>
      <c r="G39" s="291" t="inlineStr">
        <is>
          <t>04F_x000D_
RL7-SKD-201.M1_x000D_
CLEAN ASSIST FOAM PUMP</t>
        </is>
      </c>
      <c r="H39" s="293" t="n"/>
      <c r="I39" s="293" t="n"/>
      <c r="J39" s="291" t="inlineStr">
        <is>
          <t>07F_x000D_
6" SPACE</t>
        </is>
      </c>
      <c r="K39" s="293" t="n"/>
      <c r="L39" s="293" t="n"/>
      <c r="M39" s="293" t="n"/>
      <c r="N39" s="293" t="n"/>
      <c r="O39" s="293" t="n"/>
      <c r="P39" s="293" t="n"/>
      <c r="Q39" s="293" t="n"/>
      <c r="R39" s="293" t="n"/>
      <c r="S39" s="299" t="n"/>
    </row>
    <row r="40" ht="24" customHeight="1">
      <c r="C40" s="53" t="inlineStr">
        <is>
          <t>G</t>
        </is>
      </c>
      <c r="D40" s="297" t="n"/>
      <c r="E40" s="293" t="n"/>
      <c r="F40" s="293" t="n"/>
      <c r="G40" s="293" t="n"/>
      <c r="H40" s="292" t="n"/>
      <c r="I40" s="293" t="n"/>
      <c r="J40" s="291" t="inlineStr">
        <is>
          <t>07G_x000D_
SPARE_x000D_
VFD - 20HP</t>
        </is>
      </c>
      <c r="K40" s="293" t="n"/>
      <c r="L40" s="293" t="n"/>
      <c r="M40" s="293" t="n"/>
      <c r="N40" s="293" t="n"/>
      <c r="O40" s="293" t="n"/>
      <c r="P40" s="293" t="n"/>
      <c r="Q40" s="293" t="n"/>
      <c r="R40" s="293" t="n"/>
      <c r="S40" s="300" t="inlineStr">
        <is>
          <t>16G_x000D_
RL7-FAN-201.M1_x000D_
AIR KNIFE BLOWER</t>
        </is>
      </c>
    </row>
    <row r="41" ht="24" customHeight="1">
      <c r="C41" s="53" t="inlineStr">
        <is>
          <t>H</t>
        </is>
      </c>
      <c r="D41" s="295" t="inlineStr">
        <is>
          <t>01H_x000D_
RL7-MCC3-PM_x000D_
POWERMONITOR 5000 W/ ETHERNET</t>
        </is>
      </c>
      <c r="E41" s="292" t="n"/>
      <c r="F41" s="292" t="n"/>
      <c r="G41" s="293" t="n"/>
      <c r="H41" s="291" t="inlineStr">
        <is>
          <t>05H_x000D_
RL7-AGC-201.M2_x000D_
DISCHARGE AUGER CART AUGER</t>
        </is>
      </c>
      <c r="I41" s="292" t="n"/>
      <c r="J41" s="293" t="n"/>
      <c r="K41" s="293" t="n"/>
      <c r="L41" s="293" t="n"/>
      <c r="M41" s="293" t="n"/>
      <c r="N41" s="293" t="n"/>
      <c r="O41" s="293" t="n"/>
      <c r="P41" s="292" t="n"/>
      <c r="Q41" s="292" t="n"/>
      <c r="R41" s="292" t="n"/>
      <c r="S41" s="301" t="n"/>
    </row>
    <row r="42" ht="24" customHeight="1">
      <c r="C42" s="53" t="inlineStr">
        <is>
          <t>J</t>
        </is>
      </c>
      <c r="D42" s="296" t="n"/>
      <c r="E42" s="291" t="inlineStr">
        <is>
          <t>02J_x000D_
SPARE_x000D_
VFD - 5HP</t>
        </is>
      </c>
      <c r="F42" s="291" t="inlineStr">
        <is>
          <t>03J_x000D_
RL7-CNV-204.M1_x000D_
SERPENTINE INFEED CONVEYOR 3</t>
        </is>
      </c>
      <c r="G42" s="293" t="n"/>
      <c r="H42" s="293" t="n"/>
      <c r="I42" s="291" t="inlineStr">
        <is>
          <t>06J_x000D_
RL7-CNV-403.M1_x000D_
METERING CONVEYOR 2</t>
        </is>
      </c>
      <c r="J42" s="293" t="n"/>
      <c r="K42" s="293" t="n"/>
      <c r="L42" s="293" t="n"/>
      <c r="M42" s="293" t="n"/>
      <c r="N42" s="293" t="n"/>
      <c r="O42" s="293" t="n"/>
      <c r="P42" s="291" t="inlineStr">
        <is>
          <t>13J_x000D_
RL7-FTR-207.M1_x000D_
SERPENTINE ZONE 2B FILTER</t>
        </is>
      </c>
      <c r="Q42" s="291" t="inlineStr">
        <is>
          <t>14J_x000D_
SPARE_x000D_
VFD - 1HP</t>
        </is>
      </c>
      <c r="R42" s="291" t="inlineStr">
        <is>
          <t>15J_x000D_
RL7-CNV-206.M1_x000D_
SERPENTINE DISCHARGE CONVEYOR 2</t>
        </is>
      </c>
      <c r="S42" s="301" t="n"/>
    </row>
    <row r="43" ht="24" customHeight="1">
      <c r="C43" s="53" t="inlineStr">
        <is>
          <t>K</t>
        </is>
      </c>
      <c r="D43" s="297" t="n"/>
      <c r="E43" s="293" t="n"/>
      <c r="F43" s="293" t="n"/>
      <c r="G43" s="292" t="n"/>
      <c r="H43" s="293" t="n"/>
      <c r="I43" s="293" t="n"/>
      <c r="J43" s="293" t="n"/>
      <c r="K43" s="293" t="n"/>
      <c r="L43" s="293" t="n"/>
      <c r="M43" s="293" t="n"/>
      <c r="N43" s="293" t="n"/>
      <c r="O43" s="293" t="n"/>
      <c r="P43" s="293" t="n"/>
      <c r="Q43" s="293" t="n"/>
      <c r="R43" s="293" t="n"/>
      <c r="S43" s="301" t="n"/>
    </row>
    <row r="44" ht="24" customHeight="1">
      <c r="C44" s="53" t="inlineStr">
        <is>
          <t>L</t>
        </is>
      </c>
      <c r="D44" s="295" t="inlineStr">
        <is>
          <t>01L_x000D_
12" SPACE</t>
        </is>
      </c>
      <c r="E44" s="293" t="n"/>
      <c r="F44" s="293" t="n"/>
      <c r="G44" s="291" t="inlineStr">
        <is>
          <t>04L_x000D_
12" SPACE</t>
        </is>
      </c>
      <c r="H44" s="293" t="n"/>
      <c r="I44" s="293" t="n"/>
      <c r="J44" s="293" t="n"/>
      <c r="K44" s="293" t="n"/>
      <c r="L44" s="293" t="n"/>
      <c r="M44" s="293" t="n"/>
      <c r="N44" s="293" t="n"/>
      <c r="O44" s="293" t="n"/>
      <c r="P44" s="293" t="n"/>
      <c r="Q44" s="293" t="n"/>
      <c r="R44" s="293" t="n"/>
      <c r="S44" s="301" t="n"/>
    </row>
    <row r="45" ht="24" customHeight="1" thickBot="1">
      <c r="C45" s="53" t="inlineStr">
        <is>
          <t>M</t>
        </is>
      </c>
      <c r="D45" s="297" t="n"/>
      <c r="E45" s="292" t="n"/>
      <c r="F45" s="292" t="n"/>
      <c r="G45" s="292" t="n"/>
      <c r="H45" s="292" t="n"/>
      <c r="I45" s="292" t="n"/>
      <c r="J45" s="292" t="n"/>
      <c r="K45" s="292" t="n"/>
      <c r="L45" s="292" t="n"/>
      <c r="M45" s="292" t="n"/>
      <c r="N45" s="292" t="n"/>
      <c r="O45" s="292" t="n"/>
      <c r="P45" s="292" t="n"/>
      <c r="Q45" s="292" t="n"/>
      <c r="R45" s="292" t="n"/>
      <c r="S45" s="299" t="n"/>
    </row>
    <row r="46" ht="15" customHeight="1" thickTop="1"/>
    <row r="49" ht="24.95" customHeight="1" thickBot="1">
      <c r="A49" s="52" t="inlineStr">
        <is>
          <t>RM6-6MCC01</t>
        </is>
      </c>
      <c r="D49" s="51" t="n">
        <v>1</v>
      </c>
      <c r="E49" s="51" t="n">
        <v>2</v>
      </c>
      <c r="F49" s="51" t="n">
        <v>3</v>
      </c>
      <c r="G49" s="51" t="n">
        <v>4</v>
      </c>
      <c r="H49" s="51" t="n">
        <v>5</v>
      </c>
      <c r="I49" s="51" t="n">
        <v>6</v>
      </c>
      <c r="J49" s="51" t="n">
        <v>7</v>
      </c>
      <c r="K49" s="51" t="n">
        <v>8</v>
      </c>
      <c r="L49" s="51" t="n">
        <v>9</v>
      </c>
      <c r="M49" s="51" t="n">
        <v>10</v>
      </c>
      <c r="N49" s="51" t="n">
        <v>11</v>
      </c>
      <c r="O49" s="51" t="n">
        <v>12</v>
      </c>
      <c r="P49" s="51" t="n">
        <v>13</v>
      </c>
      <c r="Q49" s="51" t="n">
        <v>14</v>
      </c>
      <c r="R49" s="51" t="n">
        <v>15</v>
      </c>
      <c r="S49" s="51" t="n">
        <v>16</v>
      </c>
      <c r="T49" s="51" t="n">
        <v>17</v>
      </c>
      <c r="U49" s="51" t="n">
        <v>18</v>
      </c>
      <c r="V49" s="51" t="n">
        <v>19</v>
      </c>
    </row>
    <row r="50" ht="24" customHeight="1" thickTop="1">
      <c r="C50" s="53" t="inlineStr">
        <is>
          <t>A</t>
        </is>
      </c>
      <c r="D50" s="302" t="inlineStr">
        <is>
          <t>01A_x000D_
MAIN_x000D_
INCOMING MCB</t>
        </is>
      </c>
      <c r="E50" s="294" t="inlineStr">
        <is>
          <t>02A_x000D_
RM6-CNV-101.M1_x000D_
INCLINE AUGER CONVEYOR</t>
        </is>
      </c>
      <c r="F50" s="294" t="inlineStr">
        <is>
          <t>03A_x000D_
RM6-GRR-105.M1_x000D_
STEAM COOKER 1 DE-CLUMPER</t>
        </is>
      </c>
      <c r="G50" s="294" t="inlineStr">
        <is>
          <t>04A_x000D_
RM6-CKR-101.M1_x000D_
STEAM COOKER 1 STEAM BELT 1</t>
        </is>
      </c>
      <c r="H50" s="294" t="inlineStr">
        <is>
          <t>05A_x000D_
RM6-FAN-101.M1_x000D_
STEAM COOKER 1 EXHAUST FAN 1</t>
        </is>
      </c>
      <c r="I50" s="294" t="inlineStr">
        <is>
          <t>06A_x000D_
RM6-BIN-101B.M2_x000D_
SURGE BIN 2 AUGER</t>
        </is>
      </c>
      <c r="J50" s="294" t="inlineStr">
        <is>
          <t>07A_x000D_
RM6-GRR-106.M1_x000D_
STEAM COOKER 2 DE-CLUMPER</t>
        </is>
      </c>
      <c r="K50" s="294" t="inlineStr">
        <is>
          <t>08A_x000D_
RM6-AGC-103.M2_x000D_
DUAL AUGER CART 1 AUGER 1</t>
        </is>
      </c>
      <c r="L50" s="294" t="inlineStr">
        <is>
          <t>09A_x000D_
RM6-CKR-102.M2_x000D_
STEAM COOKER 2 STEAM BELT 2</t>
        </is>
      </c>
      <c r="M50" s="294" t="inlineStr">
        <is>
          <t>10A_x000D_
RM6-AGC.103.M4_x000D_
DUAL AUGER CART 1 SLIDING TRACK</t>
        </is>
      </c>
      <c r="N50" s="294" t="inlineStr">
        <is>
          <t>11A_x000D_
RM6-GRR-102.M1_x000D_
GRINDER</t>
        </is>
      </c>
      <c r="O50" s="294" t="inlineStr">
        <is>
          <t>12A_x000D_
RM6-SLT-201.M2_x000D_
SLITTER</t>
        </is>
      </c>
      <c r="P50" s="294" t="inlineStr">
        <is>
          <t>13A_x000D_
RM6-CRT-201.M1_x000D_
VINEGAR SUPPLE CART</t>
        </is>
      </c>
      <c r="Q50" s="294" t="inlineStr">
        <is>
          <t>14A_x000D_
RM6-BIN-101D.M2_x000D_
SURGE BIN 4 AUGER</t>
        </is>
      </c>
      <c r="R50" s="294" t="inlineStr">
        <is>
          <t>15A_x000D_
RM6-BIN-101A.M2_x000D_
SURGE BIN 1 AUGER</t>
        </is>
      </c>
      <c r="S50" s="294" t="inlineStr">
        <is>
          <t>16A_x000D_
SPARE_x000D_
VFD - 2HP</t>
        </is>
      </c>
      <c r="T50" s="294" t="inlineStr">
        <is>
          <t>17A_x000D_
RM6-FAN-104.M1_x000D_
STEAM COOKER 2 EXHAUST FAN 1</t>
        </is>
      </c>
      <c r="U50" s="294" t="inlineStr">
        <is>
          <t>18A_x000D_
RM6-AGC-104.M3_x000D_
DUAL AUGER CART 2 AUGER 2</t>
        </is>
      </c>
      <c r="V50" s="298" t="inlineStr">
        <is>
          <t>19A_x000D_
SPARE_x000D_
VFD - 5HP</t>
        </is>
      </c>
    </row>
    <row r="51" ht="24" customHeight="1">
      <c r="C51" s="53" t="inlineStr">
        <is>
          <t>B</t>
        </is>
      </c>
      <c r="D51" s="296" t="n"/>
      <c r="E51" s="293" t="n"/>
      <c r="F51" s="293" t="n"/>
      <c r="G51" s="293" t="n"/>
      <c r="H51" s="293" t="n"/>
      <c r="I51" s="292" t="n"/>
      <c r="J51" s="293" t="n"/>
      <c r="K51" s="293" t="n"/>
      <c r="L51" s="293" t="n"/>
      <c r="M51" s="293" t="n"/>
      <c r="N51" s="293" t="n"/>
      <c r="O51" s="293" t="n"/>
      <c r="P51" s="293" t="n"/>
      <c r="Q51" s="293" t="n"/>
      <c r="R51" s="293" t="n"/>
      <c r="S51" s="293" t="n"/>
      <c r="T51" s="293" t="n"/>
      <c r="U51" s="293" t="n"/>
      <c r="V51" s="301" t="n"/>
    </row>
    <row r="52" ht="24" customHeight="1">
      <c r="C52" s="53" t="inlineStr">
        <is>
          <t>C</t>
        </is>
      </c>
      <c r="D52" s="296" t="n"/>
      <c r="E52" s="293" t="n"/>
      <c r="F52" s="293" t="n"/>
      <c r="G52" s="293" t="n"/>
      <c r="H52" s="293" t="n"/>
      <c r="I52" s="291" t="inlineStr">
        <is>
          <t>06C_x000D_
RM6-CNV-112.M1_x000D_
STEAM COOKER 1 DISCHARGE CONVEYOR</t>
        </is>
      </c>
      <c r="J52" s="293" t="n"/>
      <c r="K52" s="293" t="n"/>
      <c r="L52" s="293" t="n"/>
      <c r="M52" s="293" t="n"/>
      <c r="N52" s="293" t="n"/>
      <c r="O52" s="293" t="n"/>
      <c r="P52" s="293" t="n"/>
      <c r="Q52" s="293" t="n"/>
      <c r="R52" s="293" t="n"/>
      <c r="S52" s="293" t="n"/>
      <c r="T52" s="293" t="n"/>
      <c r="U52" s="293" t="n"/>
      <c r="V52" s="301" t="n"/>
    </row>
    <row r="53" ht="24" customHeight="1">
      <c r="C53" s="53" t="inlineStr">
        <is>
          <t>D</t>
        </is>
      </c>
      <c r="D53" s="296" t="n"/>
      <c r="E53" s="293" t="n"/>
      <c r="F53" s="292" t="n"/>
      <c r="G53" s="292" t="n"/>
      <c r="H53" s="292" t="n"/>
      <c r="I53" s="293" t="n"/>
      <c r="J53" s="292" t="n"/>
      <c r="K53" s="292" t="n"/>
      <c r="L53" s="292" t="n"/>
      <c r="M53" s="292" t="n"/>
      <c r="N53" s="293" t="n"/>
      <c r="O53" s="292" t="n"/>
      <c r="P53" s="292" t="n"/>
      <c r="Q53" s="293" t="n"/>
      <c r="R53" s="293" t="n"/>
      <c r="S53" s="292" t="n"/>
      <c r="T53" s="292" t="n"/>
      <c r="U53" s="292" t="n"/>
      <c r="V53" s="299" t="n"/>
    </row>
    <row r="54" ht="24" customHeight="1">
      <c r="C54" s="53" t="inlineStr">
        <is>
          <t>E</t>
        </is>
      </c>
      <c r="D54" s="296" t="n"/>
      <c r="E54" s="293" t="n"/>
      <c r="F54" s="291" t="inlineStr">
        <is>
          <t>03E_x000D_
RM6-BIN-101C.M2_x000D_
SURGE BIN 3 AUGER</t>
        </is>
      </c>
      <c r="G54" s="291" t="inlineStr">
        <is>
          <t>04E_x000D_
RM6-WWL-101.M1 RM6-SHR-101.M1_x000D_
STEAM COOKER 1 WATERWHEEL/SPREADER MOTOR 1</t>
        </is>
      </c>
      <c r="H54" s="291" t="inlineStr">
        <is>
          <t>05E_x000D_
RM6-FAN-102.M1_x000D_
STEAM COOKER 1 EXHAUST FAN 2</t>
        </is>
      </c>
      <c r="I54" s="293" t="n"/>
      <c r="J54" s="291" t="inlineStr">
        <is>
          <t>07E_x000D_
RM6-CKR-102.M1_x000D_
STEAM COOKER 2 STEAM BELT 1</t>
        </is>
      </c>
      <c r="K54" s="291" t="inlineStr">
        <is>
          <t>08E_x000D_
RM6-AGC-103.M3_x000D_
DUAL AUGER CART 1 AUGER 2</t>
        </is>
      </c>
      <c r="L54" s="291" t="inlineStr">
        <is>
          <t>09E_x000D_
RM6-CNV-115.M1_x000D_
STEAM COOKER 2 DISCHARGE CONVEYOR</t>
        </is>
      </c>
      <c r="M54" s="291" t="inlineStr">
        <is>
          <t>10E_x000D_
RM6-AGC-104.M4_x000D_
DUAL AUGER CART 2 SLIDING TRACK</t>
        </is>
      </c>
      <c r="N54" s="293" t="n"/>
      <c r="O54" s="291" t="inlineStr">
        <is>
          <t>12E_x000D_
6" SPACE</t>
        </is>
      </c>
      <c r="P54" s="291" t="inlineStr">
        <is>
          <t>13E_x000D_
6" SPACE</t>
        </is>
      </c>
      <c r="Q54" s="293" t="n"/>
      <c r="R54" s="293" t="n"/>
      <c r="S54" s="291" t="inlineStr">
        <is>
          <t>16E_x000D_
RM6-CNV-104.M1_x000D_
SURGE BIN SUPPLY CONVEYOR</t>
        </is>
      </c>
      <c r="T54" s="291" t="inlineStr">
        <is>
          <t>17E_x000D_
RM6-FAN-105.M1_x000D_
STEAM COOKER 2 EXHAUST FAN 2</t>
        </is>
      </c>
      <c r="U54" s="291" t="inlineStr">
        <is>
          <t>18E_x000D_
RM6-MLT-103.M1_x000D_
MIXER GRINDER 1 COLUMN DUMPER</t>
        </is>
      </c>
      <c r="V54" s="300" t="inlineStr">
        <is>
          <t>19E_x000D_
RM6_82_x000D_
CIP TANK STARTER</t>
        </is>
      </c>
    </row>
    <row r="55" ht="24" customHeight="1">
      <c r="C55" s="53" t="inlineStr">
        <is>
          <t>F</t>
        </is>
      </c>
      <c r="D55" s="296" t="n"/>
      <c r="E55" s="293" t="n"/>
      <c r="F55" s="293" t="n"/>
      <c r="G55" s="293" t="n"/>
      <c r="H55" s="293" t="n"/>
      <c r="I55" s="293" t="n"/>
      <c r="J55" s="293" t="n"/>
      <c r="K55" s="293" t="n"/>
      <c r="L55" s="293" t="n"/>
      <c r="M55" s="293" t="n"/>
      <c r="N55" s="293" t="n"/>
      <c r="O55" s="291" t="inlineStr">
        <is>
          <t>12F_x000D_
RM6-MGR-101.M4_x000D_
MIXER GRINDER 1 GRINDER</t>
        </is>
      </c>
      <c r="P55" s="291" t="inlineStr">
        <is>
          <t>13F_x000D_
RM6-MGR-102.M4_x000D_
MIXER GRINDER 2 GRINDER</t>
        </is>
      </c>
      <c r="Q55" s="292" t="n"/>
      <c r="R55" s="292" t="n"/>
      <c r="S55" s="293" t="n"/>
      <c r="T55" s="293" t="n"/>
      <c r="U55" s="293" t="n"/>
      <c r="V55" s="301" t="n"/>
    </row>
    <row r="56" ht="24" customHeight="1">
      <c r="C56" s="53" t="inlineStr">
        <is>
          <t>G</t>
        </is>
      </c>
      <c r="D56" s="297" t="n"/>
      <c r="E56" s="292" t="n"/>
      <c r="F56" s="293" t="n"/>
      <c r="G56" s="293" t="n"/>
      <c r="H56" s="293" t="n"/>
      <c r="I56" s="293" t="n"/>
      <c r="J56" s="293" t="n"/>
      <c r="K56" s="293" t="n"/>
      <c r="L56" s="293" t="n"/>
      <c r="M56" s="293" t="n"/>
      <c r="N56" s="293" t="n"/>
      <c r="O56" s="293" t="n"/>
      <c r="P56" s="293" t="n"/>
      <c r="Q56" s="291" t="inlineStr">
        <is>
          <t>14G_x000D_
SPARE_x000D_
VFD - 2HP</t>
        </is>
      </c>
      <c r="R56" s="291" t="inlineStr">
        <is>
          <t>15G_x000D_
6" SPACE</t>
        </is>
      </c>
      <c r="S56" s="293" t="n"/>
      <c r="T56" s="293" t="n"/>
      <c r="U56" s="292" t="n"/>
      <c r="V56" s="299" t="n"/>
    </row>
    <row r="57" ht="24" customHeight="1">
      <c r="C57" s="53" t="inlineStr">
        <is>
          <t>H</t>
        </is>
      </c>
      <c r="D57" s="295" t="inlineStr">
        <is>
          <t>01H_x000D_
RM6-MCC1-PM_x000D_
POWERMONITOR 5000 W/ ETHERNET</t>
        </is>
      </c>
      <c r="E57" s="291" t="inlineStr">
        <is>
          <t>02H_x000D_
RM6-MCC1-02H.PS1_x000D_
ETHERNET SWITCH POWER SUPPLY</t>
        </is>
      </c>
      <c r="F57" s="293" t="n"/>
      <c r="G57" s="292" t="n"/>
      <c r="H57" s="292" t="n"/>
      <c r="I57" s="293" t="n"/>
      <c r="J57" s="292" t="n"/>
      <c r="K57" s="292" t="n"/>
      <c r="L57" s="292" t="n"/>
      <c r="M57" s="292" t="n"/>
      <c r="N57" s="293" t="n"/>
      <c r="O57" s="293" t="n"/>
      <c r="P57" s="293" t="n"/>
      <c r="Q57" s="293" t="n"/>
      <c r="R57" s="291" t="inlineStr">
        <is>
          <t>15H_x000D_
RM6-AGC-103.M1_x000D_
DUAL AUGER CART 1 LEVELING RIBON</t>
        </is>
      </c>
      <c r="S57" s="292" t="n"/>
      <c r="T57" s="292" t="n"/>
      <c r="U57" s="291" t="inlineStr">
        <is>
          <t>18H_x000D_
RM6-AGC-104.M1_x000D_
DUAL AUGER CART 2 LEVELING RIBON</t>
        </is>
      </c>
      <c r="V57" s="300" t="inlineStr">
        <is>
          <t>19H_x000D_
6" SPACE</t>
        </is>
      </c>
    </row>
    <row r="58" ht="24" customHeight="1">
      <c r="C58" s="53" t="inlineStr">
        <is>
          <t>J</t>
        </is>
      </c>
      <c r="D58" s="296" t="n"/>
      <c r="E58" s="293" t="n"/>
      <c r="F58" s="293" t="n"/>
      <c r="G58" s="291" t="inlineStr">
        <is>
          <t>04J_x000D_
RM6-CKR-101.M2_x000D_
STEAM COOKER 1 STEAM BELT 2</t>
        </is>
      </c>
      <c r="H58" s="291" t="inlineStr">
        <is>
          <t>05J_x000D_
RM6-FAN-103.M1_x000D_
STEAM COOKER 1 EXHAUST FAN 3</t>
        </is>
      </c>
      <c r="I58" s="293" t="n"/>
      <c r="J58" s="291" t="inlineStr">
        <is>
          <t>07J_x000D_
RM6-WWL-102.M1 RM6-SHR-102.M1_x000D_
STEAM COOKER 2 WATERWHEEL/SPREADER MOTOR 1</t>
        </is>
      </c>
      <c r="K58" s="291" t="inlineStr">
        <is>
          <t>08J_x000D_
RM6-AGC-104.M2_x000D_
DUAL AUGER CART 2 AUGER 1</t>
        </is>
      </c>
      <c r="L58" s="291" t="inlineStr">
        <is>
          <t>09J_x000D_
RM6-CNV-107.M1_x000D_
INCLINED BELT CONVEYOR</t>
        </is>
      </c>
      <c r="M58" s="291" t="inlineStr">
        <is>
          <t>10J_x000D_
RM6-CNV-108.M3_x000D_
INCLINE CONVEYOR SLIDE TRACK</t>
        </is>
      </c>
      <c r="N58" s="293" t="n"/>
      <c r="O58" s="293" t="n"/>
      <c r="P58" s="293" t="n"/>
      <c r="Q58" s="293" t="n"/>
      <c r="R58" s="293" t="n"/>
      <c r="S58" s="291" t="inlineStr">
        <is>
          <t>16J_x000D_
RM6-CNV-108.M2_x000D_
INCLINE CONVEYOR HYDRAULICS</t>
        </is>
      </c>
      <c r="T58" s="291" t="inlineStr">
        <is>
          <t>17J_x000D_
RM6-FAN-106.M1_x000D_
STEAM COOKER 2 EXHAUST FAN 3</t>
        </is>
      </c>
      <c r="U58" s="293" t="n"/>
      <c r="V58" s="300" t="inlineStr">
        <is>
          <t>19J_x000D_
RM6-SLT-201.M1_x000D_
SLITTER</t>
        </is>
      </c>
    </row>
    <row r="59" ht="24" customHeight="1">
      <c r="C59" s="53" t="inlineStr">
        <is>
          <t>K</t>
        </is>
      </c>
      <c r="D59" s="297" t="n"/>
      <c r="E59" s="292" t="n"/>
      <c r="F59" s="292" t="n"/>
      <c r="G59" s="293" t="n"/>
      <c r="H59" s="293" t="n"/>
      <c r="I59" s="292" t="n"/>
      <c r="J59" s="293" t="n"/>
      <c r="K59" s="293" t="n"/>
      <c r="L59" s="293" t="n"/>
      <c r="M59" s="293" t="n"/>
      <c r="N59" s="293" t="n"/>
      <c r="O59" s="293" t="n"/>
      <c r="P59" s="293" t="n"/>
      <c r="Q59" s="292" t="n"/>
      <c r="R59" s="293" t="n"/>
      <c r="S59" s="292" t="n"/>
      <c r="T59" s="293" t="n"/>
      <c r="U59" s="293" t="n"/>
      <c r="V59" s="301" t="n"/>
    </row>
    <row r="60" ht="24" customHeight="1">
      <c r="C60" s="53" t="inlineStr">
        <is>
          <t>L</t>
        </is>
      </c>
      <c r="D60" s="295" t="inlineStr">
        <is>
          <t>01L_x000D_
12" SPACE</t>
        </is>
      </c>
      <c r="E60" s="291" t="inlineStr">
        <is>
          <t>02L_x000D_
RM6-MCC1-02L.SW1_x000D_
ETHERNET SWITCH (20-PORT)</t>
        </is>
      </c>
      <c r="F60" s="291" t="inlineStr">
        <is>
          <t>03L_x000D_
12" SPACE</t>
        </is>
      </c>
      <c r="G60" s="293" t="n"/>
      <c r="H60" s="293" t="n"/>
      <c r="I60" s="291" t="inlineStr">
        <is>
          <t>06L_x000D_
RM6-MCC1-06L.SW1_x000D_
ETHERNET SWITCH (20-PORT)</t>
        </is>
      </c>
      <c r="J60" s="293" t="n"/>
      <c r="K60" s="293" t="n"/>
      <c r="L60" s="293" t="n"/>
      <c r="M60" s="293" t="n"/>
      <c r="N60" s="293" t="n"/>
      <c r="O60" s="293" t="n"/>
      <c r="P60" s="293" t="n"/>
      <c r="Q60" s="291" t="inlineStr">
        <is>
          <t>14L_x000D_
RM6-MCC1-14L.SW1_x000D_
ETHERNET SWITCH (20-PORT)</t>
        </is>
      </c>
      <c r="R60" s="293" t="n"/>
      <c r="S60" s="291" t="inlineStr">
        <is>
          <t>16L_x000D_
12" SPACE</t>
        </is>
      </c>
      <c r="T60" s="293" t="n"/>
      <c r="U60" s="293" t="n"/>
      <c r="V60" s="301" t="n"/>
    </row>
    <row r="61" ht="24" customHeight="1" thickBot="1">
      <c r="C61" s="53" t="inlineStr">
        <is>
          <t>M</t>
        </is>
      </c>
      <c r="D61" s="297" t="n"/>
      <c r="E61" s="292" t="n"/>
      <c r="F61" s="292" t="n"/>
      <c r="G61" s="292" t="n"/>
      <c r="H61" s="292" t="n"/>
      <c r="I61" s="292" t="n"/>
      <c r="J61" s="292" t="n"/>
      <c r="K61" s="292" t="n"/>
      <c r="L61" s="292" t="n"/>
      <c r="M61" s="292" t="n"/>
      <c r="N61" s="292" t="n"/>
      <c r="O61" s="292" t="n"/>
      <c r="P61" s="292" t="n"/>
      <c r="Q61" s="292" t="n"/>
      <c r="R61" s="292" t="n"/>
      <c r="S61" s="292" t="n"/>
      <c r="T61" s="292" t="n"/>
      <c r="U61" s="292" t="n"/>
      <c r="V61" s="299" t="n"/>
    </row>
    <row r="62" ht="15" customHeight="1" thickTop="1"/>
    <row r="65" ht="24.95" customHeight="1" thickBot="1">
      <c r="A65" s="52" t="inlineStr">
        <is>
          <t>RM6-6MCC02</t>
        </is>
      </c>
      <c r="D65" s="51" t="n">
        <v>1</v>
      </c>
      <c r="E65" s="51" t="n">
        <v>2</v>
      </c>
      <c r="F65" s="51" t="n">
        <v>3</v>
      </c>
      <c r="G65" s="51" t="n">
        <v>4</v>
      </c>
      <c r="H65" s="51" t="n">
        <v>5</v>
      </c>
      <c r="I65" s="51" t="n">
        <v>6</v>
      </c>
      <c r="J65" s="51" t="n">
        <v>7</v>
      </c>
      <c r="K65" s="51" t="n">
        <v>8</v>
      </c>
      <c r="L65" s="51" t="n">
        <v>9</v>
      </c>
      <c r="M65" s="51" t="n">
        <v>10</v>
      </c>
      <c r="N65" s="51" t="n">
        <v>11</v>
      </c>
      <c r="O65" s="51" t="n">
        <v>12</v>
      </c>
      <c r="P65" s="51" t="n">
        <v>13</v>
      </c>
      <c r="Q65" s="51" t="n">
        <v>14</v>
      </c>
      <c r="R65" s="51" t="n">
        <v>15</v>
      </c>
      <c r="S65" s="51" t="n">
        <v>16</v>
      </c>
      <c r="T65" s="51" t="n">
        <v>17</v>
      </c>
      <c r="U65" s="51" t="n">
        <v>18</v>
      </c>
    </row>
    <row r="66" ht="24" customHeight="1" thickTop="1">
      <c r="C66" s="53" t="inlineStr">
        <is>
          <t>A</t>
        </is>
      </c>
      <c r="D66" s="302" t="inlineStr">
        <is>
          <t>01A_x000D_
MAIN_x000D_
INCOMING MCB</t>
        </is>
      </c>
      <c r="E66" s="294" t="inlineStr">
        <is>
          <t>02A_x000D_
RM6-MGR-101.M3_x000D_
MIXER GRINDER 1 DISCHARGE SCREW</t>
        </is>
      </c>
      <c r="F66" s="294" t="inlineStr">
        <is>
          <t>03A_x000D_
RM6-BIN-101D.M1_x000D_
SURGE BIN 4 AGITATOR</t>
        </is>
      </c>
      <c r="G66" s="294" t="inlineStr">
        <is>
          <t>04A_x000D_
RM6-BIN-101B.M1_x000D_
SURGE BIN 2 AGITATOR</t>
        </is>
      </c>
      <c r="H66" s="294" t="inlineStr">
        <is>
          <t>05A_x000D_
RM6-PMP-103.M1_x000D_
DUAL AUGER CART 1 PUMP</t>
        </is>
      </c>
      <c r="I66" s="294" t="inlineStr">
        <is>
          <t>06A_x000D_
RM6-SCR-201.M1_x000D_
VIBRATORY SCREENER</t>
        </is>
      </c>
      <c r="J66" s="294" t="inlineStr">
        <is>
          <t>07A_x000D_
RM6-CNV-201.M1_x000D_
INCLINE CONVEYOR</t>
        </is>
      </c>
      <c r="K66" s="294" t="inlineStr">
        <is>
          <t>08A_x000D_
RM6-PMP-101.M1_x000D_
AUGER CART 1 PUMP</t>
        </is>
      </c>
      <c r="L66" s="294" t="inlineStr">
        <is>
          <t>09A_x000D_
12" SPACE</t>
        </is>
      </c>
      <c r="M66" s="294" t="inlineStr">
        <is>
          <t>10A_x000D_
RM6-GRR-101.M1_x000D_
FROZEN BLOCK BREAKER 1</t>
        </is>
      </c>
      <c r="N66" s="294" t="inlineStr">
        <is>
          <t>11A_x000D_
RM6-GRR-101.M2_x000D_
FROZEN BLOCK BREAKER 2</t>
        </is>
      </c>
      <c r="O66" s="294" t="inlineStr">
        <is>
          <t>12A_x000D_
RM6-SKD-101.M2_x000D_
VOTATOR PMP-202 COOKER 1</t>
        </is>
      </c>
      <c r="P66" s="294" t="inlineStr">
        <is>
          <t>13A_x000D_
SPARE_x000D_
VFD - 1HP</t>
        </is>
      </c>
      <c r="Q66" s="294" t="inlineStr">
        <is>
          <t>14A_x000D_
RM6-SKD-102.M1_x000D_
VOTATOR PMP-101 COOKER 1</t>
        </is>
      </c>
      <c r="R66" s="294" t="inlineStr">
        <is>
          <t>15A_x000D_
RM6-SKD-103.M2_x000D_
VOTATOR PMP-202 COOKER 2</t>
        </is>
      </c>
      <c r="S66" s="294" t="inlineStr">
        <is>
          <t>16A_x000D_
RM6-HTX-101.M1_x000D_
VOTATOR HX-101 COOKER 1</t>
        </is>
      </c>
      <c r="T66" s="294" t="inlineStr">
        <is>
          <t>17A_x000D_
RM6-HTX-103.M1_x000D_
VOTATOR HX-103 COOKER 1</t>
        </is>
      </c>
      <c r="U66" s="298" t="inlineStr">
        <is>
          <t>18A</t>
        </is>
      </c>
    </row>
    <row r="67" ht="24" customHeight="1">
      <c r="C67" s="53" t="inlineStr">
        <is>
          <t>B</t>
        </is>
      </c>
      <c r="D67" s="296" t="n"/>
      <c r="E67" s="293" t="n"/>
      <c r="F67" s="293" t="n"/>
      <c r="G67" s="293" t="n"/>
      <c r="H67" s="293" t="n"/>
      <c r="I67" s="293" t="n"/>
      <c r="J67" s="293" t="n"/>
      <c r="K67" s="293" t="n"/>
      <c r="L67" s="292" t="n"/>
      <c r="M67" s="293" t="n"/>
      <c r="N67" s="293" t="n"/>
      <c r="O67" s="293" t="n"/>
      <c r="P67" s="293" t="n"/>
      <c r="Q67" s="293" t="n"/>
      <c r="R67" s="293" t="n"/>
      <c r="S67" s="293" t="n"/>
      <c r="T67" s="293" t="n"/>
      <c r="U67" s="299" t="n"/>
    </row>
    <row r="68" ht="24" customHeight="1">
      <c r="C68" s="53" t="inlineStr">
        <is>
          <t>C</t>
        </is>
      </c>
      <c r="D68" s="296" t="n"/>
      <c r="E68" s="293" t="n"/>
      <c r="F68" s="293" t="n"/>
      <c r="G68" s="293" t="n"/>
      <c r="H68" s="293" t="n"/>
      <c r="I68" s="293" t="n"/>
      <c r="J68" s="293" t="n"/>
      <c r="K68" s="293" t="n"/>
      <c r="L68" s="291" t="inlineStr">
        <is>
          <t>09C_x000D_
12" SPACE</t>
        </is>
      </c>
      <c r="M68" s="293" t="n"/>
      <c r="N68" s="293" t="n"/>
      <c r="O68" s="293" t="n"/>
      <c r="P68" s="293" t="n"/>
      <c r="Q68" s="293" t="n"/>
      <c r="R68" s="293" t="n"/>
      <c r="S68" s="293" t="n"/>
      <c r="T68" s="293" t="n"/>
      <c r="U68" s="300" t="inlineStr">
        <is>
          <t>18C_x000D_
RM6-AGC-101.M1_x000D_
AUGER CART 1 AUGER 1</t>
        </is>
      </c>
    </row>
    <row r="69" ht="24" customHeight="1">
      <c r="C69" s="53" t="inlineStr">
        <is>
          <t>D</t>
        </is>
      </c>
      <c r="D69" s="296" t="n"/>
      <c r="E69" s="293" t="n"/>
      <c r="F69" s="293" t="n"/>
      <c r="G69" s="293" t="n"/>
      <c r="H69" s="293" t="n"/>
      <c r="I69" s="292" t="n"/>
      <c r="J69" s="292" t="n"/>
      <c r="K69" s="293" t="n"/>
      <c r="L69" s="292" t="n"/>
      <c r="M69" s="293" t="n"/>
      <c r="N69" s="293" t="n"/>
      <c r="O69" s="292" t="n"/>
      <c r="P69" s="292" t="n"/>
      <c r="Q69" s="292" t="n"/>
      <c r="R69" s="292" t="n"/>
      <c r="S69" s="293" t="n"/>
      <c r="T69" s="293" t="n"/>
      <c r="U69" s="301" t="n"/>
    </row>
    <row r="70" ht="24" customHeight="1">
      <c r="C70" s="53" t="inlineStr">
        <is>
          <t>E</t>
        </is>
      </c>
      <c r="D70" s="297" t="n"/>
      <c r="E70" s="293" t="n"/>
      <c r="F70" s="293" t="n"/>
      <c r="G70" s="293" t="n"/>
      <c r="H70" s="293" t="n"/>
      <c r="I70" s="291" t="inlineStr">
        <is>
          <t>06E_x000D_
RM6-MGR-101.M1 RM6-MGR-101.M2_x000D_
MIXER GRINDER 1</t>
        </is>
      </c>
      <c r="J70" s="291" t="inlineStr">
        <is>
          <t>07E_x000D_
RM6-MGR-102.M1 RM6-MGR-102.M2_x000D_
MIXER GRINDER 2</t>
        </is>
      </c>
      <c r="K70" s="293" t="n"/>
      <c r="L70" s="291" t="inlineStr">
        <is>
          <t>09E_x000D_
RM6-MLT-102.M1_x000D_
COMBO TOTE DUMPER</t>
        </is>
      </c>
      <c r="M70" s="293" t="n"/>
      <c r="N70" s="293" t="n"/>
      <c r="O70" s="291" t="inlineStr">
        <is>
          <t>12E_x000D_
RM6-SKD-102.M2_x000D_
VOTATOR PMP-202 COOKER 2</t>
        </is>
      </c>
      <c r="P70" s="291" t="inlineStr">
        <is>
          <t>13E_x000D_
RM6-CNV-108.M1_x000D_
INCLINE CONVEYOR SCREW</t>
        </is>
      </c>
      <c r="Q70" s="291" t="inlineStr">
        <is>
          <t>14E_x000D_
RM6-CNV-102.M1_x000D_
METAL DETECTOR BELT CONVEYOR</t>
        </is>
      </c>
      <c r="R70" s="291" t="inlineStr">
        <is>
          <t>15E_x000D_
RM6-SKD-104.M1_x000D_
VOTATOR PMP-101 COOKER 2</t>
        </is>
      </c>
      <c r="S70" s="293" t="n"/>
      <c r="T70" s="293" t="n"/>
      <c r="U70" s="301" t="n"/>
    </row>
    <row r="71" ht="24" customHeight="1">
      <c r="C71" s="53" t="inlineStr">
        <is>
          <t>F</t>
        </is>
      </c>
      <c r="D71" s="295" t="inlineStr">
        <is>
          <t>01F_x000D_
RM6-MCC2-PM_x000D_
POWERMONITOR 5000 W/ ETHERNET</t>
        </is>
      </c>
      <c r="E71" s="292" t="n"/>
      <c r="F71" s="292" t="n"/>
      <c r="G71" s="292" t="n"/>
      <c r="H71" s="292" t="n"/>
      <c r="I71" s="293" t="n"/>
      <c r="J71" s="293" t="n"/>
      <c r="K71" s="293" t="n"/>
      <c r="L71" s="292" t="n"/>
      <c r="M71" s="293" t="n"/>
      <c r="N71" s="293" t="n"/>
      <c r="O71" s="293" t="n"/>
      <c r="P71" s="293" t="n"/>
      <c r="Q71" s="293" t="n"/>
      <c r="R71" s="293" t="n"/>
      <c r="S71" s="292" t="n"/>
      <c r="T71" s="292" t="n"/>
      <c r="U71" s="301" t="n"/>
    </row>
    <row r="72" ht="24" customHeight="1">
      <c r="C72" s="53" t="inlineStr">
        <is>
          <t>G</t>
        </is>
      </c>
      <c r="D72" s="296" t="n"/>
      <c r="E72" s="291" t="inlineStr">
        <is>
          <t>02G_x000D_
RM6-SKD-101.M1_x000D_
VOTATOR PMP-201 COOKER 1</t>
        </is>
      </c>
      <c r="F72" s="291" t="inlineStr">
        <is>
          <t>03G_x000D_
RM6-BIN-101C.M1_x000D_
SURGE BIN 3 AGITATOR</t>
        </is>
      </c>
      <c r="G72" s="291" t="inlineStr">
        <is>
          <t>04G_x000D_
RM6-BIN-101A.M1_x000D_
SURGE BIN 1 AGITATOR</t>
        </is>
      </c>
      <c r="H72" s="291" t="inlineStr">
        <is>
          <t>05G_x000D_
RM6-PMP-104.M1_x000D_
DUAL AUGER CART 2 PUMP</t>
        </is>
      </c>
      <c r="I72" s="293" t="n"/>
      <c r="J72" s="293" t="n"/>
      <c r="K72" s="292" t="n"/>
      <c r="L72" s="291" t="inlineStr">
        <is>
          <t>09G_x000D_
RM6-MGR-102.M3_x000D_
MIXER GRINDER 2 DISCHARGE SCREW</t>
        </is>
      </c>
      <c r="M72" s="293" t="n"/>
      <c r="N72" s="293" t="n"/>
      <c r="O72" s="293" t="n"/>
      <c r="P72" s="293" t="n"/>
      <c r="Q72" s="293" t="n"/>
      <c r="R72" s="293" t="n"/>
      <c r="S72" s="291" t="inlineStr">
        <is>
          <t>16G_x000D_
RM6-HTX-102.M1_x000D_
VOTATOR HX-102 COOKER 1</t>
        </is>
      </c>
      <c r="T72" s="291" t="inlineStr">
        <is>
          <t>17G_x000D_
RM6-HTX-104.M1_x000D_
VOTATOR HX-104 COOKER 1</t>
        </is>
      </c>
      <c r="U72" s="299" t="n"/>
    </row>
    <row r="73" ht="24" customHeight="1">
      <c r="C73" s="53" t="inlineStr">
        <is>
          <t>H</t>
        </is>
      </c>
      <c r="D73" s="297" t="n"/>
      <c r="E73" s="293" t="n"/>
      <c r="F73" s="293" t="n"/>
      <c r="G73" s="293" t="n"/>
      <c r="H73" s="293" t="n"/>
      <c r="I73" s="293" t="n"/>
      <c r="J73" s="293" t="n"/>
      <c r="K73" s="291" t="inlineStr">
        <is>
          <t>08H_x000D_
RM6-MTL-104.M1_x000D_
MIXER GRINDER 2 COLUMN DUMPER</t>
        </is>
      </c>
      <c r="L73" s="293" t="n"/>
      <c r="M73" s="293" t="n"/>
      <c r="N73" s="293" t="n"/>
      <c r="O73" s="292" t="n"/>
      <c r="P73" s="293" t="n"/>
      <c r="Q73" s="292" t="n"/>
      <c r="R73" s="292" t="n"/>
      <c r="S73" s="293" t="n"/>
      <c r="T73" s="293" t="n"/>
      <c r="U73" s="300" t="inlineStr">
        <is>
          <t>18H_x000D_
RM6-AGC-101.M2_x000D_
AUGER CART 1 AUGER 2</t>
        </is>
      </c>
    </row>
    <row r="74" ht="24" customHeight="1">
      <c r="C74" s="53" t="inlineStr">
        <is>
          <t>J</t>
        </is>
      </c>
      <c r="D74" s="295" t="inlineStr">
        <is>
          <t>01J_x000D_
6" SPACE</t>
        </is>
      </c>
      <c r="E74" s="293" t="n"/>
      <c r="F74" s="293" t="n"/>
      <c r="G74" s="293" t="n"/>
      <c r="H74" s="293" t="n"/>
      <c r="I74" s="293" t="n"/>
      <c r="J74" s="293" t="n"/>
      <c r="K74" s="293" t="n"/>
      <c r="L74" s="293" t="n"/>
      <c r="M74" s="293" t="n"/>
      <c r="N74" s="293" t="n"/>
      <c r="O74" s="291" t="inlineStr">
        <is>
          <t>12J_x000D_
RM6-CNV-105.M1_x000D_
SURGE BIN TAKEAWAY CONVEYOR</t>
        </is>
      </c>
      <c r="P74" s="293" t="n"/>
      <c r="Q74" s="291" t="inlineStr">
        <is>
          <t>14J_x000D_
RM6-SKD-103.M1_x000D_
VOTATOR PMP-201 COOKER 2</t>
        </is>
      </c>
      <c r="R74" s="291" t="inlineStr">
        <is>
          <t>15J_x000D_
RM6-SKD-104.M2_x000D_
VOTATOR PMP-102 COOKER 2</t>
        </is>
      </c>
      <c r="S74" s="293" t="n"/>
      <c r="T74" s="293" t="n"/>
      <c r="U74" s="301" t="n"/>
    </row>
    <row r="75" ht="24" customHeight="1">
      <c r="C75" s="53" t="inlineStr">
        <is>
          <t>K</t>
        </is>
      </c>
      <c r="D75" s="295" t="inlineStr">
        <is>
          <t>01K_x000D_
RM6-MCC2-01K.PS1_x000D_
ETHERNET SWITCH POWER SUPPLY</t>
        </is>
      </c>
      <c r="E75" s="292" t="n"/>
      <c r="F75" s="293" t="n"/>
      <c r="G75" s="293" t="n"/>
      <c r="H75" s="293" t="n"/>
      <c r="I75" s="293" t="n"/>
      <c r="J75" s="293" t="n"/>
      <c r="K75" s="292" t="n"/>
      <c r="L75" s="293" t="n"/>
      <c r="M75" s="293" t="n"/>
      <c r="N75" s="293" t="n"/>
      <c r="O75" s="293" t="n"/>
      <c r="P75" s="292" t="n"/>
      <c r="Q75" s="293" t="n"/>
      <c r="R75" s="293" t="n"/>
      <c r="S75" s="293" t="n"/>
      <c r="T75" s="293" t="n"/>
      <c r="U75" s="301" t="n"/>
    </row>
    <row r="76" ht="24" customHeight="1">
      <c r="C76" s="53" t="inlineStr">
        <is>
          <t>L</t>
        </is>
      </c>
      <c r="D76" s="296" t="n"/>
      <c r="E76" s="291" t="inlineStr">
        <is>
          <t>02L_x000D_
RM6-MCC2-02L.SW1_x000D_
ETHERNET SWITCH (20-PORT)</t>
        </is>
      </c>
      <c r="F76" s="293" t="n"/>
      <c r="G76" s="293" t="n"/>
      <c r="H76" s="293" t="n"/>
      <c r="I76" s="293" t="n"/>
      <c r="J76" s="293" t="n"/>
      <c r="K76" s="291" t="inlineStr">
        <is>
          <t>08L_x000D_
RM6-MCC2-08L.SW1_x000D_
ETHERNET SWITCH (20-PORT)</t>
        </is>
      </c>
      <c r="L76" s="293" t="n"/>
      <c r="M76" s="293" t="n"/>
      <c r="N76" s="293" t="n"/>
      <c r="O76" s="293" t="n"/>
      <c r="P76" s="291" t="inlineStr">
        <is>
          <t>13L_x000D_
RM6-MCC2-13L.SW1_x000D_
ETHERNET SWITCH (20-PORT)</t>
        </is>
      </c>
      <c r="Q76" s="293" t="n"/>
      <c r="R76" s="293" t="n"/>
      <c r="S76" s="293" t="n"/>
      <c r="T76" s="293" t="n"/>
      <c r="U76" s="301" t="n"/>
    </row>
    <row r="77" ht="24" customHeight="1" thickBot="1">
      <c r="C77" s="53" t="inlineStr">
        <is>
          <t>M</t>
        </is>
      </c>
      <c r="D77" s="297" t="n"/>
      <c r="E77" s="292" t="n"/>
      <c r="F77" s="292" t="n"/>
      <c r="G77" s="292" t="n"/>
      <c r="H77" s="292" t="n"/>
      <c r="I77" s="292" t="n"/>
      <c r="J77" s="292" t="n"/>
      <c r="K77" s="292" t="n"/>
      <c r="L77" s="292" t="n"/>
      <c r="M77" s="292" t="n"/>
      <c r="N77" s="292" t="n"/>
      <c r="O77" s="292" t="n"/>
      <c r="P77" s="292" t="n"/>
      <c r="Q77" s="292" t="n"/>
      <c r="R77" s="292" t="n"/>
      <c r="S77" s="292" t="n"/>
      <c r="T77" s="292" t="n"/>
      <c r="U77" s="299" t="n"/>
    </row>
    <row r="78" ht="15" customHeight="1" thickTop="1"/>
    <row r="81" ht="24.95" customHeight="1" thickBot="1">
      <c r="A81" s="52" t="inlineStr">
        <is>
          <t>VTTRS-MCC1</t>
        </is>
      </c>
      <c r="D81" s="51" t="n">
        <v>1</v>
      </c>
      <c r="E81" s="51" t="n">
        <v>2</v>
      </c>
      <c r="F81" s="51" t="n">
        <v>3</v>
      </c>
      <c r="G81" s="51" t="n">
        <v>4</v>
      </c>
      <c r="H81" s="51" t="n">
        <v>5</v>
      </c>
      <c r="I81" s="51" t="n">
        <v>6</v>
      </c>
      <c r="J81" s="51" t="n">
        <v>7</v>
      </c>
      <c r="K81" s="51" t="n">
        <v>8</v>
      </c>
      <c r="L81" s="51" t="n">
        <v>9</v>
      </c>
      <c r="M81" s="51" t="n">
        <v>10</v>
      </c>
      <c r="N81" s="51" t="n">
        <v>11</v>
      </c>
      <c r="O81" s="51" t="n">
        <v>12</v>
      </c>
      <c r="P81" s="51" t="n">
        <v>13</v>
      </c>
      <c r="Q81" s="51" t="n">
        <v>14</v>
      </c>
      <c r="R81" s="51" t="n">
        <v>15</v>
      </c>
      <c r="S81" s="51" t="n">
        <v>16</v>
      </c>
      <c r="T81" s="51" t="n">
        <v>17</v>
      </c>
      <c r="U81" s="51" t="n">
        <v>18</v>
      </c>
    </row>
    <row r="82" ht="24" customHeight="1" thickTop="1">
      <c r="C82" s="53" t="inlineStr">
        <is>
          <t>A</t>
        </is>
      </c>
      <c r="D82" s="302" t="inlineStr">
        <is>
          <t>01A_x000D_
MAIN_x000D_
INCOMING MCB</t>
        </is>
      </c>
      <c r="E82" s="294" t="inlineStr">
        <is>
          <t>02A_x000D_
12" SPACE</t>
        </is>
      </c>
      <c r="F82" s="294" t="inlineStr">
        <is>
          <t>03A_x000D_
PMP-101_x000D_
B&amp;F HOT WATER LOOP PUMP</t>
        </is>
      </c>
      <c r="G82" s="294" t="inlineStr">
        <is>
          <t>04A_x000D_
PMP-102_x000D_
BOOSTER PUMP</t>
        </is>
      </c>
      <c r="H82" s="294" t="inlineStr">
        <is>
          <t>05A_x000D_
RM5-MCC1-5A.SW1_x000D_
ETHERNET SWITCH (20-PORT)</t>
        </is>
      </c>
      <c r="I82" s="294" t="inlineStr">
        <is>
          <t>06A_x000D_
PMP-106_x000D_
CHILLED WATER PUMP 2</t>
        </is>
      </c>
      <c r="J82" s="294" t="inlineStr">
        <is>
          <t>07A_x000D_
PMP-103_x000D_
CHILLED WATER PUMP 1</t>
        </is>
      </c>
      <c r="K82" s="294" t="inlineStr">
        <is>
          <t>08A_x000D_
6" SPACE</t>
        </is>
      </c>
      <c r="L82" s="294" t="inlineStr">
        <is>
          <t>09A_x000D_
6" SPACE</t>
        </is>
      </c>
      <c r="M82" s="294" t="inlineStr">
        <is>
          <t>10A_x000D_
6" SPACE</t>
        </is>
      </c>
      <c r="N82" s="294" t="inlineStr">
        <is>
          <t>11A_x000D_
12" SPACE</t>
        </is>
      </c>
      <c r="O82" s="294" t="inlineStr">
        <is>
          <t>12A_x000D_
12" SPACE</t>
        </is>
      </c>
      <c r="P82" s="294" t="inlineStr">
        <is>
          <t>13A_x000D_
RM5-MCC1-13A.ENPS_x000D_
ETHERNET SWITCH POWER SUPPLY</t>
        </is>
      </c>
      <c r="Q82" s="294" t="inlineStr">
        <is>
          <t>14A_x000D_
SPARE_x000D_
VFD - 2HP</t>
        </is>
      </c>
      <c r="R82" s="294" t="inlineStr">
        <is>
          <t>15A_x000D_
SPARE_x000D_
VFD - 2HP</t>
        </is>
      </c>
      <c r="S82" s="294" t="inlineStr">
        <is>
          <t>16A_x000D_
6" SPACE</t>
        </is>
      </c>
      <c r="T82" s="294" t="inlineStr">
        <is>
          <t>17A_x000D_
RM5-MCC1-5A.SW1_x000D_
ETHERNET SWITCH (20-PORT)</t>
        </is>
      </c>
      <c r="U82" s="298" t="inlineStr">
        <is>
          <t>18A_x000D_
12" SPACE</t>
        </is>
      </c>
    </row>
    <row r="83" ht="24" customHeight="1">
      <c r="C83" s="53" t="inlineStr">
        <is>
          <t>B</t>
        </is>
      </c>
      <c r="D83" s="296" t="n"/>
      <c r="E83" s="292" t="n"/>
      <c r="F83" s="293" t="n"/>
      <c r="G83" s="293" t="n"/>
      <c r="H83" s="292" t="n"/>
      <c r="I83" s="293" t="n"/>
      <c r="J83" s="293" t="n"/>
      <c r="K83" s="291" t="inlineStr">
        <is>
          <t>08B_x000D_
SPARE_x000D_
VFD - 10HP</t>
        </is>
      </c>
      <c r="L83" s="291" t="inlineStr">
        <is>
          <t>09B_x000D_
FHD-101_x000D_
FORMING HEAD</t>
        </is>
      </c>
      <c r="M83" s="291" t="inlineStr">
        <is>
          <t>10B_x000D_
PMP-10x_x000D_
VOTATOR SKID HW CIRC PUMP</t>
        </is>
      </c>
      <c r="N83" s="292" t="n"/>
      <c r="O83" s="292" t="n"/>
      <c r="P83" s="292" t="n"/>
      <c r="Q83" s="293" t="n"/>
      <c r="R83" s="293" t="n"/>
      <c r="S83" s="291" t="inlineStr">
        <is>
          <t>16B_x000D_
CNV-102_x000D_
BATH CONVEYOR 2</t>
        </is>
      </c>
      <c r="T83" s="292" t="n"/>
      <c r="U83" s="299" t="n"/>
    </row>
    <row r="84" ht="24" customHeight="1">
      <c r="C84" s="53" t="inlineStr">
        <is>
          <t>C</t>
        </is>
      </c>
      <c r="D84" s="296" t="n"/>
      <c r="E84" s="291" t="inlineStr">
        <is>
          <t>02C_x000D_
RL7-MCC1-PM_x000D_
POWERMONITOR 5000 W/ ETHERNET</t>
        </is>
      </c>
      <c r="F84" s="293" t="n"/>
      <c r="G84" s="293" t="n"/>
      <c r="H84" s="291" t="inlineStr">
        <is>
          <t>05C_x000D_
12" SPACE</t>
        </is>
      </c>
      <c r="I84" s="293" t="n"/>
      <c r="J84" s="293" t="n"/>
      <c r="K84" s="293" t="n"/>
      <c r="L84" s="293" t="n"/>
      <c r="M84" s="293" t="n"/>
      <c r="N84" s="291" t="inlineStr">
        <is>
          <t>11C_x000D_
PMP-104_x000D_
INJECTION PUMP 1</t>
        </is>
      </c>
      <c r="O84" s="291" t="inlineStr">
        <is>
          <t>12C_x000D_
SPARE_x000D_
VFD - 5HP</t>
        </is>
      </c>
      <c r="P84" s="291" t="inlineStr">
        <is>
          <t>13C_x000D_
12" SPACE</t>
        </is>
      </c>
      <c r="Q84" s="292" t="n"/>
      <c r="R84" s="292" t="n"/>
      <c r="S84" s="293" t="n"/>
      <c r="T84" s="291" t="inlineStr">
        <is>
          <t>17C_x000D_
6" SPACE</t>
        </is>
      </c>
      <c r="U84" s="300" t="inlineStr">
        <is>
          <t>18C_x000D_
12" SPACE</t>
        </is>
      </c>
    </row>
    <row r="85" ht="24" customHeight="1">
      <c r="C85" s="53" t="inlineStr">
        <is>
          <t>D</t>
        </is>
      </c>
      <c r="D85" s="296" t="n"/>
      <c r="E85" s="293" t="n"/>
      <c r="F85" s="293" t="n"/>
      <c r="G85" s="293" t="n"/>
      <c r="H85" s="292" t="n"/>
      <c r="I85" s="293" t="n"/>
      <c r="J85" s="293" t="n"/>
      <c r="K85" s="293" t="n"/>
      <c r="L85" s="293" t="n"/>
      <c r="M85" s="293" t="n"/>
      <c r="N85" s="293" t="n"/>
      <c r="O85" s="293" t="n"/>
      <c r="P85" s="292" t="n"/>
      <c r="Q85" s="291" t="inlineStr">
        <is>
          <t>14D_x000D_
SPARE_x000D_
VFD - 2HP</t>
        </is>
      </c>
      <c r="R85" s="291" t="inlineStr">
        <is>
          <t>15D_x000D_
SPARE_x000D_
VFD - 2HP</t>
        </is>
      </c>
      <c r="S85" s="293" t="n"/>
      <c r="T85" s="291" t="inlineStr">
        <is>
          <t>17D_x000D_
SPARE_x000D_
VFD - 5HP</t>
        </is>
      </c>
      <c r="U85" s="299" t="n"/>
    </row>
    <row r="86" ht="24" customHeight="1">
      <c r="C86" s="53" t="inlineStr">
        <is>
          <t>E</t>
        </is>
      </c>
      <c r="D86" s="296" t="n"/>
      <c r="E86" s="292" t="n"/>
      <c r="F86" s="292" t="n"/>
      <c r="G86" s="292" t="n"/>
      <c r="H86" s="291" t="inlineStr">
        <is>
          <t>05E_x000D_
12" SPACE</t>
        </is>
      </c>
      <c r="I86" s="292" t="n"/>
      <c r="J86" s="292" t="n"/>
      <c r="K86" s="292" t="n"/>
      <c r="L86" s="292" t="n"/>
      <c r="M86" s="292" t="n"/>
      <c r="N86" s="292" t="n"/>
      <c r="O86" s="292" t="n"/>
      <c r="P86" s="291" t="inlineStr">
        <is>
          <t>13E_x000D_
6" SPACE</t>
        </is>
      </c>
      <c r="Q86" s="293" t="n"/>
      <c r="R86" s="293" t="n"/>
      <c r="S86" s="292" t="n"/>
      <c r="T86" s="293" t="n"/>
      <c r="U86" s="300" t="inlineStr">
        <is>
          <t>18E_x000D_
12" SPACE</t>
        </is>
      </c>
    </row>
    <row r="87" ht="24" customHeight="1">
      <c r="C87" s="53" t="inlineStr">
        <is>
          <t>F</t>
        </is>
      </c>
      <c r="D87" s="296" t="n"/>
      <c r="E87" s="291" t="inlineStr">
        <is>
          <t>02F_x000D_
HTX-101_x000D_
VOTATOR 1</t>
        </is>
      </c>
      <c r="F87" s="291" t="inlineStr">
        <is>
          <t>03F_x000D_
HTX-102_x000D_
VOTATOR 2</t>
        </is>
      </c>
      <c r="G87" s="291" t="inlineStr">
        <is>
          <t>04F_x000D_
HTX-103_x000D_
VOTATOR 3</t>
        </is>
      </c>
      <c r="H87" s="292" t="n"/>
      <c r="I87" s="291" t="inlineStr">
        <is>
          <t>06F_x000D_
HTX-105_x000D_
VOTATOR 5</t>
        </is>
      </c>
      <c r="J87" s="291" t="inlineStr">
        <is>
          <t>07F_x000D_
HTX-104_x000D_
VOTATOR 4</t>
        </is>
      </c>
      <c r="K87" s="291" t="inlineStr">
        <is>
          <t>08F_x000D_
HTX-106_x000D_
VOTATOR 6</t>
        </is>
      </c>
      <c r="L87" s="291" t="inlineStr">
        <is>
          <t>09F_x000D_
HTX-107_x000D_
VOTATOR 7</t>
        </is>
      </c>
      <c r="M87" s="291" t="inlineStr">
        <is>
          <t>10F_x000D_
HTX-108_x000D_
VOTATOR 8</t>
        </is>
      </c>
      <c r="N87" s="291" t="inlineStr">
        <is>
          <t>11F_x000D_
HTX-109_x000D_
VOTATOR 9</t>
        </is>
      </c>
      <c r="O87" s="291" t="inlineStr">
        <is>
          <t>12F_x000D_
HTX-110_x000D_
VOTATOR 10</t>
        </is>
      </c>
      <c r="P87" s="291" t="inlineStr">
        <is>
          <t>13F_x000D_
CNV-101_x000D_
BATH CONVEYOR 1</t>
        </is>
      </c>
      <c r="Q87" s="292" t="n"/>
      <c r="R87" s="292" t="n"/>
      <c r="S87" s="291" t="inlineStr">
        <is>
          <t>16F_x000D_
SPARE_x000D_
VFD - 30HP</t>
        </is>
      </c>
      <c r="T87" s="292" t="n"/>
      <c r="U87" s="299" t="n"/>
    </row>
    <row r="88" ht="24" customHeight="1">
      <c r="C88" s="53" t="inlineStr">
        <is>
          <t>G</t>
        </is>
      </c>
      <c r="D88" s="297" t="n"/>
      <c r="E88" s="293" t="n"/>
      <c r="F88" s="293" t="n"/>
      <c r="G88" s="293" t="n"/>
      <c r="H88" s="291" t="inlineStr">
        <is>
          <t>05G_x000D_
12" SPACE</t>
        </is>
      </c>
      <c r="I88" s="293" t="n"/>
      <c r="J88" s="293" t="n"/>
      <c r="K88" s="293" t="n"/>
      <c r="L88" s="293" t="n"/>
      <c r="M88" s="293" t="n"/>
      <c r="N88" s="293" t="n"/>
      <c r="O88" s="293" t="n"/>
      <c r="P88" s="293" t="n"/>
      <c r="Q88" s="291" t="inlineStr">
        <is>
          <t>14G_x000D_
SPARE_x000D_
VFD - 5HP</t>
        </is>
      </c>
      <c r="R88" s="291" t="inlineStr">
        <is>
          <t>15G_x000D_
PMP-109_x000D_
BATH 1 CIRCULATION PUMP</t>
        </is>
      </c>
      <c r="S88" s="293" t="n"/>
      <c r="T88" s="291" t="inlineStr">
        <is>
          <t>17G_x000D_
SPARE_x000D_
VFD - 5HP</t>
        </is>
      </c>
      <c r="U88" s="300" t="inlineStr">
        <is>
          <t>18G_x000D_
12" SPACE</t>
        </is>
      </c>
    </row>
    <row r="89" ht="24" customHeight="1">
      <c r="C89" s="53" t="inlineStr">
        <is>
          <t>H</t>
        </is>
      </c>
      <c r="D89" s="295" t="inlineStr">
        <is>
          <t>01H_x000D_
6" SPACE</t>
        </is>
      </c>
      <c r="E89" s="293" t="n"/>
      <c r="F89" s="293" t="n"/>
      <c r="G89" s="293" t="n"/>
      <c r="H89" s="292" t="n"/>
      <c r="I89" s="293" t="n"/>
      <c r="J89" s="293" t="n"/>
      <c r="K89" s="293" t="n"/>
      <c r="L89" s="293" t="n"/>
      <c r="M89" s="293" t="n"/>
      <c r="N89" s="293" t="n"/>
      <c r="O89" s="293" t="n"/>
      <c r="P89" s="293" t="n"/>
      <c r="Q89" s="293" t="n"/>
      <c r="R89" s="293" t="n"/>
      <c r="S89" s="293" t="n"/>
      <c r="T89" s="293" t="n"/>
      <c r="U89" s="299" t="n"/>
    </row>
    <row r="90" ht="24" customHeight="1">
      <c r="C90" s="53" t="inlineStr">
        <is>
          <t>J</t>
        </is>
      </c>
      <c r="D90" s="295" t="inlineStr">
        <is>
          <t>01J_x000D_
12" SPACE</t>
        </is>
      </c>
      <c r="E90" s="293" t="n"/>
      <c r="F90" s="293" t="n"/>
      <c r="G90" s="293" t="n"/>
      <c r="H90" s="291" t="inlineStr">
        <is>
          <t>05J_x000D_
12" SPACE</t>
        </is>
      </c>
      <c r="I90" s="293" t="n"/>
      <c r="J90" s="293" t="n"/>
      <c r="K90" s="293" t="n"/>
      <c r="L90" s="293" t="n"/>
      <c r="M90" s="293" t="n"/>
      <c r="N90" s="293" t="n"/>
      <c r="O90" s="293" t="n"/>
      <c r="P90" s="292" t="n"/>
      <c r="Q90" s="292" t="n"/>
      <c r="R90" s="292" t="n"/>
      <c r="S90" s="293" t="n"/>
      <c r="T90" s="292" t="n"/>
      <c r="U90" s="300" t="inlineStr">
        <is>
          <t>18J_x000D_
12" SPACE</t>
        </is>
      </c>
    </row>
    <row r="91" ht="24" customHeight="1">
      <c r="C91" s="53" t="inlineStr">
        <is>
          <t>K</t>
        </is>
      </c>
      <c r="D91" s="297" t="n"/>
      <c r="E91" s="293" t="n"/>
      <c r="F91" s="293" t="n"/>
      <c r="G91" s="293" t="n"/>
      <c r="H91" s="292" t="n"/>
      <c r="I91" s="293" t="n"/>
      <c r="J91" s="293" t="n"/>
      <c r="K91" s="293" t="n"/>
      <c r="L91" s="293" t="n"/>
      <c r="M91" s="293" t="n"/>
      <c r="N91" s="293" t="n"/>
      <c r="O91" s="293" t="n"/>
      <c r="P91" s="291" t="inlineStr">
        <is>
          <t>13K_x000D_
PMP-106_x000D_
VOTATOR SKID MAKEUP WATER PUMP</t>
        </is>
      </c>
      <c r="Q91" s="291" t="inlineStr">
        <is>
          <t>14K_x000D_
SPARE_x000D_
VFD - 5HP</t>
        </is>
      </c>
      <c r="R91" s="291" t="inlineStr">
        <is>
          <t>15K_x000D_
SPARE_x000D_
VFD - 5HP</t>
        </is>
      </c>
      <c r="S91" s="293" t="n"/>
      <c r="T91" s="291" t="inlineStr">
        <is>
          <t>17K_x000D_
SCR-101_x000D_
WASTE SEPARATOR DRUM</t>
        </is>
      </c>
      <c r="U91" s="299" t="n"/>
    </row>
    <row r="92" ht="24" customHeight="1">
      <c r="C92" s="53" t="inlineStr">
        <is>
          <t>L</t>
        </is>
      </c>
      <c r="D92" s="295" t="inlineStr">
        <is>
          <t>01L_x000D_
12" SPACE</t>
        </is>
      </c>
      <c r="E92" s="293" t="n"/>
      <c r="F92" s="293" t="n"/>
      <c r="G92" s="293" t="n"/>
      <c r="H92" s="291" t="inlineStr">
        <is>
          <t>05L_x000D_
RM5-MCC1-5L.ENPS_x000D_
ETHERNET SWITCH POWER SUPPLY</t>
        </is>
      </c>
      <c r="I92" s="293" t="n"/>
      <c r="J92" s="293" t="n"/>
      <c r="K92" s="293" t="n"/>
      <c r="L92" s="293" t="n"/>
      <c r="M92" s="293" t="n"/>
      <c r="N92" s="293" t="n"/>
      <c r="O92" s="293" t="n"/>
      <c r="P92" s="293" t="n"/>
      <c r="Q92" s="293" t="n"/>
      <c r="R92" s="293" t="n"/>
      <c r="S92" s="293" t="n"/>
      <c r="T92" s="293" t="n"/>
      <c r="U92" s="300" t="inlineStr">
        <is>
          <t>18L_x000D_
12" SPACE</t>
        </is>
      </c>
    </row>
    <row r="93" ht="24" customHeight="1" thickBot="1">
      <c r="C93" s="53" t="inlineStr">
        <is>
          <t>M</t>
        </is>
      </c>
      <c r="D93" s="297" t="n"/>
      <c r="E93" s="292" t="n"/>
      <c r="F93" s="292" t="n"/>
      <c r="G93" s="292" t="n"/>
      <c r="H93" s="292" t="n"/>
      <c r="I93" s="292" t="n"/>
      <c r="J93" s="292" t="n"/>
      <c r="K93" s="292" t="n"/>
      <c r="L93" s="292" t="n"/>
      <c r="M93" s="292" t="n"/>
      <c r="N93" s="292" t="n"/>
      <c r="O93" s="292" t="n"/>
      <c r="P93" s="292" t="n"/>
      <c r="Q93" s="292" t="n"/>
      <c r="R93" s="292" t="n"/>
      <c r="S93" s="292" t="n"/>
      <c r="T93" s="292" t="n"/>
      <c r="U93" s="299" t="n"/>
    </row>
    <row r="94" ht="15" customHeight="1" thickTop="1"/>
    <row r="97" ht="24.95" customHeight="1" thickBot="1">
      <c r="A97" s="52" t="inlineStr">
        <is>
          <t>VTTRS-MCC2</t>
        </is>
      </c>
      <c r="D97" s="51" t="n">
        <v>1</v>
      </c>
      <c r="E97" s="51" t="n">
        <v>2</v>
      </c>
      <c r="F97" s="51" t="n">
        <v>3</v>
      </c>
      <c r="G97" s="51" t="n">
        <v>4</v>
      </c>
      <c r="H97" s="51" t="n">
        <v>5</v>
      </c>
      <c r="I97" s="51" t="n">
        <v>6</v>
      </c>
      <c r="J97" s="51" t="n">
        <v>7</v>
      </c>
      <c r="K97" s="51" t="n">
        <v>8</v>
      </c>
      <c r="L97" s="51" t="n">
        <v>9</v>
      </c>
      <c r="M97" s="51" t="n">
        <v>10</v>
      </c>
      <c r="N97" s="51" t="n">
        <v>11</v>
      </c>
      <c r="O97" s="51" t="n">
        <v>12</v>
      </c>
      <c r="P97" s="51" t="n">
        <v>13</v>
      </c>
      <c r="Q97" s="51" t="n">
        <v>14</v>
      </c>
    </row>
    <row r="98" ht="24" customHeight="1" thickTop="1">
      <c r="C98" s="53" t="inlineStr">
        <is>
          <t>A</t>
        </is>
      </c>
      <c r="D98" s="302" t="inlineStr">
        <is>
          <t>01A_x000D_
MAIN_x000D_
INCOMING MCB</t>
        </is>
      </c>
      <c r="E98" s="294" t="inlineStr">
        <is>
          <t>02A_x000D_
12" SPACE</t>
        </is>
      </c>
      <c r="F98" s="294" t="inlineStr">
        <is>
          <t>03A_x000D_
SPARE_x000D_
VFD - 15HP</t>
        </is>
      </c>
      <c r="G98" s="294" t="inlineStr">
        <is>
          <t>04A_x000D_
GRR-001_x000D_
FROZEN GRINDER</t>
        </is>
      </c>
      <c r="H98" s="294" t="inlineStr">
        <is>
          <t>05A_x000D_
RM5-MCC2-5A.SW1_x000D_
ETHERNET SWITCH (20-PORT)</t>
        </is>
      </c>
      <c r="I98" s="294" t="inlineStr">
        <is>
          <t>06A_x000D_
SPARE_x000D_
VFD - 5HP</t>
        </is>
      </c>
      <c r="J98" s="294" t="inlineStr">
        <is>
          <t>07A_x000D_
CNV-002_x000D_
FB INCLINE / MD CONVEYOR</t>
        </is>
      </c>
      <c r="K98" s="294" t="inlineStr">
        <is>
          <t>08A_x000D_
MGR-001_x000D_
DISCHARGE SCREW</t>
        </is>
      </c>
      <c r="L98" s="294" t="inlineStr">
        <is>
          <t>09A_x000D_
MLT-004_x000D_
COLUMN DUMPER</t>
        </is>
      </c>
      <c r="M98" s="294" t="inlineStr">
        <is>
          <t>10A_x000D_
PMP-xxx_x000D_
INCLINE AUGER HYDRAULIC PUMP</t>
        </is>
      </c>
      <c r="N98" s="294" t="inlineStr">
        <is>
          <t>11A_x000D_
RM5-MCC2-11A.SW1_x000D_
ETHERNET SWITCH (20-PORT)</t>
        </is>
      </c>
      <c r="O98" s="294" t="inlineStr">
        <is>
          <t>12A_x000D_
MLT-001_x000D_
TOTE DUMPER</t>
        </is>
      </c>
      <c r="P98" s="294" t="inlineStr">
        <is>
          <t>13A_x000D_
12" SPACE</t>
        </is>
      </c>
      <c r="Q98" s="298" t="inlineStr">
        <is>
          <t>14A_x000D_
GRR-001_x000D_
FROZEN GRINDER</t>
        </is>
      </c>
    </row>
    <row r="99" ht="24" customHeight="1">
      <c r="C99" s="53" t="inlineStr">
        <is>
          <t>B</t>
        </is>
      </c>
      <c r="D99" s="296" t="n"/>
      <c r="E99" s="292" t="n"/>
      <c r="F99" s="293" t="n"/>
      <c r="G99" s="293" t="n"/>
      <c r="H99" s="292" t="n"/>
      <c r="I99" s="293" t="n"/>
      <c r="J99" s="293" t="n"/>
      <c r="K99" s="293" t="n"/>
      <c r="L99" s="293" t="n"/>
      <c r="M99" s="292" t="n"/>
      <c r="N99" s="292" t="n"/>
      <c r="O99" s="292" t="n"/>
      <c r="P99" s="292" t="n"/>
      <c r="Q99" s="301" t="n"/>
    </row>
    <row r="100" ht="24" customHeight="1">
      <c r="C100" s="53" t="inlineStr">
        <is>
          <t>C</t>
        </is>
      </c>
      <c r="D100" s="296" t="n"/>
      <c r="E100" s="291" t="inlineStr">
        <is>
          <t>02C_x000D_
MGR-001_x000D_
LEFT / RIGHT AUGER</t>
        </is>
      </c>
      <c r="F100" s="293" t="n"/>
      <c r="G100" s="293" t="n"/>
      <c r="H100" s="291" t="inlineStr">
        <is>
          <t>05C_x000D_
12" SPACE</t>
        </is>
      </c>
      <c r="I100" s="292" t="n"/>
      <c r="J100" s="293" t="n"/>
      <c r="K100" s="293" t="n"/>
      <c r="L100" s="292" t="n"/>
      <c r="M100" s="291" t="inlineStr">
        <is>
          <t>10C_x000D_
MLT-005_x000D_
COLUMN DUMPER</t>
        </is>
      </c>
      <c r="N100" s="291" t="inlineStr">
        <is>
          <t>11C_x000D_
AGC-001.M1_x000D_
AUGER CART 1 - LEFT AUGER</t>
        </is>
      </c>
      <c r="O100" s="291" t="inlineStr">
        <is>
          <t>12C_x000D_
???_x000D_
TRACK</t>
        </is>
      </c>
      <c r="P100" s="291" t="inlineStr">
        <is>
          <t>13C_x000D_
12" SPACE</t>
        </is>
      </c>
      <c r="Q100" s="301" t="n"/>
    </row>
    <row r="101" ht="24" customHeight="1">
      <c r="C101" s="53" t="inlineStr">
        <is>
          <t>D</t>
        </is>
      </c>
      <c r="D101" s="296" t="n"/>
      <c r="E101" s="293" t="n"/>
      <c r="F101" s="293" t="n"/>
      <c r="G101" s="293" t="n"/>
      <c r="H101" s="292" t="n"/>
      <c r="I101" s="291" t="inlineStr">
        <is>
          <t>06D_x000D_
AGC-002.M1_x000D_
AUGER CART LEFT AUGER</t>
        </is>
      </c>
      <c r="J101" s="292" t="n"/>
      <c r="K101" s="293" t="n"/>
      <c r="L101" s="291" t="inlineStr">
        <is>
          <t>09D_x000D_
CNV-002_x000D_
INCLINE PIVOT AUGER</t>
        </is>
      </c>
      <c r="M101" s="293" t="n"/>
      <c r="N101" s="293" t="n"/>
      <c r="O101" s="293" t="n"/>
      <c r="P101" s="292" t="n"/>
      <c r="Q101" s="301" t="n"/>
    </row>
    <row r="102" ht="24" customHeight="1">
      <c r="C102" s="53" t="inlineStr">
        <is>
          <t>E</t>
        </is>
      </c>
      <c r="D102" s="296" t="n"/>
      <c r="E102" s="293" t="n"/>
      <c r="F102" s="292" t="n"/>
      <c r="G102" s="293" t="n"/>
      <c r="H102" s="291" t="inlineStr">
        <is>
          <t>05E_x000D_
12" SPACE</t>
        </is>
      </c>
      <c r="I102" s="293" t="n"/>
      <c r="J102" s="291" t="inlineStr">
        <is>
          <t>07E_x000D_
12" SPACE</t>
        </is>
      </c>
      <c r="K102" s="292" t="n"/>
      <c r="L102" s="293" t="n"/>
      <c r="M102" s="292" t="n"/>
      <c r="N102" s="292" t="n"/>
      <c r="O102" s="292" t="n"/>
      <c r="P102" s="291" t="inlineStr">
        <is>
          <t>13E_x000D_
12" SPACE</t>
        </is>
      </c>
      <c r="Q102" s="301" t="n"/>
    </row>
    <row r="103" ht="24" customHeight="1">
      <c r="C103" s="53" t="inlineStr">
        <is>
          <t>F</t>
        </is>
      </c>
      <c r="D103" s="296" t="n"/>
      <c r="E103" s="293" t="n"/>
      <c r="F103" s="291" t="inlineStr">
        <is>
          <t>03F_x000D_
SPARE_x000D_
VFD - 30HP</t>
        </is>
      </c>
      <c r="G103" s="293" t="n"/>
      <c r="H103" s="292" t="n"/>
      <c r="I103" s="292" t="n"/>
      <c r="J103" s="292" t="n"/>
      <c r="K103" s="291" t="inlineStr">
        <is>
          <t>08F_x000D_
GRR-002_x000D_
FROZEN GRINDER SCREW</t>
        </is>
      </c>
      <c r="L103" s="292" t="n"/>
      <c r="M103" s="291" t="inlineStr">
        <is>
          <t>10F_x000D_
6" SPACE</t>
        </is>
      </c>
      <c r="N103" s="291" t="inlineStr">
        <is>
          <t>11F_x000D_
AGC-001.M2_x000D_
AUGER CART 1 - RIGHT AUGER</t>
        </is>
      </c>
      <c r="O103" s="291" t="inlineStr">
        <is>
          <t>12F_x000D_
AGC-001.M3_x000D_
AUGER CART 1 - PUMP</t>
        </is>
      </c>
      <c r="P103" s="292" t="n"/>
      <c r="Q103" s="301" t="n"/>
    </row>
    <row r="104" ht="24" customHeight="1">
      <c r="C104" s="53" t="inlineStr">
        <is>
          <t>G</t>
        </is>
      </c>
      <c r="D104" s="297" t="n"/>
      <c r="E104" s="293" t="n"/>
      <c r="F104" s="293" t="n"/>
      <c r="G104" s="293" t="n"/>
      <c r="H104" s="291" t="inlineStr">
        <is>
          <t>05G_x000D_
12" SPACE</t>
        </is>
      </c>
      <c r="I104" s="291" t="inlineStr">
        <is>
          <t>06G_x000D_
AGC-002.M2_x000D_
AUGER CART RIGHT AUGER</t>
        </is>
      </c>
      <c r="J104" s="291" t="inlineStr">
        <is>
          <t>07G_x000D_
12" SPACE</t>
        </is>
      </c>
      <c r="K104" s="293" t="n"/>
      <c r="L104" s="291" t="inlineStr">
        <is>
          <t>09G_x000D_
TNK-001_x000D_
COOKING KETTLE MIXER</t>
        </is>
      </c>
      <c r="M104" s="291" t="inlineStr">
        <is>
          <t>10G_x000D_
12" SPACE</t>
        </is>
      </c>
      <c r="N104" s="293" t="n"/>
      <c r="O104" s="293" t="n"/>
      <c r="P104" s="291" t="inlineStr">
        <is>
          <t>13G_x000D_
12" SPACE</t>
        </is>
      </c>
      <c r="Q104" s="301" t="n"/>
    </row>
    <row r="105" ht="24" customHeight="1">
      <c r="C105" s="53" t="inlineStr">
        <is>
          <t>H</t>
        </is>
      </c>
      <c r="D105" s="295" t="inlineStr">
        <is>
          <t>01H_x000D_
RL7-MCC1-PM_x000D_
POWERMONITOR 5000 W/ ETHERNET</t>
        </is>
      </c>
      <c r="E105" s="293" t="n"/>
      <c r="F105" s="293" t="n"/>
      <c r="G105" s="293" t="n"/>
      <c r="H105" s="292" t="n"/>
      <c r="I105" s="293" t="n"/>
      <c r="J105" s="292" t="n"/>
      <c r="K105" s="293" t="n"/>
      <c r="L105" s="293" t="n"/>
      <c r="M105" s="292" t="n"/>
      <c r="N105" s="292" t="n"/>
      <c r="O105" s="293" t="n"/>
      <c r="P105" s="292" t="n"/>
      <c r="Q105" s="301" t="n"/>
    </row>
    <row r="106" ht="24" customHeight="1">
      <c r="C106" s="53" t="inlineStr">
        <is>
          <t>J</t>
        </is>
      </c>
      <c r="D106" s="296" t="n"/>
      <c r="E106" s="293" t="n"/>
      <c r="F106" s="293" t="n"/>
      <c r="G106" s="293" t="n"/>
      <c r="H106" s="291" t="inlineStr">
        <is>
          <t>05J_x000D_
12" SPACE</t>
        </is>
      </c>
      <c r="I106" s="292" t="n"/>
      <c r="J106" s="291" t="inlineStr">
        <is>
          <t>07J_x000D_
CNV-003_x000D_
INCLINE AUGER CONVEYOR</t>
        </is>
      </c>
      <c r="K106" s="293" t="n"/>
      <c r="L106" s="292" t="n"/>
      <c r="M106" s="291" t="inlineStr">
        <is>
          <t>10J_x000D_
12" SPACE</t>
        </is>
      </c>
      <c r="N106" s="291" t="inlineStr">
        <is>
          <t>11J_x000D_
AGC-002.M3_x000D_
AUGER CART 2 - LEVELING RIBBON</t>
        </is>
      </c>
      <c r="O106" s="293" t="n"/>
      <c r="P106" s="291" t="inlineStr">
        <is>
          <t>13J_x000D_
12" SPACE</t>
        </is>
      </c>
      <c r="Q106" s="301" t="n"/>
    </row>
    <row r="107" ht="24" customHeight="1">
      <c r="C107" s="53" t="inlineStr">
        <is>
          <t>K</t>
        </is>
      </c>
      <c r="D107" s="297" t="n"/>
      <c r="E107" s="293" t="n"/>
      <c r="F107" s="293" t="n"/>
      <c r="G107" s="293" t="n"/>
      <c r="H107" s="292" t="n"/>
      <c r="I107" s="291" t="inlineStr">
        <is>
          <t>06K_x000D_
CNV-001_x000D_
INCLINE BELT CONVEYOR</t>
        </is>
      </c>
      <c r="J107" s="293" t="n"/>
      <c r="K107" s="293" t="n"/>
      <c r="L107" s="291" t="inlineStr">
        <is>
          <t>09K_x000D_
AGR-001_x000D_
CHILLING KETTLE AGITATOR</t>
        </is>
      </c>
      <c r="M107" s="292" t="n"/>
      <c r="N107" s="293" t="n"/>
      <c r="O107" s="293" t="n"/>
      <c r="P107" s="292" t="n"/>
      <c r="Q107" s="301" t="n"/>
    </row>
    <row r="108" ht="24" customHeight="1">
      <c r="C108" s="53" t="inlineStr">
        <is>
          <t>L</t>
        </is>
      </c>
      <c r="D108" s="295" t="inlineStr">
        <is>
          <t>01L_x000D_
12" SPACE</t>
        </is>
      </c>
      <c r="E108" s="293" t="n"/>
      <c r="F108" s="293" t="n"/>
      <c r="G108" s="293" t="n"/>
      <c r="H108" s="291" t="inlineStr">
        <is>
          <t>05L_x000D_
RM5-MCC1-5L.ENPS_x000D_
ETHERNET SWITCH POWER SUPPLY</t>
        </is>
      </c>
      <c r="I108" s="293" t="n"/>
      <c r="J108" s="293" t="n"/>
      <c r="K108" s="293" t="n"/>
      <c r="L108" s="293" t="n"/>
      <c r="M108" s="291" t="inlineStr">
        <is>
          <t>10L_x000D_
12" SPACE</t>
        </is>
      </c>
      <c r="N108" s="293" t="n"/>
      <c r="O108" s="293" t="n"/>
      <c r="P108" s="291" t="inlineStr">
        <is>
          <t>13L_x000D_
12" SPACE</t>
        </is>
      </c>
      <c r="Q108" s="301" t="n"/>
    </row>
    <row r="109" ht="24" customHeight="1" thickBot="1">
      <c r="C109" s="53" t="inlineStr">
        <is>
          <t>M</t>
        </is>
      </c>
      <c r="D109" s="297" t="n"/>
      <c r="E109" s="292" t="n"/>
      <c r="F109" s="292" t="n"/>
      <c r="G109" s="292" t="n"/>
      <c r="H109" s="292" t="n"/>
      <c r="I109" s="292" t="n"/>
      <c r="J109" s="292" t="n"/>
      <c r="K109" s="292" t="n"/>
      <c r="L109" s="292" t="n"/>
      <c r="M109" s="292" t="n"/>
      <c r="N109" s="292" t="n"/>
      <c r="O109" s="292" t="n"/>
      <c r="P109" s="292" t="n"/>
      <c r="Q109" s="299" t="n"/>
    </row>
    <row r="110" ht="15" customHeight="1" thickTop="1"/>
    <row r="113" ht="24.95" customHeight="1" thickBot="1">
      <c r="A113" s="52" t="inlineStr">
        <is>
          <t>UNUSED</t>
        </is>
      </c>
      <c r="D113" s="51" t="n">
        <v>1</v>
      </c>
    </row>
    <row r="114" ht="24" customHeight="1" thickTop="1">
      <c r="C114" s="53" t="inlineStr">
        <is>
          <t>A</t>
        </is>
      </c>
      <c r="D114" s="303" t="inlineStr">
        <is>
          <t>01A_x000D_
SPARE_x000D_
VFD - 75HP</t>
        </is>
      </c>
    </row>
    <row r="115" ht="24" customHeight="1">
      <c r="C115" s="53" t="inlineStr">
        <is>
          <t>B</t>
        </is>
      </c>
      <c r="D115" s="304" t="n"/>
    </row>
    <row r="116" ht="24" customHeight="1">
      <c r="C116" s="53" t="inlineStr">
        <is>
          <t>C</t>
        </is>
      </c>
      <c r="D116" s="304" t="n"/>
    </row>
    <row r="117" ht="24" customHeight="1">
      <c r="C117" s="53" t="inlineStr">
        <is>
          <t>D</t>
        </is>
      </c>
      <c r="D117" s="304" t="n"/>
    </row>
    <row r="118" ht="24" customHeight="1">
      <c r="C118" s="53" t="inlineStr">
        <is>
          <t>E</t>
        </is>
      </c>
      <c r="D118" s="304" t="n"/>
    </row>
    <row r="119" ht="24" customHeight="1">
      <c r="C119" s="53" t="inlineStr">
        <is>
          <t>F</t>
        </is>
      </c>
      <c r="D119" s="304" t="n"/>
    </row>
    <row r="120" ht="24" customHeight="1">
      <c r="C120" s="53" t="inlineStr">
        <is>
          <t>G</t>
        </is>
      </c>
      <c r="D120" s="304" t="n"/>
    </row>
    <row r="121" ht="24" customHeight="1">
      <c r="C121" s="53" t="inlineStr">
        <is>
          <t>H</t>
        </is>
      </c>
      <c r="D121" s="304" t="n"/>
    </row>
    <row r="122" ht="24" customHeight="1">
      <c r="C122" s="53" t="inlineStr">
        <is>
          <t>J</t>
        </is>
      </c>
      <c r="D122" s="304" t="n"/>
    </row>
    <row r="123" ht="24" customHeight="1">
      <c r="C123" s="53" t="inlineStr">
        <is>
          <t>K</t>
        </is>
      </c>
      <c r="D123" s="304" t="n"/>
    </row>
    <row r="124" ht="24" customHeight="1">
      <c r="C124" s="53" t="inlineStr">
        <is>
          <t>L</t>
        </is>
      </c>
      <c r="D124" s="304" t="n"/>
    </row>
    <row r="125" ht="24" customHeight="1" thickBot="1">
      <c r="C125" s="53" t="inlineStr">
        <is>
          <t>M</t>
        </is>
      </c>
      <c r="D125" s="305" t="n"/>
    </row>
    <row r="126" ht="15" customHeight="1" thickTop="1"/>
  </sheetData>
  <mergeCells count="337">
    <mergeCell ref="P84:P85"/>
    <mergeCell ref="P91:P93"/>
    <mergeCell ref="R91:R93"/>
    <mergeCell ref="P34:P35"/>
    <mergeCell ref="D25:D27"/>
    <mergeCell ref="M98:M99"/>
    <mergeCell ref="R28:R29"/>
    <mergeCell ref="H102:H103"/>
    <mergeCell ref="J102:J103"/>
    <mergeCell ref="L83:L86"/>
    <mergeCell ref="S34:S35"/>
    <mergeCell ref="O7:O13"/>
    <mergeCell ref="Q10:Q13"/>
    <mergeCell ref="Q18:Q29"/>
    <mergeCell ref="S10:S13"/>
    <mergeCell ref="O34:O45"/>
    <mergeCell ref="K87:K93"/>
    <mergeCell ref="S40:S45"/>
    <mergeCell ref="Q74:Q77"/>
    <mergeCell ref="R42:R45"/>
    <mergeCell ref="I60:I61"/>
    <mergeCell ref="M2:M6"/>
    <mergeCell ref="H92:H93"/>
    <mergeCell ref="O82:O83"/>
    <mergeCell ref="G82:G86"/>
    <mergeCell ref="E9:E13"/>
    <mergeCell ref="T72:T77"/>
    <mergeCell ref="L72:L77"/>
    <mergeCell ref="G50:G53"/>
    <mergeCell ref="L104:L106"/>
    <mergeCell ref="L66:L67"/>
    <mergeCell ref="L34:L45"/>
    <mergeCell ref="N34:N45"/>
    <mergeCell ref="F34:F37"/>
    <mergeCell ref="L68:L69"/>
    <mergeCell ref="N106:N109"/>
    <mergeCell ref="U54:U56"/>
    <mergeCell ref="P36:P37"/>
    <mergeCell ref="F82:F86"/>
    <mergeCell ref="D12:D13"/>
    <mergeCell ref="M87:M93"/>
    <mergeCell ref="J66:J69"/>
    <mergeCell ref="M104:M105"/>
    <mergeCell ref="U88:U89"/>
    <mergeCell ref="P102:P103"/>
    <mergeCell ref="M106:M107"/>
    <mergeCell ref="D34:D40"/>
    <mergeCell ref="Q88:Q90"/>
    <mergeCell ref="Q82:Q84"/>
    <mergeCell ref="G72:G77"/>
    <mergeCell ref="D90:D91"/>
    <mergeCell ref="K83:K86"/>
    <mergeCell ref="M83:M86"/>
    <mergeCell ref="E20:E21"/>
    <mergeCell ref="N21:N24"/>
    <mergeCell ref="U24:U28"/>
    <mergeCell ref="P18:P29"/>
    <mergeCell ref="Q4:Q5"/>
    <mergeCell ref="R74:R77"/>
    <mergeCell ref="Q42:Q45"/>
    <mergeCell ref="E50:E56"/>
    <mergeCell ref="G2:G13"/>
    <mergeCell ref="O50:O53"/>
    <mergeCell ref="L2:L6"/>
    <mergeCell ref="J54:J57"/>
    <mergeCell ref="R26:R27"/>
    <mergeCell ref="L54:L57"/>
    <mergeCell ref="N82:N83"/>
    <mergeCell ref="Q6:Q9"/>
    <mergeCell ref="F50:F53"/>
    <mergeCell ref="S6:S9"/>
    <mergeCell ref="I104:I106"/>
    <mergeCell ref="I38:I41"/>
    <mergeCell ref="J70:J77"/>
    <mergeCell ref="I52:I59"/>
    <mergeCell ref="P42:P45"/>
    <mergeCell ref="K76:K77"/>
    <mergeCell ref="E100:E109"/>
    <mergeCell ref="T20:T23"/>
    <mergeCell ref="I2:I5"/>
    <mergeCell ref="H108:H109"/>
    <mergeCell ref="E34:E35"/>
    <mergeCell ref="S58:S59"/>
    <mergeCell ref="L9:L13"/>
    <mergeCell ref="S87:S93"/>
    <mergeCell ref="I66:I69"/>
    <mergeCell ref="I70:I77"/>
    <mergeCell ref="Q60:Q61"/>
    <mergeCell ref="Q38:Q41"/>
    <mergeCell ref="P82:P83"/>
    <mergeCell ref="N50:N61"/>
    <mergeCell ref="I101:I103"/>
    <mergeCell ref="R88:R90"/>
    <mergeCell ref="S83:S86"/>
    <mergeCell ref="E36:E37"/>
    <mergeCell ref="F72:F77"/>
    <mergeCell ref="H72:H77"/>
    <mergeCell ref="F103:F109"/>
    <mergeCell ref="S20:S23"/>
    <mergeCell ref="T18:T19"/>
    <mergeCell ref="V18:V19"/>
    <mergeCell ref="I18:I29"/>
    <mergeCell ref="N9:N13"/>
    <mergeCell ref="O55:O61"/>
    <mergeCell ref="P50:P53"/>
    <mergeCell ref="K54:K57"/>
    <mergeCell ref="U66:U67"/>
    <mergeCell ref="P4:P8"/>
    <mergeCell ref="H18:H24"/>
    <mergeCell ref="J18:J24"/>
    <mergeCell ref="F42:F45"/>
    <mergeCell ref="O2:O5"/>
    <mergeCell ref="I50:I51"/>
    <mergeCell ref="G44:G45"/>
    <mergeCell ref="O66:O69"/>
    <mergeCell ref="Q66:Q69"/>
    <mergeCell ref="U20:U23"/>
    <mergeCell ref="D41:D43"/>
    <mergeCell ref="E66:E71"/>
    <mergeCell ref="P38:P41"/>
    <mergeCell ref="E4:E5"/>
    <mergeCell ref="E42:E45"/>
    <mergeCell ref="T54:T57"/>
    <mergeCell ref="U68:U72"/>
    <mergeCell ref="P2:P3"/>
    <mergeCell ref="L58:L61"/>
    <mergeCell ref="L22:L23"/>
    <mergeCell ref="F66:F71"/>
    <mergeCell ref="N25:N29"/>
    <mergeCell ref="U82:U83"/>
    <mergeCell ref="E23:E29"/>
    <mergeCell ref="R38:R41"/>
    <mergeCell ref="E87:E93"/>
    <mergeCell ref="G87:G93"/>
    <mergeCell ref="I87:I93"/>
    <mergeCell ref="E60:E61"/>
    <mergeCell ref="G18:G24"/>
    <mergeCell ref="H100:H101"/>
    <mergeCell ref="P66:P69"/>
    <mergeCell ref="R66:R69"/>
    <mergeCell ref="T24:T28"/>
    <mergeCell ref="G98:G109"/>
    <mergeCell ref="E7:E8"/>
    <mergeCell ref="J106:J109"/>
    <mergeCell ref="N2:N6"/>
    <mergeCell ref="G39:G43"/>
    <mergeCell ref="V50:V53"/>
    <mergeCell ref="S54:S57"/>
    <mergeCell ref="R2:R7"/>
    <mergeCell ref="V58:V61"/>
    <mergeCell ref="S18:S19"/>
    <mergeCell ref="Q56:Q59"/>
    <mergeCell ref="P100:P101"/>
    <mergeCell ref="U90:U91"/>
    <mergeCell ref="K73:K75"/>
    <mergeCell ref="M58:M61"/>
    <mergeCell ref="K98:K102"/>
    <mergeCell ref="K22:K23"/>
    <mergeCell ref="H98:H99"/>
    <mergeCell ref="R18:R19"/>
    <mergeCell ref="K9:K13"/>
    <mergeCell ref="T2:T13"/>
    <mergeCell ref="M9:M13"/>
    <mergeCell ref="F87:F93"/>
    <mergeCell ref="N18:N20"/>
    <mergeCell ref="D60:D61"/>
    <mergeCell ref="F60:F61"/>
    <mergeCell ref="H2:H6"/>
    <mergeCell ref="H54:H57"/>
    <mergeCell ref="H82:H83"/>
    <mergeCell ref="O103:O109"/>
    <mergeCell ref="E38:E41"/>
    <mergeCell ref="M7:M8"/>
    <mergeCell ref="D9:D11"/>
    <mergeCell ref="O26:O29"/>
    <mergeCell ref="K34:K45"/>
    <mergeCell ref="V25:V29"/>
    <mergeCell ref="E76:E77"/>
    <mergeCell ref="P55:P61"/>
    <mergeCell ref="P87:P90"/>
    <mergeCell ref="S27:S29"/>
    <mergeCell ref="O87:O93"/>
    <mergeCell ref="V20:V24"/>
    <mergeCell ref="U84:U85"/>
    <mergeCell ref="T82:T83"/>
    <mergeCell ref="Q85:Q87"/>
    <mergeCell ref="T88:T90"/>
    <mergeCell ref="M50:M53"/>
    <mergeCell ref="V54:V56"/>
    <mergeCell ref="F54:F59"/>
    <mergeCell ref="L18:L21"/>
    <mergeCell ref="N87:N93"/>
    <mergeCell ref="M28:M29"/>
    <mergeCell ref="D98:D104"/>
    <mergeCell ref="U2:U13"/>
    <mergeCell ref="O74:O77"/>
    <mergeCell ref="J82:J86"/>
    <mergeCell ref="J50:J53"/>
    <mergeCell ref="Q2:Q3"/>
    <mergeCell ref="G54:G57"/>
    <mergeCell ref="L50:L53"/>
    <mergeCell ref="D50:D56"/>
    <mergeCell ref="T66:T71"/>
    <mergeCell ref="L70:L71"/>
    <mergeCell ref="K18:K21"/>
    <mergeCell ref="I34:I37"/>
    <mergeCell ref="L7:L8"/>
    <mergeCell ref="N7:N8"/>
    <mergeCell ref="F18:F24"/>
    <mergeCell ref="O18:O19"/>
    <mergeCell ref="U86:U87"/>
    <mergeCell ref="P98:P99"/>
    <mergeCell ref="J104:J105"/>
    <mergeCell ref="L24:L29"/>
    <mergeCell ref="L98:L100"/>
    <mergeCell ref="D28:D29"/>
    <mergeCell ref="T58:T61"/>
    <mergeCell ref="O22:O25"/>
    <mergeCell ref="P106:P107"/>
    <mergeCell ref="T91:T93"/>
    <mergeCell ref="D105:D107"/>
    <mergeCell ref="D92:D93"/>
    <mergeCell ref="F38:F41"/>
    <mergeCell ref="R50:R55"/>
    <mergeCell ref="J58:J61"/>
    <mergeCell ref="E57:E59"/>
    <mergeCell ref="E98:E99"/>
    <mergeCell ref="J25:J29"/>
    <mergeCell ref="N84:N86"/>
    <mergeCell ref="M54:M57"/>
    <mergeCell ref="I82:I86"/>
    <mergeCell ref="N66:N77"/>
    <mergeCell ref="K50:K53"/>
    <mergeCell ref="Q34:Q37"/>
    <mergeCell ref="S66:S71"/>
    <mergeCell ref="P70:P75"/>
    <mergeCell ref="S4:S5"/>
    <mergeCell ref="K7:K8"/>
    <mergeCell ref="E72:E75"/>
    <mergeCell ref="J2:J5"/>
    <mergeCell ref="D2:D8"/>
    <mergeCell ref="D44:D45"/>
    <mergeCell ref="P10:P13"/>
    <mergeCell ref="O98:O99"/>
    <mergeCell ref="D75:D77"/>
    <mergeCell ref="F25:F28"/>
    <mergeCell ref="D108:D109"/>
    <mergeCell ref="H25:H28"/>
    <mergeCell ref="I98:I100"/>
    <mergeCell ref="S24:S26"/>
    <mergeCell ref="K24:K29"/>
    <mergeCell ref="H34:H35"/>
    <mergeCell ref="L101:L103"/>
    <mergeCell ref="H88:H89"/>
    <mergeCell ref="T50:T53"/>
    <mergeCell ref="E2:E3"/>
    <mergeCell ref="H90:H91"/>
    <mergeCell ref="R23:R25"/>
    <mergeCell ref="M18:M21"/>
    <mergeCell ref="G58:G61"/>
    <mergeCell ref="K58:K61"/>
    <mergeCell ref="G25:G28"/>
    <mergeCell ref="S36:S39"/>
    <mergeCell ref="D57:D59"/>
    <mergeCell ref="E84:E86"/>
    <mergeCell ref="P76:P77"/>
    <mergeCell ref="S50:S53"/>
    <mergeCell ref="U50:U53"/>
    <mergeCell ref="R8:R13"/>
    <mergeCell ref="M66:M77"/>
    <mergeCell ref="H7:H13"/>
    <mergeCell ref="J10:J13"/>
    <mergeCell ref="R34:R37"/>
    <mergeCell ref="H58:H61"/>
    <mergeCell ref="J40:J45"/>
    <mergeCell ref="R82:R84"/>
    <mergeCell ref="L107:L109"/>
    <mergeCell ref="D18:D24"/>
    <mergeCell ref="D82:D88"/>
    <mergeCell ref="N100:N102"/>
    <mergeCell ref="K103:K109"/>
    <mergeCell ref="H41:H45"/>
    <mergeCell ref="H66:H71"/>
    <mergeCell ref="I10:I13"/>
    <mergeCell ref="J34:J38"/>
    <mergeCell ref="O84:O86"/>
    <mergeCell ref="S60:S61"/>
    <mergeCell ref="H104:H105"/>
    <mergeCell ref="U57:U61"/>
    <mergeCell ref="H36:H40"/>
    <mergeCell ref="S2:S3"/>
    <mergeCell ref="K2:K6"/>
    <mergeCell ref="H106:H107"/>
    <mergeCell ref="E82:E83"/>
    <mergeCell ref="O20:O21"/>
    <mergeCell ref="D71:D73"/>
    <mergeCell ref="J6:J9"/>
    <mergeCell ref="J98:J101"/>
    <mergeCell ref="G66:G71"/>
    <mergeCell ref="Q91:Q93"/>
    <mergeCell ref="N98:N99"/>
    <mergeCell ref="F98:F102"/>
    <mergeCell ref="H84:H85"/>
    <mergeCell ref="M22:M27"/>
    <mergeCell ref="H86:H87"/>
    <mergeCell ref="O70:O73"/>
    <mergeCell ref="Q70:Q73"/>
    <mergeCell ref="J87:J93"/>
    <mergeCell ref="E18:E19"/>
    <mergeCell ref="L87:L93"/>
    <mergeCell ref="P108:P109"/>
    <mergeCell ref="R20:R22"/>
    <mergeCell ref="R85:R87"/>
    <mergeCell ref="T85:T87"/>
    <mergeCell ref="D114:D125"/>
    <mergeCell ref="S72:S77"/>
    <mergeCell ref="N103:N105"/>
    <mergeCell ref="I107:I109"/>
    <mergeCell ref="H50:H53"/>
    <mergeCell ref="M100:M102"/>
    <mergeCell ref="O100:O102"/>
    <mergeCell ref="K66:K72"/>
    <mergeCell ref="M34:M45"/>
    <mergeCell ref="U73:U77"/>
    <mergeCell ref="R70:R73"/>
    <mergeCell ref="G34:G37"/>
    <mergeCell ref="M108:M109"/>
    <mergeCell ref="U18:U19"/>
    <mergeCell ref="Q50:Q55"/>
    <mergeCell ref="R57:R61"/>
    <mergeCell ref="I42:I45"/>
    <mergeCell ref="U92:U93"/>
    <mergeCell ref="F2:F13"/>
    <mergeCell ref="P104:P105"/>
    <mergeCell ref="D66:D70"/>
    <mergeCell ref="I6:I9"/>
    <mergeCell ref="Q98:Q109"/>
  </mergeCells>
  <pageMargins left="0.7" right="0.7" top="0.75" bottom="0.75" header="0.3" footer="0.3"/>
  <pageSetup orientation="landscape" paperSize="3" scale="6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2021-10-15T16:13:40Z</dcterms:created>
  <dcterms:modified xmlns:dcterms="http://purl.org/dc/terms/" xmlns:xsi="http://www.w3.org/2001/XMLSchema-instance" xsi:type="dcterms:W3CDTF">2026-04-29T03:52:00Z</dcterms:modified>
  <cp:lastModifiedBy>Kevin Levasseur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0x010100D7D1207991E0754FB4AFEED6910B807E</vt:lpwstr>
  </property>
  <property name="MediaServiceImageTags" fmtid="{D5CDD505-2E9C-101B-9397-08002B2CF9AE}" pid="3">
    <vt:lpwstr xmlns:vt="http://schemas.openxmlformats.org/officeDocument/2006/docPropsVTypes"/>
  </property>
</Properties>
</file>